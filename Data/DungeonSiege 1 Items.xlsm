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9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0.xml" ContentType="application/vnd.openxmlformats-officedocument.drawing+xml"/>
  <Override PartName="/xl/ctrlProps/ctrlProp22.xml" ContentType="application/vnd.ms-excel.controlproperties+xml"/>
  <Override PartName="/xl/drawings/drawing21.xml" ContentType="application/vnd.openxmlformats-officedocument.drawing+xml"/>
  <Override PartName="/xl/ctrlProps/ctrlProp2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c4ea1ab79f948d4/GameDev/"/>
    </mc:Choice>
  </mc:AlternateContent>
  <xr:revisionPtr revIDLastSave="1567" documentId="8_{3E596786-6BF7-43E1-A2E3-AE37C302C84F}" xr6:coauthVersionLast="47" xr6:coauthVersionMax="47" xr10:uidLastSave="{64DA0D20-5916-4399-8540-112686CFBB48}"/>
  <bookViews>
    <workbookView xWindow="-120" yWindow="-120" windowWidth="29040" windowHeight="15720" tabRatio="799" firstSheet="9" activeTab="21" xr2:uid="{A0FADFF9-AFE4-4D76-AF51-3496A106D670}"/>
  </bookViews>
  <sheets>
    <sheet name="ItemTypes" sheetId="5" r:id="rId1"/>
    <sheet name="Items" sheetId="4" r:id="rId2"/>
    <sheet name="Axe" sheetId="32" r:id="rId3"/>
    <sheet name="Staff" sheetId="35" r:id="rId4"/>
    <sheet name="Mace" sheetId="34" r:id="rId5"/>
    <sheet name="Club" sheetId="33" r:id="rId6"/>
    <sheet name="Bow" sheetId="30" r:id="rId7"/>
    <sheet name="Dagger" sheetId="31" r:id="rId8"/>
    <sheet name="Sword" sheetId="29" r:id="rId9"/>
    <sheet name="Hammer" sheetId="19" r:id="rId10"/>
    <sheet name="BodyArmor" sheetId="12" r:id="rId11"/>
    <sheet name="Helms" sheetId="22" r:id="rId12"/>
    <sheet name="Shields" sheetId="23" r:id="rId13"/>
    <sheet name="Boots" sheetId="21" r:id="rId14"/>
    <sheet name="Gloves" sheetId="20" r:id="rId15"/>
    <sheet name="SpellBooks" sheetId="1" r:id="rId16"/>
    <sheet name="CombatMagic" sheetId="6" r:id="rId17"/>
    <sheet name="SpellBooksPrefixes" sheetId="3" r:id="rId18"/>
    <sheet name="SpellBookSuffixes" sheetId="2" r:id="rId19"/>
    <sheet name="Prefix" sheetId="7" r:id="rId20"/>
    <sheet name="Suffix" sheetId="8" r:id="rId21"/>
    <sheet name="Attributes" sheetId="13" r:id="rId22"/>
    <sheet name="EXP" sheetId="18" r:id="rId23"/>
    <sheet name="Suffix_GE" sheetId="17" r:id="rId24"/>
    <sheet name="Prefix_GE" sheetId="16" r:id="rId25"/>
  </sheets>
  <definedNames>
    <definedName name="Body_Armor_List__DS1" localSheetId="10">BodyArmor!#REF!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" i="13" l="1"/>
  <c r="F15" i="13"/>
  <c r="D16" i="13"/>
  <c r="G16" i="13"/>
  <c r="H16" i="13"/>
  <c r="D15" i="13"/>
  <c r="G15" i="13"/>
  <c r="H15" i="13"/>
  <c r="F18" i="13"/>
  <c r="F17" i="13"/>
  <c r="D18" i="13"/>
  <c r="G18" i="13"/>
  <c r="H18" i="13"/>
  <c r="D17" i="13"/>
  <c r="G17" i="13"/>
  <c r="H17" i="13"/>
  <c r="AE82" i="35"/>
  <c r="AD82" i="35"/>
  <c r="AC82" i="35"/>
  <c r="AA82" i="35"/>
  <c r="AB82" i="35" s="1"/>
  <c r="O82" i="35"/>
  <c r="B82" i="35"/>
  <c r="AE81" i="35"/>
  <c r="AD81" i="35"/>
  <c r="AC81" i="35"/>
  <c r="AA81" i="35"/>
  <c r="AB81" i="35" s="1"/>
  <c r="O81" i="35"/>
  <c r="B81" i="35"/>
  <c r="AE80" i="35"/>
  <c r="AD80" i="35"/>
  <c r="AC80" i="35"/>
  <c r="AA80" i="35"/>
  <c r="AB80" i="35" s="1"/>
  <c r="O80" i="35"/>
  <c r="B80" i="35"/>
  <c r="AE79" i="35"/>
  <c r="AD79" i="35"/>
  <c r="AC79" i="35"/>
  <c r="AA79" i="35"/>
  <c r="AB79" i="35" s="1"/>
  <c r="O79" i="35"/>
  <c r="B79" i="35"/>
  <c r="AE78" i="35"/>
  <c r="AD78" i="35"/>
  <c r="AC78" i="35"/>
  <c r="AA78" i="35"/>
  <c r="AB78" i="35" s="1"/>
  <c r="O78" i="35"/>
  <c r="B78" i="35"/>
  <c r="AE77" i="35"/>
  <c r="AD77" i="35"/>
  <c r="AC77" i="35"/>
  <c r="AA77" i="35"/>
  <c r="AB77" i="35" s="1"/>
  <c r="O77" i="35"/>
  <c r="B77" i="35"/>
  <c r="AE76" i="35"/>
  <c r="AD76" i="35"/>
  <c r="AC76" i="35"/>
  <c r="AA76" i="35"/>
  <c r="AB76" i="35" s="1"/>
  <c r="O76" i="35"/>
  <c r="B76" i="35"/>
  <c r="AE75" i="35"/>
  <c r="AD75" i="35"/>
  <c r="AC75" i="35"/>
  <c r="AA75" i="35"/>
  <c r="AB75" i="35" s="1"/>
  <c r="O75" i="35"/>
  <c r="B75" i="35"/>
  <c r="AE74" i="35"/>
  <c r="AD74" i="35"/>
  <c r="AC74" i="35"/>
  <c r="AA74" i="35"/>
  <c r="AB74" i="35" s="1"/>
  <c r="O74" i="35"/>
  <c r="B74" i="35"/>
  <c r="AE73" i="35"/>
  <c r="AD73" i="35"/>
  <c r="AC73" i="35"/>
  <c r="AA73" i="35"/>
  <c r="AB73" i="35" s="1"/>
  <c r="O73" i="35"/>
  <c r="B73" i="35"/>
  <c r="AE72" i="35"/>
  <c r="AD72" i="35"/>
  <c r="AC72" i="35"/>
  <c r="AA72" i="35"/>
  <c r="AB72" i="35" s="1"/>
  <c r="O72" i="35"/>
  <c r="B72" i="35"/>
  <c r="AE71" i="35"/>
  <c r="AD71" i="35"/>
  <c r="AC71" i="35"/>
  <c r="AA71" i="35"/>
  <c r="AB71" i="35" s="1"/>
  <c r="O71" i="35"/>
  <c r="B71" i="35"/>
  <c r="AE70" i="35"/>
  <c r="AD70" i="35"/>
  <c r="AC70" i="35"/>
  <c r="AA70" i="35"/>
  <c r="AB70" i="35" s="1"/>
  <c r="O70" i="35"/>
  <c r="B70" i="35"/>
  <c r="AE69" i="35"/>
  <c r="AD69" i="35"/>
  <c r="AC69" i="35"/>
  <c r="AA69" i="35"/>
  <c r="AB69" i="35" s="1"/>
  <c r="O69" i="35"/>
  <c r="B69" i="35"/>
  <c r="AE68" i="35"/>
  <c r="AD68" i="35"/>
  <c r="AC68" i="35"/>
  <c r="AA68" i="35"/>
  <c r="AB68" i="35" s="1"/>
  <c r="O68" i="35"/>
  <c r="B68" i="35"/>
  <c r="AE67" i="35"/>
  <c r="AD67" i="35"/>
  <c r="AC67" i="35"/>
  <c r="AA67" i="35"/>
  <c r="AB67" i="35" s="1"/>
  <c r="O67" i="35"/>
  <c r="B67" i="35"/>
  <c r="AE66" i="35"/>
  <c r="AD66" i="35"/>
  <c r="AC66" i="35"/>
  <c r="AA66" i="35"/>
  <c r="AB66" i="35" s="1"/>
  <c r="O66" i="35"/>
  <c r="B66" i="35"/>
  <c r="AE65" i="35"/>
  <c r="AD65" i="35"/>
  <c r="AC65" i="35"/>
  <c r="AA65" i="35"/>
  <c r="AB65" i="35" s="1"/>
  <c r="O65" i="35"/>
  <c r="B65" i="35"/>
  <c r="AE64" i="35"/>
  <c r="AD64" i="35"/>
  <c r="AC64" i="35"/>
  <c r="AA64" i="35"/>
  <c r="AB64" i="35" s="1"/>
  <c r="O64" i="35"/>
  <c r="B64" i="35"/>
  <c r="AE63" i="35"/>
  <c r="AD63" i="35"/>
  <c r="AC63" i="35"/>
  <c r="AA63" i="35"/>
  <c r="AB63" i="35" s="1"/>
  <c r="O63" i="35"/>
  <c r="B63" i="35"/>
  <c r="AE62" i="35"/>
  <c r="AD62" i="35"/>
  <c r="AC62" i="35"/>
  <c r="AA62" i="35"/>
  <c r="AB62" i="35" s="1"/>
  <c r="O62" i="35"/>
  <c r="B62" i="35"/>
  <c r="AE61" i="35"/>
  <c r="AD61" i="35"/>
  <c r="AC61" i="35"/>
  <c r="AA61" i="35"/>
  <c r="AB61" i="35" s="1"/>
  <c r="O61" i="35"/>
  <c r="B61" i="35"/>
  <c r="AE60" i="35"/>
  <c r="AD60" i="35"/>
  <c r="AC60" i="35"/>
  <c r="AA60" i="35"/>
  <c r="AB60" i="35" s="1"/>
  <c r="O60" i="35"/>
  <c r="B60" i="35"/>
  <c r="AE59" i="35"/>
  <c r="AD59" i="35"/>
  <c r="AC59" i="35"/>
  <c r="AA59" i="35"/>
  <c r="AB59" i="35" s="1"/>
  <c r="O59" i="35"/>
  <c r="B59" i="35"/>
  <c r="AE58" i="35"/>
  <c r="AD58" i="35"/>
  <c r="AC58" i="35"/>
  <c r="AA58" i="35"/>
  <c r="AB58" i="35" s="1"/>
  <c r="O58" i="35"/>
  <c r="B58" i="35"/>
  <c r="AE57" i="35"/>
  <c r="AD57" i="35"/>
  <c r="AC57" i="35"/>
  <c r="AA57" i="35"/>
  <c r="AB57" i="35" s="1"/>
  <c r="O57" i="35"/>
  <c r="B57" i="35"/>
  <c r="AE56" i="35"/>
  <c r="AD56" i="35"/>
  <c r="AC56" i="35"/>
  <c r="AA56" i="35"/>
  <c r="AB56" i="35" s="1"/>
  <c r="O56" i="35"/>
  <c r="B56" i="35"/>
  <c r="AE55" i="35"/>
  <c r="AD55" i="35"/>
  <c r="AC55" i="35"/>
  <c r="AB55" i="35"/>
  <c r="AA55" i="35"/>
  <c r="O55" i="35"/>
  <c r="B55" i="35"/>
  <c r="AE54" i="35"/>
  <c r="AD54" i="35"/>
  <c r="AC54" i="35"/>
  <c r="AA54" i="35"/>
  <c r="AB54" i="35" s="1"/>
  <c r="O54" i="35"/>
  <c r="B54" i="35"/>
  <c r="AE53" i="35"/>
  <c r="AD53" i="35"/>
  <c r="AC53" i="35"/>
  <c r="AA53" i="35"/>
  <c r="AB53" i="35" s="1"/>
  <c r="O53" i="35"/>
  <c r="B53" i="35"/>
  <c r="AE52" i="35"/>
  <c r="AD52" i="35"/>
  <c r="AC52" i="35"/>
  <c r="AA52" i="35"/>
  <c r="AB52" i="35" s="1"/>
  <c r="O52" i="35"/>
  <c r="B52" i="35"/>
  <c r="AE51" i="35"/>
  <c r="AD51" i="35"/>
  <c r="AC51" i="35"/>
  <c r="AA51" i="35"/>
  <c r="AB51" i="35" s="1"/>
  <c r="O51" i="35"/>
  <c r="B51" i="35"/>
  <c r="AE50" i="35"/>
  <c r="AD50" i="35"/>
  <c r="AC50" i="35"/>
  <c r="AA50" i="35"/>
  <c r="AB50" i="35" s="1"/>
  <c r="O50" i="35"/>
  <c r="B50" i="35"/>
  <c r="AE49" i="35"/>
  <c r="AD49" i="35"/>
  <c r="AC49" i="35"/>
  <c r="AA49" i="35"/>
  <c r="AB49" i="35" s="1"/>
  <c r="O49" i="35"/>
  <c r="B49" i="35"/>
  <c r="AE48" i="35"/>
  <c r="AD48" i="35"/>
  <c r="AC48" i="35"/>
  <c r="AA48" i="35"/>
  <c r="AB48" i="35" s="1"/>
  <c r="O48" i="35"/>
  <c r="B48" i="35"/>
  <c r="AE47" i="35"/>
  <c r="AD47" i="35"/>
  <c r="AC47" i="35"/>
  <c r="AA47" i="35"/>
  <c r="AB47" i="35" s="1"/>
  <c r="O47" i="35"/>
  <c r="B47" i="35"/>
  <c r="AE46" i="35"/>
  <c r="AD46" i="35"/>
  <c r="AC46" i="35"/>
  <c r="AA46" i="35"/>
  <c r="AB46" i="35" s="1"/>
  <c r="O46" i="35"/>
  <c r="B46" i="35"/>
  <c r="AE45" i="35"/>
  <c r="AD45" i="35"/>
  <c r="AC45" i="35"/>
  <c r="AA45" i="35"/>
  <c r="AB45" i="35" s="1"/>
  <c r="O45" i="35"/>
  <c r="B45" i="35"/>
  <c r="AE44" i="35"/>
  <c r="AD44" i="35"/>
  <c r="AC44" i="35"/>
  <c r="AA44" i="35"/>
  <c r="AB44" i="35" s="1"/>
  <c r="O44" i="35"/>
  <c r="B44" i="35"/>
  <c r="AE43" i="35"/>
  <c r="AD43" i="35"/>
  <c r="AC43" i="35"/>
  <c r="AA43" i="35"/>
  <c r="AB43" i="35" s="1"/>
  <c r="O43" i="35"/>
  <c r="B43" i="35"/>
  <c r="AE42" i="35"/>
  <c r="AD42" i="35"/>
  <c r="AC42" i="35"/>
  <c r="AA42" i="35"/>
  <c r="AB42" i="35" s="1"/>
  <c r="O42" i="35"/>
  <c r="B42" i="35"/>
  <c r="AE41" i="35"/>
  <c r="AD41" i="35"/>
  <c r="AC41" i="35"/>
  <c r="AA41" i="35"/>
  <c r="AB41" i="35" s="1"/>
  <c r="O41" i="35"/>
  <c r="B41" i="35"/>
  <c r="AE40" i="35"/>
  <c r="AD40" i="35"/>
  <c r="AC40" i="35"/>
  <c r="AA40" i="35"/>
  <c r="AB40" i="35" s="1"/>
  <c r="O40" i="35"/>
  <c r="B40" i="35"/>
  <c r="AE39" i="35"/>
  <c r="AD39" i="35"/>
  <c r="AC39" i="35"/>
  <c r="AA39" i="35"/>
  <c r="AB39" i="35" s="1"/>
  <c r="O39" i="35"/>
  <c r="B39" i="35"/>
  <c r="AE38" i="35"/>
  <c r="AD38" i="35"/>
  <c r="AC38" i="35"/>
  <c r="AA38" i="35"/>
  <c r="AB38" i="35" s="1"/>
  <c r="O38" i="35"/>
  <c r="B38" i="35"/>
  <c r="AE37" i="35"/>
  <c r="AD37" i="35"/>
  <c r="AC37" i="35"/>
  <c r="AA37" i="35"/>
  <c r="AB37" i="35" s="1"/>
  <c r="O37" i="35"/>
  <c r="B37" i="35"/>
  <c r="AE36" i="35"/>
  <c r="AD36" i="35"/>
  <c r="AC36" i="35"/>
  <c r="AB36" i="35"/>
  <c r="AA36" i="35"/>
  <c r="O36" i="35"/>
  <c r="B36" i="35"/>
  <c r="AE35" i="35"/>
  <c r="AD35" i="35"/>
  <c r="AC35" i="35"/>
  <c r="AA35" i="35"/>
  <c r="AB35" i="35" s="1"/>
  <c r="O35" i="35"/>
  <c r="B35" i="35"/>
  <c r="AE34" i="35"/>
  <c r="AD34" i="35"/>
  <c r="AC34" i="35"/>
  <c r="AA34" i="35"/>
  <c r="AB34" i="35" s="1"/>
  <c r="O34" i="35"/>
  <c r="B34" i="35"/>
  <c r="AE33" i="35"/>
  <c r="AD33" i="35"/>
  <c r="AC33" i="35"/>
  <c r="AA33" i="35"/>
  <c r="AB33" i="35" s="1"/>
  <c r="O33" i="35"/>
  <c r="B33" i="35"/>
  <c r="AE32" i="35"/>
  <c r="AD32" i="35"/>
  <c r="AC32" i="35"/>
  <c r="AA32" i="35"/>
  <c r="AB32" i="35" s="1"/>
  <c r="O32" i="35"/>
  <c r="B32" i="35"/>
  <c r="AE31" i="35"/>
  <c r="AD31" i="35"/>
  <c r="AC31" i="35"/>
  <c r="AA31" i="35"/>
  <c r="AB31" i="35" s="1"/>
  <c r="O31" i="35"/>
  <c r="B31" i="35"/>
  <c r="AE30" i="35"/>
  <c r="AD30" i="35"/>
  <c r="AC30" i="35"/>
  <c r="AA30" i="35"/>
  <c r="AB30" i="35" s="1"/>
  <c r="O30" i="35"/>
  <c r="B30" i="35"/>
  <c r="AE29" i="35"/>
  <c r="AD29" i="35"/>
  <c r="AC29" i="35"/>
  <c r="AA29" i="35"/>
  <c r="AB29" i="35" s="1"/>
  <c r="O29" i="35"/>
  <c r="B29" i="35"/>
  <c r="AE28" i="35"/>
  <c r="AD28" i="35"/>
  <c r="AC28" i="35"/>
  <c r="AA28" i="35"/>
  <c r="AB28" i="35" s="1"/>
  <c r="O28" i="35"/>
  <c r="B28" i="35"/>
  <c r="AE27" i="35"/>
  <c r="AD27" i="35"/>
  <c r="AC27" i="35"/>
  <c r="AA27" i="35"/>
  <c r="AB27" i="35" s="1"/>
  <c r="O27" i="35"/>
  <c r="B27" i="35"/>
  <c r="AE26" i="35"/>
  <c r="AD26" i="35"/>
  <c r="AC26" i="35"/>
  <c r="AA26" i="35"/>
  <c r="AB26" i="35" s="1"/>
  <c r="O26" i="35"/>
  <c r="B26" i="35"/>
  <c r="AE25" i="35"/>
  <c r="AD25" i="35"/>
  <c r="AC25" i="35"/>
  <c r="AA25" i="35"/>
  <c r="AB25" i="35" s="1"/>
  <c r="O25" i="35"/>
  <c r="B25" i="35"/>
  <c r="AE24" i="35"/>
  <c r="AD24" i="35"/>
  <c r="AC24" i="35"/>
  <c r="AA24" i="35"/>
  <c r="AB24" i="35" s="1"/>
  <c r="O24" i="35"/>
  <c r="B24" i="35"/>
  <c r="AE23" i="35"/>
  <c r="AD23" i="35"/>
  <c r="AC23" i="35"/>
  <c r="AA23" i="35"/>
  <c r="AB23" i="35" s="1"/>
  <c r="O23" i="35"/>
  <c r="B23" i="35"/>
  <c r="AE22" i="35"/>
  <c r="AD22" i="35"/>
  <c r="AC22" i="35"/>
  <c r="AA22" i="35"/>
  <c r="AB22" i="35" s="1"/>
  <c r="O22" i="35"/>
  <c r="B22" i="35"/>
  <c r="AE21" i="35"/>
  <c r="AD21" i="35"/>
  <c r="AC21" i="35"/>
  <c r="AA21" i="35"/>
  <c r="AB21" i="35" s="1"/>
  <c r="O21" i="35"/>
  <c r="B21" i="35"/>
  <c r="AE20" i="35"/>
  <c r="AD20" i="35"/>
  <c r="AC20" i="35"/>
  <c r="AA20" i="35"/>
  <c r="AB20" i="35" s="1"/>
  <c r="O20" i="35"/>
  <c r="B20" i="35"/>
  <c r="AE19" i="35"/>
  <c r="AD19" i="35"/>
  <c r="AC19" i="35"/>
  <c r="AA19" i="35"/>
  <c r="AB19" i="35" s="1"/>
  <c r="O19" i="35"/>
  <c r="B19" i="35"/>
  <c r="AE18" i="35"/>
  <c r="AD18" i="35"/>
  <c r="AC18" i="35"/>
  <c r="AA18" i="35"/>
  <c r="AB18" i="35" s="1"/>
  <c r="O18" i="35"/>
  <c r="B18" i="35"/>
  <c r="AE17" i="35"/>
  <c r="AD17" i="35"/>
  <c r="AC17" i="35"/>
  <c r="AA17" i="35"/>
  <c r="AB17" i="35" s="1"/>
  <c r="O17" i="35"/>
  <c r="B17" i="35"/>
  <c r="AE16" i="35"/>
  <c r="AD16" i="35"/>
  <c r="AC16" i="35"/>
  <c r="AA16" i="35"/>
  <c r="AB16" i="35" s="1"/>
  <c r="O16" i="35"/>
  <c r="B16" i="35"/>
  <c r="AE15" i="35"/>
  <c r="AD15" i="35"/>
  <c r="AC15" i="35"/>
  <c r="AA15" i="35"/>
  <c r="AB15" i="35" s="1"/>
  <c r="O15" i="35"/>
  <c r="B15" i="35"/>
  <c r="AE14" i="35"/>
  <c r="AD14" i="35"/>
  <c r="AC14" i="35"/>
  <c r="AA14" i="35"/>
  <c r="AB14" i="35" s="1"/>
  <c r="O14" i="35"/>
  <c r="B14" i="35"/>
  <c r="AE13" i="35"/>
  <c r="AD13" i="35"/>
  <c r="AC13" i="35"/>
  <c r="AA13" i="35"/>
  <c r="AB13" i="35" s="1"/>
  <c r="O13" i="35"/>
  <c r="B13" i="35"/>
  <c r="AE12" i="35"/>
  <c r="AD12" i="35"/>
  <c r="AC12" i="35"/>
  <c r="AA12" i="35"/>
  <c r="AB12" i="35" s="1"/>
  <c r="O12" i="35"/>
  <c r="B12" i="35"/>
  <c r="AE11" i="35"/>
  <c r="AD11" i="35"/>
  <c r="AC11" i="35"/>
  <c r="AA11" i="35"/>
  <c r="AB11" i="35" s="1"/>
  <c r="O11" i="35"/>
  <c r="B11" i="35"/>
  <c r="AE10" i="35"/>
  <c r="AD10" i="35"/>
  <c r="AC10" i="35"/>
  <c r="AA10" i="35"/>
  <c r="AB10" i="35" s="1"/>
  <c r="O10" i="35"/>
  <c r="B10" i="35"/>
  <c r="AE9" i="35"/>
  <c r="AD9" i="35"/>
  <c r="AC9" i="35"/>
  <c r="AA9" i="35"/>
  <c r="AB9" i="35" s="1"/>
  <c r="O9" i="35"/>
  <c r="B9" i="35"/>
  <c r="AE8" i="35"/>
  <c r="AD8" i="35"/>
  <c r="AC8" i="35"/>
  <c r="AA8" i="35"/>
  <c r="AB8" i="35" s="1"/>
  <c r="O8" i="35"/>
  <c r="B8" i="35"/>
  <c r="AE7" i="35"/>
  <c r="AD7" i="35"/>
  <c r="AC7" i="35"/>
  <c r="AA7" i="35"/>
  <c r="AB7" i="35" s="1"/>
  <c r="O7" i="35"/>
  <c r="B7" i="35"/>
  <c r="AE6" i="35"/>
  <c r="AD6" i="35"/>
  <c r="AC6" i="35"/>
  <c r="AA6" i="35"/>
  <c r="AB6" i="35" s="1"/>
  <c r="O6" i="35"/>
  <c r="B6" i="35"/>
  <c r="AE5" i="35"/>
  <c r="AD5" i="35"/>
  <c r="AC5" i="35"/>
  <c r="AA5" i="35"/>
  <c r="AB5" i="35" s="1"/>
  <c r="O5" i="35"/>
  <c r="B5" i="35"/>
  <c r="AE4" i="35"/>
  <c r="AD4" i="35"/>
  <c r="AC4" i="35"/>
  <c r="AA4" i="35"/>
  <c r="AB4" i="35" s="1"/>
  <c r="O4" i="35"/>
  <c r="B4" i="35"/>
  <c r="AE3" i="35"/>
  <c r="AD3" i="35"/>
  <c r="AC3" i="35"/>
  <c r="AA3" i="35"/>
  <c r="AB3" i="35" s="1"/>
  <c r="O3" i="35"/>
  <c r="B3" i="35"/>
  <c r="AE2" i="35"/>
  <c r="AD2" i="35"/>
  <c r="AC2" i="35"/>
  <c r="AA2" i="35"/>
  <c r="AB2" i="35" s="1"/>
  <c r="O2" i="35"/>
  <c r="B2" i="35"/>
  <c r="AE67" i="34"/>
  <c r="AD67" i="34"/>
  <c r="AC67" i="34"/>
  <c r="AA67" i="34"/>
  <c r="AB67" i="34" s="1"/>
  <c r="O67" i="34"/>
  <c r="B67" i="34"/>
  <c r="AE66" i="34"/>
  <c r="AD66" i="34"/>
  <c r="AC66" i="34"/>
  <c r="AA66" i="34"/>
  <c r="AB66" i="34" s="1"/>
  <c r="O66" i="34"/>
  <c r="B66" i="34"/>
  <c r="AE65" i="34"/>
  <c r="AD65" i="34"/>
  <c r="AC65" i="34"/>
  <c r="AA65" i="34"/>
  <c r="AB65" i="34" s="1"/>
  <c r="O65" i="34"/>
  <c r="B65" i="34"/>
  <c r="AE64" i="34"/>
  <c r="AD64" i="34"/>
  <c r="AC64" i="34"/>
  <c r="AA64" i="34"/>
  <c r="AB64" i="34" s="1"/>
  <c r="O64" i="34"/>
  <c r="B64" i="34"/>
  <c r="AE63" i="34"/>
  <c r="AD63" i="34"/>
  <c r="AC63" i="34"/>
  <c r="AA63" i="34"/>
  <c r="AB63" i="34" s="1"/>
  <c r="O63" i="34"/>
  <c r="B63" i="34"/>
  <c r="AE62" i="34"/>
  <c r="AD62" i="34"/>
  <c r="AC62" i="34"/>
  <c r="AA62" i="34"/>
  <c r="AB62" i="34" s="1"/>
  <c r="O62" i="34"/>
  <c r="B62" i="34"/>
  <c r="AE61" i="34"/>
  <c r="AD61" i="34"/>
  <c r="AC61" i="34"/>
  <c r="AA61" i="34"/>
  <c r="AB61" i="34" s="1"/>
  <c r="O61" i="34"/>
  <c r="B61" i="34"/>
  <c r="AE60" i="34"/>
  <c r="AD60" i="34"/>
  <c r="AC60" i="34"/>
  <c r="AA60" i="34"/>
  <c r="AB60" i="34" s="1"/>
  <c r="O60" i="34"/>
  <c r="B60" i="34"/>
  <c r="AE59" i="34"/>
  <c r="AD59" i="34"/>
  <c r="AC59" i="34"/>
  <c r="AA59" i="34"/>
  <c r="AB59" i="34" s="1"/>
  <c r="O59" i="34"/>
  <c r="B59" i="34"/>
  <c r="AE58" i="34"/>
  <c r="AD58" i="34"/>
  <c r="AC58" i="34"/>
  <c r="AA58" i="34"/>
  <c r="AB58" i="34" s="1"/>
  <c r="O58" i="34"/>
  <c r="B58" i="34"/>
  <c r="AE57" i="34"/>
  <c r="AD57" i="34"/>
  <c r="AC57" i="34"/>
  <c r="AA57" i="34"/>
  <c r="AB57" i="34" s="1"/>
  <c r="O57" i="34"/>
  <c r="B57" i="34"/>
  <c r="AE56" i="34"/>
  <c r="AD56" i="34"/>
  <c r="AC56" i="34"/>
  <c r="AA56" i="34"/>
  <c r="AB56" i="34" s="1"/>
  <c r="O56" i="34"/>
  <c r="B56" i="34"/>
  <c r="AE55" i="34"/>
  <c r="AD55" i="34"/>
  <c r="AC55" i="34"/>
  <c r="AA55" i="34"/>
  <c r="AB55" i="34" s="1"/>
  <c r="O55" i="34"/>
  <c r="B55" i="34"/>
  <c r="AE54" i="34"/>
  <c r="AD54" i="34"/>
  <c r="AC54" i="34"/>
  <c r="AA54" i="34"/>
  <c r="AB54" i="34" s="1"/>
  <c r="O54" i="34"/>
  <c r="B54" i="34"/>
  <c r="AE53" i="34"/>
  <c r="AD53" i="34"/>
  <c r="AC53" i="34"/>
  <c r="AA53" i="34"/>
  <c r="AB53" i="34" s="1"/>
  <c r="O53" i="34"/>
  <c r="B53" i="34"/>
  <c r="AE52" i="34"/>
  <c r="AD52" i="34"/>
  <c r="AC52" i="34"/>
  <c r="AA52" i="34"/>
  <c r="AB52" i="34" s="1"/>
  <c r="O52" i="34"/>
  <c r="B52" i="34"/>
  <c r="AE51" i="34"/>
  <c r="AD51" i="34"/>
  <c r="AC51" i="34"/>
  <c r="AA51" i="34"/>
  <c r="AB51" i="34" s="1"/>
  <c r="O51" i="34"/>
  <c r="B51" i="34"/>
  <c r="AE50" i="34"/>
  <c r="AD50" i="34"/>
  <c r="AC50" i="34"/>
  <c r="AA50" i="34"/>
  <c r="AB50" i="34" s="1"/>
  <c r="O50" i="34"/>
  <c r="B50" i="34"/>
  <c r="AE49" i="34"/>
  <c r="AD49" i="34"/>
  <c r="AC49" i="34"/>
  <c r="AB49" i="34"/>
  <c r="AA49" i="34"/>
  <c r="O49" i="34"/>
  <c r="B49" i="34"/>
  <c r="AE48" i="34"/>
  <c r="AD48" i="34"/>
  <c r="AC48" i="34"/>
  <c r="AA48" i="34"/>
  <c r="AB48" i="34" s="1"/>
  <c r="O48" i="34"/>
  <c r="B48" i="34"/>
  <c r="AE47" i="34"/>
  <c r="AD47" i="34"/>
  <c r="AC47" i="34"/>
  <c r="AA47" i="34"/>
  <c r="AB47" i="34" s="1"/>
  <c r="O47" i="34"/>
  <c r="B47" i="34"/>
  <c r="AE46" i="34"/>
  <c r="AD46" i="34"/>
  <c r="AC46" i="34"/>
  <c r="AA46" i="34"/>
  <c r="AB46" i="34" s="1"/>
  <c r="O46" i="34"/>
  <c r="B46" i="34"/>
  <c r="AE45" i="34"/>
  <c r="AD45" i="34"/>
  <c r="AC45" i="34"/>
  <c r="AA45" i="34"/>
  <c r="AB45" i="34" s="1"/>
  <c r="O45" i="34"/>
  <c r="B45" i="34"/>
  <c r="AE44" i="34"/>
  <c r="AD44" i="34"/>
  <c r="AC44" i="34"/>
  <c r="AA44" i="34"/>
  <c r="AB44" i="34" s="1"/>
  <c r="O44" i="34"/>
  <c r="B44" i="34"/>
  <c r="AE43" i="34"/>
  <c r="AD43" i="34"/>
  <c r="AC43" i="34"/>
  <c r="AA43" i="34"/>
  <c r="AB43" i="34" s="1"/>
  <c r="O43" i="34"/>
  <c r="B43" i="34"/>
  <c r="AE42" i="34"/>
  <c r="AD42" i="34"/>
  <c r="AC42" i="34"/>
  <c r="AA42" i="34"/>
  <c r="AB42" i="34" s="1"/>
  <c r="O42" i="34"/>
  <c r="B42" i="34"/>
  <c r="AE41" i="34"/>
  <c r="AD41" i="34"/>
  <c r="AC41" i="34"/>
  <c r="AA41" i="34"/>
  <c r="AB41" i="34" s="1"/>
  <c r="O41" i="34"/>
  <c r="B41" i="34"/>
  <c r="AE40" i="34"/>
  <c r="AD40" i="34"/>
  <c r="AC40" i="34"/>
  <c r="AA40" i="34"/>
  <c r="AB40" i="34" s="1"/>
  <c r="O40" i="34"/>
  <c r="B40" i="34"/>
  <c r="AE39" i="34"/>
  <c r="AD39" i="34"/>
  <c r="AC39" i="34"/>
  <c r="AA39" i="34"/>
  <c r="AB39" i="34" s="1"/>
  <c r="O39" i="34"/>
  <c r="B39" i="34"/>
  <c r="AE38" i="34"/>
  <c r="AD38" i="34"/>
  <c r="AC38" i="34"/>
  <c r="AA38" i="34"/>
  <c r="AB38" i="34" s="1"/>
  <c r="O38" i="34"/>
  <c r="B38" i="34"/>
  <c r="AE37" i="34"/>
  <c r="AD37" i="34"/>
  <c r="AC37" i="34"/>
  <c r="AA37" i="34"/>
  <c r="AB37" i="34" s="1"/>
  <c r="O37" i="34"/>
  <c r="B37" i="34"/>
  <c r="AE36" i="34"/>
  <c r="AD36" i="34"/>
  <c r="AC36" i="34"/>
  <c r="AA36" i="34"/>
  <c r="AB36" i="34" s="1"/>
  <c r="O36" i="34"/>
  <c r="B36" i="34"/>
  <c r="AE35" i="34"/>
  <c r="AD35" i="34"/>
  <c r="AC35" i="34"/>
  <c r="AA35" i="34"/>
  <c r="AB35" i="34" s="1"/>
  <c r="O35" i="34"/>
  <c r="B35" i="34"/>
  <c r="AE34" i="34"/>
  <c r="AD34" i="34"/>
  <c r="AC34" i="34"/>
  <c r="AA34" i="34"/>
  <c r="AB34" i="34" s="1"/>
  <c r="O34" i="34"/>
  <c r="B34" i="34"/>
  <c r="AE33" i="34"/>
  <c r="AD33" i="34"/>
  <c r="AC33" i="34"/>
  <c r="AA33" i="34"/>
  <c r="AB33" i="34" s="1"/>
  <c r="O33" i="34"/>
  <c r="B33" i="34"/>
  <c r="AE32" i="34"/>
  <c r="AD32" i="34"/>
  <c r="AC32" i="34"/>
  <c r="AA32" i="34"/>
  <c r="AB32" i="34" s="1"/>
  <c r="O32" i="34"/>
  <c r="B32" i="34"/>
  <c r="AE31" i="34"/>
  <c r="AD31" i="34"/>
  <c r="AC31" i="34"/>
  <c r="AA31" i="34"/>
  <c r="AB31" i="34" s="1"/>
  <c r="O31" i="34"/>
  <c r="B31" i="34"/>
  <c r="AE30" i="34"/>
  <c r="AD30" i="34"/>
  <c r="AC30" i="34"/>
  <c r="AA30" i="34"/>
  <c r="AB30" i="34" s="1"/>
  <c r="O30" i="34"/>
  <c r="B30" i="34"/>
  <c r="AE29" i="34"/>
  <c r="AD29" i="34"/>
  <c r="AC29" i="34"/>
  <c r="AA29" i="34"/>
  <c r="AB29" i="34" s="1"/>
  <c r="O29" i="34"/>
  <c r="B29" i="34"/>
  <c r="AE28" i="34"/>
  <c r="AD28" i="34"/>
  <c r="AC28" i="34"/>
  <c r="AA28" i="34"/>
  <c r="AB28" i="34" s="1"/>
  <c r="O28" i="34"/>
  <c r="B28" i="34"/>
  <c r="AE27" i="34"/>
  <c r="AD27" i="34"/>
  <c r="AC27" i="34"/>
  <c r="AA27" i="34"/>
  <c r="AB27" i="34" s="1"/>
  <c r="O27" i="34"/>
  <c r="B27" i="34"/>
  <c r="AE26" i="34"/>
  <c r="AD26" i="34"/>
  <c r="AC26" i="34"/>
  <c r="AA26" i="34"/>
  <c r="AB26" i="34" s="1"/>
  <c r="O26" i="34"/>
  <c r="B26" i="34"/>
  <c r="AE25" i="34"/>
  <c r="AD25" i="34"/>
  <c r="AC25" i="34"/>
  <c r="AA25" i="34"/>
  <c r="AB25" i="34" s="1"/>
  <c r="O25" i="34"/>
  <c r="B25" i="34"/>
  <c r="AE24" i="34"/>
  <c r="AD24" i="34"/>
  <c r="AC24" i="34"/>
  <c r="AA24" i="34"/>
  <c r="AB24" i="34" s="1"/>
  <c r="O24" i="34"/>
  <c r="B24" i="34"/>
  <c r="AE23" i="34"/>
  <c r="AD23" i="34"/>
  <c r="AC23" i="34"/>
  <c r="AA23" i="34"/>
  <c r="AB23" i="34" s="1"/>
  <c r="O23" i="34"/>
  <c r="B23" i="34"/>
  <c r="AE22" i="34"/>
  <c r="AD22" i="34"/>
  <c r="AC22" i="34"/>
  <c r="AA22" i="34"/>
  <c r="AB22" i="34" s="1"/>
  <c r="O22" i="34"/>
  <c r="B22" i="34"/>
  <c r="AE21" i="34"/>
  <c r="AD21" i="34"/>
  <c r="AC21" i="34"/>
  <c r="AA21" i="34"/>
  <c r="AB21" i="34" s="1"/>
  <c r="O21" i="34"/>
  <c r="B21" i="34"/>
  <c r="AE20" i="34"/>
  <c r="AD20" i="34"/>
  <c r="AC20" i="34"/>
  <c r="AA20" i="34"/>
  <c r="AB20" i="34" s="1"/>
  <c r="O20" i="34"/>
  <c r="B20" i="34"/>
  <c r="AE19" i="34"/>
  <c r="AD19" i="34"/>
  <c r="AC19" i="34"/>
  <c r="AA19" i="34"/>
  <c r="AB19" i="34" s="1"/>
  <c r="O19" i="34"/>
  <c r="B19" i="34"/>
  <c r="AE18" i="34"/>
  <c r="AD18" i="34"/>
  <c r="AC18" i="34"/>
  <c r="AA18" i="34"/>
  <c r="AB18" i="34" s="1"/>
  <c r="O18" i="34"/>
  <c r="B18" i="34"/>
  <c r="AE17" i="34"/>
  <c r="AD17" i="34"/>
  <c r="AC17" i="34"/>
  <c r="AA17" i="34"/>
  <c r="AB17" i="34" s="1"/>
  <c r="O17" i="34"/>
  <c r="B17" i="34"/>
  <c r="AE16" i="34"/>
  <c r="AD16" i="34"/>
  <c r="AC16" i="34"/>
  <c r="AA16" i="34"/>
  <c r="AB16" i="34" s="1"/>
  <c r="O16" i="34"/>
  <c r="B16" i="34"/>
  <c r="AE15" i="34"/>
  <c r="AD15" i="34"/>
  <c r="AC15" i="34"/>
  <c r="AA15" i="34"/>
  <c r="AB15" i="34" s="1"/>
  <c r="O15" i="34"/>
  <c r="B15" i="34"/>
  <c r="AE14" i="34"/>
  <c r="AD14" i="34"/>
  <c r="AC14" i="34"/>
  <c r="AA14" i="34"/>
  <c r="AB14" i="34" s="1"/>
  <c r="O14" i="34"/>
  <c r="B14" i="34"/>
  <c r="AE13" i="34"/>
  <c r="AD13" i="34"/>
  <c r="AC13" i="34"/>
  <c r="AA13" i="34"/>
  <c r="AB13" i="34" s="1"/>
  <c r="O13" i="34"/>
  <c r="B13" i="34"/>
  <c r="AE12" i="34"/>
  <c r="AD12" i="34"/>
  <c r="AC12" i="34"/>
  <c r="AA12" i="34"/>
  <c r="AB12" i="34" s="1"/>
  <c r="O12" i="34"/>
  <c r="B12" i="34"/>
  <c r="AE11" i="34"/>
  <c r="AD11" i="34"/>
  <c r="AC11" i="34"/>
  <c r="AA11" i="34"/>
  <c r="AB11" i="34" s="1"/>
  <c r="B11" i="34"/>
  <c r="AE10" i="34"/>
  <c r="AD10" i="34"/>
  <c r="AC10" i="34"/>
  <c r="AA10" i="34"/>
  <c r="AB10" i="34" s="1"/>
  <c r="B10" i="34"/>
  <c r="AE9" i="34"/>
  <c r="AD9" i="34"/>
  <c r="AC9" i="34"/>
  <c r="AA9" i="34"/>
  <c r="AB9" i="34" s="1"/>
  <c r="B9" i="34"/>
  <c r="AE8" i="34"/>
  <c r="AD8" i="34"/>
  <c r="AC8" i="34"/>
  <c r="AA8" i="34"/>
  <c r="AB8" i="34" s="1"/>
  <c r="B8" i="34"/>
  <c r="AE7" i="34"/>
  <c r="AD7" i="34"/>
  <c r="AC7" i="34"/>
  <c r="AA7" i="34"/>
  <c r="AB7" i="34" s="1"/>
  <c r="B7" i="34"/>
  <c r="AE6" i="34"/>
  <c r="AD6" i="34"/>
  <c r="AC6" i="34"/>
  <c r="AA6" i="34"/>
  <c r="AB6" i="34" s="1"/>
  <c r="B6" i="34"/>
  <c r="AE5" i="34"/>
  <c r="AD5" i="34"/>
  <c r="AC5" i="34"/>
  <c r="AA5" i="34"/>
  <c r="AB5" i="34" s="1"/>
  <c r="B5" i="34"/>
  <c r="AE4" i="34"/>
  <c r="AD4" i="34"/>
  <c r="AC4" i="34"/>
  <c r="AA4" i="34"/>
  <c r="AB4" i="34" s="1"/>
  <c r="B4" i="34"/>
  <c r="AE3" i="34"/>
  <c r="AD3" i="34"/>
  <c r="AC3" i="34"/>
  <c r="AA3" i="34"/>
  <c r="AB3" i="34" s="1"/>
  <c r="B3" i="34"/>
  <c r="AE2" i="34"/>
  <c r="AD2" i="34"/>
  <c r="AC2" i="34"/>
  <c r="AA2" i="34"/>
  <c r="AB2" i="34" s="1"/>
  <c r="B2" i="34"/>
  <c r="AE17" i="33"/>
  <c r="AD17" i="33"/>
  <c r="AC17" i="33"/>
  <c r="AA17" i="33"/>
  <c r="AB17" i="33" s="1"/>
  <c r="B17" i="33"/>
  <c r="AE16" i="33"/>
  <c r="AD16" i="33"/>
  <c r="AC16" i="33"/>
  <c r="AA16" i="33"/>
  <c r="AB16" i="33" s="1"/>
  <c r="B16" i="33"/>
  <c r="AE15" i="33"/>
  <c r="AD15" i="33"/>
  <c r="AC15" i="33"/>
  <c r="AA15" i="33"/>
  <c r="AB15" i="33" s="1"/>
  <c r="B15" i="33"/>
  <c r="AE14" i="33"/>
  <c r="AD14" i="33"/>
  <c r="AC14" i="33"/>
  <c r="AA14" i="33"/>
  <c r="AB14" i="33" s="1"/>
  <c r="B14" i="33"/>
  <c r="AE13" i="33"/>
  <c r="AD13" i="33"/>
  <c r="AC13" i="33"/>
  <c r="AA13" i="33"/>
  <c r="AB13" i="33" s="1"/>
  <c r="B13" i="33"/>
  <c r="AE12" i="33"/>
  <c r="AD12" i="33"/>
  <c r="AC12" i="33"/>
  <c r="AA12" i="33"/>
  <c r="AB12" i="33" s="1"/>
  <c r="B12" i="33"/>
  <c r="AE11" i="33"/>
  <c r="AD11" i="33"/>
  <c r="AC11" i="33"/>
  <c r="AA11" i="33"/>
  <c r="AB11" i="33" s="1"/>
  <c r="B11" i="33"/>
  <c r="AE10" i="33"/>
  <c r="AD10" i="33"/>
  <c r="AC10" i="33"/>
  <c r="AA10" i="33"/>
  <c r="AB10" i="33" s="1"/>
  <c r="B10" i="33"/>
  <c r="AE9" i="33"/>
  <c r="AD9" i="33"/>
  <c r="AC9" i="33"/>
  <c r="AA9" i="33"/>
  <c r="AB9" i="33" s="1"/>
  <c r="B9" i="33"/>
  <c r="AE8" i="33"/>
  <c r="AD8" i="33"/>
  <c r="AC8" i="33"/>
  <c r="AA8" i="33"/>
  <c r="AB8" i="33" s="1"/>
  <c r="B8" i="33"/>
  <c r="AE7" i="33"/>
  <c r="AD7" i="33"/>
  <c r="AC7" i="33"/>
  <c r="AA7" i="33"/>
  <c r="AB7" i="33" s="1"/>
  <c r="B7" i="33"/>
  <c r="AE6" i="33"/>
  <c r="AD6" i="33"/>
  <c r="AC6" i="33"/>
  <c r="AA6" i="33"/>
  <c r="AB6" i="33" s="1"/>
  <c r="B6" i="33"/>
  <c r="AE5" i="33"/>
  <c r="AD5" i="33"/>
  <c r="AC5" i="33"/>
  <c r="AA5" i="33"/>
  <c r="AB5" i="33" s="1"/>
  <c r="B5" i="33"/>
  <c r="AE4" i="33"/>
  <c r="AD4" i="33"/>
  <c r="AC4" i="33"/>
  <c r="AA4" i="33"/>
  <c r="AB4" i="33" s="1"/>
  <c r="B4" i="33"/>
  <c r="AE3" i="33"/>
  <c r="AD3" i="33"/>
  <c r="AC3" i="33"/>
  <c r="AA3" i="33"/>
  <c r="AB3" i="33" s="1"/>
  <c r="B3" i="33"/>
  <c r="AE2" i="33"/>
  <c r="AD2" i="33"/>
  <c r="AC2" i="33"/>
  <c r="AA2" i="33"/>
  <c r="AB2" i="33" s="1"/>
  <c r="B2" i="33"/>
  <c r="AE89" i="32"/>
  <c r="AD89" i="32"/>
  <c r="AC89" i="32"/>
  <c r="AA89" i="32"/>
  <c r="AB89" i="32" s="1"/>
  <c r="O89" i="32"/>
  <c r="E89" i="32"/>
  <c r="B89" i="32"/>
  <c r="AE88" i="32"/>
  <c r="AD88" i="32"/>
  <c r="AC88" i="32"/>
  <c r="AA88" i="32"/>
  <c r="AB88" i="32" s="1"/>
  <c r="O88" i="32"/>
  <c r="E88" i="32"/>
  <c r="B88" i="32"/>
  <c r="AE87" i="32"/>
  <c r="AD87" i="32"/>
  <c r="AC87" i="32"/>
  <c r="AA87" i="32"/>
  <c r="AB87" i="32" s="1"/>
  <c r="O87" i="32"/>
  <c r="E87" i="32"/>
  <c r="B87" i="32"/>
  <c r="AE86" i="32"/>
  <c r="AD86" i="32"/>
  <c r="AC86" i="32"/>
  <c r="AA86" i="32"/>
  <c r="AB86" i="32" s="1"/>
  <c r="O86" i="32"/>
  <c r="E86" i="32"/>
  <c r="B86" i="32"/>
  <c r="AE85" i="32"/>
  <c r="AD85" i="32"/>
  <c r="AC85" i="32"/>
  <c r="AA85" i="32"/>
  <c r="AB85" i="32" s="1"/>
  <c r="O85" i="32"/>
  <c r="E85" i="32"/>
  <c r="B85" i="32"/>
  <c r="AE84" i="32"/>
  <c r="AD84" i="32"/>
  <c r="AC84" i="32"/>
  <c r="AA84" i="32"/>
  <c r="AB84" i="32" s="1"/>
  <c r="O84" i="32"/>
  <c r="E84" i="32"/>
  <c r="B84" i="32"/>
  <c r="AE83" i="32"/>
  <c r="AD83" i="32"/>
  <c r="AC83" i="32"/>
  <c r="AA83" i="32"/>
  <c r="AB83" i="32" s="1"/>
  <c r="O83" i="32"/>
  <c r="E83" i="32"/>
  <c r="B83" i="32"/>
  <c r="AE82" i="32"/>
  <c r="AD82" i="32"/>
  <c r="AC82" i="32"/>
  <c r="AA82" i="32"/>
  <c r="AB82" i="32" s="1"/>
  <c r="O82" i="32"/>
  <c r="E82" i="32"/>
  <c r="B82" i="32"/>
  <c r="AE81" i="32"/>
  <c r="AD81" i="32"/>
  <c r="AC81" i="32"/>
  <c r="AA81" i="32"/>
  <c r="AB81" i="32" s="1"/>
  <c r="O81" i="32"/>
  <c r="E81" i="32"/>
  <c r="B81" i="32"/>
  <c r="AE80" i="32"/>
  <c r="AD80" i="32"/>
  <c r="AC80" i="32"/>
  <c r="AA80" i="32"/>
  <c r="AB80" i="32" s="1"/>
  <c r="O80" i="32"/>
  <c r="E80" i="32"/>
  <c r="B80" i="32"/>
  <c r="AE79" i="32"/>
  <c r="AD79" i="32"/>
  <c r="AC79" i="32"/>
  <c r="AA79" i="32"/>
  <c r="AB79" i="32" s="1"/>
  <c r="O79" i="32"/>
  <c r="E79" i="32"/>
  <c r="B79" i="32"/>
  <c r="AE78" i="32"/>
  <c r="AD78" i="32"/>
  <c r="AC78" i="32"/>
  <c r="AA78" i="32"/>
  <c r="AB78" i="32" s="1"/>
  <c r="O78" i="32"/>
  <c r="E78" i="32"/>
  <c r="B78" i="32"/>
  <c r="AE77" i="32"/>
  <c r="AD77" i="32"/>
  <c r="AC77" i="32"/>
  <c r="AA77" i="32"/>
  <c r="AB77" i="32" s="1"/>
  <c r="O77" i="32"/>
  <c r="E77" i="32"/>
  <c r="B77" i="32"/>
  <c r="AE76" i="32"/>
  <c r="AD76" i="32"/>
  <c r="AC76" i="32"/>
  <c r="AA76" i="32"/>
  <c r="AB76" i="32" s="1"/>
  <c r="O76" i="32"/>
  <c r="B76" i="32"/>
  <c r="AE75" i="32"/>
  <c r="AD75" i="32"/>
  <c r="AC75" i="32"/>
  <c r="AA75" i="32"/>
  <c r="AB75" i="32" s="1"/>
  <c r="O75" i="32"/>
  <c r="E75" i="32"/>
  <c r="B75" i="32"/>
  <c r="AE74" i="32"/>
  <c r="AD74" i="32"/>
  <c r="AC74" i="32"/>
  <c r="AA74" i="32"/>
  <c r="AB74" i="32" s="1"/>
  <c r="O74" i="32"/>
  <c r="E74" i="32"/>
  <c r="B74" i="32"/>
  <c r="AE73" i="32"/>
  <c r="AD73" i="32"/>
  <c r="AC73" i="32"/>
  <c r="AA73" i="32"/>
  <c r="AB73" i="32" s="1"/>
  <c r="O73" i="32"/>
  <c r="E73" i="32"/>
  <c r="B73" i="32"/>
  <c r="AE72" i="32"/>
  <c r="AD72" i="32"/>
  <c r="AC72" i="32"/>
  <c r="AA72" i="32"/>
  <c r="AB72" i="32" s="1"/>
  <c r="O72" i="32"/>
  <c r="E72" i="32"/>
  <c r="B72" i="32"/>
  <c r="AE71" i="32"/>
  <c r="AD71" i="32"/>
  <c r="AC71" i="32"/>
  <c r="AA71" i="32"/>
  <c r="AB71" i="32" s="1"/>
  <c r="O71" i="32"/>
  <c r="E71" i="32"/>
  <c r="B71" i="32"/>
  <c r="AE70" i="32"/>
  <c r="AD70" i="32"/>
  <c r="AC70" i="32"/>
  <c r="AA70" i="32"/>
  <c r="AB70" i="32" s="1"/>
  <c r="O70" i="32"/>
  <c r="E70" i="32"/>
  <c r="B70" i="32"/>
  <c r="AE69" i="32"/>
  <c r="AD69" i="32"/>
  <c r="AC69" i="32"/>
  <c r="AA69" i="32"/>
  <c r="AB69" i="32" s="1"/>
  <c r="O69" i="32"/>
  <c r="E69" i="32"/>
  <c r="B69" i="32"/>
  <c r="AE68" i="32"/>
  <c r="AD68" i="32"/>
  <c r="AC68" i="32"/>
  <c r="AA68" i="32"/>
  <c r="AB68" i="32" s="1"/>
  <c r="O68" i="32"/>
  <c r="B68" i="32"/>
  <c r="AE67" i="32"/>
  <c r="AD67" i="32"/>
  <c r="AC67" i="32"/>
  <c r="AA67" i="32"/>
  <c r="AB67" i="32" s="1"/>
  <c r="O67" i="32"/>
  <c r="E67" i="32"/>
  <c r="B67" i="32"/>
  <c r="AE66" i="32"/>
  <c r="AD66" i="32"/>
  <c r="AC66" i="32"/>
  <c r="AA66" i="32"/>
  <c r="AB66" i="32" s="1"/>
  <c r="O66" i="32"/>
  <c r="E66" i="32"/>
  <c r="B66" i="32"/>
  <c r="AE65" i="32"/>
  <c r="AD65" i="32"/>
  <c r="AC65" i="32"/>
  <c r="AA65" i="32"/>
  <c r="AB65" i="32" s="1"/>
  <c r="O65" i="32"/>
  <c r="E65" i="32"/>
  <c r="B65" i="32"/>
  <c r="AE64" i="32"/>
  <c r="AD64" i="32"/>
  <c r="AC64" i="32"/>
  <c r="AA64" i="32"/>
  <c r="AB64" i="32" s="1"/>
  <c r="O64" i="32"/>
  <c r="E64" i="32"/>
  <c r="B64" i="32"/>
  <c r="AE63" i="32"/>
  <c r="AD63" i="32"/>
  <c r="AC63" i="32"/>
  <c r="AA63" i="32"/>
  <c r="AB63" i="32" s="1"/>
  <c r="O63" i="32"/>
  <c r="E63" i="32"/>
  <c r="B63" i="32"/>
  <c r="AE62" i="32"/>
  <c r="AD62" i="32"/>
  <c r="AC62" i="32"/>
  <c r="AA62" i="32"/>
  <c r="AB62" i="32" s="1"/>
  <c r="O62" i="32"/>
  <c r="E62" i="32"/>
  <c r="B62" i="32"/>
  <c r="AE61" i="32"/>
  <c r="AD61" i="32"/>
  <c r="AC61" i="32"/>
  <c r="AA61" i="32"/>
  <c r="AB61" i="32" s="1"/>
  <c r="O61" i="32"/>
  <c r="E61" i="32"/>
  <c r="B61" i="32"/>
  <c r="AE60" i="32"/>
  <c r="AD60" i="32"/>
  <c r="AC60" i="32"/>
  <c r="AA60" i="32"/>
  <c r="AB60" i="32" s="1"/>
  <c r="O60" i="32"/>
  <c r="E60" i="32"/>
  <c r="B60" i="32"/>
  <c r="AE59" i="32"/>
  <c r="AD59" i="32"/>
  <c r="AC59" i="32"/>
  <c r="AA59" i="32"/>
  <c r="AB59" i="32" s="1"/>
  <c r="O59" i="32"/>
  <c r="E59" i="32"/>
  <c r="B59" i="32"/>
  <c r="AE58" i="32"/>
  <c r="AD58" i="32"/>
  <c r="AC58" i="32"/>
  <c r="AA58" i="32"/>
  <c r="AB58" i="32" s="1"/>
  <c r="O58" i="32"/>
  <c r="E58" i="32"/>
  <c r="B58" i="32"/>
  <c r="AE57" i="32"/>
  <c r="AD57" i="32"/>
  <c r="AC57" i="32"/>
  <c r="AA57" i="32"/>
  <c r="AB57" i="32" s="1"/>
  <c r="O57" i="32"/>
  <c r="E57" i="32"/>
  <c r="B57" i="32"/>
  <c r="AE56" i="32"/>
  <c r="AD56" i="32"/>
  <c r="AC56" i="32"/>
  <c r="AA56" i="32"/>
  <c r="AB56" i="32" s="1"/>
  <c r="O56" i="32"/>
  <c r="E56" i="32"/>
  <c r="B56" i="32"/>
  <c r="AE55" i="32"/>
  <c r="AD55" i="32"/>
  <c r="AC55" i="32"/>
  <c r="AA55" i="32"/>
  <c r="AB55" i="32" s="1"/>
  <c r="O55" i="32"/>
  <c r="E55" i="32"/>
  <c r="B55" i="32"/>
  <c r="AE54" i="32"/>
  <c r="AD54" i="32"/>
  <c r="AC54" i="32"/>
  <c r="AA54" i="32"/>
  <c r="AB54" i="32" s="1"/>
  <c r="O54" i="32"/>
  <c r="E54" i="32"/>
  <c r="B54" i="32"/>
  <c r="AE53" i="32"/>
  <c r="AD53" i="32"/>
  <c r="AC53" i="32"/>
  <c r="AA53" i="32"/>
  <c r="AB53" i="32" s="1"/>
  <c r="O53" i="32"/>
  <c r="E53" i="32"/>
  <c r="B53" i="32"/>
  <c r="AE52" i="32"/>
  <c r="AD52" i="32"/>
  <c r="AC52" i="32"/>
  <c r="AA52" i="32"/>
  <c r="AB52" i="32" s="1"/>
  <c r="O52" i="32"/>
  <c r="E52" i="32"/>
  <c r="B52" i="32"/>
  <c r="AE51" i="32"/>
  <c r="AD51" i="32"/>
  <c r="AC51" i="32"/>
  <c r="AA51" i="32"/>
  <c r="AB51" i="32" s="1"/>
  <c r="O51" i="32"/>
  <c r="E51" i="32"/>
  <c r="B51" i="32"/>
  <c r="AE50" i="32"/>
  <c r="AD50" i="32"/>
  <c r="AC50" i="32"/>
  <c r="AA50" i="32"/>
  <c r="AB50" i="32" s="1"/>
  <c r="O50" i="32"/>
  <c r="E50" i="32"/>
  <c r="B50" i="32"/>
  <c r="AE49" i="32"/>
  <c r="AD49" i="32"/>
  <c r="AC49" i="32"/>
  <c r="AA49" i="32"/>
  <c r="AB49" i="32" s="1"/>
  <c r="O49" i="32"/>
  <c r="E49" i="32"/>
  <c r="B49" i="32"/>
  <c r="AE48" i="32"/>
  <c r="AD48" i="32"/>
  <c r="AC48" i="32"/>
  <c r="AA48" i="32"/>
  <c r="AB48" i="32" s="1"/>
  <c r="O48" i="32"/>
  <c r="E48" i="32"/>
  <c r="B48" i="32"/>
  <c r="AE47" i="32"/>
  <c r="AD47" i="32"/>
  <c r="AC47" i="32"/>
  <c r="AA47" i="32"/>
  <c r="AB47" i="32" s="1"/>
  <c r="O47" i="32"/>
  <c r="E47" i="32"/>
  <c r="B47" i="32"/>
  <c r="AE46" i="32"/>
  <c r="AD46" i="32"/>
  <c r="AC46" i="32"/>
  <c r="AA46" i="32"/>
  <c r="AB46" i="32" s="1"/>
  <c r="O46" i="32"/>
  <c r="E46" i="32"/>
  <c r="B46" i="32"/>
  <c r="AE45" i="32"/>
  <c r="AD45" i="32"/>
  <c r="AC45" i="32"/>
  <c r="AA45" i="32"/>
  <c r="AB45" i="32" s="1"/>
  <c r="O45" i="32"/>
  <c r="E45" i="32"/>
  <c r="B45" i="32"/>
  <c r="AE44" i="32"/>
  <c r="AD44" i="32"/>
  <c r="AC44" i="32"/>
  <c r="AA44" i="32"/>
  <c r="AB44" i="32" s="1"/>
  <c r="O44" i="32"/>
  <c r="E44" i="32"/>
  <c r="B44" i="32"/>
  <c r="AE43" i="32"/>
  <c r="AD43" i="32"/>
  <c r="AC43" i="32"/>
  <c r="AA43" i="32"/>
  <c r="AB43" i="32" s="1"/>
  <c r="O43" i="32"/>
  <c r="E43" i="32"/>
  <c r="B43" i="32"/>
  <c r="AE42" i="32"/>
  <c r="AD42" i="32"/>
  <c r="AC42" i="32"/>
  <c r="AA42" i="32"/>
  <c r="AB42" i="32" s="1"/>
  <c r="O42" i="32"/>
  <c r="E42" i="32"/>
  <c r="B42" i="32"/>
  <c r="AE41" i="32"/>
  <c r="AD41" i="32"/>
  <c r="AC41" i="32"/>
  <c r="AA41" i="32"/>
  <c r="AB41" i="32" s="1"/>
  <c r="O41" i="32"/>
  <c r="E41" i="32"/>
  <c r="B41" i="32"/>
  <c r="AE40" i="32"/>
  <c r="AD40" i="32"/>
  <c r="AC40" i="32"/>
  <c r="AA40" i="32"/>
  <c r="AB40" i="32" s="1"/>
  <c r="O40" i="32"/>
  <c r="E40" i="32"/>
  <c r="B40" i="32"/>
  <c r="AE39" i="32"/>
  <c r="AD39" i="32"/>
  <c r="AC39" i="32"/>
  <c r="AA39" i="32"/>
  <c r="AB39" i="32" s="1"/>
  <c r="O39" i="32"/>
  <c r="E39" i="32"/>
  <c r="B39" i="32"/>
  <c r="AE38" i="32"/>
  <c r="AD38" i="32"/>
  <c r="AC38" i="32"/>
  <c r="AA38" i="32"/>
  <c r="AB38" i="32" s="1"/>
  <c r="O38" i="32"/>
  <c r="E38" i="32"/>
  <c r="B38" i="32"/>
  <c r="AE37" i="32"/>
  <c r="AD37" i="32"/>
  <c r="AC37" i="32"/>
  <c r="AA37" i="32"/>
  <c r="AB37" i="32" s="1"/>
  <c r="O37" i="32"/>
  <c r="E37" i="32"/>
  <c r="B37" i="32"/>
  <c r="AE36" i="32"/>
  <c r="AD36" i="32"/>
  <c r="AC36" i="32"/>
  <c r="AA36" i="32"/>
  <c r="AB36" i="32" s="1"/>
  <c r="O36" i="32"/>
  <c r="E36" i="32"/>
  <c r="B36" i="32"/>
  <c r="AE35" i="32"/>
  <c r="AD35" i="32"/>
  <c r="AC35" i="32"/>
  <c r="AA35" i="32"/>
  <c r="AB35" i="32" s="1"/>
  <c r="O35" i="32"/>
  <c r="E35" i="32"/>
  <c r="B35" i="32"/>
  <c r="AE34" i="32"/>
  <c r="AD34" i="32"/>
  <c r="AC34" i="32"/>
  <c r="AA34" i="32"/>
  <c r="AB34" i="32" s="1"/>
  <c r="O34" i="32"/>
  <c r="E34" i="32"/>
  <c r="B34" i="32"/>
  <c r="AE33" i="32"/>
  <c r="AD33" i="32"/>
  <c r="AC33" i="32"/>
  <c r="AA33" i="32"/>
  <c r="AB33" i="32" s="1"/>
  <c r="O33" i="32"/>
  <c r="E33" i="32"/>
  <c r="B33" i="32"/>
  <c r="AE32" i="32"/>
  <c r="AD32" i="32"/>
  <c r="AC32" i="32"/>
  <c r="AA32" i="32"/>
  <c r="AB32" i="32" s="1"/>
  <c r="O32" i="32"/>
  <c r="E32" i="32"/>
  <c r="B32" i="32"/>
  <c r="AE31" i="32"/>
  <c r="AD31" i="32"/>
  <c r="AC31" i="32"/>
  <c r="AA31" i="32"/>
  <c r="AB31" i="32" s="1"/>
  <c r="O31" i="32"/>
  <c r="E31" i="32"/>
  <c r="B31" i="32"/>
  <c r="AE30" i="32"/>
  <c r="AD30" i="32"/>
  <c r="AC30" i="32"/>
  <c r="AA30" i="32"/>
  <c r="AB30" i="32" s="1"/>
  <c r="O30" i="32"/>
  <c r="E30" i="32"/>
  <c r="B30" i="32"/>
  <c r="AE29" i="32"/>
  <c r="AD29" i="32"/>
  <c r="AC29" i="32"/>
  <c r="AA29" i="32"/>
  <c r="AB29" i="32" s="1"/>
  <c r="O29" i="32"/>
  <c r="E29" i="32"/>
  <c r="B29" i="32"/>
  <c r="AE28" i="32"/>
  <c r="AD28" i="32"/>
  <c r="AC28" i="32"/>
  <c r="AA28" i="32"/>
  <c r="AB28" i="32" s="1"/>
  <c r="O28" i="32"/>
  <c r="E28" i="32"/>
  <c r="B28" i="32"/>
  <c r="AE27" i="32"/>
  <c r="AD27" i="32"/>
  <c r="AC27" i="32"/>
  <c r="AA27" i="32"/>
  <c r="AB27" i="32" s="1"/>
  <c r="O27" i="32"/>
  <c r="E27" i="32"/>
  <c r="B27" i="32"/>
  <c r="AE26" i="32"/>
  <c r="AD26" i="32"/>
  <c r="AC26" i="32"/>
  <c r="AA26" i="32"/>
  <c r="AB26" i="32" s="1"/>
  <c r="O26" i="32"/>
  <c r="E26" i="32"/>
  <c r="B26" i="32"/>
  <c r="AE25" i="32"/>
  <c r="AD25" i="32"/>
  <c r="AC25" i="32"/>
  <c r="AA25" i="32"/>
  <c r="AB25" i="32" s="1"/>
  <c r="O25" i="32"/>
  <c r="E25" i="32"/>
  <c r="B25" i="32"/>
  <c r="AE24" i="32"/>
  <c r="AD24" i="32"/>
  <c r="AC24" i="32"/>
  <c r="AA24" i="32"/>
  <c r="AB24" i="32" s="1"/>
  <c r="O24" i="32"/>
  <c r="E24" i="32"/>
  <c r="B24" i="32"/>
  <c r="AE23" i="32"/>
  <c r="AD23" i="32"/>
  <c r="AC23" i="32"/>
  <c r="AA23" i="32"/>
  <c r="AB23" i="32" s="1"/>
  <c r="O23" i="32"/>
  <c r="E23" i="32"/>
  <c r="B23" i="32"/>
  <c r="AE22" i="32"/>
  <c r="AD22" i="32"/>
  <c r="AC22" i="32"/>
  <c r="AA22" i="32"/>
  <c r="AB22" i="32" s="1"/>
  <c r="O22" i="32"/>
  <c r="E22" i="32"/>
  <c r="B22" i="32"/>
  <c r="AE21" i="32"/>
  <c r="AD21" i="32"/>
  <c r="AC21" i="32"/>
  <c r="AA21" i="32"/>
  <c r="AB21" i="32" s="1"/>
  <c r="O21" i="32"/>
  <c r="E21" i="32"/>
  <c r="B21" i="32"/>
  <c r="AE20" i="32"/>
  <c r="AD20" i="32"/>
  <c r="AC20" i="32"/>
  <c r="AA20" i="32"/>
  <c r="AB20" i="32" s="1"/>
  <c r="O20" i="32"/>
  <c r="E20" i="32"/>
  <c r="B20" i="32"/>
  <c r="AE19" i="32"/>
  <c r="AD19" i="32"/>
  <c r="AC19" i="32"/>
  <c r="AA19" i="32"/>
  <c r="AB19" i="32" s="1"/>
  <c r="O19" i="32"/>
  <c r="E19" i="32"/>
  <c r="B19" i="32"/>
  <c r="AE18" i="32"/>
  <c r="AD18" i="32"/>
  <c r="AC18" i="32"/>
  <c r="AA18" i="32"/>
  <c r="AB18" i="32" s="1"/>
  <c r="O18" i="32"/>
  <c r="E18" i="32"/>
  <c r="B18" i="32"/>
  <c r="AE17" i="32"/>
  <c r="AD17" i="32"/>
  <c r="AC17" i="32"/>
  <c r="AA17" i="32"/>
  <c r="AB17" i="32" s="1"/>
  <c r="O17" i="32"/>
  <c r="E17" i="32"/>
  <c r="B17" i="32"/>
  <c r="AE16" i="32"/>
  <c r="AD16" i="32"/>
  <c r="AC16" i="32"/>
  <c r="AA16" i="32"/>
  <c r="AB16" i="32" s="1"/>
  <c r="O16" i="32"/>
  <c r="E16" i="32"/>
  <c r="B16" i="32"/>
  <c r="AE15" i="32"/>
  <c r="AD15" i="32"/>
  <c r="AC15" i="32"/>
  <c r="AA15" i="32"/>
  <c r="AB15" i="32" s="1"/>
  <c r="O15" i="32"/>
  <c r="E15" i="32"/>
  <c r="B15" i="32"/>
  <c r="AE14" i="32"/>
  <c r="AD14" i="32"/>
  <c r="AC14" i="32"/>
  <c r="AA14" i="32"/>
  <c r="AB14" i="32" s="1"/>
  <c r="O14" i="32"/>
  <c r="E14" i="32"/>
  <c r="B14" i="32"/>
  <c r="AE13" i="32"/>
  <c r="AD13" i="32"/>
  <c r="AC13" i="32"/>
  <c r="AA13" i="32"/>
  <c r="AB13" i="32" s="1"/>
  <c r="O13" i="32"/>
  <c r="E13" i="32"/>
  <c r="B13" i="32"/>
  <c r="AE12" i="32"/>
  <c r="AD12" i="32"/>
  <c r="AC12" i="32"/>
  <c r="AA12" i="32"/>
  <c r="AB12" i="32" s="1"/>
  <c r="O12" i="32"/>
  <c r="E12" i="32"/>
  <c r="B12" i="32"/>
  <c r="AE11" i="32"/>
  <c r="AD11" i="32"/>
  <c r="AC11" i="32"/>
  <c r="AA11" i="32"/>
  <c r="AB11" i="32" s="1"/>
  <c r="O11" i="32"/>
  <c r="E11" i="32"/>
  <c r="B11" i="32"/>
  <c r="AE10" i="32"/>
  <c r="AD10" i="32"/>
  <c r="AC10" i="32"/>
  <c r="AA10" i="32"/>
  <c r="AB10" i="32" s="1"/>
  <c r="O10" i="32"/>
  <c r="B10" i="32"/>
  <c r="AE9" i="32"/>
  <c r="AD9" i="32"/>
  <c r="AC9" i="32"/>
  <c r="AA9" i="32"/>
  <c r="AB9" i="32" s="1"/>
  <c r="O9" i="32"/>
  <c r="E9" i="32"/>
  <c r="B9" i="32"/>
  <c r="AE8" i="32"/>
  <c r="AD8" i="32"/>
  <c r="AC8" i="32"/>
  <c r="AA8" i="32"/>
  <c r="AB8" i="32" s="1"/>
  <c r="O8" i="32"/>
  <c r="E8" i="32"/>
  <c r="B8" i="32"/>
  <c r="AE7" i="32"/>
  <c r="AD7" i="32"/>
  <c r="AC7" i="32"/>
  <c r="AA7" i="32"/>
  <c r="AB7" i="32" s="1"/>
  <c r="O7" i="32"/>
  <c r="E7" i="32"/>
  <c r="B7" i="32"/>
  <c r="AE6" i="32"/>
  <c r="AD6" i="32"/>
  <c r="AC6" i="32"/>
  <c r="AA6" i="32"/>
  <c r="AB6" i="32" s="1"/>
  <c r="O6" i="32"/>
  <c r="E6" i="32"/>
  <c r="B6" i="32"/>
  <c r="AE5" i="32"/>
  <c r="AD5" i="32"/>
  <c r="AC5" i="32"/>
  <c r="AA5" i="32"/>
  <c r="AB5" i="32" s="1"/>
  <c r="O5" i="32"/>
  <c r="E5" i="32"/>
  <c r="B5" i="32"/>
  <c r="AE4" i="32"/>
  <c r="AD4" i="32"/>
  <c r="AC4" i="32"/>
  <c r="AA4" i="32"/>
  <c r="AB4" i="32" s="1"/>
  <c r="O4" i="32"/>
  <c r="E4" i="32"/>
  <c r="B4" i="32"/>
  <c r="AE3" i="32"/>
  <c r="AD3" i="32"/>
  <c r="AC3" i="32"/>
  <c r="AA3" i="32"/>
  <c r="AB3" i="32" s="1"/>
  <c r="O3" i="32"/>
  <c r="E3" i="32"/>
  <c r="B3" i="32"/>
  <c r="AE2" i="32"/>
  <c r="AD2" i="32"/>
  <c r="AC2" i="32"/>
  <c r="AA2" i="32"/>
  <c r="AB2" i="32" s="1"/>
  <c r="O2" i="32"/>
  <c r="B2" i="32"/>
  <c r="AE8" i="31"/>
  <c r="AD8" i="31"/>
  <c r="AC8" i="31"/>
  <c r="AA8" i="31"/>
  <c r="AB8" i="31" s="1"/>
  <c r="O8" i="31"/>
  <c r="B8" i="31"/>
  <c r="AE7" i="31"/>
  <c r="AD7" i="31"/>
  <c r="AC7" i="31"/>
  <c r="AA7" i="31"/>
  <c r="AB7" i="31" s="1"/>
  <c r="O7" i="31"/>
  <c r="B7" i="31"/>
  <c r="AE6" i="31"/>
  <c r="AD6" i="31"/>
  <c r="AC6" i="31"/>
  <c r="AA6" i="31"/>
  <c r="AB6" i="31" s="1"/>
  <c r="O6" i="31"/>
  <c r="B6" i="31"/>
  <c r="AE5" i="31"/>
  <c r="AD5" i="31"/>
  <c r="AC5" i="31"/>
  <c r="AB5" i="31"/>
  <c r="AA5" i="31"/>
  <c r="O5" i="31"/>
  <c r="B5" i="31"/>
  <c r="AE4" i="31"/>
  <c r="AD4" i="31"/>
  <c r="AC4" i="31"/>
  <c r="AA4" i="31"/>
  <c r="AB4" i="31" s="1"/>
  <c r="O4" i="31"/>
  <c r="B4" i="31"/>
  <c r="AE3" i="31"/>
  <c r="AD3" i="31"/>
  <c r="AC3" i="31"/>
  <c r="AA3" i="31"/>
  <c r="AB3" i="31" s="1"/>
  <c r="O3" i="31"/>
  <c r="B3" i="31"/>
  <c r="AE2" i="31"/>
  <c r="AD2" i="31"/>
  <c r="AC2" i="31"/>
  <c r="AA2" i="31"/>
  <c r="AB2" i="31" s="1"/>
  <c r="O2" i="31"/>
  <c r="B2" i="31"/>
  <c r="AE123" i="30"/>
  <c r="AD123" i="30"/>
  <c r="AC123" i="30"/>
  <c r="AA123" i="30"/>
  <c r="AB123" i="30" s="1"/>
  <c r="O123" i="30"/>
  <c r="B123" i="30"/>
  <c r="AE122" i="30"/>
  <c r="AD122" i="30"/>
  <c r="AC122" i="30"/>
  <c r="AA122" i="30"/>
  <c r="AB122" i="30" s="1"/>
  <c r="O122" i="30"/>
  <c r="B122" i="30"/>
  <c r="AE121" i="30"/>
  <c r="AD121" i="30"/>
  <c r="AC121" i="30"/>
  <c r="AA121" i="30"/>
  <c r="AB121" i="30" s="1"/>
  <c r="O121" i="30"/>
  <c r="B121" i="30"/>
  <c r="AE120" i="30"/>
  <c r="AD120" i="30"/>
  <c r="AC120" i="30"/>
  <c r="AA120" i="30"/>
  <c r="AB120" i="30" s="1"/>
  <c r="O120" i="30"/>
  <c r="B120" i="30"/>
  <c r="AE119" i="30"/>
  <c r="AD119" i="30"/>
  <c r="AC119" i="30"/>
  <c r="AA119" i="30"/>
  <c r="AB119" i="30" s="1"/>
  <c r="O119" i="30"/>
  <c r="B119" i="30"/>
  <c r="AE118" i="30"/>
  <c r="AD118" i="30"/>
  <c r="AC118" i="30"/>
  <c r="AA118" i="30"/>
  <c r="AB118" i="30" s="1"/>
  <c r="O118" i="30"/>
  <c r="B118" i="30"/>
  <c r="AE117" i="30"/>
  <c r="AD117" i="30"/>
  <c r="AC117" i="30"/>
  <c r="AA117" i="30"/>
  <c r="AB117" i="30" s="1"/>
  <c r="O117" i="30"/>
  <c r="B117" i="30"/>
  <c r="AE116" i="30"/>
  <c r="AD116" i="30"/>
  <c r="AC116" i="30"/>
  <c r="AA116" i="30"/>
  <c r="AB116" i="30" s="1"/>
  <c r="O116" i="30"/>
  <c r="B116" i="30"/>
  <c r="AE115" i="30"/>
  <c r="AD115" i="30"/>
  <c r="AC115" i="30"/>
  <c r="AA115" i="30"/>
  <c r="AB115" i="30" s="1"/>
  <c r="O115" i="30"/>
  <c r="B115" i="30"/>
  <c r="AE114" i="30"/>
  <c r="AD114" i="30"/>
  <c r="AC114" i="30"/>
  <c r="AA114" i="30"/>
  <c r="AB114" i="30" s="1"/>
  <c r="O114" i="30"/>
  <c r="B114" i="30"/>
  <c r="AE113" i="30"/>
  <c r="AD113" i="30"/>
  <c r="AC113" i="30"/>
  <c r="AA113" i="30"/>
  <c r="AB113" i="30" s="1"/>
  <c r="O113" i="30"/>
  <c r="B113" i="30"/>
  <c r="AE112" i="30"/>
  <c r="AD112" i="30"/>
  <c r="AC112" i="30"/>
  <c r="AA112" i="30"/>
  <c r="AB112" i="30" s="1"/>
  <c r="O112" i="30"/>
  <c r="B112" i="30"/>
  <c r="AE111" i="30"/>
  <c r="AD111" i="30"/>
  <c r="AC111" i="30"/>
  <c r="AA111" i="30"/>
  <c r="AB111" i="30" s="1"/>
  <c r="O111" i="30"/>
  <c r="B111" i="30"/>
  <c r="AE110" i="30"/>
  <c r="AD110" i="30"/>
  <c r="AC110" i="30"/>
  <c r="AA110" i="30"/>
  <c r="AB110" i="30" s="1"/>
  <c r="O110" i="30"/>
  <c r="B110" i="30"/>
  <c r="AE109" i="30"/>
  <c r="AD109" i="30"/>
  <c r="AC109" i="30"/>
  <c r="AA109" i="30"/>
  <c r="AB109" i="30" s="1"/>
  <c r="O109" i="30"/>
  <c r="B109" i="30"/>
  <c r="AE108" i="30"/>
  <c r="AD108" i="30"/>
  <c r="AC108" i="30"/>
  <c r="AA108" i="30"/>
  <c r="AB108" i="30" s="1"/>
  <c r="O108" i="30"/>
  <c r="B108" i="30"/>
  <c r="AE107" i="30"/>
  <c r="AD107" i="30"/>
  <c r="AC107" i="30"/>
  <c r="AA107" i="30"/>
  <c r="AB107" i="30" s="1"/>
  <c r="O107" i="30"/>
  <c r="B107" i="30"/>
  <c r="AE106" i="30"/>
  <c r="AD106" i="30"/>
  <c r="AC106" i="30"/>
  <c r="AA106" i="30"/>
  <c r="AB106" i="30" s="1"/>
  <c r="O106" i="30"/>
  <c r="B106" i="30"/>
  <c r="AE105" i="30"/>
  <c r="AD105" i="30"/>
  <c r="AC105" i="30"/>
  <c r="AA105" i="30"/>
  <c r="AB105" i="30" s="1"/>
  <c r="O105" i="30"/>
  <c r="B105" i="30"/>
  <c r="AE104" i="30"/>
  <c r="AD104" i="30"/>
  <c r="AC104" i="30"/>
  <c r="AA104" i="30"/>
  <c r="AB104" i="30" s="1"/>
  <c r="O104" i="30"/>
  <c r="B104" i="30"/>
  <c r="AE103" i="30"/>
  <c r="AD103" i="30"/>
  <c r="AC103" i="30"/>
  <c r="AA103" i="30"/>
  <c r="AB103" i="30" s="1"/>
  <c r="O103" i="30"/>
  <c r="B103" i="30"/>
  <c r="AE102" i="30"/>
  <c r="AD102" i="30"/>
  <c r="AC102" i="30"/>
  <c r="AA102" i="30"/>
  <c r="AB102" i="30" s="1"/>
  <c r="O102" i="30"/>
  <c r="B102" i="30"/>
  <c r="AE101" i="30"/>
  <c r="AD101" i="30"/>
  <c r="AC101" i="30"/>
  <c r="AA101" i="30"/>
  <c r="AB101" i="30" s="1"/>
  <c r="O101" i="30"/>
  <c r="B101" i="30"/>
  <c r="AE100" i="30"/>
  <c r="AD100" i="30"/>
  <c r="AC100" i="30"/>
  <c r="AA100" i="30"/>
  <c r="AB100" i="30" s="1"/>
  <c r="O100" i="30"/>
  <c r="B100" i="30"/>
  <c r="AE99" i="30"/>
  <c r="AD99" i="30"/>
  <c r="AC99" i="30"/>
  <c r="AA99" i="30"/>
  <c r="AB99" i="30" s="1"/>
  <c r="O99" i="30"/>
  <c r="B99" i="30"/>
  <c r="AE98" i="30"/>
  <c r="AD98" i="30"/>
  <c r="AC98" i="30"/>
  <c r="AA98" i="30"/>
  <c r="AB98" i="30" s="1"/>
  <c r="O98" i="30"/>
  <c r="B98" i="30"/>
  <c r="AE97" i="30"/>
  <c r="AD97" i="30"/>
  <c r="AC97" i="30"/>
  <c r="AA97" i="30"/>
  <c r="AB97" i="30" s="1"/>
  <c r="O97" i="30"/>
  <c r="B97" i="30"/>
  <c r="AE96" i="30"/>
  <c r="AD96" i="30"/>
  <c r="AC96" i="30"/>
  <c r="AA96" i="30"/>
  <c r="AB96" i="30" s="1"/>
  <c r="O96" i="30"/>
  <c r="B96" i="30"/>
  <c r="AE95" i="30"/>
  <c r="AD95" i="30"/>
  <c r="AC95" i="30"/>
  <c r="AA95" i="30"/>
  <c r="AB95" i="30" s="1"/>
  <c r="O95" i="30"/>
  <c r="B95" i="30"/>
  <c r="AE94" i="30"/>
  <c r="AD94" i="30"/>
  <c r="AC94" i="30"/>
  <c r="AA94" i="30"/>
  <c r="AB94" i="30" s="1"/>
  <c r="O94" i="30"/>
  <c r="B94" i="30"/>
  <c r="AE93" i="30"/>
  <c r="AD93" i="30"/>
  <c r="AC93" i="30"/>
  <c r="AA93" i="30"/>
  <c r="AB93" i="30" s="1"/>
  <c r="O93" i="30"/>
  <c r="B93" i="30"/>
  <c r="AE92" i="30"/>
  <c r="AD92" i="30"/>
  <c r="AC92" i="30"/>
  <c r="AA92" i="30"/>
  <c r="AB92" i="30" s="1"/>
  <c r="O92" i="30"/>
  <c r="B92" i="30"/>
  <c r="AE91" i="30"/>
  <c r="AD91" i="30"/>
  <c r="AC91" i="30"/>
  <c r="AB91" i="30"/>
  <c r="AA91" i="30"/>
  <c r="O91" i="30"/>
  <c r="B91" i="30"/>
  <c r="AE90" i="30"/>
  <c r="AD90" i="30"/>
  <c r="AC90" i="30"/>
  <c r="AA90" i="30"/>
  <c r="AB90" i="30" s="1"/>
  <c r="O90" i="30"/>
  <c r="B90" i="30"/>
  <c r="AE89" i="30"/>
  <c r="AD89" i="30"/>
  <c r="AC89" i="30"/>
  <c r="AA89" i="30"/>
  <c r="AB89" i="30" s="1"/>
  <c r="O89" i="30"/>
  <c r="B89" i="30"/>
  <c r="AE88" i="30"/>
  <c r="AD88" i="30"/>
  <c r="AC88" i="30"/>
  <c r="AA88" i="30"/>
  <c r="AB88" i="30" s="1"/>
  <c r="O88" i="30"/>
  <c r="B88" i="30"/>
  <c r="AE87" i="30"/>
  <c r="AD87" i="30"/>
  <c r="AC87" i="30"/>
  <c r="AA87" i="30"/>
  <c r="AB87" i="30" s="1"/>
  <c r="O87" i="30"/>
  <c r="B87" i="30"/>
  <c r="AE86" i="30"/>
  <c r="AD86" i="30"/>
  <c r="AC86" i="30"/>
  <c r="AA86" i="30"/>
  <c r="AB86" i="30" s="1"/>
  <c r="O86" i="30"/>
  <c r="B86" i="30"/>
  <c r="AE85" i="30"/>
  <c r="AD85" i="30"/>
  <c r="AC85" i="30"/>
  <c r="AB85" i="30"/>
  <c r="AA85" i="30"/>
  <c r="O85" i="30"/>
  <c r="B85" i="30"/>
  <c r="AE84" i="30"/>
  <c r="AD84" i="30"/>
  <c r="AC84" i="30"/>
  <c r="AA84" i="30"/>
  <c r="AB84" i="30" s="1"/>
  <c r="O84" i="30"/>
  <c r="B84" i="30"/>
  <c r="AE83" i="30"/>
  <c r="AD83" i="30"/>
  <c r="AC83" i="30"/>
  <c r="AA83" i="30"/>
  <c r="AB83" i="30" s="1"/>
  <c r="O83" i="30"/>
  <c r="B83" i="30"/>
  <c r="AE82" i="30"/>
  <c r="AD82" i="30"/>
  <c r="AC82" i="30"/>
  <c r="AA82" i="30"/>
  <c r="AB82" i="30" s="1"/>
  <c r="O82" i="30"/>
  <c r="B82" i="30"/>
  <c r="AE81" i="30"/>
  <c r="AD81" i="30"/>
  <c r="AC81" i="30"/>
  <c r="AA81" i="30"/>
  <c r="AB81" i="30" s="1"/>
  <c r="O81" i="30"/>
  <c r="B81" i="30"/>
  <c r="AE80" i="30"/>
  <c r="AD80" i="30"/>
  <c r="AC80" i="30"/>
  <c r="AA80" i="30"/>
  <c r="AB80" i="30" s="1"/>
  <c r="O80" i="30"/>
  <c r="B80" i="30"/>
  <c r="AE79" i="30"/>
  <c r="AD79" i="30"/>
  <c r="AC79" i="30"/>
  <c r="AA79" i="30"/>
  <c r="AB79" i="30" s="1"/>
  <c r="O79" i="30"/>
  <c r="B79" i="30"/>
  <c r="AE78" i="30"/>
  <c r="AD78" i="30"/>
  <c r="AC78" i="30"/>
  <c r="AA78" i="30"/>
  <c r="AB78" i="30" s="1"/>
  <c r="O78" i="30"/>
  <c r="B78" i="30"/>
  <c r="AE77" i="30"/>
  <c r="AD77" i="30"/>
  <c r="AC77" i="30"/>
  <c r="AA77" i="30"/>
  <c r="AB77" i="30" s="1"/>
  <c r="O77" i="30"/>
  <c r="B77" i="30"/>
  <c r="AE76" i="30"/>
  <c r="AD76" i="30"/>
  <c r="AC76" i="30"/>
  <c r="AA76" i="30"/>
  <c r="AB76" i="30" s="1"/>
  <c r="O76" i="30"/>
  <c r="B76" i="30"/>
  <c r="AE75" i="30"/>
  <c r="AD75" i="30"/>
  <c r="AC75" i="30"/>
  <c r="AA75" i="30"/>
  <c r="AB75" i="30" s="1"/>
  <c r="O75" i="30"/>
  <c r="B75" i="30"/>
  <c r="AE74" i="30"/>
  <c r="AD74" i="30"/>
  <c r="AC74" i="30"/>
  <c r="AA74" i="30"/>
  <c r="AB74" i="30" s="1"/>
  <c r="O74" i="30"/>
  <c r="B74" i="30"/>
  <c r="AE73" i="30"/>
  <c r="AD73" i="30"/>
  <c r="AC73" i="30"/>
  <c r="AA73" i="30"/>
  <c r="AB73" i="30" s="1"/>
  <c r="O73" i="30"/>
  <c r="B73" i="30"/>
  <c r="AE72" i="30"/>
  <c r="AD72" i="30"/>
  <c r="AC72" i="30"/>
  <c r="AA72" i="30"/>
  <c r="AB72" i="30" s="1"/>
  <c r="O72" i="30"/>
  <c r="B72" i="30"/>
  <c r="AE71" i="30"/>
  <c r="AD71" i="30"/>
  <c r="AC71" i="30"/>
  <c r="AA71" i="30"/>
  <c r="AB71" i="30" s="1"/>
  <c r="O71" i="30"/>
  <c r="B71" i="30"/>
  <c r="AE70" i="30"/>
  <c r="AD70" i="30"/>
  <c r="AC70" i="30"/>
  <c r="AA70" i="30"/>
  <c r="AB70" i="30" s="1"/>
  <c r="O70" i="30"/>
  <c r="B70" i="30"/>
  <c r="AE69" i="30"/>
  <c r="AD69" i="30"/>
  <c r="AC69" i="30"/>
  <c r="AA69" i="30"/>
  <c r="AB69" i="30" s="1"/>
  <c r="O69" i="30"/>
  <c r="B69" i="30"/>
  <c r="AE68" i="30"/>
  <c r="AD68" i="30"/>
  <c r="AC68" i="30"/>
  <c r="AA68" i="30"/>
  <c r="AB68" i="30" s="1"/>
  <c r="O68" i="30"/>
  <c r="B68" i="30"/>
  <c r="AE67" i="30"/>
  <c r="AD67" i="30"/>
  <c r="AC67" i="30"/>
  <c r="AA67" i="30"/>
  <c r="AB67" i="30" s="1"/>
  <c r="O67" i="30"/>
  <c r="B67" i="30"/>
  <c r="AE66" i="30"/>
  <c r="AD66" i="30"/>
  <c r="AC66" i="30"/>
  <c r="AA66" i="30"/>
  <c r="AB66" i="30" s="1"/>
  <c r="O66" i="30"/>
  <c r="B66" i="30"/>
  <c r="AE65" i="30"/>
  <c r="AD65" i="30"/>
  <c r="AC65" i="30"/>
  <c r="AA65" i="30"/>
  <c r="AB65" i="30" s="1"/>
  <c r="O65" i="30"/>
  <c r="B65" i="30"/>
  <c r="AE64" i="30"/>
  <c r="AD64" i="30"/>
  <c r="AC64" i="30"/>
  <c r="AA64" i="30"/>
  <c r="AB64" i="30" s="1"/>
  <c r="O64" i="30"/>
  <c r="B64" i="30"/>
  <c r="AE63" i="30"/>
  <c r="AD63" i="30"/>
  <c r="AC63" i="30"/>
  <c r="AA63" i="30"/>
  <c r="AB63" i="30" s="1"/>
  <c r="O63" i="30"/>
  <c r="B63" i="30"/>
  <c r="AE62" i="30"/>
  <c r="AD62" i="30"/>
  <c r="AC62" i="30"/>
  <c r="AA62" i="30"/>
  <c r="AB62" i="30" s="1"/>
  <c r="O62" i="30"/>
  <c r="B62" i="30"/>
  <c r="AE61" i="30"/>
  <c r="AD61" i="30"/>
  <c r="AC61" i="30"/>
  <c r="AA61" i="30"/>
  <c r="AB61" i="30" s="1"/>
  <c r="O61" i="30"/>
  <c r="B61" i="30"/>
  <c r="AE60" i="30"/>
  <c r="AD60" i="30"/>
  <c r="AC60" i="30"/>
  <c r="AA60" i="30"/>
  <c r="AB60" i="30" s="1"/>
  <c r="O60" i="30"/>
  <c r="B60" i="30"/>
  <c r="AE59" i="30"/>
  <c r="AD59" i="30"/>
  <c r="AC59" i="30"/>
  <c r="AB59" i="30"/>
  <c r="AA59" i="30"/>
  <c r="O59" i="30"/>
  <c r="B59" i="30"/>
  <c r="AE58" i="30"/>
  <c r="AD58" i="30"/>
  <c r="AC58" i="30"/>
  <c r="AA58" i="30"/>
  <c r="AB58" i="30" s="1"/>
  <c r="O58" i="30"/>
  <c r="B58" i="30"/>
  <c r="AE57" i="30"/>
  <c r="AD57" i="30"/>
  <c r="AC57" i="30"/>
  <c r="AA57" i="30"/>
  <c r="AB57" i="30" s="1"/>
  <c r="O57" i="30"/>
  <c r="B57" i="30"/>
  <c r="AE56" i="30"/>
  <c r="AD56" i="30"/>
  <c r="AC56" i="30"/>
  <c r="AA56" i="30"/>
  <c r="AB56" i="30" s="1"/>
  <c r="O56" i="30"/>
  <c r="B56" i="30"/>
  <c r="AE55" i="30"/>
  <c r="AD55" i="30"/>
  <c r="AC55" i="30"/>
  <c r="AA55" i="30"/>
  <c r="AB55" i="30" s="1"/>
  <c r="O55" i="30"/>
  <c r="B55" i="30"/>
  <c r="AE54" i="30"/>
  <c r="AD54" i="30"/>
  <c r="AC54" i="30"/>
  <c r="AA54" i="30"/>
  <c r="AB54" i="30" s="1"/>
  <c r="O54" i="30"/>
  <c r="B54" i="30"/>
  <c r="AE53" i="30"/>
  <c r="AD53" i="30"/>
  <c r="AC53" i="30"/>
  <c r="AA53" i="30"/>
  <c r="AB53" i="30" s="1"/>
  <c r="O53" i="30"/>
  <c r="B53" i="30"/>
  <c r="AE52" i="30"/>
  <c r="AD52" i="30"/>
  <c r="AC52" i="30"/>
  <c r="AA52" i="30"/>
  <c r="AB52" i="30" s="1"/>
  <c r="O52" i="30"/>
  <c r="B52" i="30"/>
  <c r="AE51" i="30"/>
  <c r="AD51" i="30"/>
  <c r="AC51" i="30"/>
  <c r="AA51" i="30"/>
  <c r="AB51" i="30" s="1"/>
  <c r="O51" i="30"/>
  <c r="B51" i="30"/>
  <c r="AE50" i="30"/>
  <c r="AD50" i="30"/>
  <c r="AC50" i="30"/>
  <c r="AA50" i="30"/>
  <c r="AB50" i="30" s="1"/>
  <c r="O50" i="30"/>
  <c r="B50" i="30"/>
  <c r="AE49" i="30"/>
  <c r="AD49" i="30"/>
  <c r="AC49" i="30"/>
  <c r="AA49" i="30"/>
  <c r="AB49" i="30" s="1"/>
  <c r="O49" i="30"/>
  <c r="B49" i="30"/>
  <c r="AE48" i="30"/>
  <c r="AD48" i="30"/>
  <c r="AC48" i="30"/>
  <c r="AA48" i="30"/>
  <c r="AB48" i="30" s="1"/>
  <c r="O48" i="30"/>
  <c r="B48" i="30"/>
  <c r="AE47" i="30"/>
  <c r="AD47" i="30"/>
  <c r="AC47" i="30"/>
  <c r="AB47" i="30"/>
  <c r="AA47" i="30"/>
  <c r="O47" i="30"/>
  <c r="B47" i="30"/>
  <c r="AE46" i="30"/>
  <c r="AD46" i="30"/>
  <c r="AC46" i="30"/>
  <c r="AA46" i="30"/>
  <c r="AB46" i="30" s="1"/>
  <c r="O46" i="30"/>
  <c r="B46" i="30"/>
  <c r="AE45" i="30"/>
  <c r="AD45" i="30"/>
  <c r="AC45" i="30"/>
  <c r="AA45" i="30"/>
  <c r="AB45" i="30" s="1"/>
  <c r="O45" i="30"/>
  <c r="B45" i="30"/>
  <c r="AE44" i="30"/>
  <c r="AD44" i="30"/>
  <c r="AC44" i="30"/>
  <c r="AA44" i="30"/>
  <c r="AB44" i="30" s="1"/>
  <c r="O44" i="30"/>
  <c r="B44" i="30"/>
  <c r="AE43" i="30"/>
  <c r="AD43" i="30"/>
  <c r="AC43" i="30"/>
  <c r="AA43" i="30"/>
  <c r="AB43" i="30" s="1"/>
  <c r="O43" i="30"/>
  <c r="B43" i="30"/>
  <c r="AE42" i="30"/>
  <c r="AD42" i="30"/>
  <c r="AC42" i="30"/>
  <c r="AA42" i="30"/>
  <c r="AB42" i="30" s="1"/>
  <c r="O42" i="30"/>
  <c r="B42" i="30"/>
  <c r="AE41" i="30"/>
  <c r="AD41" i="30"/>
  <c r="AC41" i="30"/>
  <c r="AA41" i="30"/>
  <c r="AB41" i="30" s="1"/>
  <c r="O41" i="30"/>
  <c r="B41" i="30"/>
  <c r="AE40" i="30"/>
  <c r="AD40" i="30"/>
  <c r="AC40" i="30"/>
  <c r="AA40" i="30"/>
  <c r="AB40" i="30" s="1"/>
  <c r="O40" i="30"/>
  <c r="B40" i="30"/>
  <c r="AE39" i="30"/>
  <c r="AD39" i="30"/>
  <c r="AC39" i="30"/>
  <c r="AA39" i="30"/>
  <c r="AB39" i="30" s="1"/>
  <c r="O39" i="30"/>
  <c r="B39" i="30"/>
  <c r="AE38" i="30"/>
  <c r="AD38" i="30"/>
  <c r="AC38" i="30"/>
  <c r="AA38" i="30"/>
  <c r="AB38" i="30" s="1"/>
  <c r="O38" i="30"/>
  <c r="B38" i="30"/>
  <c r="AE37" i="30"/>
  <c r="AD37" i="30"/>
  <c r="AC37" i="30"/>
  <c r="AA37" i="30"/>
  <c r="AB37" i="30" s="1"/>
  <c r="O37" i="30"/>
  <c r="B37" i="30"/>
  <c r="AE36" i="30"/>
  <c r="AD36" i="30"/>
  <c r="AC36" i="30"/>
  <c r="AA36" i="30"/>
  <c r="AB36" i="30" s="1"/>
  <c r="O36" i="30"/>
  <c r="B36" i="30"/>
  <c r="AE35" i="30"/>
  <c r="AD35" i="30"/>
  <c r="AC35" i="30"/>
  <c r="AA35" i="30"/>
  <c r="AB35" i="30" s="1"/>
  <c r="O35" i="30"/>
  <c r="B35" i="30"/>
  <c r="AE34" i="30"/>
  <c r="AD34" i="30"/>
  <c r="AC34" i="30"/>
  <c r="AA34" i="30"/>
  <c r="AB34" i="30" s="1"/>
  <c r="O34" i="30"/>
  <c r="B34" i="30"/>
  <c r="AE33" i="30"/>
  <c r="AD33" i="30"/>
  <c r="AC33" i="30"/>
  <c r="AA33" i="30"/>
  <c r="AB33" i="30" s="1"/>
  <c r="O33" i="30"/>
  <c r="B33" i="30"/>
  <c r="AE32" i="30"/>
  <c r="AD32" i="30"/>
  <c r="AC32" i="30"/>
  <c r="AA32" i="30"/>
  <c r="AB32" i="30" s="1"/>
  <c r="O32" i="30"/>
  <c r="B32" i="30"/>
  <c r="AE31" i="30"/>
  <c r="AD31" i="30"/>
  <c r="AC31" i="30"/>
  <c r="AA31" i="30"/>
  <c r="AB31" i="30" s="1"/>
  <c r="O31" i="30"/>
  <c r="B31" i="30"/>
  <c r="AE30" i="30"/>
  <c r="AD30" i="30"/>
  <c r="AC30" i="30"/>
  <c r="AA30" i="30"/>
  <c r="AB30" i="30" s="1"/>
  <c r="O30" i="30"/>
  <c r="B30" i="30"/>
  <c r="AE29" i="30"/>
  <c r="AD29" i="30"/>
  <c r="AC29" i="30"/>
  <c r="AA29" i="30"/>
  <c r="AB29" i="30" s="1"/>
  <c r="O29" i="30"/>
  <c r="B29" i="30"/>
  <c r="AE28" i="30"/>
  <c r="AD28" i="30"/>
  <c r="AC28" i="30"/>
  <c r="AA28" i="30"/>
  <c r="AB28" i="30" s="1"/>
  <c r="O28" i="30"/>
  <c r="B28" i="30"/>
  <c r="AE27" i="30"/>
  <c r="AD27" i="30"/>
  <c r="AC27" i="30"/>
  <c r="AA27" i="30"/>
  <c r="AB27" i="30" s="1"/>
  <c r="O27" i="30"/>
  <c r="B27" i="30"/>
  <c r="AE26" i="30"/>
  <c r="AD26" i="30"/>
  <c r="AC26" i="30"/>
  <c r="AA26" i="30"/>
  <c r="AB26" i="30" s="1"/>
  <c r="O26" i="30"/>
  <c r="B26" i="30"/>
  <c r="AE25" i="30"/>
  <c r="AD25" i="30"/>
  <c r="AC25" i="30"/>
  <c r="AA25" i="30"/>
  <c r="AB25" i="30" s="1"/>
  <c r="O25" i="30"/>
  <c r="B25" i="30"/>
  <c r="AE24" i="30"/>
  <c r="AD24" i="30"/>
  <c r="AC24" i="30"/>
  <c r="AA24" i="30"/>
  <c r="AB24" i="30" s="1"/>
  <c r="O24" i="30"/>
  <c r="B24" i="30"/>
  <c r="AE23" i="30"/>
  <c r="AD23" i="30"/>
  <c r="AC23" i="30"/>
  <c r="AA23" i="30"/>
  <c r="AB23" i="30" s="1"/>
  <c r="O23" i="30"/>
  <c r="B23" i="30"/>
  <c r="AE22" i="30"/>
  <c r="AD22" i="30"/>
  <c r="AC22" i="30"/>
  <c r="AA22" i="30"/>
  <c r="AB22" i="30" s="1"/>
  <c r="O22" i="30"/>
  <c r="B22" i="30"/>
  <c r="AE21" i="30"/>
  <c r="AD21" i="30"/>
  <c r="AC21" i="30"/>
  <c r="AA21" i="30"/>
  <c r="AB21" i="30" s="1"/>
  <c r="O21" i="30"/>
  <c r="B21" i="30"/>
  <c r="AE20" i="30"/>
  <c r="AD20" i="30"/>
  <c r="AC20" i="30"/>
  <c r="AA20" i="30"/>
  <c r="AB20" i="30" s="1"/>
  <c r="O20" i="30"/>
  <c r="B20" i="30"/>
  <c r="AE19" i="30"/>
  <c r="AD19" i="30"/>
  <c r="AC19" i="30"/>
  <c r="AA19" i="30"/>
  <c r="AB19" i="30" s="1"/>
  <c r="O19" i="30"/>
  <c r="B19" i="30"/>
  <c r="AE18" i="30"/>
  <c r="AD18" i="30"/>
  <c r="AC18" i="30"/>
  <c r="AA18" i="30"/>
  <c r="AB18" i="30" s="1"/>
  <c r="O18" i="30"/>
  <c r="B18" i="30"/>
  <c r="AE17" i="30"/>
  <c r="AD17" i="30"/>
  <c r="AC17" i="30"/>
  <c r="AA17" i="30"/>
  <c r="AB17" i="30" s="1"/>
  <c r="O17" i="30"/>
  <c r="B17" i="30"/>
  <c r="AE16" i="30"/>
  <c r="AD16" i="30"/>
  <c r="AC16" i="30"/>
  <c r="AA16" i="30"/>
  <c r="AB16" i="30" s="1"/>
  <c r="O16" i="30"/>
  <c r="B16" i="30"/>
  <c r="AE15" i="30"/>
  <c r="AD15" i="30"/>
  <c r="AC15" i="30"/>
  <c r="AA15" i="30"/>
  <c r="AB15" i="30" s="1"/>
  <c r="O15" i="30"/>
  <c r="B15" i="30"/>
  <c r="AE14" i="30"/>
  <c r="AD14" i="30"/>
  <c r="AC14" i="30"/>
  <c r="AA14" i="30"/>
  <c r="AB14" i="30" s="1"/>
  <c r="O14" i="30"/>
  <c r="B14" i="30"/>
  <c r="AE13" i="30"/>
  <c r="AD13" i="30"/>
  <c r="AC13" i="30"/>
  <c r="AA13" i="30"/>
  <c r="AB13" i="30" s="1"/>
  <c r="O13" i="30"/>
  <c r="B13" i="30"/>
  <c r="AE12" i="30"/>
  <c r="AD12" i="30"/>
  <c r="AC12" i="30"/>
  <c r="AA12" i="30"/>
  <c r="AB12" i="30" s="1"/>
  <c r="O12" i="30"/>
  <c r="B12" i="30"/>
  <c r="AE11" i="30"/>
  <c r="AD11" i="30"/>
  <c r="AC11" i="30"/>
  <c r="AA11" i="30"/>
  <c r="AB11" i="30" s="1"/>
  <c r="O11" i="30"/>
  <c r="B11" i="30"/>
  <c r="AE10" i="30"/>
  <c r="AD10" i="30"/>
  <c r="AC10" i="30"/>
  <c r="AA10" i="30"/>
  <c r="AB10" i="30" s="1"/>
  <c r="O10" i="30"/>
  <c r="B10" i="30"/>
  <c r="AE9" i="30"/>
  <c r="AD9" i="30"/>
  <c r="AC9" i="30"/>
  <c r="AA9" i="30"/>
  <c r="AB9" i="30" s="1"/>
  <c r="O9" i="30"/>
  <c r="B9" i="30"/>
  <c r="AE8" i="30"/>
  <c r="AD8" i="30"/>
  <c r="AC8" i="30"/>
  <c r="AA8" i="30"/>
  <c r="AB8" i="30" s="1"/>
  <c r="O8" i="30"/>
  <c r="B8" i="30"/>
  <c r="AE7" i="30"/>
  <c r="AD7" i="30"/>
  <c r="AC7" i="30"/>
  <c r="AA7" i="30"/>
  <c r="AB7" i="30" s="1"/>
  <c r="O7" i="30"/>
  <c r="B7" i="30"/>
  <c r="AE6" i="30"/>
  <c r="AD6" i="30"/>
  <c r="AC6" i="30"/>
  <c r="AA6" i="30"/>
  <c r="AB6" i="30" s="1"/>
  <c r="O6" i="30"/>
  <c r="B6" i="30"/>
  <c r="AE5" i="30"/>
  <c r="AD5" i="30"/>
  <c r="AC5" i="30"/>
  <c r="AB5" i="30"/>
  <c r="AA5" i="30"/>
  <c r="O5" i="30"/>
  <c r="B5" i="30"/>
  <c r="AE4" i="30"/>
  <c r="AD4" i="30"/>
  <c r="AC4" i="30"/>
  <c r="AA4" i="30"/>
  <c r="AB4" i="30" s="1"/>
  <c r="O4" i="30"/>
  <c r="B4" i="30"/>
  <c r="AE3" i="30"/>
  <c r="AD3" i="30"/>
  <c r="AC3" i="30"/>
  <c r="AA3" i="30"/>
  <c r="AB3" i="30" s="1"/>
  <c r="O3" i="30"/>
  <c r="B3" i="30"/>
  <c r="AE2" i="30"/>
  <c r="AD2" i="30"/>
  <c r="AC2" i="30"/>
  <c r="AA2" i="30"/>
  <c r="AB2" i="30" s="1"/>
  <c r="O2" i="30"/>
  <c r="B2" i="30"/>
  <c r="AF125" i="29"/>
  <c r="AE125" i="29"/>
  <c r="AD125" i="29"/>
  <c r="AB125" i="29"/>
  <c r="AC125" i="29" s="1"/>
  <c r="C125" i="29"/>
  <c r="AF124" i="29"/>
  <c r="AE124" i="29"/>
  <c r="AD124" i="29"/>
  <c r="AB124" i="29"/>
  <c r="AC124" i="29" s="1"/>
  <c r="C124" i="29"/>
  <c r="AF123" i="29"/>
  <c r="AE123" i="29"/>
  <c r="AD123" i="29"/>
  <c r="AB123" i="29"/>
  <c r="AC123" i="29" s="1"/>
  <c r="C123" i="29"/>
  <c r="AF122" i="29"/>
  <c r="AE122" i="29"/>
  <c r="AD122" i="29"/>
  <c r="AB122" i="29"/>
  <c r="AC122" i="29" s="1"/>
  <c r="C122" i="29"/>
  <c r="AF121" i="29"/>
  <c r="AE121" i="29"/>
  <c r="AD121" i="29"/>
  <c r="AB121" i="29"/>
  <c r="AC121" i="29" s="1"/>
  <c r="C121" i="29"/>
  <c r="AF120" i="29"/>
  <c r="AE120" i="29"/>
  <c r="AD120" i="29"/>
  <c r="AB120" i="29"/>
  <c r="AC120" i="29" s="1"/>
  <c r="C120" i="29"/>
  <c r="AF119" i="29"/>
  <c r="AE119" i="29"/>
  <c r="AD119" i="29"/>
  <c r="AB119" i="29"/>
  <c r="AC119" i="29" s="1"/>
  <c r="C119" i="29"/>
  <c r="AF118" i="29"/>
  <c r="AE118" i="29"/>
  <c r="AD118" i="29"/>
  <c r="AB118" i="29"/>
  <c r="AC118" i="29" s="1"/>
  <c r="C118" i="29"/>
  <c r="AF117" i="29"/>
  <c r="AE117" i="29"/>
  <c r="AD117" i="29"/>
  <c r="AB117" i="29"/>
  <c r="AC117" i="29" s="1"/>
  <c r="C117" i="29"/>
  <c r="AF116" i="29"/>
  <c r="AE116" i="29"/>
  <c r="AD116" i="29"/>
  <c r="AB116" i="29"/>
  <c r="AC116" i="29" s="1"/>
  <c r="C116" i="29"/>
  <c r="AF115" i="29"/>
  <c r="AE115" i="29"/>
  <c r="AD115" i="29"/>
  <c r="AB115" i="29"/>
  <c r="AC115" i="29" s="1"/>
  <c r="C115" i="29"/>
  <c r="AF114" i="29"/>
  <c r="AE114" i="29"/>
  <c r="AD114" i="29"/>
  <c r="AB114" i="29"/>
  <c r="AC114" i="29" s="1"/>
  <c r="C114" i="29"/>
  <c r="AF113" i="29"/>
  <c r="AE113" i="29"/>
  <c r="AD113" i="29"/>
  <c r="AB113" i="29"/>
  <c r="AC113" i="29" s="1"/>
  <c r="C113" i="29"/>
  <c r="AF112" i="29"/>
  <c r="AE112" i="29"/>
  <c r="AD112" i="29"/>
  <c r="AB112" i="29"/>
  <c r="AC112" i="29" s="1"/>
  <c r="C112" i="29"/>
  <c r="AF111" i="29"/>
  <c r="AE111" i="29"/>
  <c r="AD111" i="29"/>
  <c r="AB111" i="29"/>
  <c r="AC111" i="29" s="1"/>
  <c r="C111" i="29"/>
  <c r="AF110" i="29"/>
  <c r="AE110" i="29"/>
  <c r="AD110" i="29"/>
  <c r="AB110" i="29"/>
  <c r="AC110" i="29" s="1"/>
  <c r="C110" i="29"/>
  <c r="AF109" i="29"/>
  <c r="AE109" i="29"/>
  <c r="AD109" i="29"/>
  <c r="AB109" i="29"/>
  <c r="AC109" i="29" s="1"/>
  <c r="C109" i="29"/>
  <c r="AF108" i="29"/>
  <c r="AE108" i="29"/>
  <c r="AD108" i="29"/>
  <c r="AB108" i="29"/>
  <c r="AC108" i="29" s="1"/>
  <c r="C108" i="29"/>
  <c r="AF107" i="29"/>
  <c r="AE107" i="29"/>
  <c r="AD107" i="29"/>
  <c r="AB107" i="29"/>
  <c r="AC107" i="29" s="1"/>
  <c r="C107" i="29"/>
  <c r="AF106" i="29"/>
  <c r="AE106" i="29"/>
  <c r="AD106" i="29"/>
  <c r="AB106" i="29"/>
  <c r="AC106" i="29" s="1"/>
  <c r="C106" i="29"/>
  <c r="AF105" i="29"/>
  <c r="AE105" i="29"/>
  <c r="AD105" i="29"/>
  <c r="AB105" i="29"/>
  <c r="AC105" i="29" s="1"/>
  <c r="C105" i="29"/>
  <c r="AF104" i="29"/>
  <c r="AE104" i="29"/>
  <c r="AD104" i="29"/>
  <c r="AB104" i="29"/>
  <c r="AC104" i="29" s="1"/>
  <c r="C104" i="29"/>
  <c r="AF103" i="29"/>
  <c r="AE103" i="29"/>
  <c r="AD103" i="29"/>
  <c r="AB103" i="29"/>
  <c r="AC103" i="29" s="1"/>
  <c r="C103" i="29"/>
  <c r="AF102" i="29"/>
  <c r="AE102" i="29"/>
  <c r="AD102" i="29"/>
  <c r="AB102" i="29"/>
  <c r="AC102" i="29" s="1"/>
  <c r="C102" i="29"/>
  <c r="AF101" i="29"/>
  <c r="AE101" i="29"/>
  <c r="AD101" i="29"/>
  <c r="AB101" i="29"/>
  <c r="AC101" i="29" s="1"/>
  <c r="C101" i="29"/>
  <c r="AF100" i="29"/>
  <c r="AE100" i="29"/>
  <c r="AD100" i="29"/>
  <c r="AB100" i="29"/>
  <c r="AC100" i="29" s="1"/>
  <c r="C100" i="29"/>
  <c r="AF99" i="29"/>
  <c r="AE99" i="29"/>
  <c r="AD99" i="29"/>
  <c r="AB99" i="29"/>
  <c r="AC99" i="29" s="1"/>
  <c r="C99" i="29"/>
  <c r="AF98" i="29"/>
  <c r="AE98" i="29"/>
  <c r="AD98" i="29"/>
  <c r="AB98" i="29"/>
  <c r="AC98" i="29" s="1"/>
  <c r="C98" i="29"/>
  <c r="AF97" i="29"/>
  <c r="AE97" i="29"/>
  <c r="AD97" i="29"/>
  <c r="AB97" i="29"/>
  <c r="AC97" i="29" s="1"/>
  <c r="C97" i="29"/>
  <c r="AF96" i="29"/>
  <c r="AE96" i="29"/>
  <c r="AD96" i="29"/>
  <c r="AB96" i="29"/>
  <c r="AC96" i="29" s="1"/>
  <c r="C96" i="29"/>
  <c r="AF95" i="29"/>
  <c r="AE95" i="29"/>
  <c r="AD95" i="29"/>
  <c r="AB95" i="29"/>
  <c r="AC95" i="29" s="1"/>
  <c r="C95" i="29"/>
  <c r="AF94" i="29"/>
  <c r="AE94" i="29"/>
  <c r="AD94" i="29"/>
  <c r="AB94" i="29"/>
  <c r="AC94" i="29" s="1"/>
  <c r="C94" i="29"/>
  <c r="AF93" i="29"/>
  <c r="AE93" i="29"/>
  <c r="AD93" i="29"/>
  <c r="AB93" i="29"/>
  <c r="AC93" i="29" s="1"/>
  <c r="C93" i="29"/>
  <c r="AF92" i="29"/>
  <c r="AE92" i="29"/>
  <c r="AD92" i="29"/>
  <c r="AB92" i="29"/>
  <c r="AC92" i="29" s="1"/>
  <c r="C92" i="29"/>
  <c r="AF91" i="29"/>
  <c r="AE91" i="29"/>
  <c r="AD91" i="29"/>
  <c r="AB91" i="29"/>
  <c r="AC91" i="29" s="1"/>
  <c r="C91" i="29"/>
  <c r="AF90" i="29"/>
  <c r="AE90" i="29"/>
  <c r="AD90" i="29"/>
  <c r="AB90" i="29"/>
  <c r="AC90" i="29" s="1"/>
  <c r="C90" i="29"/>
  <c r="AF89" i="29"/>
  <c r="AE89" i="29"/>
  <c r="AD89" i="29"/>
  <c r="AB89" i="29"/>
  <c r="AC89" i="29" s="1"/>
  <c r="C89" i="29"/>
  <c r="AF88" i="29"/>
  <c r="AE88" i="29"/>
  <c r="AD88" i="29"/>
  <c r="AB88" i="29"/>
  <c r="AC88" i="29" s="1"/>
  <c r="C88" i="29"/>
  <c r="AF87" i="29"/>
  <c r="AE87" i="29"/>
  <c r="AD87" i="29"/>
  <c r="AB87" i="29"/>
  <c r="AC87" i="29" s="1"/>
  <c r="C87" i="29"/>
  <c r="AF86" i="29"/>
  <c r="AE86" i="29"/>
  <c r="AD86" i="29"/>
  <c r="AB86" i="29"/>
  <c r="AC86" i="29" s="1"/>
  <c r="C86" i="29"/>
  <c r="AF85" i="29"/>
  <c r="AE85" i="29"/>
  <c r="AD85" i="29"/>
  <c r="AB85" i="29"/>
  <c r="AC85" i="29" s="1"/>
  <c r="C85" i="29"/>
  <c r="AF84" i="29"/>
  <c r="AE84" i="29"/>
  <c r="AD84" i="29"/>
  <c r="AB84" i="29"/>
  <c r="AC84" i="29" s="1"/>
  <c r="C84" i="29"/>
  <c r="AF83" i="29"/>
  <c r="AE83" i="29"/>
  <c r="AD83" i="29"/>
  <c r="AB83" i="29"/>
  <c r="AC83" i="29" s="1"/>
  <c r="C83" i="29"/>
  <c r="AF82" i="29"/>
  <c r="AE82" i="29"/>
  <c r="AD82" i="29"/>
  <c r="AB82" i="29"/>
  <c r="AC82" i="29" s="1"/>
  <c r="C82" i="29"/>
  <c r="AF81" i="29"/>
  <c r="AE81" i="29"/>
  <c r="AD81" i="29"/>
  <c r="AB81" i="29"/>
  <c r="AC81" i="29" s="1"/>
  <c r="C81" i="29"/>
  <c r="AF80" i="29"/>
  <c r="AE80" i="29"/>
  <c r="AD80" i="29"/>
  <c r="AB80" i="29"/>
  <c r="AC80" i="29" s="1"/>
  <c r="C80" i="29"/>
  <c r="AF79" i="29"/>
  <c r="AE79" i="29"/>
  <c r="AD79" i="29"/>
  <c r="AB79" i="29"/>
  <c r="AC79" i="29" s="1"/>
  <c r="C79" i="29"/>
  <c r="AF78" i="29"/>
  <c r="AE78" i="29"/>
  <c r="AD78" i="29"/>
  <c r="AB78" i="29"/>
  <c r="AC78" i="29" s="1"/>
  <c r="C78" i="29"/>
  <c r="AF77" i="29"/>
  <c r="AE77" i="29"/>
  <c r="AD77" i="29"/>
  <c r="AB77" i="29"/>
  <c r="AC77" i="29" s="1"/>
  <c r="C77" i="29"/>
  <c r="AF76" i="29"/>
  <c r="AE76" i="29"/>
  <c r="AD76" i="29"/>
  <c r="AB76" i="29"/>
  <c r="AC76" i="29" s="1"/>
  <c r="C76" i="29"/>
  <c r="AF75" i="29"/>
  <c r="AE75" i="29"/>
  <c r="AD75" i="29"/>
  <c r="AB75" i="29"/>
  <c r="AC75" i="29" s="1"/>
  <c r="C75" i="29"/>
  <c r="AF74" i="29"/>
  <c r="AE74" i="29"/>
  <c r="AD74" i="29"/>
  <c r="AB74" i="29"/>
  <c r="AC74" i="29" s="1"/>
  <c r="C74" i="29"/>
  <c r="AF73" i="29"/>
  <c r="AE73" i="29"/>
  <c r="AD73" i="29"/>
  <c r="AB73" i="29"/>
  <c r="AC73" i="29" s="1"/>
  <c r="C73" i="29"/>
  <c r="AF72" i="29"/>
  <c r="AE72" i="29"/>
  <c r="AD72" i="29"/>
  <c r="AB72" i="29"/>
  <c r="AC72" i="29" s="1"/>
  <c r="C72" i="29"/>
  <c r="AF71" i="29"/>
  <c r="AE71" i="29"/>
  <c r="AD71" i="29"/>
  <c r="AB71" i="29"/>
  <c r="AC71" i="29" s="1"/>
  <c r="C71" i="29"/>
  <c r="AF70" i="29"/>
  <c r="AE70" i="29"/>
  <c r="AD70" i="29"/>
  <c r="AB70" i="29"/>
  <c r="AC70" i="29" s="1"/>
  <c r="C70" i="29"/>
  <c r="AF69" i="29"/>
  <c r="AE69" i="29"/>
  <c r="AD69" i="29"/>
  <c r="AB69" i="29"/>
  <c r="AC69" i="29" s="1"/>
  <c r="C69" i="29"/>
  <c r="AF68" i="29"/>
  <c r="AE68" i="29"/>
  <c r="AD68" i="29"/>
  <c r="AB68" i="29"/>
  <c r="AC68" i="29" s="1"/>
  <c r="C68" i="29"/>
  <c r="AF67" i="29"/>
  <c r="AE67" i="29"/>
  <c r="AD67" i="29"/>
  <c r="AB67" i="29"/>
  <c r="AC67" i="29" s="1"/>
  <c r="C67" i="29"/>
  <c r="AF66" i="29"/>
  <c r="AE66" i="29"/>
  <c r="AD66" i="29"/>
  <c r="AB66" i="29"/>
  <c r="AC66" i="29" s="1"/>
  <c r="C66" i="29"/>
  <c r="AF65" i="29"/>
  <c r="AE65" i="29"/>
  <c r="AD65" i="29"/>
  <c r="AB65" i="29"/>
  <c r="AC65" i="29" s="1"/>
  <c r="C65" i="29"/>
  <c r="AF64" i="29"/>
  <c r="AE64" i="29"/>
  <c r="AD64" i="29"/>
  <c r="AB64" i="29"/>
  <c r="AC64" i="29" s="1"/>
  <c r="C64" i="29"/>
  <c r="AF63" i="29"/>
  <c r="AE63" i="29"/>
  <c r="AD63" i="29"/>
  <c r="AB63" i="29"/>
  <c r="AC63" i="29" s="1"/>
  <c r="C63" i="29"/>
  <c r="AF62" i="29"/>
  <c r="AE62" i="29"/>
  <c r="AD62" i="29"/>
  <c r="AB62" i="29"/>
  <c r="AC62" i="29" s="1"/>
  <c r="C62" i="29"/>
  <c r="AF61" i="29"/>
  <c r="AE61" i="29"/>
  <c r="AD61" i="29"/>
  <c r="AB61" i="29"/>
  <c r="AC61" i="29" s="1"/>
  <c r="C61" i="29"/>
  <c r="AF60" i="29"/>
  <c r="AE60" i="29"/>
  <c r="AD60" i="29"/>
  <c r="AB60" i="29"/>
  <c r="AC60" i="29" s="1"/>
  <c r="C60" i="29"/>
  <c r="AF59" i="29"/>
  <c r="AE59" i="29"/>
  <c r="AD59" i="29"/>
  <c r="AB59" i="29"/>
  <c r="AC59" i="29" s="1"/>
  <c r="C59" i="29"/>
  <c r="AF58" i="29"/>
  <c r="AE58" i="29"/>
  <c r="AD58" i="29"/>
  <c r="AB58" i="29"/>
  <c r="AC58" i="29" s="1"/>
  <c r="C58" i="29"/>
  <c r="AF57" i="29"/>
  <c r="AE57" i="29"/>
  <c r="AD57" i="29"/>
  <c r="AB57" i="29"/>
  <c r="AC57" i="29" s="1"/>
  <c r="C57" i="29"/>
  <c r="AF56" i="29"/>
  <c r="AE56" i="29"/>
  <c r="AD56" i="29"/>
  <c r="AB56" i="29"/>
  <c r="AC56" i="29" s="1"/>
  <c r="C56" i="29"/>
  <c r="AF55" i="29"/>
  <c r="AE55" i="29"/>
  <c r="AD55" i="29"/>
  <c r="AB55" i="29"/>
  <c r="AC55" i="29" s="1"/>
  <c r="C55" i="29"/>
  <c r="AF54" i="29"/>
  <c r="AE54" i="29"/>
  <c r="AD54" i="29"/>
  <c r="AB54" i="29"/>
  <c r="AC54" i="29" s="1"/>
  <c r="C54" i="29"/>
  <c r="AF53" i="29"/>
  <c r="AE53" i="29"/>
  <c r="AD53" i="29"/>
  <c r="AB53" i="29"/>
  <c r="AC53" i="29" s="1"/>
  <c r="C53" i="29"/>
  <c r="AF52" i="29"/>
  <c r="AE52" i="29"/>
  <c r="AD52" i="29"/>
  <c r="AB52" i="29"/>
  <c r="AC52" i="29" s="1"/>
  <c r="C52" i="29"/>
  <c r="AF51" i="29"/>
  <c r="AE51" i="29"/>
  <c r="AD51" i="29"/>
  <c r="AB51" i="29"/>
  <c r="AC51" i="29" s="1"/>
  <c r="C51" i="29"/>
  <c r="AF50" i="29"/>
  <c r="AE50" i="29"/>
  <c r="AD50" i="29"/>
  <c r="AB50" i="29"/>
  <c r="AC50" i="29" s="1"/>
  <c r="C50" i="29"/>
  <c r="AF49" i="29"/>
  <c r="AE49" i="29"/>
  <c r="AD49" i="29"/>
  <c r="AB49" i="29"/>
  <c r="AC49" i="29" s="1"/>
  <c r="C49" i="29"/>
  <c r="AF48" i="29"/>
  <c r="AE48" i="29"/>
  <c r="AD48" i="29"/>
  <c r="AB48" i="29"/>
  <c r="AC48" i="29" s="1"/>
  <c r="C48" i="29"/>
  <c r="AF47" i="29"/>
  <c r="AE47" i="29"/>
  <c r="AD47" i="29"/>
  <c r="AB47" i="29"/>
  <c r="AC47" i="29" s="1"/>
  <c r="C47" i="29"/>
  <c r="AF46" i="29"/>
  <c r="AE46" i="29"/>
  <c r="AD46" i="29"/>
  <c r="AB46" i="29"/>
  <c r="AC46" i="29" s="1"/>
  <c r="C46" i="29"/>
  <c r="AF45" i="29"/>
  <c r="AE45" i="29"/>
  <c r="AD45" i="29"/>
  <c r="AB45" i="29"/>
  <c r="AC45" i="29" s="1"/>
  <c r="C45" i="29"/>
  <c r="AF44" i="29"/>
  <c r="AE44" i="29"/>
  <c r="AD44" i="29"/>
  <c r="AB44" i="29"/>
  <c r="AC44" i="29" s="1"/>
  <c r="C44" i="29"/>
  <c r="AF43" i="29"/>
  <c r="AE43" i="29"/>
  <c r="AD43" i="29"/>
  <c r="AB43" i="29"/>
  <c r="AC43" i="29" s="1"/>
  <c r="C43" i="29"/>
  <c r="AF42" i="29"/>
  <c r="AE42" i="29"/>
  <c r="AD42" i="29"/>
  <c r="AB42" i="29"/>
  <c r="AC42" i="29" s="1"/>
  <c r="C42" i="29"/>
  <c r="AF41" i="29"/>
  <c r="AE41" i="29"/>
  <c r="AD41" i="29"/>
  <c r="AB41" i="29"/>
  <c r="AC41" i="29" s="1"/>
  <c r="C41" i="29"/>
  <c r="AF40" i="29"/>
  <c r="AE40" i="29"/>
  <c r="AD40" i="29"/>
  <c r="AB40" i="29"/>
  <c r="AC40" i="29" s="1"/>
  <c r="C40" i="29"/>
  <c r="AF39" i="29"/>
  <c r="AE39" i="29"/>
  <c r="AD39" i="29"/>
  <c r="AB39" i="29"/>
  <c r="AC39" i="29" s="1"/>
  <c r="C39" i="29"/>
  <c r="AF38" i="29"/>
  <c r="AE38" i="29"/>
  <c r="AD38" i="29"/>
  <c r="AB38" i="29"/>
  <c r="AC38" i="29" s="1"/>
  <c r="C38" i="29"/>
  <c r="AF37" i="29"/>
  <c r="AE37" i="29"/>
  <c r="AD37" i="29"/>
  <c r="AB37" i="29"/>
  <c r="AC37" i="29" s="1"/>
  <c r="C37" i="29"/>
  <c r="AF36" i="29"/>
  <c r="AE36" i="29"/>
  <c r="AD36" i="29"/>
  <c r="AB36" i="29"/>
  <c r="AC36" i="29" s="1"/>
  <c r="C36" i="29"/>
  <c r="AF35" i="29"/>
  <c r="AE35" i="29"/>
  <c r="AD35" i="29"/>
  <c r="AB35" i="29"/>
  <c r="AC35" i="29" s="1"/>
  <c r="C35" i="29"/>
  <c r="AF34" i="29"/>
  <c r="AE34" i="29"/>
  <c r="AD34" i="29"/>
  <c r="AB34" i="29"/>
  <c r="AC34" i="29" s="1"/>
  <c r="C34" i="29"/>
  <c r="AF33" i="29"/>
  <c r="AE33" i="29"/>
  <c r="AD33" i="29"/>
  <c r="AB33" i="29"/>
  <c r="AC33" i="29" s="1"/>
  <c r="C33" i="29"/>
  <c r="AF32" i="29"/>
  <c r="AE32" i="29"/>
  <c r="AD32" i="29"/>
  <c r="AB32" i="29"/>
  <c r="AC32" i="29" s="1"/>
  <c r="C32" i="29"/>
  <c r="AF31" i="29"/>
  <c r="AE31" i="29"/>
  <c r="AD31" i="29"/>
  <c r="AB31" i="29"/>
  <c r="AC31" i="29" s="1"/>
  <c r="C31" i="29"/>
  <c r="AF30" i="29"/>
  <c r="AE30" i="29"/>
  <c r="AD30" i="29"/>
  <c r="AB30" i="29"/>
  <c r="AC30" i="29" s="1"/>
  <c r="C30" i="29"/>
  <c r="AF29" i="29"/>
  <c r="AE29" i="29"/>
  <c r="AD29" i="29"/>
  <c r="AB29" i="29"/>
  <c r="AC29" i="29" s="1"/>
  <c r="C29" i="29"/>
  <c r="AF28" i="29"/>
  <c r="AE28" i="29"/>
  <c r="AD28" i="29"/>
  <c r="AB28" i="29"/>
  <c r="AC28" i="29" s="1"/>
  <c r="C28" i="29"/>
  <c r="AF27" i="29"/>
  <c r="AE27" i="29"/>
  <c r="AD27" i="29"/>
  <c r="AB27" i="29"/>
  <c r="AC27" i="29" s="1"/>
  <c r="C27" i="29"/>
  <c r="AF26" i="29"/>
  <c r="AE26" i="29"/>
  <c r="AD26" i="29"/>
  <c r="AB26" i="29"/>
  <c r="AC26" i="29" s="1"/>
  <c r="C26" i="29"/>
  <c r="AF25" i="29"/>
  <c r="AE25" i="29"/>
  <c r="AD25" i="29"/>
  <c r="AB25" i="29"/>
  <c r="AC25" i="29" s="1"/>
  <c r="C25" i="29"/>
  <c r="AF24" i="29"/>
  <c r="AE24" i="29"/>
  <c r="AD24" i="29"/>
  <c r="AB24" i="29"/>
  <c r="AC24" i="29" s="1"/>
  <c r="C24" i="29"/>
  <c r="AF23" i="29"/>
  <c r="AE23" i="29"/>
  <c r="AD23" i="29"/>
  <c r="AB23" i="29"/>
  <c r="AC23" i="29" s="1"/>
  <c r="C23" i="29"/>
  <c r="AF22" i="29"/>
  <c r="AE22" i="29"/>
  <c r="AD22" i="29"/>
  <c r="AB22" i="29"/>
  <c r="AC22" i="29" s="1"/>
  <c r="C22" i="29"/>
  <c r="AF21" i="29"/>
  <c r="AE21" i="29"/>
  <c r="AD21" i="29"/>
  <c r="AB21" i="29"/>
  <c r="AC21" i="29" s="1"/>
  <c r="C21" i="29"/>
  <c r="AF20" i="29"/>
  <c r="AE20" i="29"/>
  <c r="AD20" i="29"/>
  <c r="AB20" i="29"/>
  <c r="AC20" i="29" s="1"/>
  <c r="C20" i="29"/>
  <c r="AF19" i="29"/>
  <c r="AE19" i="29"/>
  <c r="AD19" i="29"/>
  <c r="AB19" i="29"/>
  <c r="AC19" i="29" s="1"/>
  <c r="C19" i="29"/>
  <c r="AF18" i="29"/>
  <c r="AE18" i="29"/>
  <c r="AD18" i="29"/>
  <c r="AB18" i="29"/>
  <c r="AC18" i="29" s="1"/>
  <c r="C18" i="29"/>
  <c r="AF17" i="29"/>
  <c r="AE17" i="29"/>
  <c r="AD17" i="29"/>
  <c r="AB17" i="29"/>
  <c r="AC17" i="29" s="1"/>
  <c r="C17" i="29"/>
  <c r="AF16" i="29"/>
  <c r="AE16" i="29"/>
  <c r="AD16" i="29"/>
  <c r="AB16" i="29"/>
  <c r="AC16" i="29" s="1"/>
  <c r="C16" i="29"/>
  <c r="AF15" i="29"/>
  <c r="AE15" i="29"/>
  <c r="AD15" i="29"/>
  <c r="AB15" i="29"/>
  <c r="AC15" i="29" s="1"/>
  <c r="C15" i="29"/>
  <c r="AF14" i="29"/>
  <c r="AE14" i="29"/>
  <c r="AD14" i="29"/>
  <c r="AB14" i="29"/>
  <c r="AC14" i="29" s="1"/>
  <c r="C14" i="29"/>
  <c r="AF13" i="29"/>
  <c r="AE13" i="29"/>
  <c r="AD13" i="29"/>
  <c r="AB13" i="29"/>
  <c r="AC13" i="29" s="1"/>
  <c r="C13" i="29"/>
  <c r="AF12" i="29"/>
  <c r="AE12" i="29"/>
  <c r="AD12" i="29"/>
  <c r="AB12" i="29"/>
  <c r="AC12" i="29" s="1"/>
  <c r="C12" i="29"/>
  <c r="AF11" i="29"/>
  <c r="AE11" i="29"/>
  <c r="AD11" i="29"/>
  <c r="AB11" i="29"/>
  <c r="AC11" i="29" s="1"/>
  <c r="C11" i="29"/>
  <c r="AF10" i="29"/>
  <c r="AE10" i="29"/>
  <c r="AD10" i="29"/>
  <c r="AB10" i="29"/>
  <c r="AC10" i="29" s="1"/>
  <c r="C10" i="29"/>
  <c r="AF9" i="29"/>
  <c r="AE9" i="29"/>
  <c r="AD9" i="29"/>
  <c r="AB9" i="29"/>
  <c r="AC9" i="29" s="1"/>
  <c r="C9" i="29"/>
  <c r="AF8" i="29"/>
  <c r="AE8" i="29"/>
  <c r="AD8" i="29"/>
  <c r="AB8" i="29"/>
  <c r="AC8" i="29" s="1"/>
  <c r="C8" i="29"/>
  <c r="AF7" i="29"/>
  <c r="AE7" i="29"/>
  <c r="AD7" i="29"/>
  <c r="AB7" i="29"/>
  <c r="AC7" i="29" s="1"/>
  <c r="C7" i="29"/>
  <c r="AF6" i="29"/>
  <c r="AE6" i="29"/>
  <c r="AD6" i="29"/>
  <c r="AB6" i="29"/>
  <c r="AC6" i="29" s="1"/>
  <c r="C6" i="29"/>
  <c r="AF5" i="29"/>
  <c r="AE5" i="29"/>
  <c r="AD5" i="29"/>
  <c r="AB5" i="29"/>
  <c r="AC5" i="29" s="1"/>
  <c r="C5" i="29"/>
  <c r="AF4" i="29"/>
  <c r="AE4" i="29"/>
  <c r="AD4" i="29"/>
  <c r="AB4" i="29"/>
  <c r="AC4" i="29" s="1"/>
  <c r="C4" i="29"/>
  <c r="AF3" i="29"/>
  <c r="AE3" i="29"/>
  <c r="AD3" i="29"/>
  <c r="AB3" i="29"/>
  <c r="AC3" i="29" s="1"/>
  <c r="C3" i="29"/>
  <c r="AF2" i="29"/>
  <c r="AE2" i="29"/>
  <c r="AD2" i="29"/>
  <c r="AB2" i="29"/>
  <c r="AC2" i="29" s="1"/>
  <c r="P2" i="29"/>
  <c r="C2" i="29"/>
  <c r="AE3" i="19" l="1"/>
  <c r="AE4" i="19"/>
  <c r="AE5" i="19"/>
  <c r="AE6" i="19"/>
  <c r="AE7" i="19"/>
  <c r="AE8" i="19"/>
  <c r="AE9" i="19"/>
  <c r="AE10" i="19"/>
  <c r="AE11" i="19"/>
  <c r="AE12" i="19"/>
  <c r="AE13" i="19"/>
  <c r="AE14" i="19"/>
  <c r="AE15" i="19"/>
  <c r="AE16" i="19"/>
  <c r="AE17" i="19"/>
  <c r="AE18" i="19"/>
  <c r="AE19" i="19"/>
  <c r="AE20" i="19"/>
  <c r="AE21" i="19"/>
  <c r="AE22" i="19"/>
  <c r="AE23" i="19"/>
  <c r="AE24" i="19"/>
  <c r="AE25" i="19"/>
  <c r="AE26" i="19"/>
  <c r="AE27" i="19"/>
  <c r="AE28" i="19"/>
  <c r="AE29" i="19"/>
  <c r="AE30" i="19"/>
  <c r="AE31" i="19"/>
  <c r="AE32" i="19"/>
  <c r="AE33" i="19"/>
  <c r="AE34" i="19"/>
  <c r="AE35" i="19"/>
  <c r="AE36" i="19"/>
  <c r="AE37" i="19"/>
  <c r="AE38" i="19"/>
  <c r="AE2" i="19"/>
  <c r="AD2" i="19"/>
  <c r="AD3" i="19"/>
  <c r="AD4" i="19"/>
  <c r="AD5" i="19"/>
  <c r="AD6" i="19"/>
  <c r="AD7" i="19"/>
  <c r="AD8" i="19"/>
  <c r="AD9" i="19"/>
  <c r="AD10" i="19"/>
  <c r="AD11" i="19"/>
  <c r="AD12" i="19"/>
  <c r="AD13" i="19"/>
  <c r="AD14" i="19"/>
  <c r="AD15" i="19"/>
  <c r="AD16" i="19"/>
  <c r="AD17" i="19"/>
  <c r="AD18" i="19"/>
  <c r="AD19" i="19"/>
  <c r="AD20" i="19"/>
  <c r="AD21" i="19"/>
  <c r="AD22" i="19"/>
  <c r="AD23" i="19"/>
  <c r="AD24" i="19"/>
  <c r="AD25" i="19"/>
  <c r="AD26" i="19"/>
  <c r="AD27" i="19"/>
  <c r="AD28" i="19"/>
  <c r="AD29" i="19"/>
  <c r="AD30" i="19"/>
  <c r="AD31" i="19"/>
  <c r="AD32" i="19"/>
  <c r="AD33" i="19"/>
  <c r="AD34" i="19"/>
  <c r="AD35" i="19"/>
  <c r="AD36" i="19"/>
  <c r="AD37" i="19"/>
  <c r="AD38" i="19"/>
  <c r="AC3" i="19"/>
  <c r="AC4" i="19"/>
  <c r="AC5" i="19"/>
  <c r="AC6" i="19"/>
  <c r="AC7" i="19"/>
  <c r="AC8" i="19"/>
  <c r="AC9" i="19"/>
  <c r="AC10" i="19"/>
  <c r="AC11" i="19"/>
  <c r="AC12" i="19"/>
  <c r="AC13" i="19"/>
  <c r="AC14" i="19"/>
  <c r="AC15" i="19"/>
  <c r="AC16" i="19"/>
  <c r="AC17" i="19"/>
  <c r="AC18" i="19"/>
  <c r="AC19" i="19"/>
  <c r="AC20" i="19"/>
  <c r="AC21" i="19"/>
  <c r="AC22" i="19"/>
  <c r="AC23" i="19"/>
  <c r="AC24" i="19"/>
  <c r="AC25" i="19"/>
  <c r="AC26" i="19"/>
  <c r="AC27" i="19"/>
  <c r="AC28" i="19"/>
  <c r="AC29" i="19"/>
  <c r="AC30" i="19"/>
  <c r="AC31" i="19"/>
  <c r="AC32" i="19"/>
  <c r="AC33" i="19"/>
  <c r="AC34" i="19"/>
  <c r="AC35" i="19"/>
  <c r="AC36" i="19"/>
  <c r="AC37" i="19"/>
  <c r="AC38" i="19"/>
  <c r="AC2" i="19"/>
  <c r="AA32" i="19"/>
  <c r="AB32" i="19" s="1"/>
  <c r="AA33" i="19"/>
  <c r="AB33" i="19" s="1"/>
  <c r="AA34" i="19"/>
  <c r="AB34" i="19" s="1"/>
  <c r="AA35" i="19"/>
  <c r="AB35" i="19" s="1"/>
  <c r="AA36" i="19"/>
  <c r="AB36" i="19" s="1"/>
  <c r="AA37" i="19"/>
  <c r="AB37" i="19" s="1"/>
  <c r="AA38" i="19"/>
  <c r="AB38" i="19" s="1"/>
  <c r="AA3" i="19"/>
  <c r="AB3" i="19" s="1"/>
  <c r="AA4" i="19"/>
  <c r="AB4" i="19" s="1"/>
  <c r="AA5" i="19"/>
  <c r="AB5" i="19" s="1"/>
  <c r="AA6" i="19"/>
  <c r="AB6" i="19" s="1"/>
  <c r="AA7" i="19"/>
  <c r="AB7" i="19" s="1"/>
  <c r="AA8" i="19"/>
  <c r="AB8" i="19" s="1"/>
  <c r="AA9" i="19"/>
  <c r="AB9" i="19" s="1"/>
  <c r="AA10" i="19"/>
  <c r="AB10" i="19" s="1"/>
  <c r="AA11" i="19"/>
  <c r="AB11" i="19" s="1"/>
  <c r="AA12" i="19"/>
  <c r="AB12" i="19" s="1"/>
  <c r="AA13" i="19"/>
  <c r="AB13" i="19" s="1"/>
  <c r="AA14" i="19"/>
  <c r="AB14" i="19" s="1"/>
  <c r="AA15" i="19"/>
  <c r="AB15" i="19" s="1"/>
  <c r="AA16" i="19"/>
  <c r="AB16" i="19" s="1"/>
  <c r="AA17" i="19"/>
  <c r="AB17" i="19" s="1"/>
  <c r="AA18" i="19"/>
  <c r="AB18" i="19" s="1"/>
  <c r="AA19" i="19"/>
  <c r="AB19" i="19" s="1"/>
  <c r="AA20" i="19"/>
  <c r="AB20" i="19" s="1"/>
  <c r="AA21" i="19"/>
  <c r="AB21" i="19" s="1"/>
  <c r="AA22" i="19"/>
  <c r="AB22" i="19" s="1"/>
  <c r="AA23" i="19"/>
  <c r="AB23" i="19" s="1"/>
  <c r="AA24" i="19"/>
  <c r="AB24" i="19" s="1"/>
  <c r="AA25" i="19"/>
  <c r="AB25" i="19" s="1"/>
  <c r="AA26" i="19"/>
  <c r="AB26" i="19" s="1"/>
  <c r="AA27" i="19"/>
  <c r="AB27" i="19" s="1"/>
  <c r="AA28" i="19"/>
  <c r="AB28" i="19" s="1"/>
  <c r="AA29" i="19"/>
  <c r="AB29" i="19" s="1"/>
  <c r="AA30" i="19"/>
  <c r="AB30" i="19" s="1"/>
  <c r="AA31" i="19"/>
  <c r="AB31" i="19" s="1"/>
  <c r="AA2" i="19"/>
  <c r="AB2" i="19" s="1"/>
  <c r="U3" i="23" l="1"/>
  <c r="V3" i="23" s="1"/>
  <c r="W3" i="23"/>
  <c r="U4" i="23"/>
  <c r="V4" i="23" s="1"/>
  <c r="W4" i="23"/>
  <c r="U5" i="23"/>
  <c r="V5" i="23" s="1"/>
  <c r="W5" i="23"/>
  <c r="U6" i="23"/>
  <c r="V6" i="23" s="1"/>
  <c r="W6" i="23"/>
  <c r="U7" i="23"/>
  <c r="V7" i="23" s="1"/>
  <c r="W7" i="23"/>
  <c r="U8" i="23"/>
  <c r="V8" i="23" s="1"/>
  <c r="W8" i="23"/>
  <c r="U9" i="23"/>
  <c r="V9" i="23" s="1"/>
  <c r="W9" i="23"/>
  <c r="U10" i="23"/>
  <c r="V10" i="23" s="1"/>
  <c r="W10" i="23"/>
  <c r="U11" i="23"/>
  <c r="V11" i="23" s="1"/>
  <c r="W11" i="23"/>
  <c r="U12" i="23"/>
  <c r="V12" i="23" s="1"/>
  <c r="W12" i="23"/>
  <c r="U13" i="23"/>
  <c r="V13" i="23" s="1"/>
  <c r="W13" i="23"/>
  <c r="U14" i="23"/>
  <c r="V14" i="23" s="1"/>
  <c r="W14" i="23"/>
  <c r="U15" i="23"/>
  <c r="V15" i="23" s="1"/>
  <c r="W15" i="23"/>
  <c r="U16" i="23"/>
  <c r="V16" i="23"/>
  <c r="W16" i="23"/>
  <c r="U17" i="23"/>
  <c r="V17" i="23" s="1"/>
  <c r="W17" i="23"/>
  <c r="U18" i="23"/>
  <c r="V18" i="23" s="1"/>
  <c r="W18" i="23"/>
  <c r="U19" i="23"/>
  <c r="V19" i="23" s="1"/>
  <c r="W19" i="23"/>
  <c r="U20" i="23"/>
  <c r="V20" i="23" s="1"/>
  <c r="W20" i="23"/>
  <c r="U21" i="23"/>
  <c r="V21" i="23" s="1"/>
  <c r="W21" i="23"/>
  <c r="U22" i="23"/>
  <c r="V22" i="23" s="1"/>
  <c r="W22" i="23"/>
  <c r="U23" i="23"/>
  <c r="V23" i="23" s="1"/>
  <c r="W23" i="23"/>
  <c r="U24" i="23"/>
  <c r="V24" i="23" s="1"/>
  <c r="W24" i="23"/>
  <c r="U25" i="23"/>
  <c r="V25" i="23" s="1"/>
  <c r="W25" i="23"/>
  <c r="U26" i="23"/>
  <c r="V26" i="23" s="1"/>
  <c r="W26" i="23"/>
  <c r="U27" i="23"/>
  <c r="V27" i="23" s="1"/>
  <c r="W27" i="23"/>
  <c r="U28" i="23"/>
  <c r="V28" i="23" s="1"/>
  <c r="W28" i="23"/>
  <c r="U29" i="23"/>
  <c r="V29" i="23" s="1"/>
  <c r="W29" i="23"/>
  <c r="U30" i="23"/>
  <c r="V30" i="23" s="1"/>
  <c r="W30" i="23"/>
  <c r="U31" i="23"/>
  <c r="V31" i="23" s="1"/>
  <c r="W31" i="23"/>
  <c r="U32" i="23"/>
  <c r="V32" i="23"/>
  <c r="W32" i="23"/>
  <c r="U33" i="23"/>
  <c r="V33" i="23" s="1"/>
  <c r="W33" i="23"/>
  <c r="U34" i="23"/>
  <c r="V34" i="23" s="1"/>
  <c r="W34" i="23"/>
  <c r="U35" i="23"/>
  <c r="V35" i="23" s="1"/>
  <c r="W35" i="23"/>
  <c r="U36" i="23"/>
  <c r="V36" i="23" s="1"/>
  <c r="W36" i="23"/>
  <c r="U37" i="23"/>
  <c r="V37" i="23" s="1"/>
  <c r="W37" i="23"/>
  <c r="U38" i="23"/>
  <c r="V38" i="23" s="1"/>
  <c r="W38" i="23"/>
  <c r="U39" i="23"/>
  <c r="V39" i="23" s="1"/>
  <c r="W39" i="23"/>
  <c r="U40" i="23"/>
  <c r="V40" i="23" s="1"/>
  <c r="W40" i="23"/>
  <c r="U41" i="23"/>
  <c r="V41" i="23" s="1"/>
  <c r="W41" i="23"/>
  <c r="U42" i="23"/>
  <c r="V42" i="23" s="1"/>
  <c r="W42" i="23"/>
  <c r="U43" i="23"/>
  <c r="V43" i="23" s="1"/>
  <c r="W43" i="23"/>
  <c r="U44" i="23"/>
  <c r="V44" i="23"/>
  <c r="W44" i="23"/>
  <c r="U45" i="23"/>
  <c r="V45" i="23" s="1"/>
  <c r="W45" i="23"/>
  <c r="U46" i="23"/>
  <c r="V46" i="23" s="1"/>
  <c r="W46" i="23"/>
  <c r="U47" i="23"/>
  <c r="V47" i="23" s="1"/>
  <c r="W47" i="23"/>
  <c r="U48" i="23"/>
  <c r="V48" i="23" s="1"/>
  <c r="W48" i="23"/>
  <c r="U49" i="23"/>
  <c r="V49" i="23" s="1"/>
  <c r="W49" i="23"/>
  <c r="U50" i="23"/>
  <c r="V50" i="23" s="1"/>
  <c r="W50" i="23"/>
  <c r="U51" i="23"/>
  <c r="V51" i="23" s="1"/>
  <c r="W51" i="23"/>
  <c r="U52" i="23"/>
  <c r="V52" i="23"/>
  <c r="W52" i="23"/>
  <c r="U53" i="23"/>
  <c r="V53" i="23" s="1"/>
  <c r="W53" i="23"/>
  <c r="U54" i="23"/>
  <c r="V54" i="23" s="1"/>
  <c r="W54" i="23"/>
  <c r="U55" i="23"/>
  <c r="V55" i="23" s="1"/>
  <c r="W55" i="23"/>
  <c r="U56" i="23"/>
  <c r="V56" i="23" s="1"/>
  <c r="W56" i="23"/>
  <c r="U57" i="23"/>
  <c r="V57" i="23" s="1"/>
  <c r="W57" i="23"/>
  <c r="U58" i="23"/>
  <c r="V58" i="23" s="1"/>
  <c r="W58" i="23"/>
  <c r="U59" i="23"/>
  <c r="V59" i="23" s="1"/>
  <c r="W59" i="23"/>
  <c r="U60" i="23"/>
  <c r="V60" i="23" s="1"/>
  <c r="W60" i="23"/>
  <c r="U61" i="23"/>
  <c r="V61" i="23" s="1"/>
  <c r="W61" i="23"/>
  <c r="U62" i="23"/>
  <c r="V62" i="23" s="1"/>
  <c r="W62" i="23"/>
  <c r="U63" i="23"/>
  <c r="V63" i="23" s="1"/>
  <c r="W63" i="23"/>
  <c r="U64" i="23"/>
  <c r="V64" i="23" s="1"/>
  <c r="W64" i="23"/>
  <c r="U65" i="23"/>
  <c r="V65" i="23" s="1"/>
  <c r="W65" i="23"/>
  <c r="U66" i="23"/>
  <c r="V66" i="23" s="1"/>
  <c r="W66" i="23"/>
  <c r="U67" i="23"/>
  <c r="V67" i="23" s="1"/>
  <c r="W67" i="23"/>
  <c r="U68" i="23"/>
  <c r="V68" i="23"/>
  <c r="W68" i="23"/>
  <c r="U69" i="23"/>
  <c r="V69" i="23" s="1"/>
  <c r="W69" i="23"/>
  <c r="U70" i="23"/>
  <c r="V70" i="23" s="1"/>
  <c r="W70" i="23"/>
  <c r="U71" i="23"/>
  <c r="V71" i="23" s="1"/>
  <c r="W71" i="23"/>
  <c r="U72" i="23"/>
  <c r="V72" i="23" s="1"/>
  <c r="W72" i="23"/>
  <c r="U73" i="23"/>
  <c r="V73" i="23" s="1"/>
  <c r="W73" i="23"/>
  <c r="U74" i="23"/>
  <c r="V74" i="23" s="1"/>
  <c r="W74" i="23"/>
  <c r="U75" i="23"/>
  <c r="V75" i="23" s="1"/>
  <c r="W75" i="23"/>
  <c r="U76" i="23"/>
  <c r="V76" i="23" s="1"/>
  <c r="W76" i="23"/>
  <c r="U77" i="23"/>
  <c r="V77" i="23" s="1"/>
  <c r="W77" i="23"/>
  <c r="U78" i="23"/>
  <c r="V78" i="23" s="1"/>
  <c r="W78" i="23"/>
  <c r="U79" i="23"/>
  <c r="V79" i="23" s="1"/>
  <c r="W79" i="23"/>
  <c r="U80" i="23"/>
  <c r="V80" i="23"/>
  <c r="W80" i="23"/>
  <c r="U81" i="23"/>
  <c r="V81" i="23" s="1"/>
  <c r="W81" i="23"/>
  <c r="U82" i="23"/>
  <c r="V82" i="23" s="1"/>
  <c r="W82" i="23"/>
  <c r="U83" i="23"/>
  <c r="V83" i="23" s="1"/>
  <c r="W83" i="23"/>
  <c r="U84" i="23"/>
  <c r="V84" i="23" s="1"/>
  <c r="W84" i="23"/>
  <c r="U85" i="23"/>
  <c r="V85" i="23" s="1"/>
  <c r="W85" i="23"/>
  <c r="U86" i="23"/>
  <c r="V86" i="23" s="1"/>
  <c r="W86" i="23"/>
  <c r="U87" i="23"/>
  <c r="V87" i="23" s="1"/>
  <c r="W87" i="23"/>
  <c r="U88" i="23"/>
  <c r="V88" i="23"/>
  <c r="W88" i="23"/>
  <c r="U89" i="23"/>
  <c r="V89" i="23" s="1"/>
  <c r="W89" i="23"/>
  <c r="U90" i="23"/>
  <c r="V90" i="23" s="1"/>
  <c r="W90" i="23"/>
  <c r="U91" i="23"/>
  <c r="V91" i="23" s="1"/>
  <c r="W91" i="23"/>
  <c r="U92" i="23"/>
  <c r="V92" i="23" s="1"/>
  <c r="W92" i="23"/>
  <c r="U93" i="23"/>
  <c r="V93" i="23" s="1"/>
  <c r="W93" i="23"/>
  <c r="U94" i="23"/>
  <c r="V94" i="23" s="1"/>
  <c r="W94" i="23"/>
  <c r="U95" i="23"/>
  <c r="V95" i="23" s="1"/>
  <c r="W95" i="23"/>
  <c r="U96" i="23"/>
  <c r="V96" i="23" s="1"/>
  <c r="W96" i="23"/>
  <c r="U97" i="23"/>
  <c r="V97" i="23" s="1"/>
  <c r="W97" i="23"/>
  <c r="U98" i="23"/>
  <c r="V98" i="23" s="1"/>
  <c r="W98" i="23"/>
  <c r="U99" i="23"/>
  <c r="V99" i="23" s="1"/>
  <c r="W99" i="23"/>
  <c r="U100" i="23"/>
  <c r="V100" i="23" s="1"/>
  <c r="W100" i="23"/>
  <c r="U101" i="23"/>
  <c r="V101" i="23" s="1"/>
  <c r="W101" i="23"/>
  <c r="U102" i="23"/>
  <c r="V102" i="23" s="1"/>
  <c r="W102" i="23"/>
  <c r="U103" i="23"/>
  <c r="V103" i="23" s="1"/>
  <c r="W103" i="23"/>
  <c r="U104" i="23"/>
  <c r="V104" i="23"/>
  <c r="W104" i="23"/>
  <c r="U105" i="23"/>
  <c r="V105" i="23" s="1"/>
  <c r="W105" i="23"/>
  <c r="U106" i="23"/>
  <c r="V106" i="23" s="1"/>
  <c r="W106" i="23"/>
  <c r="U107" i="23"/>
  <c r="V107" i="23" s="1"/>
  <c r="W107" i="23"/>
  <c r="U108" i="23"/>
  <c r="V108" i="23" s="1"/>
  <c r="W108" i="23"/>
  <c r="U109" i="23"/>
  <c r="V109" i="23" s="1"/>
  <c r="W109" i="23"/>
  <c r="U110" i="23"/>
  <c r="V110" i="23" s="1"/>
  <c r="W110" i="23"/>
  <c r="U111" i="23"/>
  <c r="V111" i="23" s="1"/>
  <c r="W111" i="23"/>
  <c r="U112" i="23"/>
  <c r="V112" i="23" s="1"/>
  <c r="W112" i="23"/>
  <c r="U113" i="23"/>
  <c r="V113" i="23" s="1"/>
  <c r="W113" i="23"/>
  <c r="U114" i="23"/>
  <c r="V114" i="23" s="1"/>
  <c r="W114" i="23"/>
  <c r="U115" i="23"/>
  <c r="V115" i="23" s="1"/>
  <c r="W115" i="23"/>
  <c r="U116" i="23"/>
  <c r="V116" i="23" s="1"/>
  <c r="W116" i="23"/>
  <c r="W2" i="23"/>
  <c r="U2" i="23"/>
  <c r="V2" i="23" s="1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2" i="23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2" i="22"/>
  <c r="U3" i="22"/>
  <c r="U4" i="22"/>
  <c r="U5" i="22"/>
  <c r="U6" i="22"/>
  <c r="U7" i="22"/>
  <c r="U8" i="22"/>
  <c r="U9" i="22"/>
  <c r="U10" i="22"/>
  <c r="U11" i="22"/>
  <c r="U12" i="22"/>
  <c r="U13" i="22"/>
  <c r="U14" i="22"/>
  <c r="U15" i="22"/>
  <c r="U16" i="22"/>
  <c r="U17" i="22"/>
  <c r="U18" i="22"/>
  <c r="U19" i="22"/>
  <c r="U20" i="22"/>
  <c r="U21" i="22"/>
  <c r="U22" i="22"/>
  <c r="U23" i="22"/>
  <c r="U24" i="22"/>
  <c r="U25" i="22"/>
  <c r="U26" i="22"/>
  <c r="U27" i="22"/>
  <c r="U28" i="22"/>
  <c r="U29" i="22"/>
  <c r="U30" i="22"/>
  <c r="U31" i="22"/>
  <c r="U32" i="22"/>
  <c r="U33" i="22"/>
  <c r="U34" i="22"/>
  <c r="U35" i="22"/>
  <c r="U36" i="22"/>
  <c r="U37" i="22"/>
  <c r="U38" i="22"/>
  <c r="U39" i="22"/>
  <c r="U40" i="22"/>
  <c r="U41" i="22"/>
  <c r="U42" i="22"/>
  <c r="U43" i="22"/>
  <c r="U44" i="22"/>
  <c r="U45" i="22"/>
  <c r="U46" i="22"/>
  <c r="U47" i="22"/>
  <c r="U48" i="22"/>
  <c r="U49" i="22"/>
  <c r="U50" i="22"/>
  <c r="U51" i="22"/>
  <c r="U52" i="22"/>
  <c r="U53" i="22"/>
  <c r="U54" i="22"/>
  <c r="U55" i="22"/>
  <c r="U56" i="22"/>
  <c r="U57" i="22"/>
  <c r="U58" i="22"/>
  <c r="U59" i="22"/>
  <c r="U60" i="22"/>
  <c r="U61" i="22"/>
  <c r="U62" i="22"/>
  <c r="U63" i="22"/>
  <c r="U64" i="22"/>
  <c r="U65" i="22"/>
  <c r="U66" i="22"/>
  <c r="U67" i="22"/>
  <c r="U68" i="22"/>
  <c r="U69" i="22"/>
  <c r="U70" i="22"/>
  <c r="U71" i="22"/>
  <c r="U72" i="22"/>
  <c r="U73" i="22"/>
  <c r="U74" i="22"/>
  <c r="U75" i="22"/>
  <c r="U76" i="22"/>
  <c r="U77" i="22"/>
  <c r="U78" i="22"/>
  <c r="U79" i="22"/>
  <c r="U80" i="22"/>
  <c r="U81" i="22"/>
  <c r="U82" i="22"/>
  <c r="U83" i="22"/>
  <c r="U84" i="22"/>
  <c r="U85" i="22"/>
  <c r="U86" i="22"/>
  <c r="U87" i="22"/>
  <c r="U88" i="22"/>
  <c r="U89" i="22"/>
  <c r="U90" i="22"/>
  <c r="U91" i="22"/>
  <c r="U92" i="22"/>
  <c r="U93" i="22"/>
  <c r="U94" i="22"/>
  <c r="U95" i="22"/>
  <c r="U96" i="22"/>
  <c r="U97" i="22"/>
  <c r="U98" i="22"/>
  <c r="U99" i="22"/>
  <c r="U100" i="22"/>
  <c r="U101" i="22"/>
  <c r="U102" i="22"/>
  <c r="U103" i="22"/>
  <c r="U104" i="22"/>
  <c r="U105" i="22"/>
  <c r="U106" i="22"/>
  <c r="U107" i="22"/>
  <c r="U108" i="22"/>
  <c r="U109" i="22"/>
  <c r="U110" i="22"/>
  <c r="U111" i="22"/>
  <c r="U112" i="22"/>
  <c r="U113" i="22"/>
  <c r="U114" i="22"/>
  <c r="U115" i="22"/>
  <c r="U116" i="22"/>
  <c r="U117" i="22"/>
  <c r="U118" i="22"/>
  <c r="U119" i="22"/>
  <c r="U120" i="22"/>
  <c r="U121" i="22"/>
  <c r="U122" i="22"/>
  <c r="U123" i="22"/>
  <c r="U124" i="22"/>
  <c r="U125" i="22"/>
  <c r="U126" i="22"/>
  <c r="U127" i="22"/>
  <c r="U128" i="22"/>
  <c r="U129" i="22"/>
  <c r="U2" i="22"/>
  <c r="T3" i="22"/>
  <c r="T4" i="22"/>
  <c r="T5" i="22"/>
  <c r="T6" i="22"/>
  <c r="T7" i="22"/>
  <c r="T8" i="22"/>
  <c r="T9" i="22"/>
  <c r="T10" i="22"/>
  <c r="T11" i="22"/>
  <c r="T12" i="22"/>
  <c r="T13" i="22"/>
  <c r="T14" i="22"/>
  <c r="T15" i="22"/>
  <c r="T16" i="22"/>
  <c r="T17" i="22"/>
  <c r="T18" i="22"/>
  <c r="T19" i="22"/>
  <c r="T20" i="22"/>
  <c r="T21" i="22"/>
  <c r="T22" i="22"/>
  <c r="T23" i="22"/>
  <c r="T24" i="22"/>
  <c r="T25" i="22"/>
  <c r="T26" i="22"/>
  <c r="T27" i="22"/>
  <c r="T28" i="22"/>
  <c r="T29" i="22"/>
  <c r="T30" i="22"/>
  <c r="T31" i="22"/>
  <c r="T32" i="22"/>
  <c r="T33" i="22"/>
  <c r="T34" i="22"/>
  <c r="T35" i="22"/>
  <c r="T36" i="22"/>
  <c r="T37" i="22"/>
  <c r="T38" i="22"/>
  <c r="T39" i="22"/>
  <c r="T40" i="22"/>
  <c r="T41" i="22"/>
  <c r="T42" i="22"/>
  <c r="T43" i="22"/>
  <c r="T44" i="22"/>
  <c r="T45" i="22"/>
  <c r="T46" i="22"/>
  <c r="T47" i="22"/>
  <c r="T48" i="22"/>
  <c r="T49" i="22"/>
  <c r="T50" i="22"/>
  <c r="T51" i="22"/>
  <c r="T52" i="22"/>
  <c r="T53" i="22"/>
  <c r="T54" i="22"/>
  <c r="T55" i="22"/>
  <c r="T56" i="22"/>
  <c r="T57" i="22"/>
  <c r="T58" i="22"/>
  <c r="T59" i="22"/>
  <c r="T60" i="22"/>
  <c r="T61" i="22"/>
  <c r="T62" i="22"/>
  <c r="T63" i="22"/>
  <c r="T64" i="22"/>
  <c r="T65" i="22"/>
  <c r="T66" i="22"/>
  <c r="T67" i="22"/>
  <c r="T68" i="22"/>
  <c r="T69" i="22"/>
  <c r="T70" i="22"/>
  <c r="T71" i="22"/>
  <c r="T72" i="22"/>
  <c r="T73" i="22"/>
  <c r="T74" i="22"/>
  <c r="T75" i="22"/>
  <c r="T76" i="22"/>
  <c r="T77" i="22"/>
  <c r="T78" i="22"/>
  <c r="T79" i="22"/>
  <c r="T80" i="22"/>
  <c r="T81" i="22"/>
  <c r="T82" i="22"/>
  <c r="T83" i="22"/>
  <c r="T84" i="22"/>
  <c r="T85" i="22"/>
  <c r="T86" i="22"/>
  <c r="T87" i="22"/>
  <c r="T88" i="22"/>
  <c r="T89" i="22"/>
  <c r="T90" i="22"/>
  <c r="T91" i="22"/>
  <c r="T92" i="22"/>
  <c r="T93" i="22"/>
  <c r="T94" i="22"/>
  <c r="T95" i="22"/>
  <c r="T96" i="22"/>
  <c r="T97" i="22"/>
  <c r="T98" i="22"/>
  <c r="T99" i="22"/>
  <c r="T100" i="22"/>
  <c r="T101" i="22"/>
  <c r="T102" i="22"/>
  <c r="T103" i="22"/>
  <c r="T104" i="22"/>
  <c r="T105" i="22"/>
  <c r="T106" i="22"/>
  <c r="T107" i="22"/>
  <c r="T108" i="22"/>
  <c r="T109" i="22"/>
  <c r="T110" i="22"/>
  <c r="T111" i="22"/>
  <c r="T112" i="22"/>
  <c r="T113" i="22"/>
  <c r="T114" i="22"/>
  <c r="T115" i="22"/>
  <c r="T116" i="22"/>
  <c r="T117" i="22"/>
  <c r="T118" i="22"/>
  <c r="T119" i="22"/>
  <c r="T120" i="22"/>
  <c r="T121" i="22"/>
  <c r="T122" i="22"/>
  <c r="T123" i="22"/>
  <c r="T124" i="22"/>
  <c r="T125" i="22"/>
  <c r="T126" i="22"/>
  <c r="T127" i="22"/>
  <c r="T128" i="22"/>
  <c r="T129" i="22"/>
  <c r="T2" i="22"/>
  <c r="S3" i="22"/>
  <c r="S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80" i="22"/>
  <c r="S81" i="22"/>
  <c r="S82" i="22"/>
  <c r="S83" i="22"/>
  <c r="S84" i="22"/>
  <c r="S85" i="22"/>
  <c r="S86" i="22"/>
  <c r="S87" i="22"/>
  <c r="S88" i="22"/>
  <c r="S89" i="22"/>
  <c r="S90" i="22"/>
  <c r="S91" i="22"/>
  <c r="S92" i="22"/>
  <c r="S93" i="22"/>
  <c r="S94" i="22"/>
  <c r="S95" i="22"/>
  <c r="S96" i="22"/>
  <c r="S97" i="22"/>
  <c r="S98" i="22"/>
  <c r="S99" i="22"/>
  <c r="S100" i="22"/>
  <c r="S101" i="22"/>
  <c r="S102" i="22"/>
  <c r="S103" i="22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2" i="22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2" i="21"/>
  <c r="U3" i="21"/>
  <c r="U4" i="21"/>
  <c r="U5" i="21"/>
  <c r="U6" i="21"/>
  <c r="U7" i="21"/>
  <c r="U8" i="21"/>
  <c r="U9" i="21"/>
  <c r="U10" i="21"/>
  <c r="U11" i="21"/>
  <c r="U12" i="21"/>
  <c r="U13" i="21"/>
  <c r="U14" i="21"/>
  <c r="U15" i="21"/>
  <c r="U16" i="21"/>
  <c r="U17" i="21"/>
  <c r="U18" i="21"/>
  <c r="U19" i="21"/>
  <c r="U20" i="21"/>
  <c r="U21" i="21"/>
  <c r="U22" i="21"/>
  <c r="U23" i="21"/>
  <c r="U24" i="21"/>
  <c r="U25" i="21"/>
  <c r="U26" i="21"/>
  <c r="U27" i="21"/>
  <c r="U28" i="21"/>
  <c r="U29" i="21"/>
  <c r="U30" i="21"/>
  <c r="U31" i="21"/>
  <c r="U32" i="21"/>
  <c r="U33" i="21"/>
  <c r="U34" i="21"/>
  <c r="U35" i="21"/>
  <c r="U36" i="21"/>
  <c r="U37" i="21"/>
  <c r="U38" i="21"/>
  <c r="U39" i="21"/>
  <c r="U40" i="21"/>
  <c r="U41" i="21"/>
  <c r="U42" i="21"/>
  <c r="U43" i="21"/>
  <c r="U44" i="21"/>
  <c r="U45" i="21"/>
  <c r="U46" i="21"/>
  <c r="U47" i="21"/>
  <c r="U48" i="21"/>
  <c r="U49" i="21"/>
  <c r="U50" i="21"/>
  <c r="U51" i="21"/>
  <c r="U52" i="21"/>
  <c r="U53" i="21"/>
  <c r="U54" i="21"/>
  <c r="U55" i="21"/>
  <c r="U56" i="21"/>
  <c r="U57" i="21"/>
  <c r="U58" i="21"/>
  <c r="U59" i="21"/>
  <c r="U60" i="21"/>
  <c r="U61" i="21"/>
  <c r="U62" i="21"/>
  <c r="U63" i="21"/>
  <c r="U64" i="21"/>
  <c r="U65" i="21"/>
  <c r="U66" i="21"/>
  <c r="U67" i="21"/>
  <c r="U68" i="21"/>
  <c r="U69" i="21"/>
  <c r="U70" i="21"/>
  <c r="U71" i="21"/>
  <c r="U72" i="21"/>
  <c r="U73" i="21"/>
  <c r="U74" i="21"/>
  <c r="U75" i="21"/>
  <c r="U76" i="21"/>
  <c r="U77" i="21"/>
  <c r="U78" i="21"/>
  <c r="U79" i="21"/>
  <c r="U80" i="21"/>
  <c r="U81" i="21"/>
  <c r="U82" i="21"/>
  <c r="U83" i="21"/>
  <c r="U84" i="21"/>
  <c r="U85" i="21"/>
  <c r="U86" i="21"/>
  <c r="U87" i="21"/>
  <c r="U88" i="21"/>
  <c r="U89" i="21"/>
  <c r="U90" i="21"/>
  <c r="U91" i="21"/>
  <c r="U92" i="21"/>
  <c r="U93" i="21"/>
  <c r="U94" i="21"/>
  <c r="U95" i="21"/>
  <c r="U96" i="21"/>
  <c r="U97" i="21"/>
  <c r="U98" i="21"/>
  <c r="U99" i="21"/>
  <c r="U100" i="21"/>
  <c r="U101" i="21"/>
  <c r="U2" i="21"/>
  <c r="T3" i="21"/>
  <c r="T4" i="21"/>
  <c r="T5" i="21"/>
  <c r="T6" i="21"/>
  <c r="T7" i="21"/>
  <c r="T8" i="21"/>
  <c r="T9" i="21"/>
  <c r="T10" i="21"/>
  <c r="T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1" i="21"/>
  <c r="T92" i="21"/>
  <c r="T93" i="21"/>
  <c r="T94" i="21"/>
  <c r="T95" i="21"/>
  <c r="T96" i="21"/>
  <c r="T97" i="21"/>
  <c r="T98" i="21"/>
  <c r="T99" i="21"/>
  <c r="T100" i="21"/>
  <c r="T101" i="21"/>
  <c r="T2" i="21"/>
  <c r="S3" i="21"/>
  <c r="S4" i="21"/>
  <c r="S5" i="21"/>
  <c r="S6" i="21"/>
  <c r="S7" i="21"/>
  <c r="S8" i="21"/>
  <c r="S9" i="21"/>
  <c r="S10" i="21"/>
  <c r="S11" i="21"/>
  <c r="S12" i="21"/>
  <c r="S13" i="21"/>
  <c r="S14" i="21"/>
  <c r="S15" i="21"/>
  <c r="S16" i="21"/>
  <c r="S17" i="21"/>
  <c r="S18" i="21"/>
  <c r="S19" i="21"/>
  <c r="S20" i="21"/>
  <c r="S21" i="21"/>
  <c r="S22" i="21"/>
  <c r="S23" i="21"/>
  <c r="S24" i="21"/>
  <c r="S25" i="21"/>
  <c r="S26" i="21"/>
  <c r="S27" i="21"/>
  <c r="S28" i="21"/>
  <c r="S29" i="21"/>
  <c r="S30" i="21"/>
  <c r="S31" i="21"/>
  <c r="S32" i="21"/>
  <c r="S33" i="21"/>
  <c r="S34" i="21"/>
  <c r="S35" i="21"/>
  <c r="S36" i="21"/>
  <c r="S37" i="21"/>
  <c r="S38" i="21"/>
  <c r="S39" i="21"/>
  <c r="S40" i="21"/>
  <c r="S41" i="21"/>
  <c r="S42" i="21"/>
  <c r="S43" i="21"/>
  <c r="S44" i="21"/>
  <c r="S45" i="21"/>
  <c r="S46" i="21"/>
  <c r="S47" i="21"/>
  <c r="S48" i="21"/>
  <c r="S49" i="21"/>
  <c r="S50" i="21"/>
  <c r="S51" i="21"/>
  <c r="S52" i="21"/>
  <c r="S53" i="21"/>
  <c r="S54" i="21"/>
  <c r="S55" i="21"/>
  <c r="S56" i="21"/>
  <c r="S57" i="21"/>
  <c r="S58" i="21"/>
  <c r="S59" i="21"/>
  <c r="S60" i="21"/>
  <c r="S61" i="21"/>
  <c r="S62" i="21"/>
  <c r="S63" i="21"/>
  <c r="S64" i="21"/>
  <c r="S65" i="21"/>
  <c r="S66" i="21"/>
  <c r="S67" i="21"/>
  <c r="S68" i="21"/>
  <c r="S69" i="21"/>
  <c r="S70" i="21"/>
  <c r="S71" i="21"/>
  <c r="S72" i="21"/>
  <c r="S73" i="21"/>
  <c r="S74" i="21"/>
  <c r="S75" i="21"/>
  <c r="S76" i="21"/>
  <c r="S77" i="21"/>
  <c r="S78" i="21"/>
  <c r="S79" i="21"/>
  <c r="S80" i="21"/>
  <c r="S81" i="21"/>
  <c r="S82" i="21"/>
  <c r="S83" i="21"/>
  <c r="S84" i="21"/>
  <c r="S85" i="21"/>
  <c r="S86" i="21"/>
  <c r="S87" i="21"/>
  <c r="S88" i="21"/>
  <c r="S89" i="21"/>
  <c r="S90" i="21"/>
  <c r="S91" i="21"/>
  <c r="S92" i="21"/>
  <c r="S93" i="21"/>
  <c r="S94" i="21"/>
  <c r="S95" i="21"/>
  <c r="S96" i="21"/>
  <c r="S97" i="21"/>
  <c r="S98" i="21"/>
  <c r="S99" i="21"/>
  <c r="S100" i="21"/>
  <c r="S101" i="21"/>
  <c r="S2" i="21"/>
  <c r="T3" i="20"/>
  <c r="T4" i="20"/>
  <c r="T5" i="20"/>
  <c r="T6" i="20"/>
  <c r="T7" i="20"/>
  <c r="T8" i="20"/>
  <c r="T9" i="20"/>
  <c r="T10" i="20"/>
  <c r="T11" i="20"/>
  <c r="T12" i="20"/>
  <c r="T13" i="20"/>
  <c r="T14" i="20"/>
  <c r="T15" i="20"/>
  <c r="T16" i="20"/>
  <c r="T17" i="20"/>
  <c r="T18" i="20"/>
  <c r="T19" i="20"/>
  <c r="T20" i="20"/>
  <c r="T21" i="20"/>
  <c r="T22" i="20"/>
  <c r="T23" i="20"/>
  <c r="T24" i="20"/>
  <c r="T25" i="20"/>
  <c r="T26" i="20"/>
  <c r="T27" i="20"/>
  <c r="T28" i="20"/>
  <c r="T29" i="20"/>
  <c r="T30" i="20"/>
  <c r="T31" i="20"/>
  <c r="T32" i="20"/>
  <c r="T33" i="20"/>
  <c r="T34" i="20"/>
  <c r="T35" i="20"/>
  <c r="T36" i="20"/>
  <c r="T37" i="20"/>
  <c r="T38" i="20"/>
  <c r="T39" i="20"/>
  <c r="T40" i="20"/>
  <c r="T41" i="20"/>
  <c r="T42" i="20"/>
  <c r="T43" i="20"/>
  <c r="T44" i="20"/>
  <c r="T45" i="20"/>
  <c r="T46" i="20"/>
  <c r="T47" i="20"/>
  <c r="T48" i="20"/>
  <c r="T49" i="20"/>
  <c r="T50" i="20"/>
  <c r="T51" i="20"/>
  <c r="T52" i="20"/>
  <c r="T53" i="20"/>
  <c r="T54" i="20"/>
  <c r="T55" i="20"/>
  <c r="T56" i="20"/>
  <c r="T57" i="20"/>
  <c r="T58" i="20"/>
  <c r="T59" i="20"/>
  <c r="T60" i="20"/>
  <c r="T61" i="20"/>
  <c r="T62" i="20"/>
  <c r="T63" i="20"/>
  <c r="T64" i="20"/>
  <c r="T65" i="20"/>
  <c r="T66" i="20"/>
  <c r="T67" i="20"/>
  <c r="T68" i="20"/>
  <c r="T69" i="20"/>
  <c r="T70" i="20"/>
  <c r="T71" i="20"/>
  <c r="T72" i="20"/>
  <c r="T73" i="20"/>
  <c r="T74" i="20"/>
  <c r="T75" i="20"/>
  <c r="T76" i="20"/>
  <c r="T77" i="20"/>
  <c r="T78" i="20"/>
  <c r="T79" i="20"/>
  <c r="T80" i="20"/>
  <c r="T81" i="20"/>
  <c r="T82" i="20"/>
  <c r="T83" i="20"/>
  <c r="T84" i="20"/>
  <c r="T85" i="20"/>
  <c r="T86" i="20"/>
  <c r="T87" i="20"/>
  <c r="T88" i="20"/>
  <c r="T89" i="20"/>
  <c r="T90" i="20"/>
  <c r="T91" i="20"/>
  <c r="T92" i="20"/>
  <c r="T93" i="20"/>
  <c r="T94" i="20"/>
  <c r="T95" i="20"/>
  <c r="T96" i="20"/>
  <c r="T97" i="20"/>
  <c r="T98" i="20"/>
  <c r="T99" i="20"/>
  <c r="T100" i="20"/>
  <c r="T101" i="20"/>
  <c r="T102" i="20"/>
  <c r="T103" i="20"/>
  <c r="T104" i="20"/>
  <c r="T105" i="20"/>
  <c r="T106" i="20"/>
  <c r="T107" i="20"/>
  <c r="T108" i="20"/>
  <c r="T109" i="20"/>
  <c r="T110" i="20"/>
  <c r="T111" i="20"/>
  <c r="T112" i="20"/>
  <c r="T113" i="20"/>
  <c r="T114" i="20"/>
  <c r="T115" i="20"/>
  <c r="T116" i="20"/>
  <c r="T117" i="20"/>
  <c r="T118" i="20"/>
  <c r="T119" i="20"/>
  <c r="T120" i="20"/>
  <c r="T121" i="20"/>
  <c r="T122" i="20"/>
  <c r="T123" i="20"/>
  <c r="T124" i="20"/>
  <c r="T125" i="20"/>
  <c r="T126" i="20"/>
  <c r="T127" i="20"/>
  <c r="T128" i="20"/>
  <c r="T129" i="20"/>
  <c r="T2" i="20"/>
  <c r="S3" i="20"/>
  <c r="S4" i="20"/>
  <c r="S5" i="20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S25" i="20"/>
  <c r="S26" i="20"/>
  <c r="S27" i="20"/>
  <c r="S28" i="20"/>
  <c r="S29" i="20"/>
  <c r="S30" i="20"/>
  <c r="S31" i="20"/>
  <c r="S32" i="20"/>
  <c r="S33" i="20"/>
  <c r="S34" i="20"/>
  <c r="S35" i="20"/>
  <c r="S36" i="20"/>
  <c r="S37" i="20"/>
  <c r="S38" i="20"/>
  <c r="S39" i="20"/>
  <c r="S40" i="20"/>
  <c r="S41" i="20"/>
  <c r="S42" i="20"/>
  <c r="S43" i="20"/>
  <c r="S44" i="20"/>
  <c r="S45" i="20"/>
  <c r="S46" i="20"/>
  <c r="S47" i="20"/>
  <c r="S48" i="20"/>
  <c r="S49" i="20"/>
  <c r="S50" i="20"/>
  <c r="S51" i="20"/>
  <c r="S52" i="20"/>
  <c r="S53" i="20"/>
  <c r="S54" i="20"/>
  <c r="S55" i="20"/>
  <c r="S56" i="20"/>
  <c r="S57" i="20"/>
  <c r="S58" i="20"/>
  <c r="S59" i="20"/>
  <c r="S60" i="20"/>
  <c r="S61" i="20"/>
  <c r="S62" i="20"/>
  <c r="S63" i="20"/>
  <c r="S64" i="20"/>
  <c r="S65" i="20"/>
  <c r="S66" i="20"/>
  <c r="S67" i="20"/>
  <c r="S68" i="20"/>
  <c r="S69" i="20"/>
  <c r="S70" i="20"/>
  <c r="S71" i="20"/>
  <c r="S72" i="20"/>
  <c r="S73" i="20"/>
  <c r="S74" i="20"/>
  <c r="S75" i="20"/>
  <c r="S76" i="20"/>
  <c r="S77" i="20"/>
  <c r="S78" i="20"/>
  <c r="S79" i="20"/>
  <c r="S80" i="20"/>
  <c r="S81" i="20"/>
  <c r="S82" i="20"/>
  <c r="S83" i="20"/>
  <c r="S84" i="20"/>
  <c r="S85" i="20"/>
  <c r="S86" i="20"/>
  <c r="S87" i="20"/>
  <c r="S88" i="20"/>
  <c r="S89" i="20"/>
  <c r="S90" i="20"/>
  <c r="S91" i="20"/>
  <c r="S92" i="20"/>
  <c r="S93" i="20"/>
  <c r="S94" i="20"/>
  <c r="S95" i="20"/>
  <c r="S96" i="20"/>
  <c r="S97" i="20"/>
  <c r="S98" i="20"/>
  <c r="S99" i="20"/>
  <c r="S100" i="20"/>
  <c r="S101" i="20"/>
  <c r="S102" i="20"/>
  <c r="S103" i="20"/>
  <c r="S104" i="20"/>
  <c r="S105" i="20"/>
  <c r="S106" i="20"/>
  <c r="S107" i="20"/>
  <c r="S108" i="20"/>
  <c r="S109" i="20"/>
  <c r="S110" i="20"/>
  <c r="S111" i="20"/>
  <c r="S112" i="20"/>
  <c r="S113" i="20"/>
  <c r="S114" i="20"/>
  <c r="S115" i="20"/>
  <c r="S116" i="20"/>
  <c r="S117" i="20"/>
  <c r="S118" i="20"/>
  <c r="S119" i="20"/>
  <c r="S120" i="20"/>
  <c r="S121" i="20"/>
  <c r="S122" i="20"/>
  <c r="S123" i="20"/>
  <c r="S124" i="20"/>
  <c r="S125" i="20"/>
  <c r="S126" i="20"/>
  <c r="S127" i="20"/>
  <c r="S128" i="20"/>
  <c r="S129" i="20"/>
  <c r="S2" i="20"/>
  <c r="U3" i="20"/>
  <c r="U4" i="20"/>
  <c r="U5" i="20"/>
  <c r="U6" i="20"/>
  <c r="U7" i="20"/>
  <c r="U8" i="20"/>
  <c r="U9" i="20"/>
  <c r="U10" i="20"/>
  <c r="U11" i="20"/>
  <c r="U12" i="20"/>
  <c r="U13" i="20"/>
  <c r="U14" i="20"/>
  <c r="U15" i="20"/>
  <c r="U16" i="20"/>
  <c r="U17" i="20"/>
  <c r="U18" i="20"/>
  <c r="U19" i="20"/>
  <c r="U20" i="20"/>
  <c r="U21" i="20"/>
  <c r="U22" i="20"/>
  <c r="U23" i="20"/>
  <c r="U24" i="20"/>
  <c r="U25" i="20"/>
  <c r="U26" i="20"/>
  <c r="U27" i="20"/>
  <c r="U28" i="20"/>
  <c r="U29" i="20"/>
  <c r="U30" i="20"/>
  <c r="U31" i="20"/>
  <c r="U32" i="20"/>
  <c r="U33" i="20"/>
  <c r="U34" i="20"/>
  <c r="U35" i="20"/>
  <c r="U36" i="20"/>
  <c r="U37" i="20"/>
  <c r="U38" i="20"/>
  <c r="U39" i="20"/>
  <c r="U40" i="20"/>
  <c r="U41" i="20"/>
  <c r="U42" i="20"/>
  <c r="U43" i="20"/>
  <c r="U44" i="20"/>
  <c r="U45" i="20"/>
  <c r="U46" i="20"/>
  <c r="U47" i="20"/>
  <c r="U48" i="20"/>
  <c r="U49" i="20"/>
  <c r="U50" i="20"/>
  <c r="U51" i="20"/>
  <c r="U52" i="20"/>
  <c r="U53" i="20"/>
  <c r="U54" i="20"/>
  <c r="U55" i="20"/>
  <c r="U56" i="20"/>
  <c r="U57" i="20"/>
  <c r="U58" i="20"/>
  <c r="U59" i="20"/>
  <c r="U60" i="20"/>
  <c r="U61" i="20"/>
  <c r="U62" i="20"/>
  <c r="U63" i="20"/>
  <c r="U64" i="20"/>
  <c r="U65" i="20"/>
  <c r="U66" i="20"/>
  <c r="U67" i="20"/>
  <c r="U68" i="20"/>
  <c r="U69" i="20"/>
  <c r="U70" i="20"/>
  <c r="U71" i="20"/>
  <c r="U72" i="20"/>
  <c r="U73" i="20"/>
  <c r="U74" i="20"/>
  <c r="U75" i="20"/>
  <c r="U76" i="20"/>
  <c r="U77" i="20"/>
  <c r="U78" i="20"/>
  <c r="U79" i="20"/>
  <c r="U80" i="20"/>
  <c r="U81" i="20"/>
  <c r="U82" i="20"/>
  <c r="U83" i="20"/>
  <c r="U84" i="20"/>
  <c r="U85" i="20"/>
  <c r="U86" i="20"/>
  <c r="U87" i="20"/>
  <c r="U88" i="20"/>
  <c r="U89" i="20"/>
  <c r="U90" i="20"/>
  <c r="U91" i="20"/>
  <c r="U92" i="20"/>
  <c r="U93" i="20"/>
  <c r="U94" i="20"/>
  <c r="U95" i="20"/>
  <c r="U96" i="20"/>
  <c r="U97" i="20"/>
  <c r="U98" i="20"/>
  <c r="U99" i="20"/>
  <c r="U100" i="20"/>
  <c r="U101" i="20"/>
  <c r="U102" i="20"/>
  <c r="U103" i="20"/>
  <c r="U104" i="20"/>
  <c r="U105" i="20"/>
  <c r="U106" i="20"/>
  <c r="U107" i="20"/>
  <c r="U108" i="20"/>
  <c r="U109" i="20"/>
  <c r="U110" i="20"/>
  <c r="U111" i="20"/>
  <c r="U112" i="20"/>
  <c r="U113" i="20"/>
  <c r="U114" i="20"/>
  <c r="U115" i="20"/>
  <c r="U116" i="20"/>
  <c r="U117" i="20"/>
  <c r="U118" i="20"/>
  <c r="U119" i="20"/>
  <c r="U120" i="20"/>
  <c r="U121" i="20"/>
  <c r="U122" i="20"/>
  <c r="U123" i="20"/>
  <c r="U124" i="20"/>
  <c r="U125" i="20"/>
  <c r="U126" i="20"/>
  <c r="U127" i="20"/>
  <c r="U128" i="20"/>
  <c r="U129" i="20"/>
  <c r="U2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2" i="20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I108" i="16"/>
  <c r="I109" i="16"/>
  <c r="I110" i="16"/>
  <c r="I111" i="16"/>
  <c r="I112" i="16"/>
  <c r="I113" i="16"/>
  <c r="I114" i="16"/>
  <c r="I115" i="16"/>
  <c r="I116" i="16"/>
  <c r="I117" i="16"/>
  <c r="I118" i="16"/>
  <c r="I119" i="16"/>
  <c r="I120" i="16"/>
  <c r="I121" i="16"/>
  <c r="I122" i="16"/>
  <c r="I123" i="16"/>
  <c r="I124" i="16"/>
  <c r="I125" i="16"/>
  <c r="I126" i="16"/>
  <c r="I127" i="16"/>
  <c r="I128" i="16"/>
  <c r="I129" i="16"/>
  <c r="I130" i="16"/>
  <c r="I131" i="16"/>
  <c r="I132" i="16"/>
  <c r="I133" i="16"/>
  <c r="I134" i="16"/>
  <c r="I135" i="16"/>
  <c r="I136" i="16"/>
  <c r="I137" i="16"/>
  <c r="I138" i="16"/>
  <c r="I139" i="16"/>
  <c r="I140" i="16"/>
  <c r="I141" i="16"/>
  <c r="I142" i="16"/>
  <c r="I143" i="16"/>
  <c r="I144" i="16"/>
  <c r="I145" i="16"/>
  <c r="I146" i="16"/>
  <c r="I147" i="16"/>
  <c r="I148" i="16"/>
  <c r="I149" i="16"/>
  <c r="I150" i="16"/>
  <c r="I151" i="16"/>
  <c r="I152" i="16"/>
  <c r="I153" i="16"/>
  <c r="I154" i="16"/>
  <c r="I155" i="16"/>
  <c r="I156" i="16"/>
  <c r="I157" i="16"/>
  <c r="I158" i="16"/>
  <c r="I159" i="16"/>
  <c r="I160" i="16"/>
  <c r="I161" i="16"/>
  <c r="I162" i="16"/>
  <c r="I163" i="16"/>
  <c r="I164" i="16"/>
  <c r="I165" i="16"/>
  <c r="I166" i="16"/>
  <c r="I167" i="16"/>
  <c r="I168" i="16"/>
  <c r="I169" i="16"/>
  <c r="I170" i="16"/>
  <c r="I171" i="16"/>
  <c r="I172" i="16"/>
  <c r="I173" i="16"/>
  <c r="I174" i="16"/>
  <c r="I175" i="16"/>
  <c r="I176" i="16"/>
  <c r="I177" i="16"/>
  <c r="I178" i="16"/>
  <c r="I179" i="16"/>
  <c r="I180" i="16"/>
  <c r="I181" i="16"/>
  <c r="I182" i="16"/>
  <c r="I183" i="16"/>
  <c r="I184" i="16"/>
  <c r="I185" i="16"/>
  <c r="I186" i="16"/>
  <c r="I187" i="16"/>
  <c r="I188" i="16"/>
  <c r="I189" i="16"/>
  <c r="I190" i="16"/>
  <c r="I191" i="16"/>
  <c r="I192" i="16"/>
  <c r="I193" i="16"/>
  <c r="I194" i="16"/>
  <c r="I195" i="16"/>
  <c r="I196" i="16"/>
  <c r="I197" i="16"/>
  <c r="I198" i="16"/>
  <c r="I199" i="16"/>
  <c r="I200" i="16"/>
  <c r="I201" i="16"/>
  <c r="I202" i="16"/>
  <c r="I203" i="16"/>
  <c r="I204" i="16"/>
  <c r="I205" i="16"/>
  <c r="I206" i="16"/>
  <c r="I207" i="16"/>
  <c r="I208" i="16"/>
  <c r="I209" i="16"/>
  <c r="I210" i="16"/>
  <c r="I211" i="16"/>
  <c r="I212" i="16"/>
  <c r="I213" i="16"/>
  <c r="I214" i="16"/>
  <c r="I215" i="16"/>
  <c r="I216" i="16"/>
  <c r="I217" i="16"/>
  <c r="I218" i="16"/>
  <c r="I219" i="16"/>
  <c r="I220" i="16"/>
  <c r="I221" i="16"/>
  <c r="I222" i="16"/>
  <c r="I223" i="16"/>
  <c r="I224" i="16"/>
  <c r="I225" i="16"/>
  <c r="I226" i="16"/>
  <c r="I227" i="16"/>
  <c r="I228" i="16"/>
  <c r="I229" i="16"/>
  <c r="I230" i="16"/>
  <c r="I231" i="16"/>
  <c r="I232" i="16"/>
  <c r="I233" i="16"/>
  <c r="I234" i="16"/>
  <c r="I235" i="16"/>
  <c r="I236" i="16"/>
  <c r="I237" i="16"/>
  <c r="I238" i="16"/>
  <c r="I239" i="16"/>
  <c r="I240" i="16"/>
  <c r="I241" i="16"/>
  <c r="I242" i="16"/>
  <c r="I243" i="16"/>
  <c r="I244" i="16"/>
  <c r="I245" i="16"/>
  <c r="I246" i="16"/>
  <c r="I247" i="16"/>
  <c r="I248" i="16"/>
  <c r="I249" i="16"/>
  <c r="I250" i="16"/>
  <c r="I251" i="16"/>
  <c r="I252" i="16"/>
  <c r="I253" i="16"/>
  <c r="I254" i="16"/>
  <c r="I255" i="16"/>
  <c r="I256" i="16"/>
  <c r="I257" i="16"/>
  <c r="I258" i="16"/>
  <c r="I259" i="16"/>
  <c r="I260" i="16"/>
  <c r="I261" i="16"/>
  <c r="I262" i="16"/>
  <c r="I263" i="16"/>
  <c r="I264" i="16"/>
  <c r="I265" i="16"/>
  <c r="I266" i="16"/>
  <c r="I267" i="16"/>
  <c r="I268" i="16"/>
  <c r="I269" i="16"/>
  <c r="I270" i="16"/>
  <c r="I271" i="16"/>
  <c r="I272" i="16"/>
  <c r="I273" i="16"/>
  <c r="I274" i="16"/>
  <c r="I275" i="16"/>
  <c r="I276" i="16"/>
  <c r="I277" i="16"/>
  <c r="I278" i="16"/>
  <c r="I279" i="16"/>
  <c r="I280" i="16"/>
  <c r="I281" i="16"/>
  <c r="I282" i="16"/>
  <c r="I283" i="16"/>
  <c r="I284" i="16"/>
  <c r="I285" i="16"/>
  <c r="I286" i="16"/>
  <c r="I287" i="16"/>
  <c r="I288" i="16"/>
  <c r="I289" i="16"/>
  <c r="I290" i="16"/>
  <c r="I291" i="16"/>
  <c r="I292" i="16"/>
  <c r="I293" i="16"/>
  <c r="I294" i="16"/>
  <c r="I295" i="16"/>
  <c r="I296" i="16"/>
  <c r="I297" i="16"/>
  <c r="I298" i="16"/>
  <c r="I299" i="16"/>
  <c r="I300" i="16"/>
  <c r="I301" i="16"/>
  <c r="I302" i="16"/>
  <c r="I303" i="16"/>
  <c r="I304" i="16"/>
  <c r="I305" i="16"/>
  <c r="I306" i="16"/>
  <c r="I307" i="16"/>
  <c r="I308" i="16"/>
  <c r="I309" i="16"/>
  <c r="I310" i="16"/>
  <c r="I311" i="16"/>
  <c r="I312" i="16"/>
  <c r="I313" i="16"/>
  <c r="I314" i="16"/>
  <c r="I315" i="16"/>
  <c r="I316" i="16"/>
  <c r="I317" i="16"/>
  <c r="I318" i="16"/>
  <c r="I319" i="16"/>
  <c r="I320" i="16"/>
  <c r="I321" i="16"/>
  <c r="I322" i="16"/>
  <c r="I323" i="16"/>
  <c r="I324" i="16"/>
  <c r="I325" i="16"/>
  <c r="I326" i="16"/>
  <c r="I327" i="16"/>
  <c r="I328" i="16"/>
  <c r="I329" i="16"/>
  <c r="I330" i="16"/>
  <c r="I331" i="16"/>
  <c r="I332" i="16"/>
  <c r="I333" i="16"/>
  <c r="I334" i="16"/>
  <c r="I335" i="16"/>
  <c r="I336" i="16"/>
  <c r="I337" i="16"/>
  <c r="I338" i="16"/>
  <c r="I339" i="16"/>
  <c r="I340" i="16"/>
  <c r="I341" i="16"/>
  <c r="I342" i="16"/>
  <c r="I343" i="16"/>
  <c r="I344" i="16"/>
  <c r="I345" i="16"/>
  <c r="I346" i="16"/>
  <c r="I347" i="16"/>
  <c r="I348" i="16"/>
  <c r="I349" i="16"/>
  <c r="I350" i="16"/>
  <c r="I351" i="16"/>
  <c r="I352" i="16"/>
  <c r="I353" i="16"/>
  <c r="I354" i="16"/>
  <c r="I355" i="16"/>
  <c r="I356" i="16"/>
  <c r="I357" i="16"/>
  <c r="I358" i="16"/>
  <c r="I359" i="16"/>
  <c r="I360" i="16"/>
  <c r="I361" i="16"/>
  <c r="I362" i="16"/>
  <c r="I363" i="16"/>
  <c r="I364" i="16"/>
  <c r="I365" i="16"/>
  <c r="I366" i="16"/>
  <c r="I367" i="16"/>
  <c r="I368" i="16"/>
  <c r="I369" i="16"/>
  <c r="I370" i="16"/>
  <c r="I371" i="16"/>
  <c r="I372" i="16"/>
  <c r="I373" i="16"/>
  <c r="I374" i="16"/>
  <c r="I375" i="16"/>
  <c r="I376" i="16"/>
  <c r="I377" i="16"/>
  <c r="I378" i="16"/>
  <c r="I379" i="16"/>
  <c r="I380" i="16"/>
  <c r="I381" i="16"/>
  <c r="I382" i="16"/>
  <c r="I383" i="16"/>
  <c r="I384" i="16"/>
  <c r="I385" i="16"/>
  <c r="I386" i="16"/>
  <c r="I387" i="16"/>
  <c r="I388" i="16"/>
  <c r="I389" i="16"/>
  <c r="I390" i="16"/>
  <c r="I391" i="16"/>
  <c r="I392" i="16"/>
  <c r="I393" i="16"/>
  <c r="I394" i="16"/>
  <c r="I395" i="16"/>
  <c r="I396" i="16"/>
  <c r="I397" i="16"/>
  <c r="I398" i="16"/>
  <c r="I399" i="16"/>
  <c r="I400" i="16"/>
  <c r="I401" i="16"/>
  <c r="I402" i="16"/>
  <c r="I403" i="16"/>
  <c r="I404" i="16"/>
  <c r="I405" i="16"/>
  <c r="I406" i="16"/>
  <c r="I407" i="16"/>
  <c r="I408" i="16"/>
  <c r="I409" i="16"/>
  <c r="I410" i="16"/>
  <c r="I411" i="16"/>
  <c r="I412" i="16"/>
  <c r="I413" i="16"/>
  <c r="I414" i="16"/>
  <c r="I415" i="16"/>
  <c r="I416" i="16"/>
  <c r="I417" i="16"/>
  <c r="I418" i="16"/>
  <c r="I419" i="16"/>
  <c r="I420" i="16"/>
  <c r="I421" i="16"/>
  <c r="I422" i="16"/>
  <c r="I423" i="16"/>
  <c r="I424" i="16"/>
  <c r="I425" i="16"/>
  <c r="I426" i="16"/>
  <c r="I427" i="16"/>
  <c r="I428" i="16"/>
  <c r="I429" i="16"/>
  <c r="I430" i="16"/>
  <c r="I431" i="16"/>
  <c r="I432" i="16"/>
  <c r="I433" i="16"/>
  <c r="I434" i="16"/>
  <c r="I435" i="16"/>
  <c r="I436" i="16"/>
  <c r="I437" i="16"/>
  <c r="I438" i="16"/>
  <c r="I439" i="16"/>
  <c r="I440" i="16"/>
  <c r="I441" i="16"/>
  <c r="I442" i="16"/>
  <c r="I443" i="16"/>
  <c r="I444" i="16"/>
  <c r="I445" i="16"/>
  <c r="I446" i="16"/>
  <c r="I447" i="16"/>
  <c r="I448" i="16"/>
  <c r="I449" i="16"/>
  <c r="I450" i="16"/>
  <c r="I451" i="16"/>
  <c r="I452" i="16"/>
  <c r="I453" i="16"/>
  <c r="I454" i="16"/>
  <c r="I455" i="16"/>
  <c r="I456" i="16"/>
  <c r="I457" i="16"/>
  <c r="I458" i="16"/>
  <c r="I459" i="16"/>
  <c r="I460" i="16"/>
  <c r="I461" i="16"/>
  <c r="I462" i="16"/>
  <c r="I463" i="16"/>
  <c r="I464" i="16"/>
  <c r="I465" i="16"/>
  <c r="I466" i="16"/>
  <c r="I467" i="16"/>
  <c r="I468" i="16"/>
  <c r="I469" i="16"/>
  <c r="I470" i="16"/>
  <c r="I471" i="16"/>
  <c r="I472" i="16"/>
  <c r="I473" i="16"/>
  <c r="I474" i="16"/>
  <c r="I475" i="16"/>
  <c r="I476" i="16"/>
  <c r="I477" i="16"/>
  <c r="I478" i="16"/>
  <c r="I479" i="16"/>
  <c r="I480" i="16"/>
  <c r="I481" i="16"/>
  <c r="I482" i="16"/>
  <c r="I483" i="16"/>
  <c r="I484" i="16"/>
  <c r="I485" i="16"/>
  <c r="I486" i="16"/>
  <c r="I487" i="16"/>
  <c r="I488" i="16"/>
  <c r="I489" i="16"/>
  <c r="I490" i="16"/>
  <c r="I491" i="16"/>
  <c r="I492" i="16"/>
  <c r="I493" i="16"/>
  <c r="I494" i="16"/>
  <c r="I495" i="16"/>
  <c r="I496" i="16"/>
  <c r="I497" i="16"/>
  <c r="I498" i="16"/>
  <c r="I499" i="16"/>
  <c r="I500" i="16"/>
  <c r="I501" i="16"/>
  <c r="I502" i="16"/>
  <c r="I503" i="16"/>
  <c r="I504" i="16"/>
  <c r="I505" i="16"/>
  <c r="I506" i="16"/>
  <c r="I507" i="16"/>
  <c r="I508" i="16"/>
  <c r="I509" i="16"/>
  <c r="I510" i="16"/>
  <c r="I511" i="16"/>
  <c r="I512" i="16"/>
  <c r="I513" i="16"/>
  <c r="I514" i="16"/>
  <c r="I515" i="16"/>
  <c r="I516" i="16"/>
  <c r="I517" i="16"/>
  <c r="I518" i="16"/>
  <c r="I519" i="16"/>
  <c r="I520" i="16"/>
  <c r="I521" i="16"/>
  <c r="I522" i="16"/>
  <c r="I523" i="16"/>
  <c r="I524" i="16"/>
  <c r="I525" i="16"/>
  <c r="I526" i="16"/>
  <c r="I527" i="16"/>
  <c r="I528" i="16"/>
  <c r="I529" i="16"/>
  <c r="I530" i="16"/>
  <c r="I531" i="16"/>
  <c r="I532" i="16"/>
  <c r="I533" i="16"/>
  <c r="I534" i="16"/>
  <c r="I535" i="16"/>
  <c r="I536" i="16"/>
  <c r="I537" i="16"/>
  <c r="I538" i="16"/>
  <c r="I539" i="16"/>
  <c r="I540" i="16"/>
  <c r="I541" i="16"/>
  <c r="I542" i="16"/>
  <c r="I543" i="16"/>
  <c r="I544" i="16"/>
  <c r="I545" i="16"/>
  <c r="I546" i="16"/>
  <c r="I547" i="16"/>
  <c r="I548" i="16"/>
  <c r="I549" i="16"/>
  <c r="I550" i="16"/>
  <c r="I551" i="16"/>
  <c r="I552" i="16"/>
  <c r="I553" i="16"/>
  <c r="I554" i="16"/>
  <c r="I555" i="16"/>
  <c r="I556" i="16"/>
  <c r="I557" i="16"/>
  <c r="I558" i="16"/>
  <c r="I559" i="16"/>
  <c r="I560" i="16"/>
  <c r="I561" i="16"/>
  <c r="I562" i="16"/>
  <c r="I563" i="16"/>
  <c r="I564" i="16"/>
  <c r="I565" i="16"/>
  <c r="I566" i="16"/>
  <c r="I567" i="16"/>
  <c r="I568" i="16"/>
  <c r="I569" i="16"/>
  <c r="I570" i="16"/>
  <c r="I571" i="16"/>
  <c r="I572" i="16"/>
  <c r="I573" i="16"/>
  <c r="I574" i="16"/>
  <c r="I575" i="16"/>
  <c r="I576" i="16"/>
  <c r="I577" i="16"/>
  <c r="I578" i="16"/>
  <c r="I579" i="16"/>
  <c r="I580" i="16"/>
  <c r="I581" i="16"/>
  <c r="I582" i="16"/>
  <c r="I583" i="16"/>
  <c r="I584" i="16"/>
  <c r="I585" i="16"/>
  <c r="I586" i="16"/>
  <c r="I587" i="16"/>
  <c r="I588" i="16"/>
  <c r="I589" i="16"/>
  <c r="I590" i="16"/>
  <c r="I591" i="16"/>
  <c r="I592" i="16"/>
  <c r="I593" i="16"/>
  <c r="I594" i="16"/>
  <c r="I595" i="16"/>
  <c r="I596" i="16"/>
  <c r="I597" i="16"/>
  <c r="I598" i="16"/>
  <c r="I599" i="16"/>
  <c r="I600" i="16"/>
  <c r="I601" i="16"/>
  <c r="I602" i="16"/>
  <c r="I603" i="16"/>
  <c r="I604" i="16"/>
  <c r="I2" i="16"/>
  <c r="F540" i="17"/>
  <c r="F539" i="17"/>
  <c r="H4" i="13" l="1"/>
  <c r="H5" i="13"/>
  <c r="H6" i="13"/>
  <c r="H7" i="13"/>
  <c r="H8" i="13"/>
  <c r="H9" i="13"/>
  <c r="H10" i="13"/>
  <c r="H11" i="13"/>
  <c r="H12" i="13"/>
  <c r="H13" i="13"/>
  <c r="H14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3" i="13"/>
  <c r="F4" i="13"/>
  <c r="F5" i="13"/>
  <c r="F6" i="13"/>
  <c r="F7" i="13"/>
  <c r="F8" i="13"/>
  <c r="F9" i="13"/>
  <c r="F10" i="13"/>
  <c r="F11" i="13"/>
  <c r="F12" i="13"/>
  <c r="F13" i="13"/>
  <c r="F14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3" i="13"/>
  <c r="E539" i="17" l="1"/>
  <c r="G539" i="17" s="1"/>
  <c r="E540" i="17"/>
  <c r="G540" i="17" s="1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D122" i="13"/>
  <c r="D129" i="13"/>
  <c r="D128" i="13"/>
  <c r="D127" i="13"/>
  <c r="D126" i="13"/>
  <c r="G121" i="13"/>
  <c r="D125" i="13"/>
  <c r="D124" i="13"/>
  <c r="D123" i="13"/>
  <c r="D121" i="13"/>
  <c r="G120" i="13"/>
  <c r="G4" i="13"/>
  <c r="G5" i="13"/>
  <c r="G6" i="13"/>
  <c r="G7" i="13"/>
  <c r="G8" i="13"/>
  <c r="G9" i="13"/>
  <c r="G10" i="13"/>
  <c r="G11" i="13"/>
  <c r="G12" i="13"/>
  <c r="G13" i="13"/>
  <c r="G14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3" i="13"/>
  <c r="F287" i="17"/>
  <c r="F286" i="17"/>
  <c r="F285" i="17"/>
  <c r="F284" i="17"/>
  <c r="I284" i="17"/>
  <c r="J284" i="17" s="1"/>
  <c r="I285" i="17"/>
  <c r="J285" i="17" s="1"/>
  <c r="I286" i="17"/>
  <c r="J286" i="17" s="1"/>
  <c r="I287" i="17"/>
  <c r="J287" i="17" s="1"/>
  <c r="I288" i="17"/>
  <c r="J288" i="17" s="1"/>
  <c r="F288" i="17"/>
  <c r="I3" i="8"/>
  <c r="I4" i="8"/>
  <c r="J4" i="8" s="1"/>
  <c r="I5" i="8"/>
  <c r="I6" i="8"/>
  <c r="I7" i="8"/>
  <c r="I8" i="8"/>
  <c r="I9" i="8"/>
  <c r="I10" i="8"/>
  <c r="J10" i="8" s="1"/>
  <c r="I11" i="8"/>
  <c r="J11" i="8" s="1"/>
  <c r="I12" i="8"/>
  <c r="I13" i="8"/>
  <c r="J13" i="8" s="1"/>
  <c r="I14" i="8"/>
  <c r="I15" i="8"/>
  <c r="I16" i="8"/>
  <c r="J16" i="8" s="1"/>
  <c r="I17" i="8"/>
  <c r="I18" i="8"/>
  <c r="I19" i="8"/>
  <c r="I20" i="8"/>
  <c r="I21" i="8"/>
  <c r="I22" i="8"/>
  <c r="J22" i="8" s="1"/>
  <c r="I23" i="8"/>
  <c r="J23" i="8" s="1"/>
  <c r="I24" i="8"/>
  <c r="I25" i="8"/>
  <c r="J25" i="8" s="1"/>
  <c r="I26" i="8"/>
  <c r="I27" i="8"/>
  <c r="I28" i="8"/>
  <c r="J28" i="8" s="1"/>
  <c r="I29" i="8"/>
  <c r="I30" i="8"/>
  <c r="I31" i="8"/>
  <c r="I32" i="8"/>
  <c r="I33" i="8"/>
  <c r="I34" i="8"/>
  <c r="J34" i="8" s="1"/>
  <c r="I35" i="8"/>
  <c r="J35" i="8" s="1"/>
  <c r="I36" i="8"/>
  <c r="I37" i="8"/>
  <c r="J37" i="8" s="1"/>
  <c r="I38" i="8"/>
  <c r="I39" i="8"/>
  <c r="I40" i="8"/>
  <c r="J40" i="8" s="1"/>
  <c r="I41" i="8"/>
  <c r="I42" i="8"/>
  <c r="I43" i="8"/>
  <c r="I44" i="8"/>
  <c r="I45" i="8"/>
  <c r="I46" i="8"/>
  <c r="J46" i="8" s="1"/>
  <c r="I47" i="8"/>
  <c r="J47" i="8" s="1"/>
  <c r="I48" i="8"/>
  <c r="I49" i="8"/>
  <c r="J49" i="8" s="1"/>
  <c r="I50" i="8"/>
  <c r="I51" i="8"/>
  <c r="I52" i="8"/>
  <c r="J52" i="8" s="1"/>
  <c r="I53" i="8"/>
  <c r="I54" i="8"/>
  <c r="I55" i="8"/>
  <c r="I56" i="8"/>
  <c r="I57" i="8"/>
  <c r="I58" i="8"/>
  <c r="J58" i="8" s="1"/>
  <c r="I59" i="8"/>
  <c r="J59" i="8" s="1"/>
  <c r="I60" i="8"/>
  <c r="I61" i="8"/>
  <c r="J61" i="8" s="1"/>
  <c r="I62" i="8"/>
  <c r="I63" i="8"/>
  <c r="I64" i="8"/>
  <c r="J64" i="8" s="1"/>
  <c r="I65" i="8"/>
  <c r="I66" i="8"/>
  <c r="I67" i="8"/>
  <c r="I68" i="8"/>
  <c r="I69" i="8"/>
  <c r="I70" i="8"/>
  <c r="J70" i="8" s="1"/>
  <c r="I71" i="8"/>
  <c r="J71" i="8" s="1"/>
  <c r="I72" i="8"/>
  <c r="I73" i="8"/>
  <c r="J73" i="8" s="1"/>
  <c r="I74" i="8"/>
  <c r="I75" i="8"/>
  <c r="I76" i="8"/>
  <c r="J76" i="8" s="1"/>
  <c r="I77" i="8"/>
  <c r="I78" i="8"/>
  <c r="I79" i="8"/>
  <c r="I80" i="8"/>
  <c r="I81" i="8"/>
  <c r="I82" i="8"/>
  <c r="J82" i="8" s="1"/>
  <c r="I83" i="8"/>
  <c r="J83" i="8" s="1"/>
  <c r="I84" i="8"/>
  <c r="I85" i="8"/>
  <c r="J85" i="8" s="1"/>
  <c r="I86" i="8"/>
  <c r="I87" i="8"/>
  <c r="I88" i="8"/>
  <c r="J88" i="8" s="1"/>
  <c r="I89" i="8"/>
  <c r="I90" i="8"/>
  <c r="I91" i="8"/>
  <c r="I92" i="8"/>
  <c r="I93" i="8"/>
  <c r="I94" i="8"/>
  <c r="J94" i="8" s="1"/>
  <c r="I95" i="8"/>
  <c r="J95" i="8" s="1"/>
  <c r="I96" i="8"/>
  <c r="I97" i="8"/>
  <c r="J97" i="8" s="1"/>
  <c r="I98" i="8"/>
  <c r="I99" i="8"/>
  <c r="I100" i="8"/>
  <c r="J100" i="8" s="1"/>
  <c r="I101" i="8"/>
  <c r="I102" i="8"/>
  <c r="I103" i="8"/>
  <c r="I104" i="8"/>
  <c r="I105" i="8"/>
  <c r="I106" i="8"/>
  <c r="J106" i="8" s="1"/>
  <c r="I107" i="8"/>
  <c r="J107" i="8" s="1"/>
  <c r="I108" i="8"/>
  <c r="I109" i="8"/>
  <c r="J109" i="8" s="1"/>
  <c r="I110" i="8"/>
  <c r="I111" i="8"/>
  <c r="I112" i="8"/>
  <c r="J112" i="8" s="1"/>
  <c r="I113" i="8"/>
  <c r="I114" i="8"/>
  <c r="I115" i="8"/>
  <c r="I116" i="8"/>
  <c r="I117" i="8"/>
  <c r="I118" i="8"/>
  <c r="J118" i="8" s="1"/>
  <c r="I119" i="8"/>
  <c r="J119" i="8" s="1"/>
  <c r="I120" i="8"/>
  <c r="I121" i="8"/>
  <c r="J121" i="8" s="1"/>
  <c r="I122" i="8"/>
  <c r="I123" i="8"/>
  <c r="I124" i="8"/>
  <c r="J124" i="8" s="1"/>
  <c r="I125" i="8"/>
  <c r="I126" i="8"/>
  <c r="I127" i="8"/>
  <c r="I128" i="8"/>
  <c r="I129" i="8"/>
  <c r="I130" i="8"/>
  <c r="J130" i="8" s="1"/>
  <c r="I131" i="8"/>
  <c r="J131" i="8" s="1"/>
  <c r="I132" i="8"/>
  <c r="I133" i="8"/>
  <c r="J133" i="8" s="1"/>
  <c r="I134" i="8"/>
  <c r="I135" i="8"/>
  <c r="I136" i="8"/>
  <c r="J136" i="8" s="1"/>
  <c r="I137" i="8"/>
  <c r="I138" i="8"/>
  <c r="I139" i="8"/>
  <c r="I140" i="8"/>
  <c r="I141" i="8"/>
  <c r="I142" i="8"/>
  <c r="J142" i="8" s="1"/>
  <c r="I143" i="8"/>
  <c r="J143" i="8" s="1"/>
  <c r="I144" i="8"/>
  <c r="I145" i="8"/>
  <c r="J145" i="8" s="1"/>
  <c r="I146" i="8"/>
  <c r="I147" i="8"/>
  <c r="I148" i="8"/>
  <c r="J148" i="8" s="1"/>
  <c r="I149" i="8"/>
  <c r="I150" i="8"/>
  <c r="I151" i="8"/>
  <c r="I152" i="8"/>
  <c r="I153" i="8"/>
  <c r="I154" i="8"/>
  <c r="J154" i="8" s="1"/>
  <c r="I155" i="8"/>
  <c r="J155" i="8" s="1"/>
  <c r="I156" i="8"/>
  <c r="I157" i="8"/>
  <c r="J157" i="8" s="1"/>
  <c r="I158" i="8"/>
  <c r="I159" i="8"/>
  <c r="I160" i="8"/>
  <c r="J160" i="8" s="1"/>
  <c r="I161" i="8"/>
  <c r="I162" i="8"/>
  <c r="I163" i="8"/>
  <c r="I164" i="8"/>
  <c r="I165" i="8"/>
  <c r="I166" i="8"/>
  <c r="J166" i="8" s="1"/>
  <c r="I167" i="8"/>
  <c r="J167" i="8" s="1"/>
  <c r="I168" i="8"/>
  <c r="I169" i="8"/>
  <c r="J169" i="8" s="1"/>
  <c r="I170" i="8"/>
  <c r="I171" i="8"/>
  <c r="I172" i="8"/>
  <c r="J172" i="8" s="1"/>
  <c r="I173" i="8"/>
  <c r="I174" i="8"/>
  <c r="I175" i="8"/>
  <c r="I176" i="8"/>
  <c r="I177" i="8"/>
  <c r="I178" i="8"/>
  <c r="J178" i="8" s="1"/>
  <c r="I179" i="8"/>
  <c r="J179" i="8" s="1"/>
  <c r="I180" i="8"/>
  <c r="I181" i="8"/>
  <c r="J181" i="8" s="1"/>
  <c r="I182" i="8"/>
  <c r="I183" i="8"/>
  <c r="I184" i="8"/>
  <c r="J184" i="8" s="1"/>
  <c r="I185" i="8"/>
  <c r="I186" i="8"/>
  <c r="I187" i="8"/>
  <c r="I188" i="8"/>
  <c r="I189" i="8"/>
  <c r="I190" i="8"/>
  <c r="J190" i="8" s="1"/>
  <c r="I191" i="8"/>
  <c r="J191" i="8" s="1"/>
  <c r="I192" i="8"/>
  <c r="I193" i="8"/>
  <c r="J193" i="8" s="1"/>
  <c r="I194" i="8"/>
  <c r="I195" i="8"/>
  <c r="I196" i="8"/>
  <c r="J196" i="8" s="1"/>
  <c r="I197" i="8"/>
  <c r="I198" i="8"/>
  <c r="I199" i="8"/>
  <c r="I200" i="8"/>
  <c r="I201" i="8"/>
  <c r="I202" i="8"/>
  <c r="J202" i="8" s="1"/>
  <c r="I203" i="8"/>
  <c r="J203" i="8" s="1"/>
  <c r="I204" i="8"/>
  <c r="I205" i="8"/>
  <c r="J205" i="8" s="1"/>
  <c r="I206" i="8"/>
  <c r="I207" i="8"/>
  <c r="I208" i="8"/>
  <c r="J208" i="8" s="1"/>
  <c r="I209" i="8"/>
  <c r="I210" i="8"/>
  <c r="I211" i="8"/>
  <c r="I212" i="8"/>
  <c r="I213" i="8"/>
  <c r="I214" i="8"/>
  <c r="J214" i="8" s="1"/>
  <c r="I215" i="8"/>
  <c r="J215" i="8" s="1"/>
  <c r="I216" i="8"/>
  <c r="I217" i="8"/>
  <c r="J217" i="8" s="1"/>
  <c r="I218" i="8"/>
  <c r="I219" i="8"/>
  <c r="I220" i="8"/>
  <c r="J220" i="8" s="1"/>
  <c r="I221" i="8"/>
  <c r="I222" i="8"/>
  <c r="I223" i="8"/>
  <c r="I224" i="8"/>
  <c r="I225" i="8"/>
  <c r="I226" i="8"/>
  <c r="J226" i="8" s="1"/>
  <c r="I227" i="8"/>
  <c r="J227" i="8" s="1"/>
  <c r="I228" i="8"/>
  <c r="I229" i="8"/>
  <c r="J229" i="8" s="1"/>
  <c r="I230" i="8"/>
  <c r="I231" i="8"/>
  <c r="I232" i="8"/>
  <c r="J232" i="8" s="1"/>
  <c r="I233" i="8"/>
  <c r="I234" i="8"/>
  <c r="I235" i="8"/>
  <c r="I236" i="8"/>
  <c r="I237" i="8"/>
  <c r="I238" i="8"/>
  <c r="J238" i="8" s="1"/>
  <c r="I239" i="8"/>
  <c r="J239" i="8" s="1"/>
  <c r="I240" i="8"/>
  <c r="I241" i="8"/>
  <c r="J241" i="8" s="1"/>
  <c r="I242" i="8"/>
  <c r="I243" i="8"/>
  <c r="I244" i="8"/>
  <c r="J244" i="8" s="1"/>
  <c r="I245" i="8"/>
  <c r="I246" i="8"/>
  <c r="I247" i="8"/>
  <c r="I248" i="8"/>
  <c r="I249" i="8"/>
  <c r="I250" i="8"/>
  <c r="J250" i="8" s="1"/>
  <c r="I251" i="8"/>
  <c r="J251" i="8" s="1"/>
  <c r="I252" i="8"/>
  <c r="I253" i="8"/>
  <c r="J253" i="8" s="1"/>
  <c r="I254" i="8"/>
  <c r="I255" i="8"/>
  <c r="I256" i="8"/>
  <c r="J256" i="8" s="1"/>
  <c r="I257" i="8"/>
  <c r="I258" i="8"/>
  <c r="I259" i="8"/>
  <c r="I260" i="8"/>
  <c r="I261" i="8"/>
  <c r="I262" i="8"/>
  <c r="J262" i="8" s="1"/>
  <c r="I263" i="8"/>
  <c r="J263" i="8" s="1"/>
  <c r="I264" i="8"/>
  <c r="I265" i="8"/>
  <c r="J265" i="8" s="1"/>
  <c r="I266" i="8"/>
  <c r="I267" i="8"/>
  <c r="I268" i="8"/>
  <c r="J268" i="8" s="1"/>
  <c r="I269" i="8"/>
  <c r="I270" i="8"/>
  <c r="I271" i="8"/>
  <c r="I272" i="8"/>
  <c r="I273" i="8"/>
  <c r="I274" i="8"/>
  <c r="J274" i="8" s="1"/>
  <c r="I275" i="8"/>
  <c r="J275" i="8" s="1"/>
  <c r="I276" i="8"/>
  <c r="I277" i="8"/>
  <c r="J277" i="8" s="1"/>
  <c r="I278" i="8"/>
  <c r="I279" i="8"/>
  <c r="I280" i="8"/>
  <c r="J280" i="8" s="1"/>
  <c r="I281" i="8"/>
  <c r="I282" i="8"/>
  <c r="I283" i="8"/>
  <c r="I284" i="8"/>
  <c r="I285" i="8"/>
  <c r="I286" i="8"/>
  <c r="J286" i="8" s="1"/>
  <c r="I287" i="8"/>
  <c r="J287" i="8" s="1"/>
  <c r="I288" i="8"/>
  <c r="I289" i="8"/>
  <c r="J289" i="8" s="1"/>
  <c r="I290" i="8"/>
  <c r="I291" i="8"/>
  <c r="I292" i="8"/>
  <c r="J292" i="8" s="1"/>
  <c r="I293" i="8"/>
  <c r="I294" i="8"/>
  <c r="I295" i="8"/>
  <c r="I296" i="8"/>
  <c r="I297" i="8"/>
  <c r="I298" i="8"/>
  <c r="J298" i="8" s="1"/>
  <c r="I299" i="8"/>
  <c r="J299" i="8" s="1"/>
  <c r="I300" i="8"/>
  <c r="I301" i="8"/>
  <c r="J301" i="8" s="1"/>
  <c r="I302" i="8"/>
  <c r="I303" i="8"/>
  <c r="I304" i="8"/>
  <c r="J304" i="8" s="1"/>
  <c r="I305" i="8"/>
  <c r="I306" i="8"/>
  <c r="I307" i="8"/>
  <c r="I308" i="8"/>
  <c r="I309" i="8"/>
  <c r="I310" i="8"/>
  <c r="J310" i="8" s="1"/>
  <c r="I311" i="8"/>
  <c r="J311" i="8" s="1"/>
  <c r="I312" i="8"/>
  <c r="I313" i="8"/>
  <c r="J313" i="8" s="1"/>
  <c r="I314" i="8"/>
  <c r="I315" i="8"/>
  <c r="I316" i="8"/>
  <c r="J316" i="8" s="1"/>
  <c r="I317" i="8"/>
  <c r="I318" i="8"/>
  <c r="I319" i="8"/>
  <c r="I320" i="8"/>
  <c r="I321" i="8"/>
  <c r="I322" i="8"/>
  <c r="J322" i="8" s="1"/>
  <c r="I323" i="8"/>
  <c r="J323" i="8" s="1"/>
  <c r="I324" i="8"/>
  <c r="I325" i="8"/>
  <c r="J325" i="8" s="1"/>
  <c r="I326" i="8"/>
  <c r="I327" i="8"/>
  <c r="I328" i="8"/>
  <c r="J328" i="8" s="1"/>
  <c r="I329" i="8"/>
  <c r="I330" i="8"/>
  <c r="I331" i="8"/>
  <c r="I332" i="8"/>
  <c r="I333" i="8"/>
  <c r="I334" i="8"/>
  <c r="J334" i="8" s="1"/>
  <c r="I335" i="8"/>
  <c r="J335" i="8" s="1"/>
  <c r="I336" i="8"/>
  <c r="I337" i="8"/>
  <c r="J337" i="8" s="1"/>
  <c r="I338" i="8"/>
  <c r="I339" i="8"/>
  <c r="I340" i="8"/>
  <c r="J340" i="8" s="1"/>
  <c r="I341" i="8"/>
  <c r="I342" i="8"/>
  <c r="I343" i="8"/>
  <c r="I344" i="8"/>
  <c r="I345" i="8"/>
  <c r="I346" i="8"/>
  <c r="J346" i="8" s="1"/>
  <c r="I347" i="8"/>
  <c r="J347" i="8" s="1"/>
  <c r="I348" i="8"/>
  <c r="I349" i="8"/>
  <c r="J349" i="8" s="1"/>
  <c r="I350" i="8"/>
  <c r="I351" i="8"/>
  <c r="I352" i="8"/>
  <c r="J352" i="8" s="1"/>
  <c r="I353" i="8"/>
  <c r="I354" i="8"/>
  <c r="I355" i="8"/>
  <c r="I356" i="8"/>
  <c r="I357" i="8"/>
  <c r="I358" i="8"/>
  <c r="J358" i="8" s="1"/>
  <c r="I359" i="8"/>
  <c r="J359" i="8" s="1"/>
  <c r="I360" i="8"/>
  <c r="I361" i="8"/>
  <c r="J361" i="8" s="1"/>
  <c r="I362" i="8"/>
  <c r="I363" i="8"/>
  <c r="I364" i="8"/>
  <c r="J364" i="8" s="1"/>
  <c r="I365" i="8"/>
  <c r="I366" i="8"/>
  <c r="I367" i="8"/>
  <c r="I368" i="8"/>
  <c r="I369" i="8"/>
  <c r="I370" i="8"/>
  <c r="J370" i="8" s="1"/>
  <c r="I371" i="8"/>
  <c r="J371" i="8" s="1"/>
  <c r="I372" i="8"/>
  <c r="I373" i="8"/>
  <c r="J373" i="8" s="1"/>
  <c r="I374" i="8"/>
  <c r="I375" i="8"/>
  <c r="I376" i="8"/>
  <c r="J376" i="8" s="1"/>
  <c r="I377" i="8"/>
  <c r="I378" i="8"/>
  <c r="I379" i="8"/>
  <c r="I380" i="8"/>
  <c r="I381" i="8"/>
  <c r="I382" i="8"/>
  <c r="J382" i="8" s="1"/>
  <c r="I383" i="8"/>
  <c r="J383" i="8" s="1"/>
  <c r="I384" i="8"/>
  <c r="I385" i="8"/>
  <c r="J385" i="8" s="1"/>
  <c r="I386" i="8"/>
  <c r="I387" i="8"/>
  <c r="I388" i="8"/>
  <c r="J388" i="8" s="1"/>
  <c r="I389" i="8"/>
  <c r="I390" i="8"/>
  <c r="I391" i="8"/>
  <c r="I392" i="8"/>
  <c r="I393" i="8"/>
  <c r="I394" i="8"/>
  <c r="J394" i="8" s="1"/>
  <c r="I395" i="8"/>
  <c r="J395" i="8" s="1"/>
  <c r="I396" i="8"/>
  <c r="I397" i="8"/>
  <c r="J397" i="8" s="1"/>
  <c r="I398" i="8"/>
  <c r="I399" i="8"/>
  <c r="I400" i="8"/>
  <c r="J400" i="8" s="1"/>
  <c r="I401" i="8"/>
  <c r="I402" i="8"/>
  <c r="I403" i="8"/>
  <c r="I404" i="8"/>
  <c r="I405" i="8"/>
  <c r="I406" i="8"/>
  <c r="J406" i="8" s="1"/>
  <c r="I407" i="8"/>
  <c r="J407" i="8" s="1"/>
  <c r="I408" i="8"/>
  <c r="I409" i="8"/>
  <c r="J409" i="8" s="1"/>
  <c r="I410" i="8"/>
  <c r="I411" i="8"/>
  <c r="I412" i="8"/>
  <c r="J412" i="8" s="1"/>
  <c r="I2" i="8"/>
  <c r="I3" i="17"/>
  <c r="J3" i="17" s="1"/>
  <c r="I4" i="17"/>
  <c r="J4" i="17" s="1"/>
  <c r="I5" i="17"/>
  <c r="J5" i="17" s="1"/>
  <c r="I6" i="17"/>
  <c r="J6" i="17" s="1"/>
  <c r="I7" i="17"/>
  <c r="J7" i="17" s="1"/>
  <c r="I8" i="17"/>
  <c r="J8" i="17" s="1"/>
  <c r="I9" i="17"/>
  <c r="J9" i="17" s="1"/>
  <c r="I10" i="17"/>
  <c r="J10" i="17" s="1"/>
  <c r="I11" i="17"/>
  <c r="J11" i="17" s="1"/>
  <c r="I12" i="17"/>
  <c r="J12" i="17" s="1"/>
  <c r="I13" i="17"/>
  <c r="J13" i="17" s="1"/>
  <c r="I14" i="17"/>
  <c r="J14" i="17" s="1"/>
  <c r="I15" i="17"/>
  <c r="J15" i="17" s="1"/>
  <c r="I16" i="17"/>
  <c r="J16" i="17" s="1"/>
  <c r="I17" i="17"/>
  <c r="J17" i="17" s="1"/>
  <c r="I18" i="17"/>
  <c r="J18" i="17" s="1"/>
  <c r="I19" i="17"/>
  <c r="J19" i="17" s="1"/>
  <c r="I20" i="17"/>
  <c r="J20" i="17" s="1"/>
  <c r="I21" i="17"/>
  <c r="J21" i="17" s="1"/>
  <c r="I22" i="17"/>
  <c r="J22" i="17" s="1"/>
  <c r="I23" i="17"/>
  <c r="J23" i="17" s="1"/>
  <c r="I24" i="17"/>
  <c r="J24" i="17" s="1"/>
  <c r="I25" i="17"/>
  <c r="J25" i="17" s="1"/>
  <c r="I26" i="17"/>
  <c r="J26" i="17" s="1"/>
  <c r="I27" i="17"/>
  <c r="J27" i="17" s="1"/>
  <c r="I28" i="17"/>
  <c r="J28" i="17" s="1"/>
  <c r="I29" i="17"/>
  <c r="J29" i="17" s="1"/>
  <c r="I30" i="17"/>
  <c r="J30" i="17" s="1"/>
  <c r="I31" i="17"/>
  <c r="J31" i="17" s="1"/>
  <c r="I32" i="17"/>
  <c r="J32" i="17" s="1"/>
  <c r="I33" i="17"/>
  <c r="J33" i="17" s="1"/>
  <c r="I34" i="17"/>
  <c r="J34" i="17" s="1"/>
  <c r="I35" i="17"/>
  <c r="J35" i="17" s="1"/>
  <c r="I36" i="17"/>
  <c r="J36" i="17" s="1"/>
  <c r="I37" i="17"/>
  <c r="J37" i="17" s="1"/>
  <c r="I38" i="17"/>
  <c r="J38" i="17" s="1"/>
  <c r="I39" i="17"/>
  <c r="J39" i="17" s="1"/>
  <c r="I40" i="17"/>
  <c r="J40" i="17" s="1"/>
  <c r="I41" i="17"/>
  <c r="J41" i="17" s="1"/>
  <c r="I42" i="17"/>
  <c r="J42" i="17" s="1"/>
  <c r="I43" i="17"/>
  <c r="J43" i="17" s="1"/>
  <c r="I44" i="17"/>
  <c r="J44" i="17" s="1"/>
  <c r="I45" i="17"/>
  <c r="J45" i="17" s="1"/>
  <c r="I46" i="17"/>
  <c r="J46" i="17" s="1"/>
  <c r="I47" i="17"/>
  <c r="J47" i="17" s="1"/>
  <c r="I48" i="17"/>
  <c r="J48" i="17" s="1"/>
  <c r="I49" i="17"/>
  <c r="J49" i="17" s="1"/>
  <c r="I50" i="17"/>
  <c r="J50" i="17" s="1"/>
  <c r="I51" i="17"/>
  <c r="J51" i="17" s="1"/>
  <c r="I52" i="17"/>
  <c r="J52" i="17" s="1"/>
  <c r="I53" i="17"/>
  <c r="J53" i="17" s="1"/>
  <c r="I54" i="17"/>
  <c r="J54" i="17" s="1"/>
  <c r="I55" i="17"/>
  <c r="J55" i="17" s="1"/>
  <c r="I56" i="17"/>
  <c r="J56" i="17" s="1"/>
  <c r="I57" i="17"/>
  <c r="J57" i="17" s="1"/>
  <c r="I58" i="17"/>
  <c r="J58" i="17" s="1"/>
  <c r="I59" i="17"/>
  <c r="I60" i="17"/>
  <c r="J60" i="17" s="1"/>
  <c r="I61" i="17"/>
  <c r="J61" i="17" s="1"/>
  <c r="I62" i="17"/>
  <c r="J62" i="17" s="1"/>
  <c r="I63" i="17"/>
  <c r="J63" i="17" s="1"/>
  <c r="I64" i="17"/>
  <c r="J64" i="17" s="1"/>
  <c r="I65" i="17"/>
  <c r="J65" i="17" s="1"/>
  <c r="I66" i="17"/>
  <c r="J66" i="17" s="1"/>
  <c r="I67" i="17"/>
  <c r="J67" i="17" s="1"/>
  <c r="I68" i="17"/>
  <c r="J68" i="17" s="1"/>
  <c r="I69" i="17"/>
  <c r="J69" i="17" s="1"/>
  <c r="I70" i="17"/>
  <c r="J70" i="17" s="1"/>
  <c r="I71" i="17"/>
  <c r="J71" i="17" s="1"/>
  <c r="I72" i="17"/>
  <c r="J72" i="17" s="1"/>
  <c r="I73" i="17"/>
  <c r="J73" i="17" s="1"/>
  <c r="I74" i="17"/>
  <c r="J74" i="17" s="1"/>
  <c r="I75" i="17"/>
  <c r="J75" i="17" s="1"/>
  <c r="I76" i="17"/>
  <c r="J76" i="17" s="1"/>
  <c r="I77" i="17"/>
  <c r="J77" i="17" s="1"/>
  <c r="I78" i="17"/>
  <c r="J78" i="17" s="1"/>
  <c r="I79" i="17"/>
  <c r="J79" i="17" s="1"/>
  <c r="I80" i="17"/>
  <c r="J80" i="17" s="1"/>
  <c r="I81" i="17"/>
  <c r="J81" i="17" s="1"/>
  <c r="I82" i="17"/>
  <c r="J82" i="17" s="1"/>
  <c r="I83" i="17"/>
  <c r="J83" i="17" s="1"/>
  <c r="I84" i="17"/>
  <c r="J84" i="17" s="1"/>
  <c r="I85" i="17"/>
  <c r="J85" i="17" s="1"/>
  <c r="I86" i="17"/>
  <c r="J86" i="17" s="1"/>
  <c r="I87" i="17"/>
  <c r="J87" i="17" s="1"/>
  <c r="I88" i="17"/>
  <c r="J88" i="17" s="1"/>
  <c r="I89" i="17"/>
  <c r="J89" i="17" s="1"/>
  <c r="I90" i="17"/>
  <c r="J90" i="17" s="1"/>
  <c r="I91" i="17"/>
  <c r="J91" i="17" s="1"/>
  <c r="I92" i="17"/>
  <c r="J92" i="17" s="1"/>
  <c r="I93" i="17"/>
  <c r="J93" i="17" s="1"/>
  <c r="I94" i="17"/>
  <c r="J94" i="17" s="1"/>
  <c r="I95" i="17"/>
  <c r="J95" i="17" s="1"/>
  <c r="I96" i="17"/>
  <c r="J96" i="17" s="1"/>
  <c r="I97" i="17"/>
  <c r="J97" i="17" s="1"/>
  <c r="I98" i="17"/>
  <c r="J98" i="17" s="1"/>
  <c r="I99" i="17"/>
  <c r="J99" i="17" s="1"/>
  <c r="I100" i="17"/>
  <c r="J100" i="17" s="1"/>
  <c r="I101" i="17"/>
  <c r="J101" i="17" s="1"/>
  <c r="I102" i="17"/>
  <c r="J102" i="17" s="1"/>
  <c r="I103" i="17"/>
  <c r="J103" i="17" s="1"/>
  <c r="I104" i="17"/>
  <c r="J104" i="17" s="1"/>
  <c r="I105" i="17"/>
  <c r="J105" i="17" s="1"/>
  <c r="I106" i="17"/>
  <c r="J106" i="17" s="1"/>
  <c r="I107" i="17"/>
  <c r="J107" i="17" s="1"/>
  <c r="I108" i="17"/>
  <c r="J108" i="17" s="1"/>
  <c r="I109" i="17"/>
  <c r="J109" i="17" s="1"/>
  <c r="I110" i="17"/>
  <c r="J110" i="17" s="1"/>
  <c r="I111" i="17"/>
  <c r="J111" i="17" s="1"/>
  <c r="I112" i="17"/>
  <c r="J112" i="17" s="1"/>
  <c r="I113" i="17"/>
  <c r="J113" i="17" s="1"/>
  <c r="I114" i="17"/>
  <c r="J114" i="17" s="1"/>
  <c r="I115" i="17"/>
  <c r="J115" i="17" s="1"/>
  <c r="I116" i="17"/>
  <c r="J116" i="17" s="1"/>
  <c r="I117" i="17"/>
  <c r="J117" i="17" s="1"/>
  <c r="I118" i="17"/>
  <c r="J118" i="17" s="1"/>
  <c r="I119" i="17"/>
  <c r="J119" i="17" s="1"/>
  <c r="I120" i="17"/>
  <c r="J120" i="17" s="1"/>
  <c r="I121" i="17"/>
  <c r="J121" i="17" s="1"/>
  <c r="I122" i="17"/>
  <c r="J122" i="17" s="1"/>
  <c r="I123" i="17"/>
  <c r="J123" i="17" s="1"/>
  <c r="I124" i="17"/>
  <c r="J124" i="17" s="1"/>
  <c r="I125" i="17"/>
  <c r="J125" i="17" s="1"/>
  <c r="I126" i="17"/>
  <c r="J126" i="17" s="1"/>
  <c r="I127" i="17"/>
  <c r="J127" i="17" s="1"/>
  <c r="I128" i="17"/>
  <c r="J128" i="17" s="1"/>
  <c r="I129" i="17"/>
  <c r="J129" i="17" s="1"/>
  <c r="I130" i="17"/>
  <c r="J130" i="17" s="1"/>
  <c r="I131" i="17"/>
  <c r="J131" i="17" s="1"/>
  <c r="I132" i="17"/>
  <c r="J132" i="17" s="1"/>
  <c r="I133" i="17"/>
  <c r="J133" i="17" s="1"/>
  <c r="I134" i="17"/>
  <c r="J134" i="17" s="1"/>
  <c r="I135" i="17"/>
  <c r="J135" i="17" s="1"/>
  <c r="I136" i="17"/>
  <c r="J136" i="17" s="1"/>
  <c r="I137" i="17"/>
  <c r="J137" i="17" s="1"/>
  <c r="I138" i="17"/>
  <c r="J138" i="17" s="1"/>
  <c r="I139" i="17"/>
  <c r="J139" i="17" s="1"/>
  <c r="I140" i="17"/>
  <c r="J140" i="17" s="1"/>
  <c r="I141" i="17"/>
  <c r="J141" i="17" s="1"/>
  <c r="I142" i="17"/>
  <c r="J142" i="17" s="1"/>
  <c r="I143" i="17"/>
  <c r="J143" i="17" s="1"/>
  <c r="I144" i="17"/>
  <c r="J144" i="17" s="1"/>
  <c r="I145" i="17"/>
  <c r="J145" i="17" s="1"/>
  <c r="I146" i="17"/>
  <c r="J146" i="17" s="1"/>
  <c r="I147" i="17"/>
  <c r="J147" i="17" s="1"/>
  <c r="I148" i="17"/>
  <c r="J148" i="17" s="1"/>
  <c r="I149" i="17"/>
  <c r="J149" i="17" s="1"/>
  <c r="I150" i="17"/>
  <c r="J150" i="17" s="1"/>
  <c r="I151" i="17"/>
  <c r="J151" i="17" s="1"/>
  <c r="I152" i="17"/>
  <c r="J152" i="17" s="1"/>
  <c r="I153" i="17"/>
  <c r="J153" i="17" s="1"/>
  <c r="I154" i="17"/>
  <c r="J154" i="17" s="1"/>
  <c r="I155" i="17"/>
  <c r="J155" i="17" s="1"/>
  <c r="I156" i="17"/>
  <c r="J156" i="17" s="1"/>
  <c r="I157" i="17"/>
  <c r="J157" i="17" s="1"/>
  <c r="I158" i="17"/>
  <c r="J158" i="17" s="1"/>
  <c r="I159" i="17"/>
  <c r="J159" i="17" s="1"/>
  <c r="I160" i="17"/>
  <c r="J160" i="17" s="1"/>
  <c r="I161" i="17"/>
  <c r="J161" i="17" s="1"/>
  <c r="I162" i="17"/>
  <c r="J162" i="17" s="1"/>
  <c r="I163" i="17"/>
  <c r="J163" i="17" s="1"/>
  <c r="I164" i="17"/>
  <c r="J164" i="17" s="1"/>
  <c r="I165" i="17"/>
  <c r="J165" i="17" s="1"/>
  <c r="I166" i="17"/>
  <c r="J166" i="17" s="1"/>
  <c r="I167" i="17"/>
  <c r="J167" i="17" s="1"/>
  <c r="I168" i="17"/>
  <c r="J168" i="17" s="1"/>
  <c r="I169" i="17"/>
  <c r="J169" i="17" s="1"/>
  <c r="I170" i="17"/>
  <c r="J170" i="17" s="1"/>
  <c r="I171" i="17"/>
  <c r="J171" i="17" s="1"/>
  <c r="I172" i="17"/>
  <c r="J172" i="17" s="1"/>
  <c r="I173" i="17"/>
  <c r="J173" i="17" s="1"/>
  <c r="I174" i="17"/>
  <c r="J174" i="17" s="1"/>
  <c r="I175" i="17"/>
  <c r="J175" i="17" s="1"/>
  <c r="I176" i="17"/>
  <c r="J176" i="17" s="1"/>
  <c r="I177" i="17"/>
  <c r="J177" i="17" s="1"/>
  <c r="I178" i="17"/>
  <c r="J178" i="17" s="1"/>
  <c r="I179" i="17"/>
  <c r="J179" i="17" s="1"/>
  <c r="I180" i="17"/>
  <c r="J180" i="17" s="1"/>
  <c r="I181" i="17"/>
  <c r="J181" i="17" s="1"/>
  <c r="I182" i="17"/>
  <c r="J182" i="17" s="1"/>
  <c r="I183" i="17"/>
  <c r="J183" i="17" s="1"/>
  <c r="I184" i="17"/>
  <c r="J184" i="17" s="1"/>
  <c r="I185" i="17"/>
  <c r="J185" i="17" s="1"/>
  <c r="I186" i="17"/>
  <c r="J186" i="17" s="1"/>
  <c r="I187" i="17"/>
  <c r="J187" i="17" s="1"/>
  <c r="I188" i="17"/>
  <c r="J188" i="17" s="1"/>
  <c r="I189" i="17"/>
  <c r="J189" i="17" s="1"/>
  <c r="I190" i="17"/>
  <c r="J190" i="17" s="1"/>
  <c r="I191" i="17"/>
  <c r="I192" i="17"/>
  <c r="J192" i="17" s="1"/>
  <c r="I193" i="17"/>
  <c r="J193" i="17" s="1"/>
  <c r="I194" i="17"/>
  <c r="J194" i="17" s="1"/>
  <c r="I195" i="17"/>
  <c r="J195" i="17" s="1"/>
  <c r="I196" i="17"/>
  <c r="J196" i="17" s="1"/>
  <c r="I197" i="17"/>
  <c r="J197" i="17" s="1"/>
  <c r="I198" i="17"/>
  <c r="J198" i="17" s="1"/>
  <c r="I199" i="17"/>
  <c r="J199" i="17" s="1"/>
  <c r="I200" i="17"/>
  <c r="J200" i="17" s="1"/>
  <c r="I201" i="17"/>
  <c r="J201" i="17" s="1"/>
  <c r="I202" i="17"/>
  <c r="J202" i="17" s="1"/>
  <c r="I203" i="17"/>
  <c r="J203" i="17" s="1"/>
  <c r="I204" i="17"/>
  <c r="J204" i="17" s="1"/>
  <c r="I205" i="17"/>
  <c r="J205" i="17" s="1"/>
  <c r="I206" i="17"/>
  <c r="J206" i="17" s="1"/>
  <c r="I207" i="17"/>
  <c r="J207" i="17" s="1"/>
  <c r="I208" i="17"/>
  <c r="J208" i="17" s="1"/>
  <c r="I209" i="17"/>
  <c r="J209" i="17" s="1"/>
  <c r="I210" i="17"/>
  <c r="J210" i="17" s="1"/>
  <c r="I211" i="17"/>
  <c r="J211" i="17" s="1"/>
  <c r="I212" i="17"/>
  <c r="J212" i="17" s="1"/>
  <c r="I213" i="17"/>
  <c r="J213" i="17" s="1"/>
  <c r="I214" i="17"/>
  <c r="J214" i="17" s="1"/>
  <c r="I215" i="17"/>
  <c r="J215" i="17" s="1"/>
  <c r="I216" i="17"/>
  <c r="J216" i="17" s="1"/>
  <c r="I217" i="17"/>
  <c r="J217" i="17" s="1"/>
  <c r="I218" i="17"/>
  <c r="J218" i="17" s="1"/>
  <c r="I219" i="17"/>
  <c r="J219" i="17" s="1"/>
  <c r="I220" i="17"/>
  <c r="J220" i="17" s="1"/>
  <c r="I221" i="17"/>
  <c r="J221" i="17" s="1"/>
  <c r="I222" i="17"/>
  <c r="J222" i="17" s="1"/>
  <c r="I223" i="17"/>
  <c r="J223" i="17" s="1"/>
  <c r="I224" i="17"/>
  <c r="J224" i="17" s="1"/>
  <c r="I225" i="17"/>
  <c r="J225" i="17" s="1"/>
  <c r="I226" i="17"/>
  <c r="J226" i="17" s="1"/>
  <c r="I227" i="17"/>
  <c r="J227" i="17" s="1"/>
  <c r="I228" i="17"/>
  <c r="J228" i="17" s="1"/>
  <c r="I229" i="17"/>
  <c r="J229" i="17" s="1"/>
  <c r="I230" i="17"/>
  <c r="J230" i="17" s="1"/>
  <c r="I231" i="17"/>
  <c r="J231" i="17" s="1"/>
  <c r="I232" i="17"/>
  <c r="J232" i="17" s="1"/>
  <c r="I233" i="17"/>
  <c r="J233" i="17" s="1"/>
  <c r="I234" i="17"/>
  <c r="J234" i="17" s="1"/>
  <c r="I235" i="17"/>
  <c r="J235" i="17" s="1"/>
  <c r="I236" i="17"/>
  <c r="J236" i="17" s="1"/>
  <c r="I237" i="17"/>
  <c r="J237" i="17" s="1"/>
  <c r="I238" i="17"/>
  <c r="J238" i="17" s="1"/>
  <c r="I239" i="17"/>
  <c r="J239" i="17" s="1"/>
  <c r="I240" i="17"/>
  <c r="J240" i="17" s="1"/>
  <c r="I241" i="17"/>
  <c r="J241" i="17" s="1"/>
  <c r="I242" i="17"/>
  <c r="J242" i="17" s="1"/>
  <c r="I243" i="17"/>
  <c r="J243" i="17" s="1"/>
  <c r="I244" i="17"/>
  <c r="J244" i="17" s="1"/>
  <c r="I245" i="17"/>
  <c r="J245" i="17" s="1"/>
  <c r="I246" i="17"/>
  <c r="J246" i="17" s="1"/>
  <c r="I247" i="17"/>
  <c r="J247" i="17" s="1"/>
  <c r="I248" i="17"/>
  <c r="J248" i="17" s="1"/>
  <c r="I249" i="17"/>
  <c r="J249" i="17" s="1"/>
  <c r="I250" i="17"/>
  <c r="J250" i="17" s="1"/>
  <c r="I251" i="17"/>
  <c r="J251" i="17" s="1"/>
  <c r="I252" i="17"/>
  <c r="J252" i="17" s="1"/>
  <c r="I253" i="17"/>
  <c r="J253" i="17" s="1"/>
  <c r="I254" i="17"/>
  <c r="J254" i="17" s="1"/>
  <c r="I255" i="17"/>
  <c r="J255" i="17" s="1"/>
  <c r="I256" i="17"/>
  <c r="J256" i="17" s="1"/>
  <c r="I257" i="17"/>
  <c r="J257" i="17" s="1"/>
  <c r="I258" i="17"/>
  <c r="J258" i="17" s="1"/>
  <c r="I259" i="17"/>
  <c r="J259" i="17" s="1"/>
  <c r="I260" i="17"/>
  <c r="J260" i="17" s="1"/>
  <c r="I261" i="17"/>
  <c r="J261" i="17" s="1"/>
  <c r="I262" i="17"/>
  <c r="J262" i="17" s="1"/>
  <c r="I263" i="17"/>
  <c r="J263" i="17" s="1"/>
  <c r="I264" i="17"/>
  <c r="J264" i="17" s="1"/>
  <c r="I265" i="17"/>
  <c r="J265" i="17" s="1"/>
  <c r="I266" i="17"/>
  <c r="J266" i="17" s="1"/>
  <c r="I267" i="17"/>
  <c r="J267" i="17" s="1"/>
  <c r="I268" i="17"/>
  <c r="J268" i="17" s="1"/>
  <c r="I269" i="17"/>
  <c r="J269" i="17" s="1"/>
  <c r="I270" i="17"/>
  <c r="J270" i="17" s="1"/>
  <c r="I271" i="17"/>
  <c r="J271" i="17" s="1"/>
  <c r="I272" i="17"/>
  <c r="J272" i="17" s="1"/>
  <c r="I273" i="17"/>
  <c r="J273" i="17" s="1"/>
  <c r="I274" i="17"/>
  <c r="J274" i="17" s="1"/>
  <c r="I275" i="17"/>
  <c r="J275" i="17" s="1"/>
  <c r="I276" i="17"/>
  <c r="J276" i="17" s="1"/>
  <c r="I277" i="17"/>
  <c r="J277" i="17" s="1"/>
  <c r="I278" i="17"/>
  <c r="J278" i="17" s="1"/>
  <c r="I279" i="17"/>
  <c r="J279" i="17" s="1"/>
  <c r="I280" i="17"/>
  <c r="J280" i="17" s="1"/>
  <c r="I281" i="17"/>
  <c r="I282" i="17"/>
  <c r="J282" i="17" s="1"/>
  <c r="I283" i="17"/>
  <c r="J283" i="17" s="1"/>
  <c r="I289" i="17"/>
  <c r="J289" i="17" s="1"/>
  <c r="I290" i="17"/>
  <c r="J290" i="17" s="1"/>
  <c r="I291" i="17"/>
  <c r="J291" i="17" s="1"/>
  <c r="I292" i="17"/>
  <c r="J292" i="17" s="1"/>
  <c r="I293" i="17"/>
  <c r="J293" i="17" s="1"/>
  <c r="I294" i="17"/>
  <c r="J294" i="17" s="1"/>
  <c r="I295" i="17"/>
  <c r="J295" i="17" s="1"/>
  <c r="I296" i="17"/>
  <c r="J296" i="17" s="1"/>
  <c r="I297" i="17"/>
  <c r="J297" i="17" s="1"/>
  <c r="I298" i="17"/>
  <c r="J298" i="17" s="1"/>
  <c r="I299" i="17"/>
  <c r="J299" i="17" s="1"/>
  <c r="I300" i="17"/>
  <c r="J300" i="17" s="1"/>
  <c r="I301" i="17"/>
  <c r="J301" i="17" s="1"/>
  <c r="I302" i="17"/>
  <c r="J302" i="17" s="1"/>
  <c r="I303" i="17"/>
  <c r="J303" i="17" s="1"/>
  <c r="I304" i="17"/>
  <c r="J304" i="17" s="1"/>
  <c r="I305" i="17"/>
  <c r="J305" i="17" s="1"/>
  <c r="I306" i="17"/>
  <c r="J306" i="17" s="1"/>
  <c r="I307" i="17"/>
  <c r="J307" i="17" s="1"/>
  <c r="I308" i="17"/>
  <c r="J308" i="17" s="1"/>
  <c r="I309" i="17"/>
  <c r="J309" i="17" s="1"/>
  <c r="I310" i="17"/>
  <c r="J310" i="17" s="1"/>
  <c r="I311" i="17"/>
  <c r="J311" i="17" s="1"/>
  <c r="I312" i="17"/>
  <c r="J312" i="17" s="1"/>
  <c r="I313" i="17"/>
  <c r="J313" i="17" s="1"/>
  <c r="I314" i="17"/>
  <c r="J314" i="17" s="1"/>
  <c r="I315" i="17"/>
  <c r="J315" i="17" s="1"/>
  <c r="I316" i="17"/>
  <c r="J316" i="17" s="1"/>
  <c r="I317" i="17"/>
  <c r="J317" i="17" s="1"/>
  <c r="I318" i="17"/>
  <c r="J318" i="17" s="1"/>
  <c r="I319" i="17"/>
  <c r="J319" i="17" s="1"/>
  <c r="I320" i="17"/>
  <c r="J320" i="17" s="1"/>
  <c r="I321" i="17"/>
  <c r="J321" i="17" s="1"/>
  <c r="I322" i="17"/>
  <c r="J322" i="17" s="1"/>
  <c r="I323" i="17"/>
  <c r="J323" i="17" s="1"/>
  <c r="I324" i="17"/>
  <c r="J324" i="17" s="1"/>
  <c r="I325" i="17"/>
  <c r="J325" i="17" s="1"/>
  <c r="I326" i="17"/>
  <c r="J326" i="17" s="1"/>
  <c r="I327" i="17"/>
  <c r="J327" i="17" s="1"/>
  <c r="I328" i="17"/>
  <c r="J328" i="17" s="1"/>
  <c r="I329" i="17"/>
  <c r="J329" i="17" s="1"/>
  <c r="I330" i="17"/>
  <c r="J330" i="17" s="1"/>
  <c r="I331" i="17"/>
  <c r="J331" i="17" s="1"/>
  <c r="I332" i="17"/>
  <c r="J332" i="17" s="1"/>
  <c r="I333" i="17"/>
  <c r="J333" i="17" s="1"/>
  <c r="I334" i="17"/>
  <c r="J334" i="17" s="1"/>
  <c r="I335" i="17"/>
  <c r="J335" i="17" s="1"/>
  <c r="I336" i="17"/>
  <c r="J336" i="17" s="1"/>
  <c r="I337" i="17"/>
  <c r="J337" i="17" s="1"/>
  <c r="I338" i="17"/>
  <c r="J338" i="17" s="1"/>
  <c r="I339" i="17"/>
  <c r="J339" i="17" s="1"/>
  <c r="I340" i="17"/>
  <c r="J340" i="17" s="1"/>
  <c r="I341" i="17"/>
  <c r="J341" i="17" s="1"/>
  <c r="I342" i="17"/>
  <c r="J342" i="17" s="1"/>
  <c r="I343" i="17"/>
  <c r="J343" i="17" s="1"/>
  <c r="I344" i="17"/>
  <c r="J344" i="17" s="1"/>
  <c r="I345" i="17"/>
  <c r="J345" i="17" s="1"/>
  <c r="I346" i="17"/>
  <c r="J346" i="17" s="1"/>
  <c r="I347" i="17"/>
  <c r="J347" i="17" s="1"/>
  <c r="I348" i="17"/>
  <c r="J348" i="17" s="1"/>
  <c r="I349" i="17"/>
  <c r="J349" i="17" s="1"/>
  <c r="I350" i="17"/>
  <c r="J350" i="17" s="1"/>
  <c r="I351" i="17"/>
  <c r="J351" i="17" s="1"/>
  <c r="I352" i="17"/>
  <c r="J352" i="17" s="1"/>
  <c r="I353" i="17"/>
  <c r="J353" i="17" s="1"/>
  <c r="I354" i="17"/>
  <c r="J354" i="17" s="1"/>
  <c r="I355" i="17"/>
  <c r="J355" i="17" s="1"/>
  <c r="I356" i="17"/>
  <c r="J356" i="17" s="1"/>
  <c r="I357" i="17"/>
  <c r="J357" i="17" s="1"/>
  <c r="I358" i="17"/>
  <c r="J358" i="17" s="1"/>
  <c r="I359" i="17"/>
  <c r="J359" i="17" s="1"/>
  <c r="I360" i="17"/>
  <c r="J360" i="17" s="1"/>
  <c r="I361" i="17"/>
  <c r="J361" i="17" s="1"/>
  <c r="I362" i="17"/>
  <c r="J362" i="17" s="1"/>
  <c r="I363" i="17"/>
  <c r="J363" i="17" s="1"/>
  <c r="I364" i="17"/>
  <c r="J364" i="17" s="1"/>
  <c r="I365" i="17"/>
  <c r="J365" i="17" s="1"/>
  <c r="I366" i="17"/>
  <c r="J366" i="17" s="1"/>
  <c r="I367" i="17"/>
  <c r="J367" i="17" s="1"/>
  <c r="I368" i="17"/>
  <c r="J368" i="17" s="1"/>
  <c r="I369" i="17"/>
  <c r="J369" i="17" s="1"/>
  <c r="I370" i="17"/>
  <c r="J370" i="17" s="1"/>
  <c r="I371" i="17"/>
  <c r="J371" i="17" s="1"/>
  <c r="I372" i="17"/>
  <c r="J372" i="17" s="1"/>
  <c r="I373" i="17"/>
  <c r="J373" i="17" s="1"/>
  <c r="I374" i="17"/>
  <c r="J374" i="17" s="1"/>
  <c r="I375" i="17"/>
  <c r="J375" i="17" s="1"/>
  <c r="I376" i="17"/>
  <c r="J376" i="17" s="1"/>
  <c r="I377" i="17"/>
  <c r="J377" i="17" s="1"/>
  <c r="I378" i="17"/>
  <c r="J378" i="17" s="1"/>
  <c r="I379" i="17"/>
  <c r="J379" i="17" s="1"/>
  <c r="I380" i="17"/>
  <c r="J380" i="17" s="1"/>
  <c r="I381" i="17"/>
  <c r="J381" i="17" s="1"/>
  <c r="I382" i="17"/>
  <c r="I383" i="17"/>
  <c r="J383" i="17" s="1"/>
  <c r="I384" i="17"/>
  <c r="J384" i="17" s="1"/>
  <c r="I385" i="17"/>
  <c r="J385" i="17" s="1"/>
  <c r="I386" i="17"/>
  <c r="J386" i="17" s="1"/>
  <c r="I387" i="17"/>
  <c r="J387" i="17" s="1"/>
  <c r="I388" i="17"/>
  <c r="J388" i="17" s="1"/>
  <c r="I389" i="17"/>
  <c r="J389" i="17" s="1"/>
  <c r="I390" i="17"/>
  <c r="J390" i="17" s="1"/>
  <c r="I391" i="17"/>
  <c r="J391" i="17" s="1"/>
  <c r="I392" i="17"/>
  <c r="J392" i="17" s="1"/>
  <c r="I393" i="17"/>
  <c r="J393" i="17" s="1"/>
  <c r="I394" i="17"/>
  <c r="J394" i="17" s="1"/>
  <c r="I395" i="17"/>
  <c r="J395" i="17" s="1"/>
  <c r="I396" i="17"/>
  <c r="J396" i="17" s="1"/>
  <c r="I397" i="17"/>
  <c r="J397" i="17" s="1"/>
  <c r="I398" i="17"/>
  <c r="J398" i="17" s="1"/>
  <c r="I399" i="17"/>
  <c r="J399" i="17" s="1"/>
  <c r="I400" i="17"/>
  <c r="J400" i="17" s="1"/>
  <c r="I401" i="17"/>
  <c r="J401" i="17" s="1"/>
  <c r="I402" i="17"/>
  <c r="J402" i="17" s="1"/>
  <c r="I403" i="17"/>
  <c r="J403" i="17" s="1"/>
  <c r="I404" i="17"/>
  <c r="J404" i="17" s="1"/>
  <c r="I405" i="17"/>
  <c r="J405" i="17" s="1"/>
  <c r="I406" i="17"/>
  <c r="J406" i="17" s="1"/>
  <c r="I407" i="17"/>
  <c r="J407" i="17" s="1"/>
  <c r="I408" i="17"/>
  <c r="J408" i="17" s="1"/>
  <c r="I409" i="17"/>
  <c r="J409" i="17" s="1"/>
  <c r="I410" i="17"/>
  <c r="J410" i="17" s="1"/>
  <c r="I411" i="17"/>
  <c r="J411" i="17" s="1"/>
  <c r="I412" i="17"/>
  <c r="J412" i="17" s="1"/>
  <c r="I413" i="17"/>
  <c r="J413" i="17" s="1"/>
  <c r="I414" i="17"/>
  <c r="J414" i="17" s="1"/>
  <c r="I415" i="17"/>
  <c r="J415" i="17" s="1"/>
  <c r="I416" i="17"/>
  <c r="J416" i="17" s="1"/>
  <c r="I417" i="17"/>
  <c r="J417" i="17" s="1"/>
  <c r="I418" i="17"/>
  <c r="J418" i="17" s="1"/>
  <c r="I419" i="17"/>
  <c r="J419" i="17" s="1"/>
  <c r="I420" i="17"/>
  <c r="J420" i="17" s="1"/>
  <c r="I421" i="17"/>
  <c r="J421" i="17" s="1"/>
  <c r="I422" i="17"/>
  <c r="J422" i="17" s="1"/>
  <c r="I423" i="17"/>
  <c r="J423" i="17" s="1"/>
  <c r="I424" i="17"/>
  <c r="J424" i="17" s="1"/>
  <c r="I425" i="17"/>
  <c r="J425" i="17" s="1"/>
  <c r="I426" i="17"/>
  <c r="J426" i="17" s="1"/>
  <c r="I427" i="17"/>
  <c r="J427" i="17" s="1"/>
  <c r="I428" i="17"/>
  <c r="J428" i="17" s="1"/>
  <c r="I429" i="17"/>
  <c r="J429" i="17" s="1"/>
  <c r="I430" i="17"/>
  <c r="J430" i="17" s="1"/>
  <c r="I431" i="17"/>
  <c r="J431" i="17" s="1"/>
  <c r="I432" i="17"/>
  <c r="J432" i="17" s="1"/>
  <c r="I433" i="17"/>
  <c r="J433" i="17" s="1"/>
  <c r="I434" i="17"/>
  <c r="J434" i="17" s="1"/>
  <c r="I435" i="17"/>
  <c r="J435" i="17" s="1"/>
  <c r="I436" i="17"/>
  <c r="J436" i="17" s="1"/>
  <c r="I437" i="17"/>
  <c r="J437" i="17" s="1"/>
  <c r="I438" i="17"/>
  <c r="J438" i="17" s="1"/>
  <c r="I439" i="17"/>
  <c r="J439" i="17" s="1"/>
  <c r="I440" i="17"/>
  <c r="J440" i="17" s="1"/>
  <c r="I441" i="17"/>
  <c r="J441" i="17" s="1"/>
  <c r="I442" i="17"/>
  <c r="J442" i="17" s="1"/>
  <c r="I443" i="17"/>
  <c r="J443" i="17" s="1"/>
  <c r="I444" i="17"/>
  <c r="J444" i="17" s="1"/>
  <c r="I445" i="17"/>
  <c r="J445" i="17" s="1"/>
  <c r="I446" i="17"/>
  <c r="J446" i="17" s="1"/>
  <c r="I447" i="17"/>
  <c r="J447" i="17" s="1"/>
  <c r="I448" i="17"/>
  <c r="J448" i="17" s="1"/>
  <c r="I449" i="17"/>
  <c r="J449" i="17" s="1"/>
  <c r="I450" i="17"/>
  <c r="J450" i="17" s="1"/>
  <c r="I451" i="17"/>
  <c r="J451" i="17" s="1"/>
  <c r="I452" i="17"/>
  <c r="J452" i="17" s="1"/>
  <c r="I453" i="17"/>
  <c r="J453" i="17" s="1"/>
  <c r="I454" i="17"/>
  <c r="J454" i="17" s="1"/>
  <c r="I455" i="17"/>
  <c r="J455" i="17" s="1"/>
  <c r="I456" i="17"/>
  <c r="J456" i="17" s="1"/>
  <c r="I457" i="17"/>
  <c r="J457" i="17" s="1"/>
  <c r="I458" i="17"/>
  <c r="J458" i="17" s="1"/>
  <c r="I459" i="17"/>
  <c r="J459" i="17" s="1"/>
  <c r="I460" i="17"/>
  <c r="J460" i="17" s="1"/>
  <c r="I461" i="17"/>
  <c r="J461" i="17" s="1"/>
  <c r="I462" i="17"/>
  <c r="J462" i="17" s="1"/>
  <c r="I463" i="17"/>
  <c r="J463" i="17" s="1"/>
  <c r="I464" i="17"/>
  <c r="J464" i="17" s="1"/>
  <c r="I465" i="17"/>
  <c r="J465" i="17" s="1"/>
  <c r="I466" i="17"/>
  <c r="J466" i="17" s="1"/>
  <c r="I467" i="17"/>
  <c r="J467" i="17" s="1"/>
  <c r="I468" i="17"/>
  <c r="J468" i="17" s="1"/>
  <c r="I469" i="17"/>
  <c r="J469" i="17" s="1"/>
  <c r="I470" i="17"/>
  <c r="J470" i="17" s="1"/>
  <c r="I471" i="17"/>
  <c r="J471" i="17" s="1"/>
  <c r="I472" i="17"/>
  <c r="J472" i="17" s="1"/>
  <c r="I473" i="17"/>
  <c r="J473" i="17" s="1"/>
  <c r="I474" i="17"/>
  <c r="J474" i="17" s="1"/>
  <c r="I475" i="17"/>
  <c r="J475" i="17" s="1"/>
  <c r="I476" i="17"/>
  <c r="J476" i="17" s="1"/>
  <c r="I477" i="17"/>
  <c r="J477" i="17" s="1"/>
  <c r="I478" i="17"/>
  <c r="J478" i="17" s="1"/>
  <c r="I479" i="17"/>
  <c r="J479" i="17" s="1"/>
  <c r="I480" i="17"/>
  <c r="J480" i="17" s="1"/>
  <c r="I481" i="17"/>
  <c r="J481" i="17" s="1"/>
  <c r="I482" i="17"/>
  <c r="J482" i="17" s="1"/>
  <c r="I483" i="17"/>
  <c r="J483" i="17" s="1"/>
  <c r="I484" i="17"/>
  <c r="J484" i="17" s="1"/>
  <c r="I485" i="17"/>
  <c r="J485" i="17" s="1"/>
  <c r="I486" i="17"/>
  <c r="J486" i="17" s="1"/>
  <c r="I487" i="17"/>
  <c r="J487" i="17" s="1"/>
  <c r="I488" i="17"/>
  <c r="J488" i="17" s="1"/>
  <c r="I489" i="17"/>
  <c r="J489" i="17" s="1"/>
  <c r="I490" i="17"/>
  <c r="J490" i="17" s="1"/>
  <c r="I491" i="17"/>
  <c r="J491" i="17" s="1"/>
  <c r="I492" i="17"/>
  <c r="J492" i="17" s="1"/>
  <c r="I493" i="17"/>
  <c r="J493" i="17" s="1"/>
  <c r="I494" i="17"/>
  <c r="J494" i="17" s="1"/>
  <c r="I495" i="17"/>
  <c r="J495" i="17" s="1"/>
  <c r="I496" i="17"/>
  <c r="J496" i="17" s="1"/>
  <c r="I497" i="17"/>
  <c r="J497" i="17" s="1"/>
  <c r="I498" i="17"/>
  <c r="J498" i="17" s="1"/>
  <c r="I499" i="17"/>
  <c r="J499" i="17" s="1"/>
  <c r="I500" i="17"/>
  <c r="J500" i="17" s="1"/>
  <c r="I501" i="17"/>
  <c r="J501" i="17" s="1"/>
  <c r="I502" i="17"/>
  <c r="J502" i="17" s="1"/>
  <c r="I503" i="17"/>
  <c r="J503" i="17" s="1"/>
  <c r="I504" i="17"/>
  <c r="J504" i="17" s="1"/>
  <c r="I505" i="17"/>
  <c r="J505" i="17" s="1"/>
  <c r="I506" i="17"/>
  <c r="J506" i="17" s="1"/>
  <c r="I507" i="17"/>
  <c r="J507" i="17" s="1"/>
  <c r="I508" i="17"/>
  <c r="J508" i="17" s="1"/>
  <c r="I509" i="17"/>
  <c r="J509" i="17" s="1"/>
  <c r="I510" i="17"/>
  <c r="J510" i="17" s="1"/>
  <c r="I511" i="17"/>
  <c r="J511" i="17" s="1"/>
  <c r="I512" i="17"/>
  <c r="J512" i="17" s="1"/>
  <c r="I513" i="17"/>
  <c r="J513" i="17" s="1"/>
  <c r="I514" i="17"/>
  <c r="J514" i="17" s="1"/>
  <c r="I515" i="17"/>
  <c r="J515" i="17" s="1"/>
  <c r="I516" i="17"/>
  <c r="J516" i="17" s="1"/>
  <c r="I517" i="17"/>
  <c r="J517" i="17" s="1"/>
  <c r="I518" i="17"/>
  <c r="J518" i="17" s="1"/>
  <c r="I519" i="17"/>
  <c r="J519" i="17" s="1"/>
  <c r="I520" i="17"/>
  <c r="J520" i="17" s="1"/>
  <c r="I521" i="17"/>
  <c r="J521" i="17" s="1"/>
  <c r="I522" i="17"/>
  <c r="J522" i="17" s="1"/>
  <c r="I523" i="17"/>
  <c r="J523" i="17" s="1"/>
  <c r="I524" i="17"/>
  <c r="J524" i="17" s="1"/>
  <c r="I525" i="17"/>
  <c r="J525" i="17" s="1"/>
  <c r="I526" i="17"/>
  <c r="J526" i="17" s="1"/>
  <c r="I527" i="17"/>
  <c r="J527" i="17" s="1"/>
  <c r="I528" i="17"/>
  <c r="J528" i="17" s="1"/>
  <c r="I529" i="17"/>
  <c r="J529" i="17" s="1"/>
  <c r="I530" i="17"/>
  <c r="J530" i="17" s="1"/>
  <c r="I531" i="17"/>
  <c r="J531" i="17" s="1"/>
  <c r="I532" i="17"/>
  <c r="J532" i="17" s="1"/>
  <c r="I533" i="17"/>
  <c r="J533" i="17" s="1"/>
  <c r="I534" i="17"/>
  <c r="J534" i="17" s="1"/>
  <c r="I535" i="17"/>
  <c r="J535" i="17" s="1"/>
  <c r="I536" i="17"/>
  <c r="J536" i="17" s="1"/>
  <c r="I537" i="17"/>
  <c r="J537" i="17" s="1"/>
  <c r="I538" i="17"/>
  <c r="J538" i="17" s="1"/>
  <c r="I539" i="17"/>
  <c r="J539" i="17" s="1"/>
  <c r="I540" i="17"/>
  <c r="J540" i="17" s="1"/>
  <c r="I541" i="17"/>
  <c r="J541" i="17" s="1"/>
  <c r="I542" i="17"/>
  <c r="J542" i="17" s="1"/>
  <c r="I543" i="17"/>
  <c r="J543" i="17" s="1"/>
  <c r="I544" i="17"/>
  <c r="J544" i="17" s="1"/>
  <c r="I545" i="17"/>
  <c r="J545" i="17" s="1"/>
  <c r="I546" i="17"/>
  <c r="J546" i="17" s="1"/>
  <c r="I547" i="17"/>
  <c r="J547" i="17" s="1"/>
  <c r="I548" i="17"/>
  <c r="J548" i="17" s="1"/>
  <c r="I549" i="17"/>
  <c r="J549" i="17" s="1"/>
  <c r="I550" i="17"/>
  <c r="J550" i="17" s="1"/>
  <c r="I551" i="17"/>
  <c r="J551" i="17" s="1"/>
  <c r="I552" i="17"/>
  <c r="J552" i="17" s="1"/>
  <c r="I553" i="17"/>
  <c r="J553" i="17" s="1"/>
  <c r="I554" i="17"/>
  <c r="J554" i="17" s="1"/>
  <c r="I555" i="17"/>
  <c r="J555" i="17" s="1"/>
  <c r="I556" i="17"/>
  <c r="J556" i="17" s="1"/>
  <c r="I557" i="17"/>
  <c r="J557" i="17" s="1"/>
  <c r="I558" i="17"/>
  <c r="J558" i="17" s="1"/>
  <c r="I559" i="17"/>
  <c r="J559" i="17" s="1"/>
  <c r="I560" i="17"/>
  <c r="J560" i="17" s="1"/>
  <c r="I561" i="17"/>
  <c r="J561" i="17" s="1"/>
  <c r="I562" i="17"/>
  <c r="J562" i="17" s="1"/>
  <c r="I563" i="17"/>
  <c r="J563" i="17" s="1"/>
  <c r="I564" i="17"/>
  <c r="J564" i="17" s="1"/>
  <c r="I565" i="17"/>
  <c r="J565" i="17" s="1"/>
  <c r="I566" i="17"/>
  <c r="J566" i="17" s="1"/>
  <c r="I567" i="17"/>
  <c r="J567" i="17" s="1"/>
  <c r="I568" i="17"/>
  <c r="J568" i="17" s="1"/>
  <c r="I569" i="17"/>
  <c r="J569" i="17" s="1"/>
  <c r="I570" i="17"/>
  <c r="J570" i="17" s="1"/>
  <c r="I571" i="17"/>
  <c r="J571" i="17" s="1"/>
  <c r="I572" i="17"/>
  <c r="J572" i="17" s="1"/>
  <c r="I573" i="17"/>
  <c r="J573" i="17" s="1"/>
  <c r="I574" i="17"/>
  <c r="J574" i="17" s="1"/>
  <c r="I575" i="17"/>
  <c r="J575" i="17" s="1"/>
  <c r="I576" i="17"/>
  <c r="J576" i="17" s="1"/>
  <c r="I577" i="17"/>
  <c r="J577" i="17" s="1"/>
  <c r="I578" i="17"/>
  <c r="J578" i="17" s="1"/>
  <c r="I579" i="17"/>
  <c r="J579" i="17" s="1"/>
  <c r="I580" i="17"/>
  <c r="I581" i="17"/>
  <c r="J581" i="17" s="1"/>
  <c r="I582" i="17"/>
  <c r="J582" i="17" s="1"/>
  <c r="I583" i="17"/>
  <c r="J583" i="17" s="1"/>
  <c r="I584" i="17"/>
  <c r="J584" i="17" s="1"/>
  <c r="I585" i="17"/>
  <c r="J585" i="17" s="1"/>
  <c r="I586" i="17"/>
  <c r="J586" i="17" s="1"/>
  <c r="I587" i="17"/>
  <c r="J587" i="17" s="1"/>
  <c r="I588" i="17"/>
  <c r="J588" i="17" s="1"/>
  <c r="I589" i="17"/>
  <c r="J589" i="17" s="1"/>
  <c r="I590" i="17"/>
  <c r="J590" i="17" s="1"/>
  <c r="I591" i="17"/>
  <c r="J591" i="17" s="1"/>
  <c r="I592" i="17"/>
  <c r="J592" i="17" s="1"/>
  <c r="I593" i="17"/>
  <c r="J593" i="17" s="1"/>
  <c r="I594" i="17"/>
  <c r="J594" i="17" s="1"/>
  <c r="I595" i="17"/>
  <c r="J595" i="17" s="1"/>
  <c r="I596" i="17"/>
  <c r="J596" i="17" s="1"/>
  <c r="I597" i="17"/>
  <c r="J597" i="17" s="1"/>
  <c r="I598" i="17"/>
  <c r="J598" i="17" s="1"/>
  <c r="I599" i="17"/>
  <c r="J599" i="17" s="1"/>
  <c r="I600" i="17"/>
  <c r="J600" i="17" s="1"/>
  <c r="I601" i="17"/>
  <c r="J601" i="17" s="1"/>
  <c r="I602" i="17"/>
  <c r="J602" i="17" s="1"/>
  <c r="I603" i="17"/>
  <c r="J603" i="17" s="1"/>
  <c r="I604" i="17"/>
  <c r="J604" i="17" s="1"/>
  <c r="I605" i="17"/>
  <c r="J605" i="17" s="1"/>
  <c r="I606" i="17"/>
  <c r="J606" i="17" s="1"/>
  <c r="I607" i="17"/>
  <c r="J607" i="17" s="1"/>
  <c r="I608" i="17"/>
  <c r="J608" i="17" s="1"/>
  <c r="I609" i="17"/>
  <c r="J609" i="17" s="1"/>
  <c r="I610" i="17"/>
  <c r="J610" i="17" s="1"/>
  <c r="I611" i="17"/>
  <c r="J611" i="17" s="1"/>
  <c r="I612" i="17"/>
  <c r="J612" i="17" s="1"/>
  <c r="I613" i="17"/>
  <c r="J613" i="17" s="1"/>
  <c r="I614" i="17"/>
  <c r="J614" i="17" s="1"/>
  <c r="I615" i="17"/>
  <c r="J615" i="17" s="1"/>
  <c r="I616" i="17"/>
  <c r="J616" i="17" s="1"/>
  <c r="I617" i="17"/>
  <c r="J617" i="17" s="1"/>
  <c r="I618" i="17"/>
  <c r="J618" i="17" s="1"/>
  <c r="I619" i="17"/>
  <c r="J619" i="17" s="1"/>
  <c r="I620" i="17"/>
  <c r="J620" i="17" s="1"/>
  <c r="I621" i="17"/>
  <c r="J621" i="17" s="1"/>
  <c r="I622" i="17"/>
  <c r="J622" i="17" s="1"/>
  <c r="I623" i="17"/>
  <c r="J623" i="17" s="1"/>
  <c r="I624" i="17"/>
  <c r="J624" i="17" s="1"/>
  <c r="I625" i="17"/>
  <c r="J625" i="17" s="1"/>
  <c r="I626" i="17"/>
  <c r="J626" i="17" s="1"/>
  <c r="I627" i="17"/>
  <c r="J627" i="17" s="1"/>
  <c r="I628" i="17"/>
  <c r="J628" i="17" s="1"/>
  <c r="I629" i="17"/>
  <c r="J629" i="17" s="1"/>
  <c r="I630" i="17"/>
  <c r="J630" i="17" s="1"/>
  <c r="I631" i="17"/>
  <c r="J631" i="17" s="1"/>
  <c r="I632" i="17"/>
  <c r="J632" i="17" s="1"/>
  <c r="I633" i="17"/>
  <c r="J633" i="17" s="1"/>
  <c r="I634" i="17"/>
  <c r="J634" i="17" s="1"/>
  <c r="I635" i="17"/>
  <c r="J635" i="17" s="1"/>
  <c r="I636" i="17"/>
  <c r="J636" i="17" s="1"/>
  <c r="I637" i="17"/>
  <c r="J637" i="17" s="1"/>
  <c r="I638" i="17"/>
  <c r="J638" i="17" s="1"/>
  <c r="I639" i="17"/>
  <c r="J639" i="17" s="1"/>
  <c r="I640" i="17"/>
  <c r="J640" i="17" s="1"/>
  <c r="I641" i="17"/>
  <c r="J641" i="17" s="1"/>
  <c r="I642" i="17"/>
  <c r="J642" i="17" s="1"/>
  <c r="I643" i="17"/>
  <c r="J643" i="17" s="1"/>
  <c r="I644" i="17"/>
  <c r="J644" i="17" s="1"/>
  <c r="I645" i="17"/>
  <c r="J645" i="17" s="1"/>
  <c r="I646" i="17"/>
  <c r="J646" i="17" s="1"/>
  <c r="I647" i="17"/>
  <c r="J647" i="17" s="1"/>
  <c r="I648" i="17"/>
  <c r="J648" i="17" s="1"/>
  <c r="I649" i="17"/>
  <c r="J649" i="17" s="1"/>
  <c r="I650" i="17"/>
  <c r="J650" i="17" s="1"/>
  <c r="I651" i="17"/>
  <c r="J651" i="17" s="1"/>
  <c r="I652" i="17"/>
  <c r="J652" i="17" s="1"/>
  <c r="I653" i="17"/>
  <c r="J653" i="17" s="1"/>
  <c r="I654" i="17"/>
  <c r="J654" i="17" s="1"/>
  <c r="I655" i="17"/>
  <c r="J655" i="17" s="1"/>
  <c r="I656" i="17"/>
  <c r="J656" i="17" s="1"/>
  <c r="I657" i="17"/>
  <c r="J657" i="17" s="1"/>
  <c r="I658" i="17"/>
  <c r="J658" i="17" s="1"/>
  <c r="I2" i="17"/>
  <c r="J2" i="17" s="1"/>
  <c r="J59" i="17"/>
  <c r="J191" i="17"/>
  <c r="J281" i="17"/>
  <c r="J382" i="17"/>
  <c r="J580" i="17"/>
  <c r="J463" i="16"/>
  <c r="J3" i="16"/>
  <c r="J4" i="16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J87" i="16"/>
  <c r="J88" i="16"/>
  <c r="J89" i="16"/>
  <c r="J90" i="16"/>
  <c r="J91" i="16"/>
  <c r="J92" i="16"/>
  <c r="J93" i="16"/>
  <c r="J94" i="16"/>
  <c r="J95" i="16"/>
  <c r="J96" i="16"/>
  <c r="J97" i="16"/>
  <c r="J98" i="16"/>
  <c r="J99" i="16"/>
  <c r="J100" i="16"/>
  <c r="J101" i="16"/>
  <c r="J102" i="16"/>
  <c r="J103" i="16"/>
  <c r="J104" i="16"/>
  <c r="J105" i="16"/>
  <c r="J106" i="16"/>
  <c r="J107" i="16"/>
  <c r="J108" i="16"/>
  <c r="J109" i="16"/>
  <c r="J110" i="16"/>
  <c r="J111" i="16"/>
  <c r="J112" i="16"/>
  <c r="J113" i="16"/>
  <c r="J114" i="16"/>
  <c r="J115" i="16"/>
  <c r="J116" i="16"/>
  <c r="J117" i="16"/>
  <c r="J118" i="16"/>
  <c r="J119" i="16"/>
  <c r="J120" i="16"/>
  <c r="J121" i="16"/>
  <c r="J122" i="16"/>
  <c r="J123" i="16"/>
  <c r="J124" i="16"/>
  <c r="J125" i="16"/>
  <c r="J126" i="16"/>
  <c r="J127" i="16"/>
  <c r="J128" i="16"/>
  <c r="J129" i="16"/>
  <c r="J130" i="16"/>
  <c r="J131" i="16"/>
  <c r="J132" i="16"/>
  <c r="J133" i="16"/>
  <c r="J134" i="16"/>
  <c r="J135" i="16"/>
  <c r="J136" i="16"/>
  <c r="J137" i="16"/>
  <c r="J138" i="16"/>
  <c r="J139" i="16"/>
  <c r="J140" i="16"/>
  <c r="J141" i="16"/>
  <c r="J142" i="16"/>
  <c r="J143" i="16"/>
  <c r="J144" i="16"/>
  <c r="J145" i="16"/>
  <c r="J146" i="16"/>
  <c r="J147" i="16"/>
  <c r="J148" i="16"/>
  <c r="J149" i="16"/>
  <c r="J150" i="16"/>
  <c r="J151" i="16"/>
  <c r="J152" i="16"/>
  <c r="J153" i="16"/>
  <c r="J154" i="16"/>
  <c r="J155" i="16"/>
  <c r="J156" i="16"/>
  <c r="J157" i="16"/>
  <c r="J158" i="16"/>
  <c r="J159" i="16"/>
  <c r="J160" i="16"/>
  <c r="J161" i="16"/>
  <c r="J162" i="16"/>
  <c r="J163" i="16"/>
  <c r="J164" i="16"/>
  <c r="J165" i="16"/>
  <c r="J166" i="16"/>
  <c r="J167" i="16"/>
  <c r="J168" i="16"/>
  <c r="J169" i="16"/>
  <c r="J170" i="16"/>
  <c r="J171" i="16"/>
  <c r="J172" i="16"/>
  <c r="J173" i="16"/>
  <c r="J174" i="16"/>
  <c r="J175" i="16"/>
  <c r="J176" i="16"/>
  <c r="J177" i="16"/>
  <c r="J178" i="16"/>
  <c r="J179" i="16"/>
  <c r="J180" i="16"/>
  <c r="J181" i="16"/>
  <c r="J182" i="16"/>
  <c r="J183" i="16"/>
  <c r="J184" i="16"/>
  <c r="J185" i="16"/>
  <c r="J186" i="16"/>
  <c r="J187" i="16"/>
  <c r="J188" i="16"/>
  <c r="J189" i="16"/>
  <c r="J190" i="16"/>
  <c r="J191" i="16"/>
  <c r="J192" i="16"/>
  <c r="J193" i="16"/>
  <c r="J194" i="16"/>
  <c r="J195" i="16"/>
  <c r="J196" i="16"/>
  <c r="J197" i="16"/>
  <c r="J198" i="16"/>
  <c r="J199" i="16"/>
  <c r="J200" i="16"/>
  <c r="J201" i="16"/>
  <c r="J202" i="16"/>
  <c r="J203" i="16"/>
  <c r="J204" i="16"/>
  <c r="J205" i="16"/>
  <c r="J206" i="16"/>
  <c r="J207" i="16"/>
  <c r="J208" i="16"/>
  <c r="J209" i="16"/>
  <c r="J210" i="16"/>
  <c r="J211" i="16"/>
  <c r="J212" i="16"/>
  <c r="J213" i="16"/>
  <c r="J214" i="16"/>
  <c r="J215" i="16"/>
  <c r="J216" i="16"/>
  <c r="J217" i="16"/>
  <c r="J218" i="16"/>
  <c r="J219" i="16"/>
  <c r="J220" i="16"/>
  <c r="J221" i="16"/>
  <c r="J222" i="16"/>
  <c r="J223" i="16"/>
  <c r="J224" i="16"/>
  <c r="J225" i="16"/>
  <c r="J226" i="16"/>
  <c r="J227" i="16"/>
  <c r="J228" i="16"/>
  <c r="J229" i="16"/>
  <c r="J230" i="16"/>
  <c r="J231" i="16"/>
  <c r="J232" i="16"/>
  <c r="J233" i="16"/>
  <c r="J234" i="16"/>
  <c r="J235" i="16"/>
  <c r="J236" i="16"/>
  <c r="J237" i="16"/>
  <c r="J238" i="16"/>
  <c r="J239" i="16"/>
  <c r="J240" i="16"/>
  <c r="J241" i="16"/>
  <c r="J242" i="16"/>
  <c r="J243" i="16"/>
  <c r="J244" i="16"/>
  <c r="J245" i="16"/>
  <c r="J246" i="16"/>
  <c r="J247" i="16"/>
  <c r="J248" i="16"/>
  <c r="J249" i="16"/>
  <c r="J250" i="16"/>
  <c r="J251" i="16"/>
  <c r="J252" i="16"/>
  <c r="J253" i="16"/>
  <c r="J254" i="16"/>
  <c r="J255" i="16"/>
  <c r="J256" i="16"/>
  <c r="J257" i="16"/>
  <c r="J258" i="16"/>
  <c r="J259" i="16"/>
  <c r="J260" i="16"/>
  <c r="J261" i="16"/>
  <c r="J262" i="16"/>
  <c r="J263" i="16"/>
  <c r="J264" i="16"/>
  <c r="J265" i="16"/>
  <c r="J266" i="16"/>
  <c r="J267" i="16"/>
  <c r="J268" i="16"/>
  <c r="J269" i="16"/>
  <c r="J270" i="16"/>
  <c r="J271" i="16"/>
  <c r="J272" i="16"/>
  <c r="J273" i="16"/>
  <c r="J274" i="16"/>
  <c r="J275" i="16"/>
  <c r="J276" i="16"/>
  <c r="J277" i="16"/>
  <c r="J278" i="16"/>
  <c r="J279" i="16"/>
  <c r="J280" i="16"/>
  <c r="J281" i="16"/>
  <c r="J282" i="16"/>
  <c r="J283" i="16"/>
  <c r="J284" i="16"/>
  <c r="J285" i="16"/>
  <c r="J286" i="16"/>
  <c r="J287" i="16"/>
  <c r="J288" i="16"/>
  <c r="J289" i="16"/>
  <c r="J290" i="16"/>
  <c r="J291" i="16"/>
  <c r="J292" i="16"/>
  <c r="J293" i="16"/>
  <c r="J294" i="16"/>
  <c r="J295" i="16"/>
  <c r="J296" i="16"/>
  <c r="J297" i="16"/>
  <c r="J298" i="16"/>
  <c r="J299" i="16"/>
  <c r="J300" i="16"/>
  <c r="J301" i="16"/>
  <c r="J302" i="16"/>
  <c r="J303" i="16"/>
  <c r="J304" i="16"/>
  <c r="J305" i="16"/>
  <c r="J306" i="16"/>
  <c r="J307" i="16"/>
  <c r="J308" i="16"/>
  <c r="J309" i="16"/>
  <c r="J310" i="16"/>
  <c r="J311" i="16"/>
  <c r="J312" i="16"/>
  <c r="J313" i="16"/>
  <c r="J314" i="16"/>
  <c r="J315" i="16"/>
  <c r="J316" i="16"/>
  <c r="J317" i="16"/>
  <c r="J318" i="16"/>
  <c r="J319" i="16"/>
  <c r="J320" i="16"/>
  <c r="J321" i="16"/>
  <c r="J322" i="16"/>
  <c r="J323" i="16"/>
  <c r="J324" i="16"/>
  <c r="J325" i="16"/>
  <c r="J326" i="16"/>
  <c r="J327" i="16"/>
  <c r="J328" i="16"/>
  <c r="J329" i="16"/>
  <c r="J330" i="16"/>
  <c r="J331" i="16"/>
  <c r="J332" i="16"/>
  <c r="J333" i="16"/>
  <c r="J334" i="16"/>
  <c r="J335" i="16"/>
  <c r="J336" i="16"/>
  <c r="J337" i="16"/>
  <c r="J338" i="16"/>
  <c r="J339" i="16"/>
  <c r="J340" i="16"/>
  <c r="J341" i="16"/>
  <c r="J342" i="16"/>
  <c r="J343" i="16"/>
  <c r="J344" i="16"/>
  <c r="J345" i="16"/>
  <c r="J346" i="16"/>
  <c r="J347" i="16"/>
  <c r="J348" i="16"/>
  <c r="J349" i="16"/>
  <c r="J350" i="16"/>
  <c r="J351" i="16"/>
  <c r="J352" i="16"/>
  <c r="J353" i="16"/>
  <c r="J354" i="16"/>
  <c r="J355" i="16"/>
  <c r="J356" i="16"/>
  <c r="J357" i="16"/>
  <c r="J358" i="16"/>
  <c r="J359" i="16"/>
  <c r="J360" i="16"/>
  <c r="J361" i="16"/>
  <c r="J362" i="16"/>
  <c r="J363" i="16"/>
  <c r="J364" i="16"/>
  <c r="J365" i="16"/>
  <c r="J366" i="16"/>
  <c r="J367" i="16"/>
  <c r="J368" i="16"/>
  <c r="J369" i="16"/>
  <c r="J370" i="16"/>
  <c r="J371" i="16"/>
  <c r="J372" i="16"/>
  <c r="J373" i="16"/>
  <c r="J374" i="16"/>
  <c r="J375" i="16"/>
  <c r="J376" i="16"/>
  <c r="J377" i="16"/>
  <c r="J378" i="16"/>
  <c r="J379" i="16"/>
  <c r="J380" i="16"/>
  <c r="J381" i="16"/>
  <c r="J382" i="16"/>
  <c r="J383" i="16"/>
  <c r="J384" i="16"/>
  <c r="J385" i="16"/>
  <c r="J386" i="16"/>
  <c r="J387" i="16"/>
  <c r="J388" i="16"/>
  <c r="J389" i="16"/>
  <c r="J390" i="16"/>
  <c r="J391" i="16"/>
  <c r="J392" i="16"/>
  <c r="J393" i="16"/>
  <c r="J394" i="16"/>
  <c r="J395" i="16"/>
  <c r="J396" i="16"/>
  <c r="J397" i="16"/>
  <c r="J398" i="16"/>
  <c r="J399" i="16"/>
  <c r="J400" i="16"/>
  <c r="J401" i="16"/>
  <c r="J402" i="16"/>
  <c r="J403" i="16"/>
  <c r="J404" i="16"/>
  <c r="J405" i="16"/>
  <c r="J406" i="16"/>
  <c r="J407" i="16"/>
  <c r="J408" i="16"/>
  <c r="J409" i="16"/>
  <c r="J410" i="16"/>
  <c r="J411" i="16"/>
  <c r="J412" i="16"/>
  <c r="J413" i="16"/>
  <c r="J414" i="16"/>
  <c r="J415" i="16"/>
  <c r="J416" i="16"/>
  <c r="J417" i="16"/>
  <c r="J418" i="16"/>
  <c r="J419" i="16"/>
  <c r="J420" i="16"/>
  <c r="J421" i="16"/>
  <c r="J422" i="16"/>
  <c r="J423" i="16"/>
  <c r="J424" i="16"/>
  <c r="J425" i="16"/>
  <c r="J426" i="16"/>
  <c r="J427" i="16"/>
  <c r="J428" i="16"/>
  <c r="J429" i="16"/>
  <c r="J430" i="16"/>
  <c r="J431" i="16"/>
  <c r="J432" i="16"/>
  <c r="J433" i="16"/>
  <c r="J434" i="16"/>
  <c r="J435" i="16"/>
  <c r="J436" i="16"/>
  <c r="J437" i="16"/>
  <c r="J438" i="16"/>
  <c r="J439" i="16"/>
  <c r="J440" i="16"/>
  <c r="J441" i="16"/>
  <c r="J442" i="16"/>
  <c r="J443" i="16"/>
  <c r="J444" i="16"/>
  <c r="J445" i="16"/>
  <c r="J446" i="16"/>
  <c r="J447" i="16"/>
  <c r="J448" i="16"/>
  <c r="J449" i="16"/>
  <c r="J450" i="16"/>
  <c r="J451" i="16"/>
  <c r="J452" i="16"/>
  <c r="J453" i="16"/>
  <c r="J454" i="16"/>
  <c r="J455" i="16"/>
  <c r="J456" i="16"/>
  <c r="J457" i="16"/>
  <c r="J458" i="16"/>
  <c r="J459" i="16"/>
  <c r="J460" i="16"/>
  <c r="J461" i="16"/>
  <c r="J462" i="16"/>
  <c r="J464" i="16"/>
  <c r="J465" i="16"/>
  <c r="J466" i="16"/>
  <c r="J467" i="16"/>
  <c r="J468" i="16"/>
  <c r="J469" i="16"/>
  <c r="J470" i="16"/>
  <c r="J471" i="16"/>
  <c r="J472" i="16"/>
  <c r="J473" i="16"/>
  <c r="J474" i="16"/>
  <c r="J475" i="16"/>
  <c r="J476" i="16"/>
  <c r="J477" i="16"/>
  <c r="J478" i="16"/>
  <c r="J479" i="16"/>
  <c r="J480" i="16"/>
  <c r="J481" i="16"/>
  <c r="J482" i="16"/>
  <c r="J483" i="16"/>
  <c r="J484" i="16"/>
  <c r="J485" i="16"/>
  <c r="J486" i="16"/>
  <c r="J487" i="16"/>
  <c r="J488" i="16"/>
  <c r="J489" i="16"/>
  <c r="J490" i="16"/>
  <c r="J491" i="16"/>
  <c r="J492" i="16"/>
  <c r="J493" i="16"/>
  <c r="J494" i="16"/>
  <c r="J495" i="16"/>
  <c r="J496" i="16"/>
  <c r="J497" i="16"/>
  <c r="J498" i="16"/>
  <c r="J499" i="16"/>
  <c r="J500" i="16"/>
  <c r="J501" i="16"/>
  <c r="J502" i="16"/>
  <c r="J503" i="16"/>
  <c r="J504" i="16"/>
  <c r="J505" i="16"/>
  <c r="J506" i="16"/>
  <c r="J507" i="16"/>
  <c r="J508" i="16"/>
  <c r="J509" i="16"/>
  <c r="J510" i="16"/>
  <c r="J511" i="16"/>
  <c r="J512" i="16"/>
  <c r="J513" i="16"/>
  <c r="J514" i="16"/>
  <c r="J515" i="16"/>
  <c r="J516" i="16"/>
  <c r="J517" i="16"/>
  <c r="J518" i="16"/>
  <c r="J519" i="16"/>
  <c r="J520" i="16"/>
  <c r="J521" i="16"/>
  <c r="J522" i="16"/>
  <c r="J523" i="16"/>
  <c r="J524" i="16"/>
  <c r="J525" i="16"/>
  <c r="J526" i="16"/>
  <c r="J527" i="16"/>
  <c r="J528" i="16"/>
  <c r="J529" i="16"/>
  <c r="J530" i="16"/>
  <c r="J531" i="16"/>
  <c r="J532" i="16"/>
  <c r="J533" i="16"/>
  <c r="J534" i="16"/>
  <c r="J535" i="16"/>
  <c r="J536" i="16"/>
  <c r="J537" i="16"/>
  <c r="J538" i="16"/>
  <c r="J539" i="16"/>
  <c r="J540" i="16"/>
  <c r="J541" i="16"/>
  <c r="J542" i="16"/>
  <c r="J543" i="16"/>
  <c r="J544" i="16"/>
  <c r="J545" i="16"/>
  <c r="J546" i="16"/>
  <c r="J547" i="16"/>
  <c r="J548" i="16"/>
  <c r="J549" i="16"/>
  <c r="J550" i="16"/>
  <c r="J551" i="16"/>
  <c r="J552" i="16"/>
  <c r="J553" i="16"/>
  <c r="J554" i="16"/>
  <c r="J555" i="16"/>
  <c r="J556" i="16"/>
  <c r="J557" i="16"/>
  <c r="J558" i="16"/>
  <c r="J559" i="16"/>
  <c r="J560" i="16"/>
  <c r="J561" i="16"/>
  <c r="J562" i="16"/>
  <c r="J563" i="16"/>
  <c r="J564" i="16"/>
  <c r="J565" i="16"/>
  <c r="J566" i="16"/>
  <c r="J567" i="16"/>
  <c r="J568" i="16"/>
  <c r="J569" i="16"/>
  <c r="J570" i="16"/>
  <c r="J571" i="16"/>
  <c r="J572" i="16"/>
  <c r="J573" i="16"/>
  <c r="J574" i="16"/>
  <c r="J575" i="16"/>
  <c r="J576" i="16"/>
  <c r="J577" i="16"/>
  <c r="J578" i="16"/>
  <c r="J579" i="16"/>
  <c r="J580" i="16"/>
  <c r="J581" i="16"/>
  <c r="J582" i="16"/>
  <c r="J583" i="16"/>
  <c r="J584" i="16"/>
  <c r="J585" i="16"/>
  <c r="J586" i="16"/>
  <c r="J587" i="16"/>
  <c r="J588" i="16"/>
  <c r="J589" i="16"/>
  <c r="J590" i="16"/>
  <c r="J591" i="16"/>
  <c r="J592" i="16"/>
  <c r="J593" i="16"/>
  <c r="J594" i="16"/>
  <c r="J595" i="16"/>
  <c r="J596" i="16"/>
  <c r="J597" i="16"/>
  <c r="J598" i="16"/>
  <c r="J599" i="16"/>
  <c r="J600" i="16"/>
  <c r="J601" i="16"/>
  <c r="J602" i="16"/>
  <c r="J603" i="16"/>
  <c r="J604" i="16"/>
  <c r="J2" i="16"/>
  <c r="F107" i="17"/>
  <c r="F129" i="17"/>
  <c r="F149" i="17"/>
  <c r="F154" i="17"/>
  <c r="F177" i="17"/>
  <c r="F176" i="17"/>
  <c r="F196" i="17"/>
  <c r="F188" i="17"/>
  <c r="F187" i="17"/>
  <c r="F225" i="17"/>
  <c r="F236" i="17"/>
  <c r="F235" i="17"/>
  <c r="F247" i="17"/>
  <c r="F255" i="17"/>
  <c r="F254" i="17"/>
  <c r="F270" i="17"/>
  <c r="F269" i="17"/>
  <c r="F289" i="17"/>
  <c r="F295" i="17"/>
  <c r="F296" i="17"/>
  <c r="F306" i="17"/>
  <c r="F305" i="17"/>
  <c r="F320" i="17"/>
  <c r="F319" i="17"/>
  <c r="F345" i="17"/>
  <c r="F341" i="17"/>
  <c r="F356" i="17"/>
  <c r="F374" i="17"/>
  <c r="F373" i="17"/>
  <c r="F372" i="17"/>
  <c r="F371" i="17"/>
  <c r="F370" i="17"/>
  <c r="F369" i="17"/>
  <c r="F396" i="17"/>
  <c r="F395" i="17"/>
  <c r="F428" i="17"/>
  <c r="F427" i="17"/>
  <c r="F426" i="17"/>
  <c r="F425" i="17"/>
  <c r="F437" i="17"/>
  <c r="F438" i="17"/>
  <c r="F444" i="17"/>
  <c r="F451" i="17"/>
  <c r="F450" i="17"/>
  <c r="F449" i="17"/>
  <c r="F472" i="17"/>
  <c r="F471" i="17"/>
  <c r="F493" i="17"/>
  <c r="F510" i="17"/>
  <c r="F509" i="17"/>
  <c r="F508" i="17"/>
  <c r="F518" i="17"/>
  <c r="F517" i="17"/>
  <c r="F534" i="17"/>
  <c r="F533" i="17"/>
  <c r="F532" i="17"/>
  <c r="F531" i="17"/>
  <c r="F530" i="17"/>
  <c r="F577" i="17"/>
  <c r="F576" i="17"/>
  <c r="F588" i="17"/>
  <c r="F587" i="17"/>
  <c r="F586" i="17"/>
  <c r="F619" i="17"/>
  <c r="F618" i="17"/>
  <c r="F627" i="17"/>
  <c r="F644" i="17"/>
  <c r="F643" i="17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F658" i="17"/>
  <c r="F657" i="17"/>
  <c r="F656" i="17"/>
  <c r="F655" i="17"/>
  <c r="F654" i="17"/>
  <c r="F653" i="17"/>
  <c r="F652" i="17"/>
  <c r="F651" i="17"/>
  <c r="F650" i="17"/>
  <c r="F649" i="17"/>
  <c r="F648" i="17"/>
  <c r="F647" i="17"/>
  <c r="F646" i="17"/>
  <c r="F645" i="17"/>
  <c r="F642" i="17"/>
  <c r="F641" i="17"/>
  <c r="F640" i="17"/>
  <c r="F639" i="17"/>
  <c r="F638" i="17"/>
  <c r="F637" i="17"/>
  <c r="F636" i="17"/>
  <c r="F635" i="17"/>
  <c r="F634" i="17"/>
  <c r="F633" i="17"/>
  <c r="F632" i="17"/>
  <c r="F631" i="17"/>
  <c r="F630" i="17"/>
  <c r="F629" i="17"/>
  <c r="F628" i="17"/>
  <c r="F626" i="17"/>
  <c r="F625" i="17"/>
  <c r="F624" i="17"/>
  <c r="F623" i="17"/>
  <c r="F622" i="17"/>
  <c r="F621" i="17"/>
  <c r="F620" i="17"/>
  <c r="F617" i="17"/>
  <c r="F616" i="17"/>
  <c r="F615" i="17"/>
  <c r="F614" i="17"/>
  <c r="F613" i="17"/>
  <c r="F612" i="17"/>
  <c r="F611" i="17"/>
  <c r="F610" i="17"/>
  <c r="F609" i="17"/>
  <c r="F608" i="17"/>
  <c r="F607" i="17"/>
  <c r="F606" i="17"/>
  <c r="F605" i="17"/>
  <c r="F604" i="17"/>
  <c r="F603" i="17"/>
  <c r="F602" i="17"/>
  <c r="F601" i="17"/>
  <c r="F600" i="17"/>
  <c r="F599" i="17"/>
  <c r="F598" i="17"/>
  <c r="F597" i="17"/>
  <c r="F596" i="17"/>
  <c r="F595" i="17"/>
  <c r="F594" i="17"/>
  <c r="F593" i="17"/>
  <c r="F592" i="17"/>
  <c r="F591" i="17"/>
  <c r="F590" i="17"/>
  <c r="F589" i="17"/>
  <c r="F585" i="17"/>
  <c r="F584" i="17"/>
  <c r="F583" i="17"/>
  <c r="F582" i="17"/>
  <c r="F581" i="17"/>
  <c r="F580" i="17"/>
  <c r="F579" i="17"/>
  <c r="F578" i="17"/>
  <c r="F575" i="17"/>
  <c r="F574" i="17"/>
  <c r="F573" i="17"/>
  <c r="F572" i="17"/>
  <c r="F571" i="17"/>
  <c r="F570" i="17"/>
  <c r="F569" i="17"/>
  <c r="F568" i="17"/>
  <c r="F567" i="17"/>
  <c r="F566" i="17"/>
  <c r="F565" i="17"/>
  <c r="F564" i="17"/>
  <c r="F563" i="17"/>
  <c r="F562" i="17"/>
  <c r="F561" i="17"/>
  <c r="F560" i="17"/>
  <c r="F559" i="17"/>
  <c r="F558" i="17"/>
  <c r="F557" i="17"/>
  <c r="F556" i="17"/>
  <c r="F555" i="17"/>
  <c r="F554" i="17"/>
  <c r="F553" i="17"/>
  <c r="F552" i="17"/>
  <c r="F551" i="17"/>
  <c r="F550" i="17"/>
  <c r="F549" i="17"/>
  <c r="F548" i="17"/>
  <c r="F547" i="17"/>
  <c r="F546" i="17"/>
  <c r="F545" i="17"/>
  <c r="F544" i="17"/>
  <c r="F543" i="17"/>
  <c r="F542" i="17"/>
  <c r="F541" i="17"/>
  <c r="F538" i="17"/>
  <c r="F537" i="17"/>
  <c r="F536" i="17"/>
  <c r="F535" i="17"/>
  <c r="F529" i="17"/>
  <c r="F528" i="17"/>
  <c r="F527" i="17"/>
  <c r="F526" i="17"/>
  <c r="F525" i="17"/>
  <c r="F524" i="17"/>
  <c r="F523" i="17"/>
  <c r="F522" i="17"/>
  <c r="F521" i="17"/>
  <c r="F520" i="17"/>
  <c r="F519" i="17"/>
  <c r="F516" i="17"/>
  <c r="F515" i="17"/>
  <c r="F514" i="17"/>
  <c r="F513" i="17"/>
  <c r="F512" i="17"/>
  <c r="F511" i="17"/>
  <c r="F507" i="17"/>
  <c r="F506" i="17"/>
  <c r="F505" i="17"/>
  <c r="F504" i="17"/>
  <c r="F503" i="17"/>
  <c r="F502" i="17"/>
  <c r="F501" i="17"/>
  <c r="F500" i="17"/>
  <c r="F499" i="17"/>
  <c r="F498" i="17"/>
  <c r="F497" i="17"/>
  <c r="F496" i="17"/>
  <c r="F495" i="17"/>
  <c r="F494" i="17"/>
  <c r="F492" i="17"/>
  <c r="F491" i="17"/>
  <c r="F490" i="17"/>
  <c r="F489" i="17"/>
  <c r="F488" i="17"/>
  <c r="F487" i="17"/>
  <c r="F486" i="17"/>
  <c r="F485" i="17"/>
  <c r="F484" i="17"/>
  <c r="F483" i="17"/>
  <c r="F482" i="17"/>
  <c r="F481" i="17"/>
  <c r="F480" i="17"/>
  <c r="F479" i="17"/>
  <c r="F478" i="17"/>
  <c r="F477" i="17"/>
  <c r="F476" i="17"/>
  <c r="F475" i="17"/>
  <c r="F474" i="17"/>
  <c r="F473" i="17"/>
  <c r="F470" i="17"/>
  <c r="F469" i="17"/>
  <c r="F468" i="17"/>
  <c r="F467" i="17"/>
  <c r="F466" i="17"/>
  <c r="F465" i="17"/>
  <c r="F464" i="17"/>
  <c r="F463" i="17"/>
  <c r="F462" i="17"/>
  <c r="F461" i="17"/>
  <c r="F460" i="17"/>
  <c r="F459" i="17"/>
  <c r="F458" i="17"/>
  <c r="F457" i="17"/>
  <c r="F456" i="17"/>
  <c r="F455" i="17"/>
  <c r="F454" i="17"/>
  <c r="F453" i="17"/>
  <c r="F452" i="17"/>
  <c r="F448" i="17"/>
  <c r="F447" i="17"/>
  <c r="F446" i="17"/>
  <c r="F445" i="17"/>
  <c r="F443" i="17"/>
  <c r="F442" i="17"/>
  <c r="F441" i="17"/>
  <c r="F440" i="17"/>
  <c r="F439" i="17"/>
  <c r="F436" i="17"/>
  <c r="F435" i="17"/>
  <c r="F434" i="17"/>
  <c r="F433" i="17"/>
  <c r="F432" i="17"/>
  <c r="F431" i="17"/>
  <c r="F430" i="17"/>
  <c r="F429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F382" i="17"/>
  <c r="F381" i="17"/>
  <c r="F380" i="17"/>
  <c r="F379" i="17"/>
  <c r="F378" i="17"/>
  <c r="F377" i="17"/>
  <c r="F376" i="17"/>
  <c r="F375" i="17"/>
  <c r="F368" i="17"/>
  <c r="F367" i="17"/>
  <c r="F366" i="17"/>
  <c r="F365" i="17"/>
  <c r="F364" i="17"/>
  <c r="F363" i="17"/>
  <c r="F362" i="17"/>
  <c r="F361" i="17"/>
  <c r="F360" i="17"/>
  <c r="F359" i="17"/>
  <c r="F358" i="17"/>
  <c r="F357" i="17"/>
  <c r="F355" i="17"/>
  <c r="F354" i="17"/>
  <c r="F353" i="17"/>
  <c r="F352" i="17"/>
  <c r="F351" i="17"/>
  <c r="F350" i="17"/>
  <c r="F349" i="17"/>
  <c r="F348" i="17"/>
  <c r="F347" i="17"/>
  <c r="F346" i="17"/>
  <c r="F344" i="17"/>
  <c r="F343" i="17"/>
  <c r="F342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4" i="17"/>
  <c r="F303" i="17"/>
  <c r="F302" i="17"/>
  <c r="F301" i="17"/>
  <c r="F300" i="17"/>
  <c r="F299" i="17"/>
  <c r="F298" i="17"/>
  <c r="F297" i="17"/>
  <c r="F294" i="17"/>
  <c r="F293" i="17"/>
  <c r="F292" i="17"/>
  <c r="F291" i="17"/>
  <c r="F290" i="17"/>
  <c r="F283" i="17"/>
  <c r="F282" i="17"/>
  <c r="F281" i="17"/>
  <c r="F280" i="17"/>
  <c r="F279" i="17"/>
  <c r="F278" i="17"/>
  <c r="F277" i="17"/>
  <c r="F276" i="17"/>
  <c r="F275" i="17"/>
  <c r="F274" i="17"/>
  <c r="F273" i="17"/>
  <c r="F272" i="17"/>
  <c r="F271" i="17"/>
  <c r="F268" i="17"/>
  <c r="F267" i="17"/>
  <c r="F266" i="17"/>
  <c r="F265" i="17"/>
  <c r="F264" i="17"/>
  <c r="F263" i="17"/>
  <c r="F262" i="17"/>
  <c r="F261" i="17"/>
  <c r="F260" i="17"/>
  <c r="F259" i="17"/>
  <c r="F258" i="17"/>
  <c r="F257" i="17"/>
  <c r="F256" i="17"/>
  <c r="F253" i="17"/>
  <c r="F252" i="17"/>
  <c r="F251" i="17"/>
  <c r="F250" i="17"/>
  <c r="F249" i="17"/>
  <c r="F248" i="17"/>
  <c r="F246" i="17"/>
  <c r="F245" i="17"/>
  <c r="F244" i="17"/>
  <c r="F243" i="17"/>
  <c r="F242" i="17"/>
  <c r="F241" i="17"/>
  <c r="F240" i="17"/>
  <c r="F239" i="17"/>
  <c r="F238" i="17"/>
  <c r="F237" i="17"/>
  <c r="F234" i="17"/>
  <c r="F233" i="17"/>
  <c r="F232" i="17"/>
  <c r="F231" i="17"/>
  <c r="F230" i="17"/>
  <c r="F229" i="17"/>
  <c r="F228" i="17"/>
  <c r="F227" i="17"/>
  <c r="F226" i="17"/>
  <c r="F224" i="17"/>
  <c r="F223" i="17"/>
  <c r="F222" i="17"/>
  <c r="F221" i="17"/>
  <c r="F220" i="17"/>
  <c r="F219" i="17"/>
  <c r="F218" i="17"/>
  <c r="F217" i="17"/>
  <c r="F216" i="17"/>
  <c r="F215" i="17"/>
  <c r="F214" i="17"/>
  <c r="F213" i="17"/>
  <c r="F212" i="17"/>
  <c r="F211" i="17"/>
  <c r="F210" i="17"/>
  <c r="F209" i="17"/>
  <c r="F208" i="17"/>
  <c r="F207" i="17"/>
  <c r="F206" i="17"/>
  <c r="F205" i="17"/>
  <c r="F204" i="17"/>
  <c r="F203" i="17"/>
  <c r="F202" i="17"/>
  <c r="F201" i="17"/>
  <c r="F200" i="17"/>
  <c r="F199" i="17"/>
  <c r="F198" i="17"/>
  <c r="F197" i="17"/>
  <c r="F195" i="17"/>
  <c r="F194" i="17"/>
  <c r="F193" i="17"/>
  <c r="F192" i="17"/>
  <c r="F191" i="17"/>
  <c r="F190" i="17"/>
  <c r="F189" i="17"/>
  <c r="F186" i="17"/>
  <c r="F185" i="17"/>
  <c r="F184" i="17"/>
  <c r="F183" i="17"/>
  <c r="F182" i="17"/>
  <c r="F181" i="17"/>
  <c r="F180" i="17"/>
  <c r="F179" i="17"/>
  <c r="F178" i="17"/>
  <c r="F175" i="17"/>
  <c r="F174" i="17"/>
  <c r="F173" i="17"/>
  <c r="F172" i="17"/>
  <c r="F171" i="17"/>
  <c r="F170" i="17"/>
  <c r="F169" i="17"/>
  <c r="F168" i="17"/>
  <c r="F167" i="17"/>
  <c r="F166" i="17"/>
  <c r="F165" i="17"/>
  <c r="F164" i="17"/>
  <c r="F163" i="17"/>
  <c r="F162" i="17"/>
  <c r="F161" i="17"/>
  <c r="F160" i="17"/>
  <c r="F159" i="17"/>
  <c r="F158" i="17"/>
  <c r="F157" i="17"/>
  <c r="F156" i="17"/>
  <c r="F155" i="17"/>
  <c r="F153" i="17"/>
  <c r="F152" i="17"/>
  <c r="F151" i="17"/>
  <c r="F150" i="17"/>
  <c r="F148" i="17"/>
  <c r="F147" i="17"/>
  <c r="F146" i="17"/>
  <c r="F145" i="17"/>
  <c r="F144" i="17"/>
  <c r="F143" i="17"/>
  <c r="F142" i="17"/>
  <c r="F141" i="17"/>
  <c r="F140" i="17"/>
  <c r="F139" i="17"/>
  <c r="F138" i="17"/>
  <c r="F137" i="17"/>
  <c r="F136" i="17"/>
  <c r="F135" i="17"/>
  <c r="F134" i="17"/>
  <c r="F133" i="17"/>
  <c r="F132" i="17"/>
  <c r="F131" i="17"/>
  <c r="F130" i="17"/>
  <c r="F128" i="17"/>
  <c r="F127" i="17"/>
  <c r="F126" i="17"/>
  <c r="F125" i="17"/>
  <c r="F124" i="17"/>
  <c r="F123" i="17"/>
  <c r="F122" i="17"/>
  <c r="F121" i="17"/>
  <c r="F120" i="17"/>
  <c r="F119" i="17"/>
  <c r="F118" i="17"/>
  <c r="F117" i="17"/>
  <c r="F116" i="17"/>
  <c r="F115" i="17"/>
  <c r="F114" i="17"/>
  <c r="F113" i="17"/>
  <c r="F112" i="17"/>
  <c r="F111" i="17"/>
  <c r="F110" i="17"/>
  <c r="F109" i="17"/>
  <c r="F108" i="17"/>
  <c r="F106" i="17"/>
  <c r="F105" i="17"/>
  <c r="F104" i="17"/>
  <c r="F103" i="17"/>
  <c r="F102" i="17"/>
  <c r="F99" i="17"/>
  <c r="F101" i="17"/>
  <c r="F100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F68" i="17"/>
  <c r="F67" i="17"/>
  <c r="F66" i="17"/>
  <c r="F65" i="17"/>
  <c r="F64" i="17"/>
  <c r="F63" i="17"/>
  <c r="F62" i="17"/>
  <c r="F61" i="17"/>
  <c r="F60" i="17"/>
  <c r="F59" i="17"/>
  <c r="F58" i="17"/>
  <c r="F57" i="17"/>
  <c r="F56" i="17"/>
  <c r="F55" i="17"/>
  <c r="F54" i="17"/>
  <c r="F53" i="17"/>
  <c r="F52" i="17"/>
  <c r="F51" i="17"/>
  <c r="F50" i="17"/>
  <c r="F49" i="17"/>
  <c r="F48" i="17"/>
  <c r="F4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4" i="17"/>
  <c r="F23" i="17"/>
  <c r="F22" i="17"/>
  <c r="F21" i="17"/>
  <c r="F20" i="17"/>
  <c r="F19" i="17"/>
  <c r="D102" i="13"/>
  <c r="D103" i="13"/>
  <c r="D104" i="13"/>
  <c r="D105" i="13"/>
  <c r="D106" i="13"/>
  <c r="F18" i="17"/>
  <c r="F15" i="17"/>
  <c r="F14" i="17"/>
  <c r="F13" i="17"/>
  <c r="F12" i="17"/>
  <c r="F11" i="17"/>
  <c r="F29" i="17"/>
  <c r="F28" i="17"/>
  <c r="F27" i="17"/>
  <c r="F26" i="17"/>
  <c r="F25" i="17"/>
  <c r="F17" i="17"/>
  <c r="F16" i="17"/>
  <c r="F10" i="17"/>
  <c r="F9" i="17"/>
  <c r="F8" i="17"/>
  <c r="F7" i="17"/>
  <c r="F6" i="17"/>
  <c r="F5" i="17"/>
  <c r="F4" i="17"/>
  <c r="F3" i="17"/>
  <c r="F2" i="17"/>
  <c r="D97" i="13"/>
  <c r="D98" i="13"/>
  <c r="D99" i="13"/>
  <c r="D100" i="13"/>
  <c r="D101" i="13"/>
  <c r="F602" i="16"/>
  <c r="F601" i="16"/>
  <c r="F587" i="16"/>
  <c r="F586" i="16"/>
  <c r="F562" i="16"/>
  <c r="F561" i="16"/>
  <c r="F537" i="16"/>
  <c r="F536" i="16"/>
  <c r="F527" i="16"/>
  <c r="F526" i="16"/>
  <c r="F518" i="16"/>
  <c r="F517" i="16"/>
  <c r="F524" i="16"/>
  <c r="F523" i="16"/>
  <c r="F520" i="16"/>
  <c r="F519" i="16"/>
  <c r="F470" i="16"/>
  <c r="F471" i="16"/>
  <c r="F466" i="16"/>
  <c r="F465" i="16"/>
  <c r="F442" i="16"/>
  <c r="F441" i="16"/>
  <c r="F372" i="16"/>
  <c r="F371" i="16"/>
  <c r="F346" i="16"/>
  <c r="F345" i="16"/>
  <c r="F342" i="16"/>
  <c r="F341" i="16"/>
  <c r="F313" i="16"/>
  <c r="F312" i="16"/>
  <c r="F305" i="16"/>
  <c r="F304" i="16"/>
  <c r="F302" i="16"/>
  <c r="F301" i="16"/>
  <c r="F299" i="16"/>
  <c r="F298" i="16"/>
  <c r="F296" i="16"/>
  <c r="F295" i="16"/>
  <c r="F261" i="16"/>
  <c r="F260" i="16"/>
  <c r="F232" i="16"/>
  <c r="F231" i="16"/>
  <c r="F229" i="16"/>
  <c r="F228" i="16"/>
  <c r="F210" i="16"/>
  <c r="F209" i="16"/>
  <c r="F193" i="16"/>
  <c r="F192" i="16"/>
  <c r="F190" i="16"/>
  <c r="F189" i="16"/>
  <c r="F186" i="16"/>
  <c r="F185" i="16"/>
  <c r="F167" i="16"/>
  <c r="F166" i="16"/>
  <c r="F164" i="16"/>
  <c r="F163" i="16"/>
  <c r="F161" i="16"/>
  <c r="F160" i="16"/>
  <c r="F142" i="16"/>
  <c r="F141" i="16"/>
  <c r="F109" i="16"/>
  <c r="F108" i="16"/>
  <c r="F63" i="16"/>
  <c r="F62" i="16"/>
  <c r="F60" i="16"/>
  <c r="F59" i="16"/>
  <c r="F40" i="16"/>
  <c r="F39" i="16"/>
  <c r="F36" i="16"/>
  <c r="F35" i="16"/>
  <c r="F33" i="16"/>
  <c r="F32" i="16"/>
  <c r="F30" i="16"/>
  <c r="F29" i="16"/>
  <c r="F7" i="16"/>
  <c r="F6" i="16"/>
  <c r="F4" i="16"/>
  <c r="F3" i="16"/>
  <c r="F123" i="16"/>
  <c r="F122" i="16"/>
  <c r="F117" i="16"/>
  <c r="F116" i="16"/>
  <c r="F126" i="16"/>
  <c r="F446" i="16"/>
  <c r="F445" i="16"/>
  <c r="F444" i="16"/>
  <c r="F443" i="16"/>
  <c r="F440" i="16"/>
  <c r="F439" i="16"/>
  <c r="F438" i="16"/>
  <c r="F437" i="16"/>
  <c r="F436" i="16"/>
  <c r="F434" i="16"/>
  <c r="F433" i="16"/>
  <c r="F432" i="16"/>
  <c r="F431" i="16"/>
  <c r="F429" i="16"/>
  <c r="F427" i="16"/>
  <c r="F426" i="16"/>
  <c r="F424" i="16"/>
  <c r="F422" i="16"/>
  <c r="F421" i="16"/>
  <c r="F419" i="16"/>
  <c r="F418" i="16"/>
  <c r="F417" i="16"/>
  <c r="F416" i="16"/>
  <c r="F415" i="16"/>
  <c r="F414" i="16"/>
  <c r="F413" i="16"/>
  <c r="F409" i="16"/>
  <c r="F408" i="16"/>
  <c r="F407" i="16"/>
  <c r="F406" i="16"/>
  <c r="F405" i="16"/>
  <c r="F403" i="16"/>
  <c r="F402" i="16"/>
  <c r="F401" i="16"/>
  <c r="F400" i="16"/>
  <c r="F399" i="16"/>
  <c r="F398" i="16"/>
  <c r="F397" i="16"/>
  <c r="F395" i="16"/>
  <c r="F394" i="16"/>
  <c r="F393" i="16"/>
  <c r="F391" i="16"/>
  <c r="F390" i="16"/>
  <c r="F388" i="16"/>
  <c r="F387" i="16"/>
  <c r="F386" i="16"/>
  <c r="F385" i="16"/>
  <c r="F384" i="16"/>
  <c r="F382" i="16"/>
  <c r="F381" i="16"/>
  <c r="F379" i="16"/>
  <c r="F378" i="16"/>
  <c r="F377" i="16"/>
  <c r="F376" i="16"/>
  <c r="F375" i="16"/>
  <c r="F374" i="16"/>
  <c r="F373" i="16"/>
  <c r="F370" i="16"/>
  <c r="F369" i="16"/>
  <c r="F368" i="16"/>
  <c r="F367" i="16"/>
  <c r="F365" i="16"/>
  <c r="F364" i="16"/>
  <c r="F363" i="16"/>
  <c r="F361" i="16"/>
  <c r="F360" i="16"/>
  <c r="F359" i="16"/>
  <c r="F358" i="16"/>
  <c r="F357" i="16"/>
  <c r="F356" i="16"/>
  <c r="F355" i="16"/>
  <c r="F354" i="16"/>
  <c r="F352" i="16"/>
  <c r="F350" i="16"/>
  <c r="F349" i="16"/>
  <c r="F348" i="16"/>
  <c r="F344" i="16"/>
  <c r="F343" i="16"/>
  <c r="F340" i="16"/>
  <c r="F338" i="16"/>
  <c r="F337" i="16"/>
  <c r="F335" i="16"/>
  <c r="F334" i="16"/>
  <c r="F332" i="16"/>
  <c r="F331" i="16"/>
  <c r="F330" i="16"/>
  <c r="F329" i="16"/>
  <c r="F328" i="16"/>
  <c r="F327" i="16"/>
  <c r="F326" i="16"/>
  <c r="F325" i="16"/>
  <c r="F324" i="16"/>
  <c r="F322" i="16"/>
  <c r="F321" i="16"/>
  <c r="F320" i="16"/>
  <c r="F319" i="16"/>
  <c r="F318" i="16"/>
  <c r="F317" i="16"/>
  <c r="F316" i="16"/>
  <c r="F315" i="16"/>
  <c r="F314" i="16"/>
  <c r="F311" i="16"/>
  <c r="F309" i="16"/>
  <c r="F308" i="16"/>
  <c r="F307" i="16"/>
  <c r="F306" i="16"/>
  <c r="F303" i="16"/>
  <c r="F300" i="16"/>
  <c r="F297" i="16"/>
  <c r="F293" i="16"/>
  <c r="F292" i="16"/>
  <c r="F290" i="16"/>
  <c r="F289" i="16"/>
  <c r="F288" i="16"/>
  <c r="F285" i="16"/>
  <c r="F283" i="16"/>
  <c r="F282" i="16"/>
  <c r="F281" i="16"/>
  <c r="F280" i="16"/>
  <c r="F279" i="16"/>
  <c r="F278" i="16"/>
  <c r="F277" i="16"/>
  <c r="F276" i="16"/>
  <c r="F275" i="16"/>
  <c r="F273" i="16"/>
  <c r="F272" i="16"/>
  <c r="F270" i="16"/>
  <c r="F269" i="16"/>
  <c r="F268" i="16"/>
  <c r="F267" i="16"/>
  <c r="F266" i="16"/>
  <c r="F264" i="16"/>
  <c r="F263" i="16"/>
  <c r="F262" i="16"/>
  <c r="F259" i="16"/>
  <c r="F258" i="16"/>
  <c r="F257" i="16"/>
  <c r="F256" i="16"/>
  <c r="F448" i="16"/>
  <c r="F450" i="16"/>
  <c r="F452" i="16"/>
  <c r="F457" i="16"/>
  <c r="F455" i="16"/>
  <c r="F454" i="16"/>
  <c r="F460" i="16"/>
  <c r="F459" i="16"/>
  <c r="F464" i="16"/>
  <c r="F476" i="16"/>
  <c r="F475" i="16"/>
  <c r="F486" i="16"/>
  <c r="F485" i="16"/>
  <c r="F484" i="16"/>
  <c r="F483" i="16"/>
  <c r="F482" i="16"/>
  <c r="F481" i="16"/>
  <c r="F480" i="16"/>
  <c r="F479" i="16"/>
  <c r="F478" i="16"/>
  <c r="F495" i="16"/>
  <c r="F494" i="16"/>
  <c r="F493" i="16"/>
  <c r="F492" i="16"/>
  <c r="F491" i="16"/>
  <c r="F490" i="16"/>
  <c r="F489" i="16"/>
  <c r="F488" i="16"/>
  <c r="F501" i="16"/>
  <c r="F499" i="16"/>
  <c r="F498" i="16"/>
  <c r="F497" i="16"/>
  <c r="F506" i="16"/>
  <c r="F505" i="16"/>
  <c r="F504" i="16"/>
  <c r="F503" i="16"/>
  <c r="F502" i="16"/>
  <c r="F507" i="16"/>
  <c r="F509" i="16"/>
  <c r="F516" i="16"/>
  <c r="F515" i="16"/>
  <c r="F513" i="16"/>
  <c r="F514" i="16"/>
  <c r="F525" i="16"/>
  <c r="F522" i="16"/>
  <c r="F532" i="16"/>
  <c r="F531" i="16"/>
  <c r="F542" i="16"/>
  <c r="F541" i="16"/>
  <c r="F540" i="16"/>
  <c r="F539" i="16"/>
  <c r="F538" i="16"/>
  <c r="F535" i="16"/>
  <c r="F543" i="16"/>
  <c r="F546" i="16"/>
  <c r="F545" i="16"/>
  <c r="F555" i="16"/>
  <c r="F554" i="16"/>
  <c r="F553" i="16"/>
  <c r="F550" i="16"/>
  <c r="F549" i="16"/>
  <c r="F559" i="16"/>
  <c r="F560" i="16"/>
  <c r="F565" i="16"/>
  <c r="F564" i="16"/>
  <c r="F563" i="16"/>
  <c r="F567" i="16"/>
  <c r="F568" i="16"/>
  <c r="F569" i="16"/>
  <c r="F571" i="16"/>
  <c r="F588" i="16"/>
  <c r="F585" i="16"/>
  <c r="F594" i="16"/>
  <c r="F593" i="16"/>
  <c r="F592" i="16"/>
  <c r="F597" i="16"/>
  <c r="F598" i="16"/>
  <c r="F600" i="16"/>
  <c r="F604" i="16"/>
  <c r="F255" i="16"/>
  <c r="F254" i="16"/>
  <c r="F253" i="16"/>
  <c r="F252" i="16"/>
  <c r="F251" i="16"/>
  <c r="F250" i="16"/>
  <c r="F249" i="16"/>
  <c r="F248" i="16"/>
  <c r="F246" i="16"/>
  <c r="F245" i="16"/>
  <c r="F242" i="16"/>
  <c r="F240" i="16"/>
  <c r="F239" i="16"/>
  <c r="F238" i="16"/>
  <c r="F237" i="16"/>
  <c r="F236" i="16"/>
  <c r="F235" i="16"/>
  <c r="F234" i="16"/>
  <c r="F230" i="16"/>
  <c r="F227" i="16"/>
  <c r="F226" i="16"/>
  <c r="F225" i="16"/>
  <c r="F224" i="16"/>
  <c r="F223" i="16"/>
  <c r="F220" i="16"/>
  <c r="F219" i="16"/>
  <c r="F218" i="16"/>
  <c r="F217" i="16"/>
  <c r="F215" i="16"/>
  <c r="F213" i="16"/>
  <c r="F212" i="16"/>
  <c r="F211" i="16"/>
  <c r="F208" i="16"/>
  <c r="F207" i="16"/>
  <c r="F206" i="16"/>
  <c r="F205" i="16"/>
  <c r="F204" i="16"/>
  <c r="F202" i="16"/>
  <c r="F201" i="16"/>
  <c r="F200" i="16"/>
  <c r="F198" i="16"/>
  <c r="F199" i="16"/>
  <c r="F197" i="16"/>
  <c r="F196" i="16"/>
  <c r="F195" i="16"/>
  <c r="F191" i="16"/>
  <c r="F188" i="16"/>
  <c r="F184" i="16"/>
  <c r="F181" i="16"/>
  <c r="F180" i="16"/>
  <c r="F179" i="16"/>
  <c r="F178" i="16"/>
  <c r="F177" i="16"/>
  <c r="F176" i="16"/>
  <c r="F173" i="16"/>
  <c r="F171" i="16"/>
  <c r="F170" i="16"/>
  <c r="F169" i="16"/>
  <c r="F165" i="16"/>
  <c r="F159" i="16"/>
  <c r="F158" i="16"/>
  <c r="F157" i="16"/>
  <c r="F156" i="16"/>
  <c r="F155" i="16"/>
  <c r="F154" i="16"/>
  <c r="F153" i="16"/>
  <c r="F152" i="16"/>
  <c r="F150" i="16"/>
  <c r="F149" i="16"/>
  <c r="F148" i="16"/>
  <c r="F147" i="16"/>
  <c r="F146" i="16"/>
  <c r="F145" i="16"/>
  <c r="F144" i="16"/>
  <c r="F140" i="16"/>
  <c r="F138" i="16"/>
  <c r="F137" i="16"/>
  <c r="F136" i="16"/>
  <c r="F133" i="16"/>
  <c r="F132" i="16"/>
  <c r="F131" i="16"/>
  <c r="F130" i="16"/>
  <c r="F129" i="16"/>
  <c r="F128" i="16"/>
  <c r="F124" i="16"/>
  <c r="F121" i="16"/>
  <c r="F120" i="16"/>
  <c r="D48" i="13"/>
  <c r="F119" i="16"/>
  <c r="F118" i="16"/>
  <c r="F115" i="16"/>
  <c r="F114" i="16"/>
  <c r="F113" i="16"/>
  <c r="F112" i="16"/>
  <c r="F110" i="16"/>
  <c r="F107" i="16"/>
  <c r="F106" i="16"/>
  <c r="F104" i="16"/>
  <c r="F103" i="16"/>
  <c r="F102" i="16"/>
  <c r="F100" i="16"/>
  <c r="F99" i="16"/>
  <c r="F98" i="16"/>
  <c r="F95" i="16"/>
  <c r="F92" i="16"/>
  <c r="F91" i="16"/>
  <c r="F90" i="16"/>
  <c r="F88" i="16"/>
  <c r="F87" i="16"/>
  <c r="F86" i="16"/>
  <c r="F85" i="16"/>
  <c r="F84" i="16"/>
  <c r="F83" i="16"/>
  <c r="F82" i="16"/>
  <c r="F81" i="16"/>
  <c r="F80" i="16"/>
  <c r="F78" i="16"/>
  <c r="F77" i="16"/>
  <c r="F76" i="16"/>
  <c r="F75" i="16"/>
  <c r="F73" i="16"/>
  <c r="F68" i="16"/>
  <c r="F67" i="16"/>
  <c r="F66" i="16"/>
  <c r="F65" i="16"/>
  <c r="F61" i="16"/>
  <c r="F58" i="16"/>
  <c r="F57" i="16"/>
  <c r="F55" i="16"/>
  <c r="F54" i="16"/>
  <c r="F52" i="16"/>
  <c r="F51" i="16"/>
  <c r="F48" i="16"/>
  <c r="F46" i="16"/>
  <c r="F45" i="16"/>
  <c r="F43" i="16"/>
  <c r="F42" i="16"/>
  <c r="F41" i="16"/>
  <c r="F572" i="16"/>
  <c r="F573" i="16"/>
  <c r="D96" i="13"/>
  <c r="D94" i="13"/>
  <c r="D95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F574" i="16"/>
  <c r="F576" i="16"/>
  <c r="F578" i="16"/>
  <c r="F580" i="16"/>
  <c r="F583" i="16"/>
  <c r="F584" i="16"/>
  <c r="F194" i="16"/>
  <c r="F287" i="16"/>
  <c r="F462" i="16"/>
  <c r="F474" i="16"/>
  <c r="F183" i="16"/>
  <c r="F174" i="16"/>
  <c r="F172" i="16"/>
  <c r="F135" i="16"/>
  <c r="F105" i="16"/>
  <c r="F71" i="16"/>
  <c r="F64" i="16"/>
  <c r="F496" i="16"/>
  <c r="F500" i="16"/>
  <c r="F508" i="16"/>
  <c r="F463" i="16"/>
  <c r="F380" i="16"/>
  <c r="F222" i="16"/>
  <c r="F134" i="16"/>
  <c r="F70" i="16"/>
  <c r="F473" i="16"/>
  <c r="F353" i="16"/>
  <c r="F456" i="16"/>
  <c r="F512" i="16"/>
  <c r="F547" i="16"/>
  <c r="F570" i="16"/>
  <c r="F458" i="16"/>
  <c r="F453" i="16"/>
  <c r="F323" i="16"/>
  <c r="F310" i="16"/>
  <c r="F244" i="16"/>
  <c r="F241" i="16"/>
  <c r="F151" i="16"/>
  <c r="F127" i="16"/>
  <c r="F101" i="16"/>
  <c r="F97" i="16"/>
  <c r="F74" i="16"/>
  <c r="F96" i="16"/>
  <c r="F111" i="16"/>
  <c r="F271" i="16"/>
  <c r="F383" i="16"/>
  <c r="F410" i="16"/>
  <c r="F461" i="16"/>
  <c r="F467" i="16"/>
  <c r="F472" i="16"/>
  <c r="F38" i="16"/>
  <c r="F44" i="16"/>
  <c r="F49" i="16"/>
  <c r="F53" i="16"/>
  <c r="F89" i="16"/>
  <c r="F139" i="16"/>
  <c r="F162" i="16"/>
  <c r="F175" i="16"/>
  <c r="F203" i="16"/>
  <c r="F214" i="16"/>
  <c r="F247" i="16"/>
  <c r="F265" i="16"/>
  <c r="F274" i="16"/>
  <c r="F291" i="16"/>
  <c r="F294" i="16"/>
  <c r="F333" i="16"/>
  <c r="F362" i="16"/>
  <c r="F396" i="16"/>
  <c r="F404" i="16"/>
  <c r="F412" i="16"/>
  <c r="F430" i="16"/>
  <c r="F469" i="16"/>
  <c r="F487" i="16"/>
  <c r="F510" i="16"/>
  <c r="F521" i="16"/>
  <c r="F529" i="16"/>
  <c r="F530" i="16"/>
  <c r="F551" i="16"/>
  <c r="F557" i="16"/>
  <c r="F579" i="16"/>
  <c r="F590" i="16"/>
  <c r="F596" i="16"/>
  <c r="F286" i="16"/>
  <c r="F339" i="16"/>
  <c r="F351" i="16"/>
  <c r="F366" i="16"/>
  <c r="F389" i="16"/>
  <c r="F411" i="16"/>
  <c r="F435" i="16"/>
  <c r="F420" i="16"/>
  <c r="F423" i="16"/>
  <c r="F425" i="16"/>
  <c r="F428" i="16"/>
  <c r="F451" i="16"/>
  <c r="F449" i="16"/>
  <c r="F511" i="16"/>
  <c r="F533" i="16"/>
  <c r="F528" i="16"/>
  <c r="F534" i="16"/>
  <c r="F548" i="16"/>
  <c r="F552" i="16"/>
  <c r="F558" i="16"/>
  <c r="F556" i="16"/>
  <c r="F566" i="16"/>
  <c r="F577" i="16"/>
  <c r="F589" i="16"/>
  <c r="F581" i="16"/>
  <c r="F582" i="16"/>
  <c r="F591" i="16"/>
  <c r="F595" i="16"/>
  <c r="F599" i="16"/>
  <c r="F603" i="16"/>
  <c r="F575" i="16"/>
  <c r="F284" i="16"/>
  <c r="F243" i="16"/>
  <c r="F233" i="16"/>
  <c r="F94" i="16"/>
  <c r="F93" i="16"/>
  <c r="F79" i="16"/>
  <c r="F72" i="16"/>
  <c r="F56" i="16"/>
  <c r="F50" i="16"/>
  <c r="F47" i="16"/>
  <c r="F182" i="16"/>
  <c r="F168" i="16"/>
  <c r="F187" i="16"/>
  <c r="F216" i="16"/>
  <c r="F221" i="16"/>
  <c r="F336" i="16"/>
  <c r="F347" i="16"/>
  <c r="F392" i="16"/>
  <c r="F447" i="16"/>
  <c r="F468" i="16"/>
  <c r="F477" i="16"/>
  <c r="F544" i="16"/>
  <c r="F143" i="16"/>
  <c r="F125" i="16"/>
  <c r="F69" i="16"/>
  <c r="F37" i="16"/>
  <c r="F34" i="16"/>
  <c r="F31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5" i="16"/>
  <c r="F2" i="16"/>
  <c r="D4" i="13"/>
  <c r="D5" i="13"/>
  <c r="D6" i="13"/>
  <c r="D7" i="13"/>
  <c r="D8" i="13"/>
  <c r="D9" i="13"/>
  <c r="D10" i="13"/>
  <c r="D11" i="13"/>
  <c r="D12" i="13"/>
  <c r="D13" i="13"/>
  <c r="D14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3" i="13"/>
  <c r="M262" i="12"/>
  <c r="V262" i="12" s="1"/>
  <c r="M261" i="12"/>
  <c r="V261" i="12" s="1"/>
  <c r="M260" i="12"/>
  <c r="V260" i="12" s="1"/>
  <c r="M259" i="12"/>
  <c r="V259" i="12" s="1"/>
  <c r="M258" i="12"/>
  <c r="V258" i="12" s="1"/>
  <c r="M257" i="12"/>
  <c r="V257" i="12" s="1"/>
  <c r="M256" i="12"/>
  <c r="V256" i="12" s="1"/>
  <c r="M255" i="12"/>
  <c r="V255" i="12" s="1"/>
  <c r="M254" i="12"/>
  <c r="V254" i="12" s="1"/>
  <c r="M253" i="12"/>
  <c r="V253" i="12" s="1"/>
  <c r="M252" i="12"/>
  <c r="V252" i="12" s="1"/>
  <c r="M251" i="12"/>
  <c r="V251" i="12" s="1"/>
  <c r="V250" i="12"/>
  <c r="M250" i="12"/>
  <c r="M249" i="12"/>
  <c r="V249" i="12" s="1"/>
  <c r="M248" i="12"/>
  <c r="V248" i="12" s="1"/>
  <c r="M247" i="12"/>
  <c r="V247" i="12" s="1"/>
  <c r="M246" i="12"/>
  <c r="V246" i="12" s="1"/>
  <c r="V245" i="12"/>
  <c r="M245" i="12"/>
  <c r="M244" i="12"/>
  <c r="V244" i="12" s="1"/>
  <c r="M243" i="12"/>
  <c r="V243" i="12" s="1"/>
  <c r="M242" i="12"/>
  <c r="V242" i="12" s="1"/>
  <c r="M241" i="12"/>
  <c r="V241" i="12" s="1"/>
  <c r="M240" i="12"/>
  <c r="V240" i="12" s="1"/>
  <c r="M239" i="12"/>
  <c r="V239" i="12" s="1"/>
  <c r="V238" i="12"/>
  <c r="M238" i="12"/>
  <c r="M237" i="12"/>
  <c r="V237" i="12" s="1"/>
  <c r="V236" i="12"/>
  <c r="M236" i="12"/>
  <c r="M235" i="12"/>
  <c r="V235" i="12" s="1"/>
  <c r="M234" i="12"/>
  <c r="V234" i="12" s="1"/>
  <c r="M233" i="12"/>
  <c r="V233" i="12" s="1"/>
  <c r="M232" i="12"/>
  <c r="V232" i="12" s="1"/>
  <c r="M231" i="12"/>
  <c r="V231" i="12" s="1"/>
  <c r="M230" i="12"/>
  <c r="V230" i="12" s="1"/>
  <c r="M229" i="12"/>
  <c r="V229" i="12" s="1"/>
  <c r="M228" i="12"/>
  <c r="V228" i="12" s="1"/>
  <c r="M227" i="12"/>
  <c r="V227" i="12" s="1"/>
  <c r="M226" i="12"/>
  <c r="V226" i="12" s="1"/>
  <c r="M225" i="12"/>
  <c r="V225" i="12" s="1"/>
  <c r="M224" i="12"/>
  <c r="V224" i="12" s="1"/>
  <c r="M223" i="12"/>
  <c r="V223" i="12" s="1"/>
  <c r="M222" i="12"/>
  <c r="V222" i="12" s="1"/>
  <c r="M221" i="12"/>
  <c r="V221" i="12" s="1"/>
  <c r="V220" i="12"/>
  <c r="M220" i="12"/>
  <c r="V219" i="12"/>
  <c r="V218" i="12"/>
  <c r="V217" i="12"/>
  <c r="V216" i="12"/>
  <c r="V215" i="12"/>
  <c r="V214" i="12"/>
  <c r="V213" i="12"/>
  <c r="V212" i="12"/>
  <c r="V211" i="12"/>
  <c r="V210" i="12"/>
  <c r="V209" i="12"/>
  <c r="V208" i="12"/>
  <c r="V207" i="12"/>
  <c r="V206" i="12"/>
  <c r="V205" i="12"/>
  <c r="V204" i="12"/>
  <c r="V203" i="12"/>
  <c r="V202" i="12"/>
  <c r="V201" i="12"/>
  <c r="V200" i="12"/>
  <c r="V199" i="12"/>
  <c r="V198" i="12"/>
  <c r="V197" i="12"/>
  <c r="V196" i="12"/>
  <c r="V195" i="12"/>
  <c r="V194" i="12"/>
  <c r="V193" i="12"/>
  <c r="V192" i="12"/>
  <c r="V191" i="12"/>
  <c r="V190" i="12"/>
  <c r="V189" i="12"/>
  <c r="V188" i="12"/>
  <c r="V187" i="12"/>
  <c r="V186" i="12"/>
  <c r="V185" i="12"/>
  <c r="V184" i="12"/>
  <c r="V183" i="12"/>
  <c r="V182" i="12"/>
  <c r="M181" i="12"/>
  <c r="V181" i="12" s="1"/>
  <c r="V180" i="12"/>
  <c r="M180" i="12"/>
  <c r="M179" i="12"/>
  <c r="V179" i="12" s="1"/>
  <c r="V178" i="12"/>
  <c r="M178" i="12"/>
  <c r="M177" i="12"/>
  <c r="V177" i="12" s="1"/>
  <c r="M176" i="12"/>
  <c r="V176" i="12" s="1"/>
  <c r="M175" i="12"/>
  <c r="V175" i="12" s="1"/>
  <c r="V174" i="12"/>
  <c r="M174" i="12"/>
  <c r="M173" i="12"/>
  <c r="V173" i="12" s="1"/>
  <c r="M172" i="12"/>
  <c r="V172" i="12" s="1"/>
  <c r="M171" i="12"/>
  <c r="V171" i="12" s="1"/>
  <c r="M170" i="12"/>
  <c r="V170" i="12" s="1"/>
  <c r="M169" i="12"/>
  <c r="V169" i="12" s="1"/>
  <c r="M168" i="12"/>
  <c r="V168" i="12" s="1"/>
  <c r="M167" i="12"/>
  <c r="V167" i="12" s="1"/>
  <c r="M166" i="12"/>
  <c r="V166" i="12" s="1"/>
  <c r="M165" i="12"/>
  <c r="V165" i="12" s="1"/>
  <c r="M164" i="12"/>
  <c r="V164" i="12" s="1"/>
  <c r="M163" i="12"/>
  <c r="V163" i="12" s="1"/>
  <c r="M162" i="12"/>
  <c r="V162" i="12" s="1"/>
  <c r="M161" i="12"/>
  <c r="V161" i="12" s="1"/>
  <c r="M160" i="12"/>
  <c r="V160" i="12" s="1"/>
  <c r="M159" i="12"/>
  <c r="V159" i="12" s="1"/>
  <c r="M158" i="12"/>
  <c r="V158" i="12" s="1"/>
  <c r="M157" i="12"/>
  <c r="V157" i="12" s="1"/>
  <c r="V156" i="12"/>
  <c r="V155" i="12"/>
  <c r="V154" i="12"/>
  <c r="V153" i="12"/>
  <c r="V152" i="12"/>
  <c r="V151" i="12"/>
  <c r="V150" i="12"/>
  <c r="V149" i="12"/>
  <c r="V148" i="12"/>
  <c r="V147" i="12"/>
  <c r="V146" i="12"/>
  <c r="V145" i="12"/>
  <c r="V144" i="12"/>
  <c r="V143" i="12"/>
  <c r="V142" i="12"/>
  <c r="V141" i="12"/>
  <c r="M140" i="12"/>
  <c r="V140" i="12" s="1"/>
  <c r="M139" i="12"/>
  <c r="V139" i="12" s="1"/>
  <c r="M138" i="12"/>
  <c r="V138" i="12" s="1"/>
  <c r="M137" i="12"/>
  <c r="V137" i="12" s="1"/>
  <c r="V136" i="12"/>
  <c r="M136" i="12"/>
  <c r="M135" i="12"/>
  <c r="V135" i="12" s="1"/>
  <c r="V134" i="12"/>
  <c r="M134" i="12"/>
  <c r="M133" i="12"/>
  <c r="V133" i="12" s="1"/>
  <c r="M132" i="12"/>
  <c r="V132" i="12" s="1"/>
  <c r="M131" i="12"/>
  <c r="V131" i="12" s="1"/>
  <c r="M130" i="12"/>
  <c r="V130" i="12" s="1"/>
  <c r="M129" i="12"/>
  <c r="V129" i="12" s="1"/>
  <c r="M128" i="12"/>
  <c r="V128" i="12" s="1"/>
  <c r="V127" i="12"/>
  <c r="M127" i="12"/>
  <c r="M126" i="12"/>
  <c r="V126" i="12" s="1"/>
  <c r="M125" i="12"/>
  <c r="V125" i="12" s="1"/>
  <c r="M124" i="12"/>
  <c r="V124" i="12" s="1"/>
  <c r="M123" i="12"/>
  <c r="V123" i="12" s="1"/>
  <c r="M122" i="12"/>
  <c r="V122" i="12" s="1"/>
  <c r="V121" i="12"/>
  <c r="M121" i="12"/>
  <c r="M120" i="12"/>
  <c r="V120" i="12" s="1"/>
  <c r="M119" i="12"/>
  <c r="V119" i="12" s="1"/>
  <c r="M118" i="12"/>
  <c r="V118" i="12" s="1"/>
  <c r="M117" i="12"/>
  <c r="V117" i="12" s="1"/>
  <c r="M116" i="12"/>
  <c r="V116" i="12" s="1"/>
  <c r="M115" i="12"/>
  <c r="V115" i="12" s="1"/>
  <c r="M114" i="12"/>
  <c r="V114" i="12" s="1"/>
  <c r="M113" i="12"/>
  <c r="V113" i="12" s="1"/>
  <c r="M112" i="12"/>
  <c r="V112" i="12" s="1"/>
  <c r="M111" i="12"/>
  <c r="V111" i="12" s="1"/>
  <c r="V110" i="12"/>
  <c r="M110" i="12"/>
  <c r="M109" i="12"/>
  <c r="V109" i="12" s="1"/>
  <c r="M108" i="12"/>
  <c r="V108" i="12" s="1"/>
  <c r="M107" i="12"/>
  <c r="V107" i="12" s="1"/>
  <c r="M106" i="12"/>
  <c r="V106" i="12" s="1"/>
  <c r="M105" i="12"/>
  <c r="V105" i="12" s="1"/>
  <c r="M104" i="12"/>
  <c r="V104" i="12" s="1"/>
  <c r="V103" i="12"/>
  <c r="M103" i="12"/>
  <c r="M102" i="12"/>
  <c r="V102" i="12" s="1"/>
  <c r="M101" i="12"/>
  <c r="V101" i="12" s="1"/>
  <c r="V100" i="12"/>
  <c r="V99" i="12"/>
  <c r="V98" i="12"/>
  <c r="V97" i="12"/>
  <c r="V96" i="12"/>
  <c r="V95" i="12"/>
  <c r="V94" i="12"/>
  <c r="V93" i="12"/>
  <c r="V92" i="12"/>
  <c r="V91" i="12"/>
  <c r="V90" i="12"/>
  <c r="V89" i="12"/>
  <c r="M88" i="12"/>
  <c r="V88" i="12" s="1"/>
  <c r="M87" i="12"/>
  <c r="V87" i="12" s="1"/>
  <c r="V86" i="12"/>
  <c r="M86" i="12"/>
  <c r="M85" i="12"/>
  <c r="V85" i="12" s="1"/>
  <c r="M84" i="12"/>
  <c r="V84" i="12" s="1"/>
  <c r="M83" i="12"/>
  <c r="V83" i="12" s="1"/>
  <c r="M82" i="12"/>
  <c r="V82" i="12" s="1"/>
  <c r="M81" i="12"/>
  <c r="V81" i="12" s="1"/>
  <c r="M80" i="12"/>
  <c r="V80" i="12" s="1"/>
  <c r="M79" i="12"/>
  <c r="V79" i="12" s="1"/>
  <c r="M78" i="12"/>
  <c r="V78" i="12" s="1"/>
  <c r="M77" i="12"/>
  <c r="V77" i="12" s="1"/>
  <c r="M76" i="12"/>
  <c r="V76" i="12" s="1"/>
  <c r="M75" i="12"/>
  <c r="V75" i="12" s="1"/>
  <c r="M74" i="12"/>
  <c r="V74" i="12" s="1"/>
  <c r="M73" i="12"/>
  <c r="V73" i="12" s="1"/>
  <c r="M72" i="12"/>
  <c r="V72" i="12" s="1"/>
  <c r="M71" i="12"/>
  <c r="V71" i="12" s="1"/>
  <c r="M70" i="12"/>
  <c r="V70" i="12" s="1"/>
  <c r="M69" i="12"/>
  <c r="V69" i="12" s="1"/>
  <c r="M68" i="12"/>
  <c r="V68" i="12" s="1"/>
  <c r="M67" i="12"/>
  <c r="V67" i="12" s="1"/>
  <c r="M66" i="12"/>
  <c r="V66" i="12" s="1"/>
  <c r="M65" i="12"/>
  <c r="V65" i="12" s="1"/>
  <c r="M64" i="12"/>
  <c r="V64" i="12" s="1"/>
  <c r="M63" i="12"/>
  <c r="V63" i="12" s="1"/>
  <c r="M62" i="12"/>
  <c r="V62" i="12" s="1"/>
  <c r="M61" i="12"/>
  <c r="V61" i="12" s="1"/>
  <c r="M60" i="12"/>
  <c r="V60" i="12" s="1"/>
  <c r="M59" i="12"/>
  <c r="V59" i="12" s="1"/>
  <c r="M58" i="12"/>
  <c r="V58" i="12" s="1"/>
  <c r="M57" i="12"/>
  <c r="V57" i="12" s="1"/>
  <c r="M56" i="12"/>
  <c r="V56" i="12" s="1"/>
  <c r="M55" i="12"/>
  <c r="V55" i="12" s="1"/>
  <c r="M54" i="12"/>
  <c r="V54" i="12" s="1"/>
  <c r="V53" i="12"/>
  <c r="V52" i="12"/>
  <c r="V51" i="12"/>
  <c r="V50" i="12"/>
  <c r="V49" i="12"/>
  <c r="V48" i="12"/>
  <c r="V47" i="12"/>
  <c r="V46" i="12"/>
  <c r="V45" i="12"/>
  <c r="V44" i="12"/>
  <c r="V43" i="12"/>
  <c r="V42" i="12"/>
  <c r="M41" i="12"/>
  <c r="V41" i="12" s="1"/>
  <c r="M40" i="12"/>
  <c r="V40" i="12" s="1"/>
  <c r="M39" i="12"/>
  <c r="V39" i="12" s="1"/>
  <c r="M38" i="12"/>
  <c r="V38" i="12" s="1"/>
  <c r="M37" i="12"/>
  <c r="V37" i="12" s="1"/>
  <c r="M36" i="12"/>
  <c r="V36" i="12" s="1"/>
  <c r="V35" i="12"/>
  <c r="M35" i="12"/>
  <c r="M34" i="12"/>
  <c r="V34" i="12" s="1"/>
  <c r="M33" i="12"/>
  <c r="V33" i="12" s="1"/>
  <c r="M32" i="12"/>
  <c r="V32" i="12" s="1"/>
  <c r="V31" i="12"/>
  <c r="M31" i="12"/>
  <c r="M30" i="12"/>
  <c r="V30" i="12" s="1"/>
  <c r="M29" i="12"/>
  <c r="V29" i="12" s="1"/>
  <c r="M28" i="12"/>
  <c r="V28" i="12" s="1"/>
  <c r="M27" i="12"/>
  <c r="V27" i="12" s="1"/>
  <c r="M26" i="12"/>
  <c r="V26" i="12" s="1"/>
  <c r="M25" i="12"/>
  <c r="V25" i="12" s="1"/>
  <c r="M24" i="12"/>
  <c r="V24" i="12" s="1"/>
  <c r="M23" i="12"/>
  <c r="V23" i="12" s="1"/>
  <c r="M22" i="12"/>
  <c r="V22" i="12" s="1"/>
  <c r="M21" i="12"/>
  <c r="V21" i="12" s="1"/>
  <c r="M20" i="12"/>
  <c r="V20" i="12" s="1"/>
  <c r="V19" i="12"/>
  <c r="M19" i="12"/>
  <c r="M18" i="12"/>
  <c r="V18" i="12" s="1"/>
  <c r="V17" i="12"/>
  <c r="M17" i="12"/>
  <c r="M16" i="12"/>
  <c r="V16" i="12" s="1"/>
  <c r="M15" i="12"/>
  <c r="V15" i="12" s="1"/>
  <c r="M14" i="12"/>
  <c r="V14" i="12" s="1"/>
  <c r="M13" i="12"/>
  <c r="V13" i="12" s="1"/>
  <c r="M12" i="12"/>
  <c r="V12" i="12" s="1"/>
  <c r="M11" i="12"/>
  <c r="V11" i="12" s="1"/>
  <c r="M10" i="12"/>
  <c r="V10" i="12" s="1"/>
  <c r="M9" i="12"/>
  <c r="V9" i="12" s="1"/>
  <c r="V8" i="12"/>
  <c r="M8" i="12"/>
  <c r="M7" i="12"/>
  <c r="V7" i="12" s="1"/>
  <c r="M6" i="12"/>
  <c r="V6" i="12" s="1"/>
  <c r="M5" i="12"/>
  <c r="V5" i="12" s="1"/>
  <c r="M4" i="12"/>
  <c r="V4" i="12" s="1"/>
  <c r="M3" i="12"/>
  <c r="V3" i="12" s="1"/>
  <c r="M2" i="12"/>
  <c r="V2" i="12" s="1"/>
  <c r="T262" i="12"/>
  <c r="T3" i="12"/>
  <c r="T4" i="12"/>
  <c r="T5" i="12"/>
  <c r="T6" i="12"/>
  <c r="T7" i="12"/>
  <c r="U7" i="12" s="1"/>
  <c r="T8" i="12"/>
  <c r="T9" i="12"/>
  <c r="U9" i="12" s="1"/>
  <c r="T10" i="12"/>
  <c r="T11" i="12"/>
  <c r="T12" i="12"/>
  <c r="U12" i="12" s="1"/>
  <c r="T13" i="12"/>
  <c r="U13" i="12" s="1"/>
  <c r="T14" i="12"/>
  <c r="T15" i="12"/>
  <c r="U15" i="12" s="1"/>
  <c r="T16" i="12"/>
  <c r="T17" i="12"/>
  <c r="T18" i="12"/>
  <c r="U18" i="12" s="1"/>
  <c r="T19" i="12"/>
  <c r="U19" i="12" s="1"/>
  <c r="T20" i="12"/>
  <c r="T21" i="12"/>
  <c r="U21" i="12" s="1"/>
  <c r="T22" i="12"/>
  <c r="T23" i="12"/>
  <c r="T24" i="12"/>
  <c r="T25" i="12"/>
  <c r="U25" i="12" s="1"/>
  <c r="T26" i="12"/>
  <c r="T27" i="12"/>
  <c r="U27" i="12" s="1"/>
  <c r="T28" i="12"/>
  <c r="T29" i="12"/>
  <c r="T30" i="12"/>
  <c r="T31" i="12"/>
  <c r="U31" i="12" s="1"/>
  <c r="T32" i="12"/>
  <c r="T33" i="12"/>
  <c r="U33" i="12" s="1"/>
  <c r="T34" i="12"/>
  <c r="T35" i="12"/>
  <c r="T36" i="12"/>
  <c r="U36" i="12" s="1"/>
  <c r="T37" i="12"/>
  <c r="U37" i="12" s="1"/>
  <c r="T38" i="12"/>
  <c r="T39" i="12"/>
  <c r="T40" i="12"/>
  <c r="T41" i="12"/>
  <c r="T42" i="12"/>
  <c r="U42" i="12" s="1"/>
  <c r="T43" i="12"/>
  <c r="U43" i="12" s="1"/>
  <c r="T44" i="12"/>
  <c r="T45" i="12"/>
  <c r="U45" i="12" s="1"/>
  <c r="T46" i="12"/>
  <c r="T47" i="12"/>
  <c r="T48" i="12"/>
  <c r="T49" i="12"/>
  <c r="U49" i="12" s="1"/>
  <c r="T50" i="12"/>
  <c r="T51" i="12"/>
  <c r="U51" i="12" s="1"/>
  <c r="T52" i="12"/>
  <c r="U52" i="12" s="1"/>
  <c r="T53" i="12"/>
  <c r="T54" i="12"/>
  <c r="U54" i="12" s="1"/>
  <c r="T55" i="12"/>
  <c r="U55" i="12" s="1"/>
  <c r="T56" i="12"/>
  <c r="T57" i="12"/>
  <c r="U57" i="12" s="1"/>
  <c r="T58" i="12"/>
  <c r="T59" i="12"/>
  <c r="T60" i="12"/>
  <c r="U60" i="12" s="1"/>
  <c r="T61" i="12"/>
  <c r="U61" i="12" s="1"/>
  <c r="T62" i="12"/>
  <c r="T63" i="12"/>
  <c r="T64" i="12"/>
  <c r="U64" i="12" s="1"/>
  <c r="T65" i="12"/>
  <c r="T66" i="12"/>
  <c r="U66" i="12" s="1"/>
  <c r="T67" i="12"/>
  <c r="U67" i="12" s="1"/>
  <c r="T68" i="12"/>
  <c r="T69" i="12"/>
  <c r="U69" i="12" s="1"/>
  <c r="T70" i="12"/>
  <c r="T71" i="12"/>
  <c r="T72" i="12"/>
  <c r="U72" i="12" s="1"/>
  <c r="T73" i="12"/>
  <c r="U73" i="12" s="1"/>
  <c r="T74" i="12"/>
  <c r="T75" i="12"/>
  <c r="U75" i="12" s="1"/>
  <c r="T76" i="12"/>
  <c r="T77" i="12"/>
  <c r="T78" i="12"/>
  <c r="U78" i="12" s="1"/>
  <c r="T79" i="12"/>
  <c r="U79" i="12" s="1"/>
  <c r="T80" i="12"/>
  <c r="T81" i="12"/>
  <c r="U81" i="12" s="1"/>
  <c r="T82" i="12"/>
  <c r="T83" i="12"/>
  <c r="T84" i="12"/>
  <c r="U84" i="12" s="1"/>
  <c r="T85" i="12"/>
  <c r="U85" i="12" s="1"/>
  <c r="T86" i="12"/>
  <c r="T87" i="12"/>
  <c r="T88" i="12"/>
  <c r="T89" i="12"/>
  <c r="T90" i="12"/>
  <c r="U90" i="12" s="1"/>
  <c r="T91" i="12"/>
  <c r="U91" i="12" s="1"/>
  <c r="T92" i="12"/>
  <c r="T93" i="12"/>
  <c r="U93" i="12" s="1"/>
  <c r="T94" i="12"/>
  <c r="T95" i="12"/>
  <c r="T96" i="12"/>
  <c r="U96" i="12" s="1"/>
  <c r="T97" i="12"/>
  <c r="U97" i="12" s="1"/>
  <c r="T98" i="12"/>
  <c r="T99" i="12"/>
  <c r="U99" i="12" s="1"/>
  <c r="T100" i="12"/>
  <c r="T101" i="12"/>
  <c r="T102" i="12"/>
  <c r="U102" i="12" s="1"/>
  <c r="T103" i="12"/>
  <c r="U103" i="12" s="1"/>
  <c r="T104" i="12"/>
  <c r="T105" i="12"/>
  <c r="U105" i="12" s="1"/>
  <c r="T106" i="12"/>
  <c r="T107" i="12"/>
  <c r="T108" i="12"/>
  <c r="T109" i="12"/>
  <c r="U109" i="12" s="1"/>
  <c r="T110" i="12"/>
  <c r="T111" i="12"/>
  <c r="T112" i="12"/>
  <c r="T113" i="12"/>
  <c r="T114" i="12"/>
  <c r="U114" i="12" s="1"/>
  <c r="T115" i="12"/>
  <c r="U115" i="12" s="1"/>
  <c r="T116" i="12"/>
  <c r="T117" i="12"/>
  <c r="T118" i="12"/>
  <c r="U118" i="12" s="1"/>
  <c r="T119" i="12"/>
  <c r="T120" i="12"/>
  <c r="U120" i="12" s="1"/>
  <c r="T121" i="12"/>
  <c r="U121" i="12" s="1"/>
  <c r="T122" i="12"/>
  <c r="T123" i="12"/>
  <c r="U123" i="12" s="1"/>
  <c r="T124" i="12"/>
  <c r="T125" i="12"/>
  <c r="T126" i="12"/>
  <c r="T127" i="12"/>
  <c r="U127" i="12" s="1"/>
  <c r="T128" i="12"/>
  <c r="T129" i="12"/>
  <c r="U129" i="12" s="1"/>
  <c r="T130" i="12"/>
  <c r="T131" i="12"/>
  <c r="T132" i="12"/>
  <c r="U132" i="12" s="1"/>
  <c r="T133" i="12"/>
  <c r="U133" i="12" s="1"/>
  <c r="T134" i="12"/>
  <c r="T135" i="12"/>
  <c r="T136" i="12"/>
  <c r="T137" i="12"/>
  <c r="T138" i="12"/>
  <c r="U138" i="12" s="1"/>
  <c r="T139" i="12"/>
  <c r="U139" i="12" s="1"/>
  <c r="T140" i="12"/>
  <c r="T141" i="12"/>
  <c r="T142" i="12"/>
  <c r="T143" i="12"/>
  <c r="T144" i="12"/>
  <c r="T145" i="12"/>
  <c r="U145" i="12" s="1"/>
  <c r="T146" i="12"/>
  <c r="T147" i="12"/>
  <c r="T148" i="12"/>
  <c r="U148" i="12" s="1"/>
  <c r="T149" i="12"/>
  <c r="T150" i="12"/>
  <c r="U150" i="12" s="1"/>
  <c r="T151" i="12"/>
  <c r="U151" i="12" s="1"/>
  <c r="T152" i="12"/>
  <c r="T153" i="12"/>
  <c r="U153" i="12" s="1"/>
  <c r="T154" i="12"/>
  <c r="T155" i="12"/>
  <c r="T156" i="12"/>
  <c r="U156" i="12" s="1"/>
  <c r="T157" i="12"/>
  <c r="U157" i="12" s="1"/>
  <c r="T158" i="12"/>
  <c r="T159" i="12"/>
  <c r="U159" i="12" s="1"/>
  <c r="T160" i="12"/>
  <c r="T161" i="12"/>
  <c r="T162" i="12"/>
  <c r="U162" i="12" s="1"/>
  <c r="T163" i="12"/>
  <c r="U163" i="12" s="1"/>
  <c r="T164" i="12"/>
  <c r="T165" i="12"/>
  <c r="U165" i="12" s="1"/>
  <c r="T166" i="12"/>
  <c r="T167" i="12"/>
  <c r="T168" i="12"/>
  <c r="T169" i="12"/>
  <c r="U169" i="12" s="1"/>
  <c r="T170" i="12"/>
  <c r="T171" i="12"/>
  <c r="T172" i="12"/>
  <c r="T173" i="12"/>
  <c r="T174" i="12"/>
  <c r="U174" i="12" s="1"/>
  <c r="T175" i="12"/>
  <c r="U175" i="12" s="1"/>
  <c r="T176" i="12"/>
  <c r="T177" i="12"/>
  <c r="U177" i="12" s="1"/>
  <c r="T178" i="12"/>
  <c r="T179" i="12"/>
  <c r="T180" i="12"/>
  <c r="U180" i="12" s="1"/>
  <c r="T181" i="12"/>
  <c r="U181" i="12" s="1"/>
  <c r="T182" i="12"/>
  <c r="T183" i="12"/>
  <c r="U183" i="12" s="1"/>
  <c r="T184" i="12"/>
  <c r="T185" i="12"/>
  <c r="T186" i="12"/>
  <c r="T187" i="12"/>
  <c r="U187" i="12" s="1"/>
  <c r="T188" i="12"/>
  <c r="T189" i="12"/>
  <c r="U189" i="12" s="1"/>
  <c r="T190" i="12"/>
  <c r="T191" i="12"/>
  <c r="T192" i="12"/>
  <c r="U192" i="12" s="1"/>
  <c r="T193" i="12"/>
  <c r="U193" i="12" s="1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U205" i="12" s="1"/>
  <c r="T206" i="12"/>
  <c r="T207" i="12"/>
  <c r="T208" i="12"/>
  <c r="U208" i="12" s="1"/>
  <c r="T209" i="12"/>
  <c r="T210" i="12"/>
  <c r="U210" i="12" s="1"/>
  <c r="T211" i="12"/>
  <c r="U211" i="12" s="1"/>
  <c r="T212" i="12"/>
  <c r="T213" i="12"/>
  <c r="U213" i="12" s="1"/>
  <c r="T214" i="12"/>
  <c r="T215" i="12"/>
  <c r="T216" i="12"/>
  <c r="U216" i="12" s="1"/>
  <c r="T217" i="12"/>
  <c r="U217" i="12" s="1"/>
  <c r="T218" i="12"/>
  <c r="T219" i="12"/>
  <c r="U219" i="12" s="1"/>
  <c r="T220" i="12"/>
  <c r="T221" i="12"/>
  <c r="U221" i="12" s="1"/>
  <c r="T222" i="12"/>
  <c r="U222" i="12" s="1"/>
  <c r="T223" i="12"/>
  <c r="U223" i="12" s="1"/>
  <c r="T224" i="12"/>
  <c r="T225" i="12"/>
  <c r="U225" i="12" s="1"/>
  <c r="T226" i="12"/>
  <c r="T227" i="12"/>
  <c r="T228" i="12"/>
  <c r="T229" i="12"/>
  <c r="U229" i="12" s="1"/>
  <c r="T230" i="12"/>
  <c r="T231" i="12"/>
  <c r="T232" i="12"/>
  <c r="U232" i="12" s="1"/>
  <c r="T233" i="12"/>
  <c r="T234" i="12"/>
  <c r="U234" i="12" s="1"/>
  <c r="T235" i="12"/>
  <c r="U235" i="12" s="1"/>
  <c r="T236" i="12"/>
  <c r="T237" i="12"/>
  <c r="T238" i="12"/>
  <c r="T239" i="12"/>
  <c r="T240" i="12"/>
  <c r="T241" i="12"/>
  <c r="T242" i="12"/>
  <c r="T243" i="12"/>
  <c r="U243" i="12" s="1"/>
  <c r="T244" i="12"/>
  <c r="U244" i="12" s="1"/>
  <c r="T245" i="12"/>
  <c r="T246" i="12"/>
  <c r="U246" i="12" s="1"/>
  <c r="T247" i="12"/>
  <c r="U247" i="12" s="1"/>
  <c r="T248" i="12"/>
  <c r="T249" i="12"/>
  <c r="T250" i="12"/>
  <c r="T251" i="12"/>
  <c r="T252" i="12"/>
  <c r="U252" i="12" s="1"/>
  <c r="T253" i="12"/>
  <c r="U253" i="12" s="1"/>
  <c r="T254" i="12"/>
  <c r="T255" i="12"/>
  <c r="T256" i="12"/>
  <c r="T257" i="12"/>
  <c r="T258" i="12"/>
  <c r="T259" i="12"/>
  <c r="U259" i="12" s="1"/>
  <c r="T260" i="12"/>
  <c r="T261" i="12"/>
  <c r="U261" i="12" s="1"/>
  <c r="U30" i="12"/>
  <c r="U108" i="12"/>
  <c r="U168" i="12"/>
  <c r="U186" i="12"/>
  <c r="U240" i="12"/>
  <c r="U241" i="12"/>
  <c r="T2" i="12"/>
  <c r="C73" i="12"/>
  <c r="C75" i="12"/>
  <c r="C86" i="12"/>
  <c r="C88" i="12"/>
  <c r="C98" i="12"/>
  <c r="C100" i="12"/>
  <c r="C110" i="12"/>
  <c r="C112" i="12"/>
  <c r="J3" i="8"/>
  <c r="J5" i="8"/>
  <c r="J9" i="8"/>
  <c r="J15" i="8"/>
  <c r="J17" i="8"/>
  <c r="J21" i="8"/>
  <c r="J27" i="8"/>
  <c r="J29" i="8"/>
  <c r="J33" i="8"/>
  <c r="J39" i="8"/>
  <c r="J41" i="8"/>
  <c r="J45" i="8"/>
  <c r="J51" i="8"/>
  <c r="J53" i="8"/>
  <c r="J57" i="8"/>
  <c r="J63" i="8"/>
  <c r="J65" i="8"/>
  <c r="J69" i="8"/>
  <c r="J75" i="8"/>
  <c r="J77" i="8"/>
  <c r="J81" i="8"/>
  <c r="J87" i="8"/>
  <c r="J89" i="8"/>
  <c r="J93" i="8"/>
  <c r="J99" i="8"/>
  <c r="J101" i="8"/>
  <c r="J105" i="8"/>
  <c r="J111" i="8"/>
  <c r="J113" i="8"/>
  <c r="J117" i="8"/>
  <c r="J123" i="8"/>
  <c r="J125" i="8"/>
  <c r="J129" i="8"/>
  <c r="J135" i="8"/>
  <c r="J137" i="8"/>
  <c r="J141" i="8"/>
  <c r="J147" i="8"/>
  <c r="J149" i="8"/>
  <c r="J153" i="8"/>
  <c r="J159" i="8"/>
  <c r="J161" i="8"/>
  <c r="J165" i="8"/>
  <c r="J171" i="8"/>
  <c r="J173" i="8"/>
  <c r="J177" i="8"/>
  <c r="J183" i="8"/>
  <c r="J185" i="8"/>
  <c r="J189" i="8"/>
  <c r="J195" i="8"/>
  <c r="J197" i="8"/>
  <c r="J201" i="8"/>
  <c r="J207" i="8"/>
  <c r="J209" i="8"/>
  <c r="J213" i="8"/>
  <c r="J219" i="8"/>
  <c r="J221" i="8"/>
  <c r="J225" i="8"/>
  <c r="J231" i="8"/>
  <c r="J233" i="8"/>
  <c r="J237" i="8"/>
  <c r="J243" i="8"/>
  <c r="J245" i="8"/>
  <c r="J249" i="8"/>
  <c r="J255" i="8"/>
  <c r="J257" i="8"/>
  <c r="J261" i="8"/>
  <c r="J267" i="8"/>
  <c r="J269" i="8"/>
  <c r="J273" i="8"/>
  <c r="J279" i="8"/>
  <c r="J281" i="8"/>
  <c r="J285" i="8"/>
  <c r="J291" i="8"/>
  <c r="J293" i="8"/>
  <c r="J297" i="8"/>
  <c r="J303" i="8"/>
  <c r="J305" i="8"/>
  <c r="J309" i="8"/>
  <c r="J315" i="8"/>
  <c r="J317" i="8"/>
  <c r="J321" i="8"/>
  <c r="J327" i="8"/>
  <c r="J329" i="8"/>
  <c r="J333" i="8"/>
  <c r="J339" i="8"/>
  <c r="J341" i="8"/>
  <c r="J345" i="8"/>
  <c r="J351" i="8"/>
  <c r="J353" i="8"/>
  <c r="J357" i="8"/>
  <c r="J363" i="8"/>
  <c r="J365" i="8"/>
  <c r="J369" i="8"/>
  <c r="J375" i="8"/>
  <c r="J377" i="8"/>
  <c r="J381" i="8"/>
  <c r="J387" i="8"/>
  <c r="J389" i="8"/>
  <c r="J393" i="8"/>
  <c r="J399" i="8"/>
  <c r="J401" i="8"/>
  <c r="J405" i="8"/>
  <c r="J411" i="8"/>
  <c r="J2" i="8"/>
  <c r="J6" i="8"/>
  <c r="J7" i="8"/>
  <c r="J8" i="8"/>
  <c r="J12" i="8"/>
  <c r="J14" i="8"/>
  <c r="J18" i="8"/>
  <c r="J19" i="8"/>
  <c r="J20" i="8"/>
  <c r="J24" i="8"/>
  <c r="J26" i="8"/>
  <c r="J30" i="8"/>
  <c r="J31" i="8"/>
  <c r="J32" i="8"/>
  <c r="J36" i="8"/>
  <c r="J38" i="8"/>
  <c r="J42" i="8"/>
  <c r="J43" i="8"/>
  <c r="J44" i="8"/>
  <c r="J48" i="8"/>
  <c r="J50" i="8"/>
  <c r="J54" i="8"/>
  <c r="J55" i="8"/>
  <c r="J56" i="8"/>
  <c r="J60" i="8"/>
  <c r="J62" i="8"/>
  <c r="J66" i="8"/>
  <c r="J67" i="8"/>
  <c r="J68" i="8"/>
  <c r="J72" i="8"/>
  <c r="J74" i="8"/>
  <c r="J78" i="8"/>
  <c r="J79" i="8"/>
  <c r="J80" i="8"/>
  <c r="J84" i="8"/>
  <c r="J86" i="8"/>
  <c r="J90" i="8"/>
  <c r="J91" i="8"/>
  <c r="J92" i="8"/>
  <c r="J96" i="8"/>
  <c r="J98" i="8"/>
  <c r="J102" i="8"/>
  <c r="J103" i="8"/>
  <c r="J104" i="8"/>
  <c r="J108" i="8"/>
  <c r="J110" i="8"/>
  <c r="J114" i="8"/>
  <c r="J115" i="8"/>
  <c r="J116" i="8"/>
  <c r="J120" i="8"/>
  <c r="J122" i="8"/>
  <c r="J126" i="8"/>
  <c r="J127" i="8"/>
  <c r="J128" i="8"/>
  <c r="J132" i="8"/>
  <c r="J134" i="8"/>
  <c r="J138" i="8"/>
  <c r="J139" i="8"/>
  <c r="J140" i="8"/>
  <c r="J144" i="8"/>
  <c r="J146" i="8"/>
  <c r="J150" i="8"/>
  <c r="J151" i="8"/>
  <c r="J152" i="8"/>
  <c r="J156" i="8"/>
  <c r="J158" i="8"/>
  <c r="J162" i="8"/>
  <c r="J163" i="8"/>
  <c r="J164" i="8"/>
  <c r="J168" i="8"/>
  <c r="J170" i="8"/>
  <c r="J174" i="8"/>
  <c r="J175" i="8"/>
  <c r="J176" i="8"/>
  <c r="J180" i="8"/>
  <c r="J182" i="8"/>
  <c r="J186" i="8"/>
  <c r="J187" i="8"/>
  <c r="J188" i="8"/>
  <c r="J192" i="8"/>
  <c r="J194" i="8"/>
  <c r="J198" i="8"/>
  <c r="J199" i="8"/>
  <c r="J200" i="8"/>
  <c r="J204" i="8"/>
  <c r="J206" i="8"/>
  <c r="J210" i="8"/>
  <c r="J211" i="8"/>
  <c r="J212" i="8"/>
  <c r="J216" i="8"/>
  <c r="J218" i="8"/>
  <c r="J222" i="8"/>
  <c r="J223" i="8"/>
  <c r="J224" i="8"/>
  <c r="J228" i="8"/>
  <c r="J230" i="8"/>
  <c r="J234" i="8"/>
  <c r="J235" i="8"/>
  <c r="J236" i="8"/>
  <c r="J240" i="8"/>
  <c r="J242" i="8"/>
  <c r="J246" i="8"/>
  <c r="J247" i="8"/>
  <c r="J248" i="8"/>
  <c r="J252" i="8"/>
  <c r="J254" i="8"/>
  <c r="J258" i="8"/>
  <c r="J259" i="8"/>
  <c r="J260" i="8"/>
  <c r="J264" i="8"/>
  <c r="J266" i="8"/>
  <c r="J270" i="8"/>
  <c r="J271" i="8"/>
  <c r="J272" i="8"/>
  <c r="J276" i="8"/>
  <c r="J278" i="8"/>
  <c r="J282" i="8"/>
  <c r="J283" i="8"/>
  <c r="J284" i="8"/>
  <c r="J288" i="8"/>
  <c r="J290" i="8"/>
  <c r="J294" i="8"/>
  <c r="J295" i="8"/>
  <c r="J296" i="8"/>
  <c r="J300" i="8"/>
  <c r="J302" i="8"/>
  <c r="J306" i="8"/>
  <c r="J307" i="8"/>
  <c r="J308" i="8"/>
  <c r="J312" i="8"/>
  <c r="J314" i="8"/>
  <c r="J318" i="8"/>
  <c r="J319" i="8"/>
  <c r="J320" i="8"/>
  <c r="J324" i="8"/>
  <c r="J326" i="8"/>
  <c r="J330" i="8"/>
  <c r="J331" i="8"/>
  <c r="J332" i="8"/>
  <c r="J336" i="8"/>
  <c r="J338" i="8"/>
  <c r="J342" i="8"/>
  <c r="J343" i="8"/>
  <c r="J344" i="8"/>
  <c r="J348" i="8"/>
  <c r="J350" i="8"/>
  <c r="J354" i="8"/>
  <c r="J355" i="8"/>
  <c r="J356" i="8"/>
  <c r="J360" i="8"/>
  <c r="J362" i="8"/>
  <c r="J366" i="8"/>
  <c r="J367" i="8"/>
  <c r="J368" i="8"/>
  <c r="J372" i="8"/>
  <c r="J374" i="8"/>
  <c r="J378" i="8"/>
  <c r="J379" i="8"/>
  <c r="J380" i="8"/>
  <c r="J384" i="8"/>
  <c r="J386" i="8"/>
  <c r="J390" i="8"/>
  <c r="J391" i="8"/>
  <c r="J392" i="8"/>
  <c r="J396" i="8"/>
  <c r="J398" i="8"/>
  <c r="J402" i="8"/>
  <c r="J403" i="8"/>
  <c r="J404" i="8"/>
  <c r="J408" i="8"/>
  <c r="J410" i="8"/>
  <c r="I3" i="7"/>
  <c r="J3" i="7" s="1"/>
  <c r="I4" i="7"/>
  <c r="J4" i="7" s="1"/>
  <c r="I5" i="7"/>
  <c r="J5" i="7" s="1"/>
  <c r="I6" i="7"/>
  <c r="J6" i="7" s="1"/>
  <c r="I7" i="7"/>
  <c r="J7" i="7" s="1"/>
  <c r="I8" i="7"/>
  <c r="J8" i="7" s="1"/>
  <c r="I9" i="7"/>
  <c r="J9" i="7" s="1"/>
  <c r="I10" i="7"/>
  <c r="J10" i="7" s="1"/>
  <c r="I11" i="7"/>
  <c r="J11" i="7" s="1"/>
  <c r="I12" i="7"/>
  <c r="J12" i="7" s="1"/>
  <c r="I13" i="7"/>
  <c r="J13" i="7" s="1"/>
  <c r="I14" i="7"/>
  <c r="J14" i="7" s="1"/>
  <c r="I15" i="7"/>
  <c r="J15" i="7" s="1"/>
  <c r="I16" i="7"/>
  <c r="J16" i="7" s="1"/>
  <c r="I17" i="7"/>
  <c r="J17" i="7" s="1"/>
  <c r="I18" i="7"/>
  <c r="J18" i="7" s="1"/>
  <c r="I19" i="7"/>
  <c r="J19" i="7" s="1"/>
  <c r="I20" i="7"/>
  <c r="J20" i="7" s="1"/>
  <c r="I21" i="7"/>
  <c r="J21" i="7" s="1"/>
  <c r="I22" i="7"/>
  <c r="J22" i="7" s="1"/>
  <c r="I23" i="7"/>
  <c r="J23" i="7" s="1"/>
  <c r="I24" i="7"/>
  <c r="J24" i="7" s="1"/>
  <c r="I25" i="7"/>
  <c r="J25" i="7" s="1"/>
  <c r="I26" i="7"/>
  <c r="J26" i="7" s="1"/>
  <c r="I27" i="7"/>
  <c r="J27" i="7" s="1"/>
  <c r="I28" i="7"/>
  <c r="J28" i="7" s="1"/>
  <c r="I29" i="7"/>
  <c r="J29" i="7" s="1"/>
  <c r="I30" i="7"/>
  <c r="J30" i="7" s="1"/>
  <c r="I31" i="7"/>
  <c r="J31" i="7" s="1"/>
  <c r="I32" i="7"/>
  <c r="J32" i="7" s="1"/>
  <c r="I33" i="7"/>
  <c r="J33" i="7" s="1"/>
  <c r="I34" i="7"/>
  <c r="J34" i="7" s="1"/>
  <c r="I35" i="7"/>
  <c r="J35" i="7" s="1"/>
  <c r="I36" i="7"/>
  <c r="J36" i="7" s="1"/>
  <c r="I37" i="7"/>
  <c r="J37" i="7" s="1"/>
  <c r="I38" i="7"/>
  <c r="J38" i="7" s="1"/>
  <c r="I39" i="7"/>
  <c r="J39" i="7" s="1"/>
  <c r="I40" i="7"/>
  <c r="J40" i="7" s="1"/>
  <c r="I41" i="7"/>
  <c r="J41" i="7" s="1"/>
  <c r="I42" i="7"/>
  <c r="J42" i="7" s="1"/>
  <c r="I43" i="7"/>
  <c r="J43" i="7" s="1"/>
  <c r="I44" i="7"/>
  <c r="J44" i="7" s="1"/>
  <c r="I45" i="7"/>
  <c r="J45" i="7" s="1"/>
  <c r="I46" i="7"/>
  <c r="J46" i="7" s="1"/>
  <c r="I47" i="7"/>
  <c r="J47" i="7" s="1"/>
  <c r="I48" i="7"/>
  <c r="J48" i="7" s="1"/>
  <c r="I49" i="7"/>
  <c r="J49" i="7" s="1"/>
  <c r="I50" i="7"/>
  <c r="J50" i="7" s="1"/>
  <c r="I51" i="7"/>
  <c r="J51" i="7" s="1"/>
  <c r="I52" i="7"/>
  <c r="J52" i="7" s="1"/>
  <c r="I53" i="7"/>
  <c r="J53" i="7" s="1"/>
  <c r="I54" i="7"/>
  <c r="J54" i="7" s="1"/>
  <c r="I55" i="7"/>
  <c r="J55" i="7" s="1"/>
  <c r="I56" i="7"/>
  <c r="J56" i="7" s="1"/>
  <c r="I57" i="7"/>
  <c r="J57" i="7" s="1"/>
  <c r="I58" i="7"/>
  <c r="J58" i="7" s="1"/>
  <c r="I59" i="7"/>
  <c r="J59" i="7" s="1"/>
  <c r="I60" i="7"/>
  <c r="J60" i="7" s="1"/>
  <c r="I61" i="7"/>
  <c r="J61" i="7" s="1"/>
  <c r="I62" i="7"/>
  <c r="J62" i="7" s="1"/>
  <c r="I63" i="7"/>
  <c r="J63" i="7" s="1"/>
  <c r="I64" i="7"/>
  <c r="J64" i="7" s="1"/>
  <c r="I65" i="7"/>
  <c r="J65" i="7" s="1"/>
  <c r="I66" i="7"/>
  <c r="J66" i="7" s="1"/>
  <c r="I67" i="7"/>
  <c r="J67" i="7" s="1"/>
  <c r="I68" i="7"/>
  <c r="J68" i="7" s="1"/>
  <c r="I69" i="7"/>
  <c r="J69" i="7" s="1"/>
  <c r="I70" i="7"/>
  <c r="J70" i="7" s="1"/>
  <c r="I71" i="7"/>
  <c r="J71" i="7" s="1"/>
  <c r="I72" i="7"/>
  <c r="J72" i="7" s="1"/>
  <c r="I73" i="7"/>
  <c r="J73" i="7" s="1"/>
  <c r="I74" i="7"/>
  <c r="J74" i="7" s="1"/>
  <c r="I75" i="7"/>
  <c r="J75" i="7" s="1"/>
  <c r="I76" i="7"/>
  <c r="J76" i="7" s="1"/>
  <c r="I77" i="7"/>
  <c r="J77" i="7" s="1"/>
  <c r="I78" i="7"/>
  <c r="J78" i="7" s="1"/>
  <c r="I79" i="7"/>
  <c r="J79" i="7" s="1"/>
  <c r="I80" i="7"/>
  <c r="J80" i="7" s="1"/>
  <c r="I81" i="7"/>
  <c r="J81" i="7" s="1"/>
  <c r="I82" i="7"/>
  <c r="J82" i="7" s="1"/>
  <c r="I83" i="7"/>
  <c r="J83" i="7" s="1"/>
  <c r="I84" i="7"/>
  <c r="J84" i="7" s="1"/>
  <c r="I85" i="7"/>
  <c r="J85" i="7" s="1"/>
  <c r="I86" i="7"/>
  <c r="J86" i="7" s="1"/>
  <c r="I87" i="7"/>
  <c r="J87" i="7" s="1"/>
  <c r="I88" i="7"/>
  <c r="J88" i="7" s="1"/>
  <c r="I89" i="7"/>
  <c r="J89" i="7" s="1"/>
  <c r="I90" i="7"/>
  <c r="J90" i="7" s="1"/>
  <c r="I91" i="7"/>
  <c r="J91" i="7" s="1"/>
  <c r="I92" i="7"/>
  <c r="J92" i="7" s="1"/>
  <c r="I93" i="7"/>
  <c r="J93" i="7" s="1"/>
  <c r="I94" i="7"/>
  <c r="J94" i="7" s="1"/>
  <c r="I95" i="7"/>
  <c r="J95" i="7" s="1"/>
  <c r="I96" i="7"/>
  <c r="J96" i="7" s="1"/>
  <c r="I97" i="7"/>
  <c r="J97" i="7" s="1"/>
  <c r="I98" i="7"/>
  <c r="J98" i="7" s="1"/>
  <c r="I99" i="7"/>
  <c r="J99" i="7" s="1"/>
  <c r="I100" i="7"/>
  <c r="J100" i="7" s="1"/>
  <c r="I101" i="7"/>
  <c r="J101" i="7" s="1"/>
  <c r="I102" i="7"/>
  <c r="J102" i="7" s="1"/>
  <c r="I103" i="7"/>
  <c r="J103" i="7" s="1"/>
  <c r="I104" i="7"/>
  <c r="J104" i="7" s="1"/>
  <c r="I105" i="7"/>
  <c r="J105" i="7" s="1"/>
  <c r="I106" i="7"/>
  <c r="J106" i="7" s="1"/>
  <c r="I107" i="7"/>
  <c r="J107" i="7" s="1"/>
  <c r="I108" i="7"/>
  <c r="J108" i="7" s="1"/>
  <c r="I109" i="7"/>
  <c r="J109" i="7" s="1"/>
  <c r="I110" i="7"/>
  <c r="J110" i="7" s="1"/>
  <c r="I111" i="7"/>
  <c r="J111" i="7" s="1"/>
  <c r="I112" i="7"/>
  <c r="J112" i="7" s="1"/>
  <c r="I113" i="7"/>
  <c r="J113" i="7" s="1"/>
  <c r="I114" i="7"/>
  <c r="J114" i="7" s="1"/>
  <c r="I115" i="7"/>
  <c r="J115" i="7" s="1"/>
  <c r="I116" i="7"/>
  <c r="J116" i="7" s="1"/>
  <c r="I117" i="7"/>
  <c r="J117" i="7" s="1"/>
  <c r="I118" i="7"/>
  <c r="J118" i="7" s="1"/>
  <c r="I119" i="7"/>
  <c r="J119" i="7" s="1"/>
  <c r="I120" i="7"/>
  <c r="J120" i="7" s="1"/>
  <c r="I121" i="7"/>
  <c r="J121" i="7" s="1"/>
  <c r="I122" i="7"/>
  <c r="J122" i="7" s="1"/>
  <c r="I123" i="7"/>
  <c r="J123" i="7" s="1"/>
  <c r="I124" i="7"/>
  <c r="J124" i="7" s="1"/>
  <c r="I125" i="7"/>
  <c r="J125" i="7" s="1"/>
  <c r="I126" i="7"/>
  <c r="J126" i="7" s="1"/>
  <c r="I127" i="7"/>
  <c r="J127" i="7" s="1"/>
  <c r="I128" i="7"/>
  <c r="J128" i="7" s="1"/>
  <c r="I129" i="7"/>
  <c r="J129" i="7" s="1"/>
  <c r="I130" i="7"/>
  <c r="J130" i="7" s="1"/>
  <c r="I131" i="7"/>
  <c r="J131" i="7" s="1"/>
  <c r="I132" i="7"/>
  <c r="J132" i="7" s="1"/>
  <c r="I133" i="7"/>
  <c r="J133" i="7" s="1"/>
  <c r="I134" i="7"/>
  <c r="J134" i="7" s="1"/>
  <c r="I135" i="7"/>
  <c r="J135" i="7" s="1"/>
  <c r="I136" i="7"/>
  <c r="J136" i="7" s="1"/>
  <c r="I137" i="7"/>
  <c r="J137" i="7" s="1"/>
  <c r="I138" i="7"/>
  <c r="J138" i="7" s="1"/>
  <c r="I139" i="7"/>
  <c r="J139" i="7" s="1"/>
  <c r="I140" i="7"/>
  <c r="J140" i="7" s="1"/>
  <c r="I141" i="7"/>
  <c r="J141" i="7" s="1"/>
  <c r="I142" i="7"/>
  <c r="J142" i="7" s="1"/>
  <c r="I143" i="7"/>
  <c r="J143" i="7" s="1"/>
  <c r="I144" i="7"/>
  <c r="J144" i="7" s="1"/>
  <c r="I145" i="7"/>
  <c r="J145" i="7" s="1"/>
  <c r="I146" i="7"/>
  <c r="J146" i="7" s="1"/>
  <c r="I147" i="7"/>
  <c r="J147" i="7" s="1"/>
  <c r="I148" i="7"/>
  <c r="J148" i="7" s="1"/>
  <c r="I149" i="7"/>
  <c r="J149" i="7" s="1"/>
  <c r="I150" i="7"/>
  <c r="J150" i="7" s="1"/>
  <c r="I151" i="7"/>
  <c r="J151" i="7" s="1"/>
  <c r="I152" i="7"/>
  <c r="J152" i="7" s="1"/>
  <c r="I153" i="7"/>
  <c r="J153" i="7" s="1"/>
  <c r="I154" i="7"/>
  <c r="J154" i="7" s="1"/>
  <c r="I155" i="7"/>
  <c r="J155" i="7" s="1"/>
  <c r="I156" i="7"/>
  <c r="J156" i="7" s="1"/>
  <c r="I157" i="7"/>
  <c r="J157" i="7" s="1"/>
  <c r="I158" i="7"/>
  <c r="J158" i="7" s="1"/>
  <c r="I159" i="7"/>
  <c r="J159" i="7" s="1"/>
  <c r="I160" i="7"/>
  <c r="J160" i="7" s="1"/>
  <c r="I161" i="7"/>
  <c r="J161" i="7" s="1"/>
  <c r="I162" i="7"/>
  <c r="J162" i="7" s="1"/>
  <c r="I163" i="7"/>
  <c r="J163" i="7" s="1"/>
  <c r="I164" i="7"/>
  <c r="J164" i="7" s="1"/>
  <c r="I165" i="7"/>
  <c r="J165" i="7" s="1"/>
  <c r="I166" i="7"/>
  <c r="J166" i="7" s="1"/>
  <c r="I167" i="7"/>
  <c r="J167" i="7" s="1"/>
  <c r="I168" i="7"/>
  <c r="J168" i="7" s="1"/>
  <c r="I169" i="7"/>
  <c r="J169" i="7" s="1"/>
  <c r="I170" i="7"/>
  <c r="J170" i="7" s="1"/>
  <c r="I171" i="7"/>
  <c r="J171" i="7" s="1"/>
  <c r="I172" i="7"/>
  <c r="J172" i="7" s="1"/>
  <c r="I173" i="7"/>
  <c r="J173" i="7" s="1"/>
  <c r="I174" i="7"/>
  <c r="J174" i="7" s="1"/>
  <c r="I175" i="7"/>
  <c r="J175" i="7" s="1"/>
  <c r="I176" i="7"/>
  <c r="J176" i="7" s="1"/>
  <c r="I177" i="7"/>
  <c r="J177" i="7" s="1"/>
  <c r="I178" i="7"/>
  <c r="J178" i="7" s="1"/>
  <c r="I179" i="7"/>
  <c r="J179" i="7" s="1"/>
  <c r="I180" i="7"/>
  <c r="J180" i="7" s="1"/>
  <c r="I181" i="7"/>
  <c r="J181" i="7" s="1"/>
  <c r="I182" i="7"/>
  <c r="J182" i="7" s="1"/>
  <c r="I183" i="7"/>
  <c r="J183" i="7" s="1"/>
  <c r="I184" i="7"/>
  <c r="J184" i="7" s="1"/>
  <c r="I185" i="7"/>
  <c r="J185" i="7" s="1"/>
  <c r="I186" i="7"/>
  <c r="J186" i="7" s="1"/>
  <c r="I187" i="7"/>
  <c r="J187" i="7" s="1"/>
  <c r="I188" i="7"/>
  <c r="J188" i="7" s="1"/>
  <c r="I189" i="7"/>
  <c r="J189" i="7" s="1"/>
  <c r="I190" i="7"/>
  <c r="J190" i="7" s="1"/>
  <c r="I191" i="7"/>
  <c r="J191" i="7" s="1"/>
  <c r="I192" i="7"/>
  <c r="J192" i="7" s="1"/>
  <c r="I193" i="7"/>
  <c r="J193" i="7" s="1"/>
  <c r="I194" i="7"/>
  <c r="J194" i="7" s="1"/>
  <c r="I195" i="7"/>
  <c r="J195" i="7" s="1"/>
  <c r="I196" i="7"/>
  <c r="J196" i="7" s="1"/>
  <c r="I197" i="7"/>
  <c r="J197" i="7" s="1"/>
  <c r="I198" i="7"/>
  <c r="J198" i="7" s="1"/>
  <c r="I199" i="7"/>
  <c r="J199" i="7" s="1"/>
  <c r="I200" i="7"/>
  <c r="J200" i="7" s="1"/>
  <c r="I201" i="7"/>
  <c r="J201" i="7" s="1"/>
  <c r="I202" i="7"/>
  <c r="J202" i="7" s="1"/>
  <c r="I203" i="7"/>
  <c r="J203" i="7" s="1"/>
  <c r="I204" i="7"/>
  <c r="J204" i="7" s="1"/>
  <c r="I205" i="7"/>
  <c r="J205" i="7" s="1"/>
  <c r="I206" i="7"/>
  <c r="J206" i="7" s="1"/>
  <c r="I207" i="7"/>
  <c r="J207" i="7" s="1"/>
  <c r="I208" i="7"/>
  <c r="J208" i="7" s="1"/>
  <c r="I209" i="7"/>
  <c r="J209" i="7" s="1"/>
  <c r="I210" i="7"/>
  <c r="J210" i="7" s="1"/>
  <c r="I211" i="7"/>
  <c r="J211" i="7" s="1"/>
  <c r="I212" i="7"/>
  <c r="J212" i="7" s="1"/>
  <c r="I213" i="7"/>
  <c r="J213" i="7" s="1"/>
  <c r="I214" i="7"/>
  <c r="J214" i="7" s="1"/>
  <c r="I215" i="7"/>
  <c r="J215" i="7" s="1"/>
  <c r="I216" i="7"/>
  <c r="J216" i="7" s="1"/>
  <c r="I217" i="7"/>
  <c r="J217" i="7" s="1"/>
  <c r="I218" i="7"/>
  <c r="J218" i="7" s="1"/>
  <c r="I219" i="7"/>
  <c r="J219" i="7" s="1"/>
  <c r="I220" i="7"/>
  <c r="J220" i="7" s="1"/>
  <c r="I221" i="7"/>
  <c r="J221" i="7" s="1"/>
  <c r="I222" i="7"/>
  <c r="J222" i="7" s="1"/>
  <c r="I223" i="7"/>
  <c r="J223" i="7" s="1"/>
  <c r="I224" i="7"/>
  <c r="J224" i="7" s="1"/>
  <c r="I225" i="7"/>
  <c r="J225" i="7" s="1"/>
  <c r="I226" i="7"/>
  <c r="J226" i="7" s="1"/>
  <c r="I227" i="7"/>
  <c r="J227" i="7" s="1"/>
  <c r="I228" i="7"/>
  <c r="J228" i="7" s="1"/>
  <c r="I229" i="7"/>
  <c r="J229" i="7" s="1"/>
  <c r="I230" i="7"/>
  <c r="J230" i="7" s="1"/>
  <c r="I231" i="7"/>
  <c r="J231" i="7" s="1"/>
  <c r="I232" i="7"/>
  <c r="J232" i="7" s="1"/>
  <c r="I233" i="7"/>
  <c r="J233" i="7" s="1"/>
  <c r="I234" i="7"/>
  <c r="J234" i="7" s="1"/>
  <c r="I235" i="7"/>
  <c r="J235" i="7" s="1"/>
  <c r="I236" i="7"/>
  <c r="J236" i="7" s="1"/>
  <c r="I237" i="7"/>
  <c r="J237" i="7" s="1"/>
  <c r="I238" i="7"/>
  <c r="J238" i="7" s="1"/>
  <c r="I239" i="7"/>
  <c r="J239" i="7" s="1"/>
  <c r="I240" i="7"/>
  <c r="J240" i="7" s="1"/>
  <c r="I241" i="7"/>
  <c r="J241" i="7" s="1"/>
  <c r="I242" i="7"/>
  <c r="J242" i="7" s="1"/>
  <c r="I243" i="7"/>
  <c r="J243" i="7" s="1"/>
  <c r="I244" i="7"/>
  <c r="J244" i="7" s="1"/>
  <c r="I245" i="7"/>
  <c r="J245" i="7" s="1"/>
  <c r="I246" i="7"/>
  <c r="J246" i="7" s="1"/>
  <c r="I247" i="7"/>
  <c r="J247" i="7" s="1"/>
  <c r="I248" i="7"/>
  <c r="J248" i="7" s="1"/>
  <c r="I249" i="7"/>
  <c r="J249" i="7" s="1"/>
  <c r="I250" i="7"/>
  <c r="J250" i="7" s="1"/>
  <c r="I251" i="7"/>
  <c r="J251" i="7" s="1"/>
  <c r="I252" i="7"/>
  <c r="J252" i="7" s="1"/>
  <c r="I253" i="7"/>
  <c r="J253" i="7" s="1"/>
  <c r="I254" i="7"/>
  <c r="J254" i="7" s="1"/>
  <c r="I255" i="7"/>
  <c r="J255" i="7" s="1"/>
  <c r="I256" i="7"/>
  <c r="J256" i="7" s="1"/>
  <c r="I2" i="7"/>
  <c r="J2" i="7" s="1"/>
  <c r="U14" i="12"/>
  <c r="U26" i="12"/>
  <c r="U38" i="12"/>
  <c r="U50" i="12"/>
  <c r="U62" i="12"/>
  <c r="U74" i="12"/>
  <c r="U86" i="12"/>
  <c r="U98" i="12"/>
  <c r="U110" i="12"/>
  <c r="U122" i="12"/>
  <c r="U134" i="12"/>
  <c r="U146" i="12"/>
  <c r="U158" i="12"/>
  <c r="U170" i="12"/>
  <c r="U182" i="12"/>
  <c r="U194" i="12"/>
  <c r="U206" i="12"/>
  <c r="U218" i="12"/>
  <c r="U230" i="12"/>
  <c r="U242" i="12"/>
  <c r="U254" i="12"/>
  <c r="U262" i="12"/>
  <c r="U10" i="12"/>
  <c r="U11" i="12"/>
  <c r="U16" i="12"/>
  <c r="U17" i="12"/>
  <c r="U20" i="12"/>
  <c r="U22" i="12"/>
  <c r="U23" i="12"/>
  <c r="U24" i="12"/>
  <c r="U28" i="12"/>
  <c r="U29" i="12"/>
  <c r="U32" i="12"/>
  <c r="U34" i="12"/>
  <c r="U35" i="12"/>
  <c r="U39" i="12"/>
  <c r="U40" i="12"/>
  <c r="U41" i="12"/>
  <c r="U44" i="12"/>
  <c r="U46" i="12"/>
  <c r="U47" i="12"/>
  <c r="U48" i="12"/>
  <c r="U53" i="12"/>
  <c r="U56" i="12"/>
  <c r="U58" i="12"/>
  <c r="U59" i="12"/>
  <c r="U63" i="12"/>
  <c r="U65" i="12"/>
  <c r="U68" i="12"/>
  <c r="U70" i="12"/>
  <c r="U71" i="12"/>
  <c r="U76" i="12"/>
  <c r="U77" i="12"/>
  <c r="U80" i="12"/>
  <c r="U82" i="12"/>
  <c r="U83" i="12"/>
  <c r="U87" i="12"/>
  <c r="U88" i="12"/>
  <c r="U89" i="12"/>
  <c r="U92" i="12"/>
  <c r="U94" i="12"/>
  <c r="U95" i="12"/>
  <c r="U100" i="12"/>
  <c r="U101" i="12"/>
  <c r="U104" i="12"/>
  <c r="U106" i="12"/>
  <c r="U107" i="12"/>
  <c r="U111" i="12"/>
  <c r="U112" i="12"/>
  <c r="U113" i="12"/>
  <c r="U116" i="12"/>
  <c r="U117" i="12"/>
  <c r="U119" i="12"/>
  <c r="U124" i="12"/>
  <c r="U125" i="12"/>
  <c r="U126" i="12"/>
  <c r="U128" i="12"/>
  <c r="U130" i="12"/>
  <c r="U131" i="12"/>
  <c r="U135" i="12"/>
  <c r="U136" i="12"/>
  <c r="U137" i="12"/>
  <c r="U140" i="12"/>
  <c r="U141" i="12"/>
  <c r="U142" i="12"/>
  <c r="U143" i="12"/>
  <c r="U144" i="12"/>
  <c r="U147" i="12"/>
  <c r="U149" i="12"/>
  <c r="U152" i="12"/>
  <c r="U154" i="12"/>
  <c r="U155" i="12"/>
  <c r="U160" i="12"/>
  <c r="U161" i="12"/>
  <c r="U164" i="12"/>
  <c r="U166" i="12"/>
  <c r="U167" i="12"/>
  <c r="U171" i="12"/>
  <c r="U172" i="12"/>
  <c r="U173" i="12"/>
  <c r="U176" i="12"/>
  <c r="U178" i="12"/>
  <c r="U179" i="12"/>
  <c r="U184" i="12"/>
  <c r="U185" i="12"/>
  <c r="U188" i="12"/>
  <c r="U190" i="12"/>
  <c r="U191" i="12"/>
  <c r="U195" i="12"/>
  <c r="U196" i="12"/>
  <c r="U197" i="12"/>
  <c r="U198" i="12"/>
  <c r="U199" i="12"/>
  <c r="U200" i="12"/>
  <c r="U201" i="12"/>
  <c r="U202" i="12"/>
  <c r="U203" i="12"/>
  <c r="U204" i="12"/>
  <c r="U207" i="12"/>
  <c r="U209" i="12"/>
  <c r="U212" i="12"/>
  <c r="U214" i="12"/>
  <c r="U215" i="12"/>
  <c r="U220" i="12"/>
  <c r="U224" i="12"/>
  <c r="U226" i="12"/>
  <c r="U227" i="12"/>
  <c r="U228" i="12"/>
  <c r="U231" i="12"/>
  <c r="U233" i="12"/>
  <c r="U236" i="12"/>
  <c r="U237" i="12"/>
  <c r="U238" i="12"/>
  <c r="U239" i="12"/>
  <c r="U245" i="12"/>
  <c r="U248" i="12"/>
  <c r="U249" i="12"/>
  <c r="U250" i="12"/>
  <c r="U251" i="12"/>
  <c r="U255" i="12"/>
  <c r="U256" i="12"/>
  <c r="U257" i="12"/>
  <c r="U258" i="12"/>
  <c r="U260" i="12"/>
  <c r="U3" i="12"/>
  <c r="U4" i="12"/>
  <c r="U5" i="12"/>
  <c r="U6" i="12"/>
  <c r="U8" i="12"/>
  <c r="U2" i="12"/>
  <c r="R29" i="5"/>
  <c r="A29" i="4" s="1"/>
  <c r="B407" i="8" s="1"/>
  <c r="R28" i="5"/>
  <c r="B28" i="4" s="1"/>
  <c r="C28" i="4" s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3" i="1"/>
  <c r="G3" i="2"/>
  <c r="G8" i="2"/>
  <c r="G9" i="2"/>
  <c r="G10" i="2"/>
  <c r="G14" i="2"/>
  <c r="G15" i="2"/>
  <c r="G16" i="2"/>
  <c r="G20" i="2"/>
  <c r="G21" i="2"/>
  <c r="G22" i="2"/>
  <c r="G26" i="2"/>
  <c r="G27" i="2"/>
  <c r="G28" i="2"/>
  <c r="G32" i="2"/>
  <c r="G33" i="2"/>
  <c r="G34" i="2"/>
  <c r="G38" i="2"/>
  <c r="G39" i="2"/>
  <c r="G40" i="2"/>
  <c r="G44" i="2"/>
  <c r="G45" i="2"/>
  <c r="G46" i="2"/>
  <c r="G50" i="2"/>
  <c r="G51" i="2"/>
  <c r="G52" i="2"/>
  <c r="G56" i="2"/>
  <c r="G57" i="2"/>
  <c r="G2" i="2"/>
  <c r="F3" i="2"/>
  <c r="F4" i="2"/>
  <c r="G4" i="2" s="1"/>
  <c r="F5" i="2"/>
  <c r="G5" i="2" s="1"/>
  <c r="F6" i="2"/>
  <c r="G6" i="2" s="1"/>
  <c r="F7" i="2"/>
  <c r="G7" i="2" s="1"/>
  <c r="F8" i="2"/>
  <c r="F9" i="2"/>
  <c r="F10" i="2"/>
  <c r="F11" i="2"/>
  <c r="G11" i="2" s="1"/>
  <c r="F12" i="2"/>
  <c r="G12" i="2" s="1"/>
  <c r="F13" i="2"/>
  <c r="G13" i="2" s="1"/>
  <c r="F14" i="2"/>
  <c r="F15" i="2"/>
  <c r="F16" i="2"/>
  <c r="F17" i="2"/>
  <c r="G17" i="2" s="1"/>
  <c r="F18" i="2"/>
  <c r="G18" i="2" s="1"/>
  <c r="F19" i="2"/>
  <c r="G19" i="2" s="1"/>
  <c r="F20" i="2"/>
  <c r="F21" i="2"/>
  <c r="F22" i="2"/>
  <c r="F23" i="2"/>
  <c r="G23" i="2" s="1"/>
  <c r="F24" i="2"/>
  <c r="G24" i="2" s="1"/>
  <c r="F25" i="2"/>
  <c r="G25" i="2" s="1"/>
  <c r="F26" i="2"/>
  <c r="F27" i="2"/>
  <c r="F28" i="2"/>
  <c r="F29" i="2"/>
  <c r="G29" i="2" s="1"/>
  <c r="F30" i="2"/>
  <c r="G30" i="2" s="1"/>
  <c r="F31" i="2"/>
  <c r="G31" i="2" s="1"/>
  <c r="F32" i="2"/>
  <c r="F33" i="2"/>
  <c r="F34" i="2"/>
  <c r="F35" i="2"/>
  <c r="G35" i="2" s="1"/>
  <c r="F36" i="2"/>
  <c r="G36" i="2" s="1"/>
  <c r="F37" i="2"/>
  <c r="G37" i="2" s="1"/>
  <c r="F38" i="2"/>
  <c r="F39" i="2"/>
  <c r="F40" i="2"/>
  <c r="F41" i="2"/>
  <c r="G41" i="2" s="1"/>
  <c r="F42" i="2"/>
  <c r="G42" i="2" s="1"/>
  <c r="F43" i="2"/>
  <c r="G43" i="2" s="1"/>
  <c r="F44" i="2"/>
  <c r="F45" i="2"/>
  <c r="F46" i="2"/>
  <c r="F47" i="2"/>
  <c r="G47" i="2" s="1"/>
  <c r="F48" i="2"/>
  <c r="G48" i="2" s="1"/>
  <c r="F49" i="2"/>
  <c r="G49" i="2" s="1"/>
  <c r="F50" i="2"/>
  <c r="F51" i="2"/>
  <c r="F52" i="2"/>
  <c r="F53" i="2"/>
  <c r="G53" i="2" s="1"/>
  <c r="F54" i="2"/>
  <c r="G54" i="2" s="1"/>
  <c r="F55" i="2"/>
  <c r="G55" i="2" s="1"/>
  <c r="F56" i="2"/>
  <c r="F57" i="2"/>
  <c r="F2" i="2"/>
  <c r="R12" i="5"/>
  <c r="B12" i="4" s="1"/>
  <c r="C12" i="4" s="1"/>
  <c r="G9" i="1"/>
  <c r="G15" i="1"/>
  <c r="F2" i="1"/>
  <c r="G2" i="1" s="1"/>
  <c r="F3" i="1"/>
  <c r="G3" i="1" s="1"/>
  <c r="F4" i="1"/>
  <c r="G4" i="1" s="1"/>
  <c r="F5" i="1"/>
  <c r="G5" i="1" s="1"/>
  <c r="F6" i="1"/>
  <c r="G6" i="1" s="1"/>
  <c r="F7" i="1"/>
  <c r="G7" i="1" s="1"/>
  <c r="F8" i="1"/>
  <c r="G8" i="1" s="1"/>
  <c r="F9" i="1"/>
  <c r="F10" i="1"/>
  <c r="G10" i="1" s="1"/>
  <c r="F11" i="1"/>
  <c r="G11" i="1" s="1"/>
  <c r="F12" i="1"/>
  <c r="G12" i="1" s="1"/>
  <c r="F13" i="1"/>
  <c r="G13" i="1" s="1"/>
  <c r="F14" i="1"/>
  <c r="G14" i="1" s="1"/>
  <c r="F15" i="1"/>
  <c r="F16" i="1"/>
  <c r="G16" i="1" s="1"/>
  <c r="F17" i="1"/>
  <c r="G17" i="1" s="1"/>
  <c r="F18" i="1"/>
  <c r="G18" i="1" s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6" i="1"/>
  <c r="G26" i="1" s="1"/>
  <c r="F19" i="1"/>
  <c r="G19" i="1" s="1"/>
  <c r="R2" i="5"/>
  <c r="A2" i="4" s="1"/>
  <c r="C71" i="12" s="1"/>
  <c r="R3" i="5"/>
  <c r="B3" i="4" s="1"/>
  <c r="C3" i="4" s="1"/>
  <c r="R4" i="5"/>
  <c r="B4" i="4" s="1"/>
  <c r="C4" i="4" s="1"/>
  <c r="R5" i="5"/>
  <c r="B5" i="4" s="1"/>
  <c r="C5" i="4" s="1"/>
  <c r="R6" i="5"/>
  <c r="B6" i="4" s="1"/>
  <c r="C6" i="4" s="1"/>
  <c r="R7" i="5"/>
  <c r="B7" i="4" s="1"/>
  <c r="C7" i="4" s="1"/>
  <c r="R8" i="5"/>
  <c r="B8" i="4" s="1"/>
  <c r="C8" i="4" s="1"/>
  <c r="R9" i="5"/>
  <c r="B9" i="4" s="1"/>
  <c r="C9" i="4" s="1"/>
  <c r="R10" i="5"/>
  <c r="B10" i="4" s="1"/>
  <c r="C10" i="4" s="1"/>
  <c r="R11" i="5"/>
  <c r="B11" i="4" s="1"/>
  <c r="C11" i="4" s="1"/>
  <c r="R13" i="5"/>
  <c r="B13" i="4" s="1"/>
  <c r="C13" i="4" s="1"/>
  <c r="R14" i="5"/>
  <c r="A14" i="4" s="1"/>
  <c r="R15" i="5"/>
  <c r="B15" i="4" s="1"/>
  <c r="C15" i="4" s="1"/>
  <c r="R16" i="5"/>
  <c r="A16" i="4" s="1"/>
  <c r="R17" i="5"/>
  <c r="A17" i="4" s="1"/>
  <c r="R18" i="5"/>
  <c r="A18" i="4" s="1"/>
  <c r="R19" i="5"/>
  <c r="A19" i="4" s="1"/>
  <c r="R20" i="5"/>
  <c r="B20" i="4" s="1"/>
  <c r="R21" i="5"/>
  <c r="A21" i="4" s="1"/>
  <c r="R22" i="5"/>
  <c r="A22" i="4" s="1"/>
  <c r="R23" i="5"/>
  <c r="A23" i="4" s="1"/>
  <c r="R24" i="5"/>
  <c r="A24" i="4" s="1"/>
  <c r="R25" i="5"/>
  <c r="A25" i="4" s="1"/>
  <c r="R26" i="5"/>
  <c r="B26" i="4" s="1"/>
  <c r="C26" i="4" s="1"/>
  <c r="R27" i="5"/>
  <c r="B27" i="4" s="1"/>
  <c r="G2" i="3"/>
  <c r="H2" i="3" s="1"/>
  <c r="G3" i="3"/>
  <c r="H3" i="3" s="1"/>
  <c r="G4" i="3"/>
  <c r="H4" i="3" s="1"/>
  <c r="G5" i="3"/>
  <c r="H5" i="3" s="1"/>
  <c r="G6" i="3"/>
  <c r="H6" i="3" s="1"/>
  <c r="G7" i="3"/>
  <c r="H7" i="3" s="1"/>
  <c r="G8" i="3"/>
  <c r="H8" i="3" s="1"/>
  <c r="G9" i="3"/>
  <c r="H9" i="3" s="1"/>
  <c r="G10" i="3"/>
  <c r="H10" i="3" s="1"/>
  <c r="G11" i="3"/>
  <c r="H11" i="3" s="1"/>
  <c r="G12" i="3"/>
  <c r="H12" i="3" s="1"/>
  <c r="G13" i="3"/>
  <c r="H13" i="3" s="1"/>
  <c r="G14" i="3"/>
  <c r="H14" i="3" s="1"/>
  <c r="G15" i="3"/>
  <c r="H15" i="3" s="1"/>
  <c r="G16" i="3"/>
  <c r="H16" i="3" s="1"/>
  <c r="G17" i="3"/>
  <c r="H17" i="3" s="1"/>
  <c r="G18" i="3"/>
  <c r="H18" i="3" s="1"/>
  <c r="G19" i="3"/>
  <c r="H19" i="3" s="1"/>
  <c r="G20" i="3"/>
  <c r="H20" i="3" s="1"/>
  <c r="G21" i="3"/>
  <c r="H21" i="3" s="1"/>
  <c r="G22" i="3"/>
  <c r="H22" i="3" s="1"/>
  <c r="G23" i="3"/>
  <c r="H23" i="3" s="1"/>
  <c r="G24" i="3"/>
  <c r="H24" i="3" s="1"/>
  <c r="G25" i="3"/>
  <c r="H25" i="3" s="1"/>
  <c r="G26" i="3"/>
  <c r="H26" i="3" s="1"/>
  <c r="G27" i="3"/>
  <c r="H27" i="3" s="1"/>
  <c r="G28" i="3"/>
  <c r="H28" i="3" s="1"/>
  <c r="G29" i="3"/>
  <c r="H29" i="3" s="1"/>
  <c r="G30" i="3"/>
  <c r="H30" i="3" s="1"/>
  <c r="G31" i="3"/>
  <c r="H31" i="3" s="1"/>
  <c r="G32" i="3"/>
  <c r="H32" i="3" s="1"/>
  <c r="G33" i="3"/>
  <c r="H33" i="3" s="1"/>
  <c r="G34" i="3"/>
  <c r="H34" i="3" s="1"/>
  <c r="G35" i="3"/>
  <c r="H35" i="3" s="1"/>
  <c r="G36" i="3"/>
  <c r="H36" i="3" s="1"/>
  <c r="G37" i="3"/>
  <c r="H37" i="3" s="1"/>
  <c r="G38" i="3"/>
  <c r="H38" i="3" s="1"/>
  <c r="G39" i="3"/>
  <c r="H39" i="3" s="1"/>
  <c r="G40" i="3"/>
  <c r="H40" i="3" s="1"/>
  <c r="G41" i="3"/>
  <c r="H41" i="3" s="1"/>
  <c r="G42" i="3"/>
  <c r="H42" i="3" s="1"/>
  <c r="G43" i="3"/>
  <c r="H43" i="3" s="1"/>
  <c r="G44" i="3"/>
  <c r="H44" i="3" s="1"/>
  <c r="G45" i="3"/>
  <c r="H45" i="3" s="1"/>
  <c r="G46" i="3"/>
  <c r="H46" i="3" s="1"/>
  <c r="C108" i="12" l="1"/>
  <c r="C96" i="12"/>
  <c r="C84" i="12"/>
  <c r="C70" i="12"/>
  <c r="A28" i="4"/>
  <c r="C118" i="12"/>
  <c r="C106" i="12"/>
  <c r="C94" i="12"/>
  <c r="C82" i="12"/>
  <c r="C68" i="12"/>
  <c r="C27" i="4"/>
  <c r="C116" i="12"/>
  <c r="C104" i="12"/>
  <c r="C92" i="12"/>
  <c r="C80" i="12"/>
  <c r="C20" i="4"/>
  <c r="C114" i="12"/>
  <c r="C102" i="12"/>
  <c r="C90" i="12"/>
  <c r="C77" i="12"/>
  <c r="B22" i="8"/>
  <c r="B375" i="8"/>
  <c r="B339" i="8"/>
  <c r="B303" i="8"/>
  <c r="B267" i="8"/>
  <c r="B231" i="8"/>
  <c r="B195" i="8"/>
  <c r="B138" i="8"/>
  <c r="B84" i="8"/>
  <c r="B30" i="8"/>
  <c r="B2" i="8"/>
  <c r="B387" i="8"/>
  <c r="B369" i="8"/>
  <c r="B351" i="8"/>
  <c r="B333" i="8"/>
  <c r="B315" i="8"/>
  <c r="B297" i="8"/>
  <c r="B279" i="8"/>
  <c r="B261" i="8"/>
  <c r="B243" i="8"/>
  <c r="B225" i="8"/>
  <c r="B207" i="8"/>
  <c r="B189" i="8"/>
  <c r="B168" i="8"/>
  <c r="B150" i="8"/>
  <c r="B132" i="8"/>
  <c r="B114" i="8"/>
  <c r="B96" i="8"/>
  <c r="B78" i="8"/>
  <c r="B60" i="8"/>
  <c r="B42" i="8"/>
  <c r="B24" i="8"/>
  <c r="B6" i="8"/>
  <c r="B236" i="7"/>
  <c r="B218" i="7"/>
  <c r="B200" i="7"/>
  <c r="B128" i="7"/>
  <c r="B110" i="7"/>
  <c r="B92" i="7"/>
  <c r="B20" i="7"/>
  <c r="B403" i="8"/>
  <c r="B385" i="8"/>
  <c r="B367" i="8"/>
  <c r="B349" i="8"/>
  <c r="B331" i="8"/>
  <c r="B313" i="8"/>
  <c r="B295" i="8"/>
  <c r="B277" i="8"/>
  <c r="B259" i="8"/>
  <c r="B241" i="8"/>
  <c r="B223" i="8"/>
  <c r="B205" i="8"/>
  <c r="B187" i="8"/>
  <c r="B166" i="8"/>
  <c r="B148" i="8"/>
  <c r="B130" i="8"/>
  <c r="B112" i="8"/>
  <c r="B94" i="8"/>
  <c r="B76" i="8"/>
  <c r="B58" i="8"/>
  <c r="B40" i="8"/>
  <c r="B4" i="8"/>
  <c r="B232" i="7"/>
  <c r="B214" i="7"/>
  <c r="B196" i="7"/>
  <c r="B124" i="7"/>
  <c r="B106" i="7"/>
  <c r="B88" i="7"/>
  <c r="B16" i="7"/>
  <c r="B399" i="8"/>
  <c r="B381" i="8"/>
  <c r="B363" i="8"/>
  <c r="B345" i="8"/>
  <c r="B327" i="8"/>
  <c r="B309" i="8"/>
  <c r="B291" i="8"/>
  <c r="B273" i="8"/>
  <c r="B255" i="8"/>
  <c r="B237" i="8"/>
  <c r="B219" i="8"/>
  <c r="B201" i="8"/>
  <c r="B180" i="8"/>
  <c r="B162" i="8"/>
  <c r="B144" i="8"/>
  <c r="B126" i="8"/>
  <c r="B108" i="8"/>
  <c r="B90" i="8"/>
  <c r="B72" i="8"/>
  <c r="B54" i="8"/>
  <c r="B36" i="8"/>
  <c r="B18" i="8"/>
  <c r="B409" i="8"/>
  <c r="B29" i="4"/>
  <c r="C29" i="4" s="1"/>
  <c r="B248" i="7"/>
  <c r="B230" i="7"/>
  <c r="B212" i="7"/>
  <c r="B194" i="7"/>
  <c r="B158" i="7"/>
  <c r="B140" i="7"/>
  <c r="B122" i="7"/>
  <c r="B104" i="7"/>
  <c r="B86" i="7"/>
  <c r="B50" i="7"/>
  <c r="B32" i="7"/>
  <c r="B397" i="8"/>
  <c r="B379" i="8"/>
  <c r="B361" i="8"/>
  <c r="B343" i="8"/>
  <c r="B325" i="8"/>
  <c r="B307" i="8"/>
  <c r="B289" i="8"/>
  <c r="B271" i="8"/>
  <c r="B253" i="8"/>
  <c r="B235" i="8"/>
  <c r="B217" i="8"/>
  <c r="B199" i="8"/>
  <c r="B178" i="8"/>
  <c r="B160" i="8"/>
  <c r="B142" i="8"/>
  <c r="B124" i="8"/>
  <c r="B106" i="8"/>
  <c r="B88" i="8"/>
  <c r="B70" i="8"/>
  <c r="B52" i="8"/>
  <c r="B34" i="8"/>
  <c r="B16" i="8"/>
  <c r="B183" i="8"/>
  <c r="B185" i="8"/>
  <c r="B184" i="8"/>
  <c r="B405" i="8"/>
  <c r="B411" i="8"/>
  <c r="B8" i="8"/>
  <c r="B14" i="8"/>
  <c r="B20" i="8"/>
  <c r="B26" i="8"/>
  <c r="B32" i="8"/>
  <c r="B38" i="8"/>
  <c r="B44" i="8"/>
  <c r="B50" i="8"/>
  <c r="B56" i="8"/>
  <c r="B62" i="8"/>
  <c r="B68" i="8"/>
  <c r="B74" i="8"/>
  <c r="B80" i="8"/>
  <c r="B86" i="8"/>
  <c r="B92" i="8"/>
  <c r="B98" i="8"/>
  <c r="B104" i="8"/>
  <c r="B110" i="8"/>
  <c r="B116" i="8"/>
  <c r="B122" i="8"/>
  <c r="B128" i="8"/>
  <c r="B134" i="8"/>
  <c r="B140" i="8"/>
  <c r="B146" i="8"/>
  <c r="B152" i="8"/>
  <c r="B158" i="8"/>
  <c r="B164" i="8"/>
  <c r="B170" i="8"/>
  <c r="B176" i="8"/>
  <c r="B182" i="8"/>
  <c r="B197" i="8"/>
  <c r="B203" i="8"/>
  <c r="B209" i="8"/>
  <c r="B215" i="8"/>
  <c r="B221" i="8"/>
  <c r="B227" i="8"/>
  <c r="B233" i="8"/>
  <c r="B239" i="8"/>
  <c r="B245" i="8"/>
  <c r="B251" i="8"/>
  <c r="B257" i="8"/>
  <c r="B263" i="8"/>
  <c r="B269" i="8"/>
  <c r="B275" i="8"/>
  <c r="B281" i="8"/>
  <c r="B287" i="8"/>
  <c r="B293" i="8"/>
  <c r="B299" i="8"/>
  <c r="B305" i="8"/>
  <c r="B311" i="8"/>
  <c r="B317" i="8"/>
  <c r="B323" i="8"/>
  <c r="B329" i="8"/>
  <c r="B335" i="8"/>
  <c r="B341" i="8"/>
  <c r="B347" i="8"/>
  <c r="B353" i="8"/>
  <c r="B359" i="8"/>
  <c r="B365" i="8"/>
  <c r="B371" i="8"/>
  <c r="B377" i="8"/>
  <c r="B383" i="8"/>
  <c r="B389" i="8"/>
  <c r="B395" i="8"/>
  <c r="B401" i="8"/>
  <c r="B406" i="8"/>
  <c r="B412" i="8"/>
  <c r="B9" i="8"/>
  <c r="B15" i="8"/>
  <c r="B21" i="8"/>
  <c r="B27" i="8"/>
  <c r="B33" i="8"/>
  <c r="B39" i="8"/>
  <c r="B45" i="8"/>
  <c r="B51" i="8"/>
  <c r="B57" i="8"/>
  <c r="B63" i="8"/>
  <c r="B69" i="8"/>
  <c r="B75" i="8"/>
  <c r="B81" i="8"/>
  <c r="B87" i="8"/>
  <c r="B93" i="8"/>
  <c r="B99" i="8"/>
  <c r="B105" i="8"/>
  <c r="B111" i="8"/>
  <c r="B117" i="8"/>
  <c r="B123" i="8"/>
  <c r="B129" i="8"/>
  <c r="B135" i="8"/>
  <c r="B141" i="8"/>
  <c r="B147" i="8"/>
  <c r="B153" i="8"/>
  <c r="B159" i="8"/>
  <c r="B165" i="8"/>
  <c r="B171" i="8"/>
  <c r="B177" i="8"/>
  <c r="B186" i="8"/>
  <c r="B192" i="8"/>
  <c r="B198" i="8"/>
  <c r="B204" i="8"/>
  <c r="B210" i="8"/>
  <c r="B216" i="8"/>
  <c r="B222" i="8"/>
  <c r="B228" i="8"/>
  <c r="B234" i="8"/>
  <c r="B240" i="8"/>
  <c r="B246" i="8"/>
  <c r="B252" i="8"/>
  <c r="B258" i="8"/>
  <c r="B264" i="8"/>
  <c r="B270" i="8"/>
  <c r="B276" i="8"/>
  <c r="B282" i="8"/>
  <c r="B288" i="8"/>
  <c r="B294" i="8"/>
  <c r="B300" i="8"/>
  <c r="B306" i="8"/>
  <c r="B312" i="8"/>
  <c r="B318" i="8"/>
  <c r="B324" i="8"/>
  <c r="B330" i="8"/>
  <c r="B336" i="8"/>
  <c r="B342" i="8"/>
  <c r="B348" i="8"/>
  <c r="B354" i="8"/>
  <c r="B360" i="8"/>
  <c r="B366" i="8"/>
  <c r="B372" i="8"/>
  <c r="B378" i="8"/>
  <c r="B384" i="8"/>
  <c r="B390" i="8"/>
  <c r="B396" i="8"/>
  <c r="B402" i="8"/>
  <c r="B408" i="8"/>
  <c r="B5" i="8"/>
  <c r="B11" i="8"/>
  <c r="B17" i="8"/>
  <c r="B23" i="8"/>
  <c r="B29" i="8"/>
  <c r="B35" i="8"/>
  <c r="B41" i="8"/>
  <c r="B47" i="8"/>
  <c r="B53" i="8"/>
  <c r="B59" i="8"/>
  <c r="B65" i="8"/>
  <c r="B71" i="8"/>
  <c r="B77" i="8"/>
  <c r="B83" i="8"/>
  <c r="B89" i="8"/>
  <c r="B95" i="8"/>
  <c r="B101" i="8"/>
  <c r="B107" i="8"/>
  <c r="B113" i="8"/>
  <c r="B119" i="8"/>
  <c r="B125" i="8"/>
  <c r="B131" i="8"/>
  <c r="B137" i="8"/>
  <c r="B143" i="8"/>
  <c r="B149" i="8"/>
  <c r="B155" i="8"/>
  <c r="B161" i="8"/>
  <c r="B167" i="8"/>
  <c r="B173" i="8"/>
  <c r="B179" i="8"/>
  <c r="B188" i="8"/>
  <c r="B194" i="8"/>
  <c r="B200" i="8"/>
  <c r="B206" i="8"/>
  <c r="B212" i="8"/>
  <c r="B218" i="8"/>
  <c r="B224" i="8"/>
  <c r="B230" i="8"/>
  <c r="B236" i="8"/>
  <c r="B242" i="8"/>
  <c r="B248" i="8"/>
  <c r="B254" i="8"/>
  <c r="B260" i="8"/>
  <c r="B266" i="8"/>
  <c r="B272" i="8"/>
  <c r="B278" i="8"/>
  <c r="B284" i="8"/>
  <c r="B290" i="8"/>
  <c r="B296" i="8"/>
  <c r="B302" i="8"/>
  <c r="B308" i="8"/>
  <c r="B314" i="8"/>
  <c r="B320" i="8"/>
  <c r="B326" i="8"/>
  <c r="B332" i="8"/>
  <c r="B338" i="8"/>
  <c r="B344" i="8"/>
  <c r="B350" i="8"/>
  <c r="B356" i="8"/>
  <c r="B362" i="8"/>
  <c r="B368" i="8"/>
  <c r="B374" i="8"/>
  <c r="B380" i="8"/>
  <c r="B386" i="8"/>
  <c r="B392" i="8"/>
  <c r="B398" i="8"/>
  <c r="B3" i="8"/>
  <c r="B404" i="8"/>
  <c r="B410" i="8"/>
  <c r="B7" i="8"/>
  <c r="B13" i="8"/>
  <c r="B19" i="8"/>
  <c r="B25" i="8"/>
  <c r="B31" i="8"/>
  <c r="B37" i="8"/>
  <c r="B43" i="8"/>
  <c r="B49" i="8"/>
  <c r="B55" i="8"/>
  <c r="B61" i="8"/>
  <c r="B67" i="8"/>
  <c r="B73" i="8"/>
  <c r="B79" i="8"/>
  <c r="B85" i="8"/>
  <c r="B91" i="8"/>
  <c r="B97" i="8"/>
  <c r="B103" i="8"/>
  <c r="B109" i="8"/>
  <c r="B115" i="8"/>
  <c r="B121" i="8"/>
  <c r="B127" i="8"/>
  <c r="B133" i="8"/>
  <c r="B139" i="8"/>
  <c r="B145" i="8"/>
  <c r="B151" i="8"/>
  <c r="B157" i="8"/>
  <c r="B163" i="8"/>
  <c r="B169" i="8"/>
  <c r="B175" i="8"/>
  <c r="B181" i="8"/>
  <c r="B190" i="8"/>
  <c r="B196" i="8"/>
  <c r="B202" i="8"/>
  <c r="B208" i="8"/>
  <c r="B214" i="8"/>
  <c r="B220" i="8"/>
  <c r="B226" i="8"/>
  <c r="B232" i="8"/>
  <c r="B238" i="8"/>
  <c r="B244" i="8"/>
  <c r="B250" i="8"/>
  <c r="B256" i="8"/>
  <c r="B262" i="8"/>
  <c r="B268" i="8"/>
  <c r="B274" i="8"/>
  <c r="B280" i="8"/>
  <c r="B286" i="8"/>
  <c r="B292" i="8"/>
  <c r="B298" i="8"/>
  <c r="B304" i="8"/>
  <c r="B310" i="8"/>
  <c r="B316" i="8"/>
  <c r="B322" i="8"/>
  <c r="B328" i="8"/>
  <c r="B334" i="8"/>
  <c r="B340" i="8"/>
  <c r="B346" i="8"/>
  <c r="B352" i="8"/>
  <c r="B358" i="8"/>
  <c r="B364" i="8"/>
  <c r="B370" i="8"/>
  <c r="B376" i="8"/>
  <c r="B382" i="8"/>
  <c r="B388" i="8"/>
  <c r="B394" i="8"/>
  <c r="B400" i="8"/>
  <c r="B191" i="8"/>
  <c r="B393" i="8"/>
  <c r="B357" i="8"/>
  <c r="B321" i="8"/>
  <c r="B285" i="8"/>
  <c r="B249" i="8"/>
  <c r="B213" i="8"/>
  <c r="B174" i="8"/>
  <c r="B156" i="8"/>
  <c r="B120" i="8"/>
  <c r="B102" i="8"/>
  <c r="B66" i="8"/>
  <c r="B48" i="8"/>
  <c r="B12" i="8"/>
  <c r="B6" i="7"/>
  <c r="B12" i="7"/>
  <c r="B18" i="7"/>
  <c r="B24" i="7"/>
  <c r="B30" i="7"/>
  <c r="B36" i="7"/>
  <c r="B42" i="7"/>
  <c r="B48" i="7"/>
  <c r="B54" i="7"/>
  <c r="B60" i="7"/>
  <c r="B66" i="7"/>
  <c r="B72" i="7"/>
  <c r="B78" i="7"/>
  <c r="B84" i="7"/>
  <c r="B90" i="7"/>
  <c r="B96" i="7"/>
  <c r="B102" i="7"/>
  <c r="B108" i="7"/>
  <c r="B114" i="7"/>
  <c r="B120" i="7"/>
  <c r="B126" i="7"/>
  <c r="B132" i="7"/>
  <c r="B138" i="7"/>
  <c r="B144" i="7"/>
  <c r="B150" i="7"/>
  <c r="B162" i="7"/>
  <c r="B168" i="7"/>
  <c r="B174" i="7"/>
  <c r="B180" i="7"/>
  <c r="B186" i="7"/>
  <c r="B192" i="7"/>
  <c r="B204" i="7"/>
  <c r="B210" i="7"/>
  <c r="B222" i="7"/>
  <c r="B228" i="7"/>
  <c r="B240" i="7"/>
  <c r="B252" i="7"/>
  <c r="B7" i="7"/>
  <c r="B13" i="7"/>
  <c r="B19" i="7"/>
  <c r="B25" i="7"/>
  <c r="B31" i="7"/>
  <c r="B37" i="7"/>
  <c r="B43" i="7"/>
  <c r="B49" i="7"/>
  <c r="B55" i="7"/>
  <c r="B61" i="7"/>
  <c r="B67" i="7"/>
  <c r="B73" i="7"/>
  <c r="B79" i="7"/>
  <c r="B85" i="7"/>
  <c r="B91" i="7"/>
  <c r="B97" i="7"/>
  <c r="B103" i="7"/>
  <c r="B109" i="7"/>
  <c r="B115" i="7"/>
  <c r="B121" i="7"/>
  <c r="B127" i="7"/>
  <c r="B133" i="7"/>
  <c r="B139" i="7"/>
  <c r="B145" i="7"/>
  <c r="B151" i="7"/>
  <c r="B157" i="7"/>
  <c r="B163" i="7"/>
  <c r="B169" i="7"/>
  <c r="B175" i="7"/>
  <c r="B181" i="7"/>
  <c r="B187" i="7"/>
  <c r="B193" i="7"/>
  <c r="B199" i="7"/>
  <c r="B205" i="7"/>
  <c r="B211" i="7"/>
  <c r="B217" i="7"/>
  <c r="B223" i="7"/>
  <c r="B229" i="7"/>
  <c r="B235" i="7"/>
  <c r="B241" i="7"/>
  <c r="B247" i="7"/>
  <c r="B253" i="7"/>
  <c r="B2" i="7"/>
  <c r="B9" i="7"/>
  <c r="B15" i="7"/>
  <c r="B21" i="7"/>
  <c r="B27" i="7"/>
  <c r="B33" i="7"/>
  <c r="B39" i="7"/>
  <c r="B45" i="7"/>
  <c r="B51" i="7"/>
  <c r="B57" i="7"/>
  <c r="B63" i="7"/>
  <c r="B69" i="7"/>
  <c r="B75" i="7"/>
  <c r="B81" i="7"/>
  <c r="B87" i="7"/>
  <c r="B93" i="7"/>
  <c r="B99" i="7"/>
  <c r="B105" i="7"/>
  <c r="B111" i="7"/>
  <c r="B117" i="7"/>
  <c r="B123" i="7"/>
  <c r="B129" i="7"/>
  <c r="B135" i="7"/>
  <c r="B141" i="7"/>
  <c r="B147" i="7"/>
  <c r="B153" i="7"/>
  <c r="B159" i="7"/>
  <c r="B165" i="7"/>
  <c r="B171" i="7"/>
  <c r="B177" i="7"/>
  <c r="B183" i="7"/>
  <c r="B189" i="7"/>
  <c r="B195" i="7"/>
  <c r="B201" i="7"/>
  <c r="B207" i="7"/>
  <c r="B213" i="7"/>
  <c r="B219" i="7"/>
  <c r="B225" i="7"/>
  <c r="B231" i="7"/>
  <c r="B237" i="7"/>
  <c r="B243" i="7"/>
  <c r="B249" i="7"/>
  <c r="B255" i="7"/>
  <c r="B5" i="7"/>
  <c r="B11" i="7"/>
  <c r="B17" i="7"/>
  <c r="B23" i="7"/>
  <c r="B29" i="7"/>
  <c r="B35" i="7"/>
  <c r="B41" i="7"/>
  <c r="B47" i="7"/>
  <c r="B53" i="7"/>
  <c r="B59" i="7"/>
  <c r="B65" i="7"/>
  <c r="B71" i="7"/>
  <c r="B77" i="7"/>
  <c r="B83" i="7"/>
  <c r="B89" i="7"/>
  <c r="B95" i="7"/>
  <c r="B101" i="7"/>
  <c r="B107" i="7"/>
  <c r="B113" i="7"/>
  <c r="B119" i="7"/>
  <c r="B125" i="7"/>
  <c r="B131" i="7"/>
  <c r="B137" i="7"/>
  <c r="B143" i="7"/>
  <c r="B149" i="7"/>
  <c r="B155" i="7"/>
  <c r="B161" i="7"/>
  <c r="B167" i="7"/>
  <c r="B173" i="7"/>
  <c r="B179" i="7"/>
  <c r="B185" i="7"/>
  <c r="B191" i="7"/>
  <c r="B197" i="7"/>
  <c r="B203" i="7"/>
  <c r="B209" i="7"/>
  <c r="B215" i="7"/>
  <c r="B221" i="7"/>
  <c r="B227" i="7"/>
  <c r="B233" i="7"/>
  <c r="B239" i="7"/>
  <c r="B245" i="7"/>
  <c r="B251" i="7"/>
  <c r="B4" i="7"/>
  <c r="B156" i="7"/>
  <c r="B198" i="7"/>
  <c r="B216" i="7"/>
  <c r="B234" i="7"/>
  <c r="B246" i="7"/>
  <c r="B242" i="7"/>
  <c r="B224" i="7"/>
  <c r="B206" i="7"/>
  <c r="B188" i="7"/>
  <c r="B170" i="7"/>
  <c r="B152" i="7"/>
  <c r="B134" i="7"/>
  <c r="B116" i="7"/>
  <c r="B98" i="7"/>
  <c r="B80" i="7"/>
  <c r="B62" i="7"/>
  <c r="B44" i="7"/>
  <c r="B26" i="7"/>
  <c r="B8" i="7"/>
  <c r="B391" i="8"/>
  <c r="B373" i="8"/>
  <c r="B355" i="8"/>
  <c r="B337" i="8"/>
  <c r="B319" i="8"/>
  <c r="B301" i="8"/>
  <c r="B283" i="8"/>
  <c r="B265" i="8"/>
  <c r="B247" i="8"/>
  <c r="B229" i="8"/>
  <c r="B211" i="8"/>
  <c r="B193" i="8"/>
  <c r="B172" i="8"/>
  <c r="B154" i="8"/>
  <c r="B136" i="8"/>
  <c r="B118" i="8"/>
  <c r="B100" i="8"/>
  <c r="B82" i="8"/>
  <c r="B64" i="8"/>
  <c r="B46" i="8"/>
  <c r="B28" i="8"/>
  <c r="B10" i="8"/>
  <c r="C117" i="12"/>
  <c r="C111" i="12"/>
  <c r="C105" i="12"/>
  <c r="C99" i="12"/>
  <c r="C93" i="12"/>
  <c r="C87" i="12"/>
  <c r="C81" i="12"/>
  <c r="C74" i="12"/>
  <c r="C67" i="12"/>
  <c r="E10" i="16"/>
  <c r="G10" i="16" s="1"/>
  <c r="E16" i="16"/>
  <c r="G16" i="16" s="1"/>
  <c r="E22" i="16"/>
  <c r="G22" i="16" s="1"/>
  <c r="E28" i="16"/>
  <c r="G28" i="16" s="1"/>
  <c r="E143" i="16"/>
  <c r="G143" i="16" s="1"/>
  <c r="E347" i="16"/>
  <c r="G347" i="16" s="1"/>
  <c r="E182" i="16"/>
  <c r="G182" i="16" s="1"/>
  <c r="E93" i="16"/>
  <c r="G93" i="16" s="1"/>
  <c r="E603" i="16"/>
  <c r="G603" i="16" s="1"/>
  <c r="E589" i="16"/>
  <c r="G589" i="16" s="1"/>
  <c r="E548" i="16"/>
  <c r="G548" i="16" s="1"/>
  <c r="E451" i="16"/>
  <c r="G451" i="16" s="1"/>
  <c r="E411" i="16"/>
  <c r="G411" i="16" s="1"/>
  <c r="E596" i="16"/>
  <c r="G596" i="16" s="1"/>
  <c r="E529" i="16"/>
  <c r="G529" i="16" s="1"/>
  <c r="E412" i="16"/>
  <c r="G412" i="16" s="1"/>
  <c r="E291" i="16"/>
  <c r="G291" i="16" s="1"/>
  <c r="E175" i="16"/>
  <c r="G175" i="16" s="1"/>
  <c r="E44" i="16"/>
  <c r="G44" i="16" s="1"/>
  <c r="E383" i="16"/>
  <c r="G383" i="16" s="1"/>
  <c r="E101" i="16"/>
  <c r="G101" i="16" s="1"/>
  <c r="E323" i="16"/>
  <c r="G323" i="16" s="1"/>
  <c r="E456" i="16"/>
  <c r="G456" i="16" s="1"/>
  <c r="E380" i="16"/>
  <c r="G380" i="16" s="1"/>
  <c r="E71" i="16"/>
  <c r="G71" i="16" s="1"/>
  <c r="E474" i="16"/>
  <c r="G474" i="16" s="1"/>
  <c r="E580" i="16"/>
  <c r="G580" i="16" s="1"/>
  <c r="E42" i="16"/>
  <c r="G42" i="16" s="1"/>
  <c r="E52" i="16"/>
  <c r="G52" i="16" s="1"/>
  <c r="E65" i="16"/>
  <c r="G65" i="16" s="1"/>
  <c r="E76" i="16"/>
  <c r="G76" i="16" s="1"/>
  <c r="E83" i="16"/>
  <c r="G83" i="16" s="1"/>
  <c r="E90" i="16"/>
  <c r="G90" i="16" s="1"/>
  <c r="E100" i="16"/>
  <c r="G100" i="16" s="1"/>
  <c r="E110" i="16"/>
  <c r="G110" i="16" s="1"/>
  <c r="E119" i="16"/>
  <c r="G119" i="16" s="1"/>
  <c r="E129" i="16"/>
  <c r="G129" i="16" s="1"/>
  <c r="E137" i="16"/>
  <c r="G137" i="16" s="1"/>
  <c r="E147" i="16"/>
  <c r="G147" i="16" s="1"/>
  <c r="E154" i="16"/>
  <c r="G154" i="16" s="1"/>
  <c r="E165" i="16"/>
  <c r="G165" i="16" s="1"/>
  <c r="E177" i="16"/>
  <c r="G177" i="16" s="1"/>
  <c r="E188" i="16"/>
  <c r="G188" i="16" s="1"/>
  <c r="E198" i="16"/>
  <c r="G198" i="16" s="1"/>
  <c r="E206" i="16"/>
  <c r="G206" i="16" s="1"/>
  <c r="E215" i="16"/>
  <c r="G215" i="16" s="1"/>
  <c r="E224" i="16"/>
  <c r="G224" i="16" s="1"/>
  <c r="E235" i="16"/>
  <c r="G235" i="16" s="1"/>
  <c r="E242" i="16"/>
  <c r="G242" i="16" s="1"/>
  <c r="E251" i="16"/>
  <c r="G251" i="16" s="1"/>
  <c r="E600" i="16"/>
  <c r="G600" i="16" s="1"/>
  <c r="E585" i="16"/>
  <c r="G585" i="16" s="1"/>
  <c r="E563" i="16"/>
  <c r="G563" i="16" s="1"/>
  <c r="E550" i="16"/>
  <c r="G550" i="16" s="1"/>
  <c r="E543" i="16"/>
  <c r="G543" i="16" s="1"/>
  <c r="E542" i="16"/>
  <c r="G542" i="16" s="1"/>
  <c r="E513" i="16"/>
  <c r="G513" i="16" s="1"/>
  <c r="E503" i="16"/>
  <c r="G503" i="16" s="1"/>
  <c r="E499" i="16"/>
  <c r="G499" i="16" s="1"/>
  <c r="E492" i="16"/>
  <c r="G492" i="16" s="1"/>
  <c r="E480" i="16"/>
  <c r="G480" i="16" s="1"/>
  <c r="E486" i="16"/>
  <c r="G486" i="16" s="1"/>
  <c r="E454" i="16"/>
  <c r="G454" i="16" s="1"/>
  <c r="E256" i="16"/>
  <c r="G256" i="16" s="1"/>
  <c r="E264" i="16"/>
  <c r="G264" i="16" s="1"/>
  <c r="E272" i="16"/>
  <c r="G272" i="16" s="1"/>
  <c r="E279" i="16"/>
  <c r="G279" i="16" s="1"/>
  <c r="E288" i="16"/>
  <c r="G288" i="16" s="1"/>
  <c r="E300" i="16"/>
  <c r="G300" i="16" s="1"/>
  <c r="E311" i="16"/>
  <c r="G311" i="16" s="1"/>
  <c r="E319" i="16"/>
  <c r="G319" i="16" s="1"/>
  <c r="E326" i="16"/>
  <c r="G326" i="16" s="1"/>
  <c r="E332" i="16"/>
  <c r="G332" i="16" s="1"/>
  <c r="E343" i="16"/>
  <c r="G343" i="16" s="1"/>
  <c r="E354" i="16"/>
  <c r="G354" i="16" s="1"/>
  <c r="E360" i="16"/>
  <c r="G360" i="16" s="1"/>
  <c r="E368" i="16"/>
  <c r="G368" i="16" s="1"/>
  <c r="E376" i="16"/>
  <c r="G376" i="16" s="1"/>
  <c r="E384" i="16"/>
  <c r="G384" i="16" s="1"/>
  <c r="E391" i="16"/>
  <c r="G391" i="16" s="1"/>
  <c r="E399" i="16"/>
  <c r="G399" i="16" s="1"/>
  <c r="E406" i="16"/>
  <c r="G406" i="16" s="1"/>
  <c r="E415" i="16"/>
  <c r="G415" i="16" s="1"/>
  <c r="E422" i="16"/>
  <c r="G422" i="16" s="1"/>
  <c r="E432" i="16"/>
  <c r="G432" i="16" s="1"/>
  <c r="E439" i="16"/>
  <c r="G439" i="16" s="1"/>
  <c r="E126" i="16"/>
  <c r="G126" i="16" s="1"/>
  <c r="E4" i="16"/>
  <c r="G4" i="16" s="1"/>
  <c r="E33" i="16"/>
  <c r="G33" i="16" s="1"/>
  <c r="E60" i="16"/>
  <c r="G60" i="16" s="1"/>
  <c r="E142" i="16"/>
  <c r="G142" i="16" s="1"/>
  <c r="E167" i="16"/>
  <c r="G167" i="16" s="1"/>
  <c r="E193" i="16"/>
  <c r="G193" i="16" s="1"/>
  <c r="E232" i="16"/>
  <c r="G232" i="16" s="1"/>
  <c r="E299" i="16"/>
  <c r="G299" i="16" s="1"/>
  <c r="E313" i="16"/>
  <c r="G313" i="16" s="1"/>
  <c r="E372" i="16"/>
  <c r="G372" i="16" s="1"/>
  <c r="E470" i="16"/>
  <c r="G470" i="16" s="1"/>
  <c r="E518" i="16"/>
  <c r="G518" i="16" s="1"/>
  <c r="E562" i="16"/>
  <c r="G562" i="16" s="1"/>
  <c r="E4" i="17"/>
  <c r="G4" i="17" s="1"/>
  <c r="E10" i="17"/>
  <c r="G10" i="17" s="1"/>
  <c r="E28" i="17"/>
  <c r="G28" i="17" s="1"/>
  <c r="E15" i="17"/>
  <c r="G15" i="17" s="1"/>
  <c r="E24" i="17"/>
  <c r="G24" i="17" s="1"/>
  <c r="E35" i="17"/>
  <c r="G35" i="17" s="1"/>
  <c r="E41" i="17"/>
  <c r="G41" i="17" s="1"/>
  <c r="E47" i="17"/>
  <c r="G47" i="17" s="1"/>
  <c r="E53" i="17"/>
  <c r="G53" i="17" s="1"/>
  <c r="E59" i="17"/>
  <c r="G59" i="17" s="1"/>
  <c r="E65" i="17"/>
  <c r="G65" i="17" s="1"/>
  <c r="E71" i="17"/>
  <c r="G71" i="17" s="1"/>
  <c r="E77" i="17"/>
  <c r="G77" i="17" s="1"/>
  <c r="E83" i="17"/>
  <c r="G83" i="17" s="1"/>
  <c r="E89" i="17"/>
  <c r="G89" i="17" s="1"/>
  <c r="E95" i="17"/>
  <c r="G95" i="17" s="1"/>
  <c r="E99" i="17"/>
  <c r="G99" i="17" s="1"/>
  <c r="E108" i="17"/>
  <c r="G108" i="17" s="1"/>
  <c r="E114" i="17"/>
  <c r="G114" i="17" s="1"/>
  <c r="E120" i="17"/>
  <c r="G120" i="17" s="1"/>
  <c r="E126" i="17"/>
  <c r="G126" i="17" s="1"/>
  <c r="E133" i="17"/>
  <c r="G133" i="17" s="1"/>
  <c r="E139" i="17"/>
  <c r="G139" i="17" s="1"/>
  <c r="E145" i="17"/>
  <c r="G145" i="17" s="1"/>
  <c r="E152" i="17"/>
  <c r="G152" i="17" s="1"/>
  <c r="E159" i="17"/>
  <c r="G159" i="17" s="1"/>
  <c r="E165" i="17"/>
  <c r="G165" i="17" s="1"/>
  <c r="E171" i="17"/>
  <c r="G171" i="17" s="1"/>
  <c r="E179" i="17"/>
  <c r="G179" i="17" s="1"/>
  <c r="E185" i="17"/>
  <c r="G185" i="17" s="1"/>
  <c r="E193" i="17"/>
  <c r="G193" i="17" s="1"/>
  <c r="E200" i="17"/>
  <c r="G200" i="17" s="1"/>
  <c r="E206" i="17"/>
  <c r="G206" i="17" s="1"/>
  <c r="E212" i="17"/>
  <c r="G212" i="17" s="1"/>
  <c r="E218" i="17"/>
  <c r="G218" i="17" s="1"/>
  <c r="E224" i="17"/>
  <c r="G224" i="17" s="1"/>
  <c r="E231" i="17"/>
  <c r="G231" i="17" s="1"/>
  <c r="E239" i="17"/>
  <c r="G239" i="17" s="1"/>
  <c r="E245" i="17"/>
  <c r="G245" i="17" s="1"/>
  <c r="E252" i="17"/>
  <c r="G252" i="17" s="1"/>
  <c r="E260" i="17"/>
  <c r="G260" i="17" s="1"/>
  <c r="E266" i="17"/>
  <c r="G266" i="17" s="1"/>
  <c r="E274" i="17"/>
  <c r="G274" i="17" s="1"/>
  <c r="E280" i="17"/>
  <c r="G280" i="17" s="1"/>
  <c r="E292" i="17"/>
  <c r="G292" i="17" s="1"/>
  <c r="E300" i="17"/>
  <c r="G300" i="17" s="1"/>
  <c r="E308" i="17"/>
  <c r="G308" i="17" s="1"/>
  <c r="E314" i="17"/>
  <c r="G314" i="17" s="1"/>
  <c r="E322" i="17"/>
  <c r="G322" i="17" s="1"/>
  <c r="E328" i="17"/>
  <c r="G328" i="17" s="1"/>
  <c r="E334" i="17"/>
  <c r="G334" i="17" s="1"/>
  <c r="E340" i="17"/>
  <c r="G340" i="17" s="1"/>
  <c r="E348" i="17"/>
  <c r="G348" i="17" s="1"/>
  <c r="E354" i="17"/>
  <c r="G354" i="17" s="1"/>
  <c r="E361" i="17"/>
  <c r="G361" i="17" s="1"/>
  <c r="E367" i="17"/>
  <c r="G367" i="17" s="1"/>
  <c r="E379" i="17"/>
  <c r="G379" i="17" s="1"/>
  <c r="E385" i="17"/>
  <c r="G385" i="17" s="1"/>
  <c r="E391" i="17"/>
  <c r="G391" i="17" s="1"/>
  <c r="E399" i="17"/>
  <c r="G399" i="17" s="1"/>
  <c r="E405" i="17"/>
  <c r="G405" i="17" s="1"/>
  <c r="E411" i="17"/>
  <c r="G411" i="17" s="1"/>
  <c r="E417" i="17"/>
  <c r="G417" i="17" s="1"/>
  <c r="E423" i="17"/>
  <c r="G423" i="17" s="1"/>
  <c r="E433" i="17"/>
  <c r="G433" i="17" s="1"/>
  <c r="E441" i="17"/>
  <c r="G441" i="17" s="1"/>
  <c r="E448" i="17"/>
  <c r="G448" i="17" s="1"/>
  <c r="E457" i="17"/>
  <c r="G457" i="17" s="1"/>
  <c r="E463" i="17"/>
  <c r="G463" i="17" s="1"/>
  <c r="E469" i="17"/>
  <c r="G469" i="17" s="1"/>
  <c r="E477" i="17"/>
  <c r="G477" i="17" s="1"/>
  <c r="E483" i="17"/>
  <c r="G483" i="17" s="1"/>
  <c r="E489" i="17"/>
  <c r="G489" i="17" s="1"/>
  <c r="E496" i="17"/>
  <c r="G496" i="17" s="1"/>
  <c r="E502" i="17"/>
  <c r="G502" i="17" s="1"/>
  <c r="E511" i="17"/>
  <c r="G511" i="17" s="1"/>
  <c r="E519" i="17"/>
  <c r="G519" i="17" s="1"/>
  <c r="E525" i="17"/>
  <c r="G525" i="17" s="1"/>
  <c r="E536" i="17"/>
  <c r="G536" i="17" s="1"/>
  <c r="E544" i="17"/>
  <c r="G544" i="17" s="1"/>
  <c r="E550" i="17"/>
  <c r="G550" i="17" s="1"/>
  <c r="E556" i="17"/>
  <c r="G556" i="17" s="1"/>
  <c r="E562" i="17"/>
  <c r="G562" i="17" s="1"/>
  <c r="E568" i="17"/>
  <c r="G568" i="17" s="1"/>
  <c r="E574" i="17"/>
  <c r="G574" i="17" s="1"/>
  <c r="E582" i="17"/>
  <c r="G582" i="17" s="1"/>
  <c r="E591" i="17"/>
  <c r="G591" i="17" s="1"/>
  <c r="E597" i="17"/>
  <c r="G597" i="17" s="1"/>
  <c r="E603" i="17"/>
  <c r="G603" i="17" s="1"/>
  <c r="E609" i="17"/>
  <c r="G609" i="17" s="1"/>
  <c r="E615" i="17"/>
  <c r="G615" i="17" s="1"/>
  <c r="E623" i="17"/>
  <c r="G623" i="17" s="1"/>
  <c r="E630" i="17"/>
  <c r="G630" i="17" s="1"/>
  <c r="E636" i="17"/>
  <c r="G636" i="17" s="1"/>
  <c r="E642" i="17"/>
  <c r="G642" i="17" s="1"/>
  <c r="E650" i="17"/>
  <c r="G650" i="17" s="1"/>
  <c r="E656" i="17"/>
  <c r="G656" i="17" s="1"/>
  <c r="E644" i="17"/>
  <c r="G644" i="17" s="1"/>
  <c r="E588" i="17"/>
  <c r="G588" i="17" s="1"/>
  <c r="E533" i="17"/>
  <c r="G533" i="17" s="1"/>
  <c r="E510" i="17"/>
  <c r="G510" i="17" s="1"/>
  <c r="E451" i="17"/>
  <c r="G451" i="17" s="1"/>
  <c r="E427" i="17"/>
  <c r="G427" i="17" s="1"/>
  <c r="E371" i="17"/>
  <c r="G371" i="17" s="1"/>
  <c r="E345" i="17"/>
  <c r="G345" i="17" s="1"/>
  <c r="E295" i="17"/>
  <c r="G295" i="17" s="1"/>
  <c r="E247" i="17"/>
  <c r="G247" i="17" s="1"/>
  <c r="E196" i="17"/>
  <c r="G196" i="17" s="1"/>
  <c r="E107" i="17"/>
  <c r="G107" i="17" s="1"/>
  <c r="C115" i="12"/>
  <c r="C109" i="12"/>
  <c r="C103" i="12"/>
  <c r="C97" i="12"/>
  <c r="C91" i="12"/>
  <c r="C85" i="12"/>
  <c r="C79" i="12"/>
  <c r="E2" i="16"/>
  <c r="G2" i="16" s="1"/>
  <c r="E12" i="16"/>
  <c r="G12" i="16" s="1"/>
  <c r="E18" i="16"/>
  <c r="G18" i="16" s="1"/>
  <c r="E24" i="16"/>
  <c r="G24" i="16" s="1"/>
  <c r="E34" i="16"/>
  <c r="G34" i="16" s="1"/>
  <c r="E477" i="16"/>
  <c r="G477" i="16" s="1"/>
  <c r="E221" i="16"/>
  <c r="G221" i="16" s="1"/>
  <c r="E50" i="16"/>
  <c r="G50" i="16" s="1"/>
  <c r="E233" i="16"/>
  <c r="G233" i="16" s="1"/>
  <c r="E595" i="16"/>
  <c r="G595" i="16" s="1"/>
  <c r="E566" i="16"/>
  <c r="G566" i="16" s="1"/>
  <c r="E528" i="16"/>
  <c r="G528" i="16" s="1"/>
  <c r="E425" i="16"/>
  <c r="G425" i="16" s="1"/>
  <c r="E366" i="16"/>
  <c r="G366" i="16" s="1"/>
  <c r="E579" i="16"/>
  <c r="G579" i="16" s="1"/>
  <c r="E510" i="16"/>
  <c r="G510" i="16" s="1"/>
  <c r="E396" i="16"/>
  <c r="G396" i="16" s="1"/>
  <c r="E265" i="16"/>
  <c r="G265" i="16" s="1"/>
  <c r="E139" i="16"/>
  <c r="G139" i="16" s="1"/>
  <c r="E472" i="16"/>
  <c r="G472" i="16" s="1"/>
  <c r="E111" i="16"/>
  <c r="G111" i="16" s="1"/>
  <c r="E151" i="16"/>
  <c r="G151" i="16" s="1"/>
  <c r="E458" i="16"/>
  <c r="G458" i="16" s="1"/>
  <c r="E473" i="16"/>
  <c r="G473" i="16" s="1"/>
  <c r="E508" i="16"/>
  <c r="G508" i="16" s="1"/>
  <c r="E135" i="16"/>
  <c r="G135" i="16" s="1"/>
  <c r="E287" i="16"/>
  <c r="G287" i="16" s="1"/>
  <c r="E576" i="16"/>
  <c r="G576" i="16" s="1"/>
  <c r="E45" i="16"/>
  <c r="G45" i="16" s="1"/>
  <c r="E55" i="16"/>
  <c r="G55" i="16" s="1"/>
  <c r="E67" i="16"/>
  <c r="G67" i="16" s="1"/>
  <c r="E78" i="16"/>
  <c r="G78" i="16" s="1"/>
  <c r="E85" i="16"/>
  <c r="G85" i="16" s="1"/>
  <c r="E92" i="16"/>
  <c r="G92" i="16" s="1"/>
  <c r="E103" i="16"/>
  <c r="G103" i="16" s="1"/>
  <c r="E113" i="16"/>
  <c r="G113" i="16" s="1"/>
  <c r="E120" i="16"/>
  <c r="G120" i="16" s="1"/>
  <c r="E131" i="16"/>
  <c r="G131" i="16" s="1"/>
  <c r="E140" i="16"/>
  <c r="G140" i="16" s="1"/>
  <c r="E149" i="16"/>
  <c r="G149" i="16" s="1"/>
  <c r="E156" i="16"/>
  <c r="G156" i="16" s="1"/>
  <c r="E170" i="16"/>
  <c r="G170" i="16" s="1"/>
  <c r="E179" i="16"/>
  <c r="G179" i="16" s="1"/>
  <c r="E195" i="16"/>
  <c r="G195" i="16" s="1"/>
  <c r="E201" i="16"/>
  <c r="G201" i="16" s="1"/>
  <c r="E208" i="16"/>
  <c r="G208" i="16" s="1"/>
  <c r="E218" i="16"/>
  <c r="G218" i="16" s="1"/>
  <c r="E226" i="16"/>
  <c r="G226" i="16" s="1"/>
  <c r="E237" i="16"/>
  <c r="G237" i="16" s="1"/>
  <c r="E246" i="16"/>
  <c r="G246" i="16" s="1"/>
  <c r="E253" i="16"/>
  <c r="G253" i="16" s="1"/>
  <c r="E597" i="16"/>
  <c r="G597" i="16" s="1"/>
  <c r="E571" i="16"/>
  <c r="G571" i="16" s="1"/>
  <c r="E565" i="16"/>
  <c r="G565" i="16" s="1"/>
  <c r="E554" i="16"/>
  <c r="G554" i="16" s="1"/>
  <c r="E538" i="16"/>
  <c r="G538" i="16" s="1"/>
  <c r="E532" i="16"/>
  <c r="G532" i="16" s="1"/>
  <c r="E516" i="16"/>
  <c r="G516" i="16" s="1"/>
  <c r="E505" i="16"/>
  <c r="G505" i="16" s="1"/>
  <c r="E488" i="16"/>
  <c r="G488" i="16" s="1"/>
  <c r="E494" i="16"/>
  <c r="G494" i="16" s="1"/>
  <c r="E482" i="16"/>
  <c r="G482" i="16" s="1"/>
  <c r="E476" i="16"/>
  <c r="G476" i="16" s="1"/>
  <c r="E457" i="16"/>
  <c r="G457" i="16" s="1"/>
  <c r="E258" i="16"/>
  <c r="G258" i="16" s="1"/>
  <c r="E267" i="16"/>
  <c r="G267" i="16" s="1"/>
  <c r="E275" i="16"/>
  <c r="G275" i="16" s="1"/>
  <c r="E281" i="16"/>
  <c r="G281" i="16" s="1"/>
  <c r="E290" i="16"/>
  <c r="G290" i="16" s="1"/>
  <c r="E306" i="16"/>
  <c r="G306" i="16" s="1"/>
  <c r="E315" i="16"/>
  <c r="G315" i="16" s="1"/>
  <c r="E321" i="16"/>
  <c r="G321" i="16" s="1"/>
  <c r="E328" i="16"/>
  <c r="G328" i="16" s="1"/>
  <c r="E335" i="16"/>
  <c r="G335" i="16" s="1"/>
  <c r="E348" i="16"/>
  <c r="G348" i="16" s="1"/>
  <c r="E356" i="16"/>
  <c r="G356" i="16" s="1"/>
  <c r="E363" i="16"/>
  <c r="G363" i="16" s="1"/>
  <c r="E370" i="16"/>
  <c r="G370" i="16" s="1"/>
  <c r="E378" i="16"/>
  <c r="G378" i="16" s="1"/>
  <c r="E386" i="16"/>
  <c r="G386" i="16" s="1"/>
  <c r="E394" i="16"/>
  <c r="G394" i="16" s="1"/>
  <c r="E401" i="16"/>
  <c r="G401" i="16" s="1"/>
  <c r="E408" i="16"/>
  <c r="G408" i="16" s="1"/>
  <c r="E417" i="16"/>
  <c r="G417" i="16" s="1"/>
  <c r="E426" i="16"/>
  <c r="G426" i="16" s="1"/>
  <c r="E434" i="16"/>
  <c r="G434" i="16" s="1"/>
  <c r="E443" i="16"/>
  <c r="G443" i="16" s="1"/>
  <c r="E117" i="16"/>
  <c r="G117" i="16" s="1"/>
  <c r="E7" i="16"/>
  <c r="G7" i="16" s="1"/>
  <c r="E36" i="16"/>
  <c r="G36" i="16" s="1"/>
  <c r="E63" i="16"/>
  <c r="G63" i="16" s="1"/>
  <c r="E161" i="16"/>
  <c r="G161" i="16" s="1"/>
  <c r="E186" i="16"/>
  <c r="G186" i="16" s="1"/>
  <c r="E210" i="16"/>
  <c r="G210" i="16" s="1"/>
  <c r="E261" i="16"/>
  <c r="G261" i="16" s="1"/>
  <c r="E302" i="16"/>
  <c r="G302" i="16" s="1"/>
  <c r="E342" i="16"/>
  <c r="G342" i="16" s="1"/>
  <c r="E442" i="16"/>
  <c r="G442" i="16" s="1"/>
  <c r="E520" i="16"/>
  <c r="G520" i="16" s="1"/>
  <c r="E527" i="16"/>
  <c r="G527" i="16" s="1"/>
  <c r="E587" i="16"/>
  <c r="G587" i="16" s="1"/>
  <c r="E6" i="17"/>
  <c r="G6" i="17" s="1"/>
  <c r="E17" i="17"/>
  <c r="G17" i="17" s="1"/>
  <c r="E11" i="17"/>
  <c r="G11" i="17" s="1"/>
  <c r="E20" i="17"/>
  <c r="G20" i="17" s="1"/>
  <c r="E31" i="17"/>
  <c r="G31" i="17" s="1"/>
  <c r="E37" i="17"/>
  <c r="G37" i="17" s="1"/>
  <c r="E43" i="17"/>
  <c r="G43" i="17" s="1"/>
  <c r="E49" i="17"/>
  <c r="G49" i="17" s="1"/>
  <c r="E55" i="17"/>
  <c r="G55" i="17" s="1"/>
  <c r="E61" i="17"/>
  <c r="G61" i="17" s="1"/>
  <c r="E67" i="17"/>
  <c r="G67" i="17" s="1"/>
  <c r="E73" i="17"/>
  <c r="G73" i="17" s="1"/>
  <c r="E79" i="17"/>
  <c r="G79" i="17" s="1"/>
  <c r="E85" i="17"/>
  <c r="G85" i="17" s="1"/>
  <c r="E91" i="17"/>
  <c r="G91" i="17" s="1"/>
  <c r="E97" i="17"/>
  <c r="G97" i="17" s="1"/>
  <c r="E103" i="17"/>
  <c r="G103" i="17" s="1"/>
  <c r="E110" i="17"/>
  <c r="G110" i="17" s="1"/>
  <c r="E116" i="17"/>
  <c r="G116" i="17" s="1"/>
  <c r="E122" i="17"/>
  <c r="G122" i="17" s="1"/>
  <c r="E128" i="17"/>
  <c r="G128" i="17" s="1"/>
  <c r="E135" i="17"/>
  <c r="G135" i="17" s="1"/>
  <c r="E141" i="17"/>
  <c r="G141" i="17" s="1"/>
  <c r="E147" i="17"/>
  <c r="G147" i="17" s="1"/>
  <c r="E155" i="17"/>
  <c r="G155" i="17" s="1"/>
  <c r="E161" i="17"/>
  <c r="G161" i="17" s="1"/>
  <c r="E167" i="17"/>
  <c r="G167" i="17" s="1"/>
  <c r="E173" i="17"/>
  <c r="G173" i="17" s="1"/>
  <c r="E181" i="17"/>
  <c r="G181" i="17" s="1"/>
  <c r="E189" i="17"/>
  <c r="G189" i="17" s="1"/>
  <c r="E195" i="17"/>
  <c r="G195" i="17" s="1"/>
  <c r="E202" i="17"/>
  <c r="G202" i="17" s="1"/>
  <c r="E208" i="17"/>
  <c r="G208" i="17" s="1"/>
  <c r="E214" i="17"/>
  <c r="G214" i="17" s="1"/>
  <c r="E220" i="17"/>
  <c r="G220" i="17" s="1"/>
  <c r="E227" i="17"/>
  <c r="G227" i="17" s="1"/>
  <c r="E233" i="17"/>
  <c r="G233" i="17" s="1"/>
  <c r="E241" i="17"/>
  <c r="G241" i="17" s="1"/>
  <c r="E248" i="17"/>
  <c r="G248" i="17" s="1"/>
  <c r="E256" i="17"/>
  <c r="G256" i="17" s="1"/>
  <c r="E262" i="17"/>
  <c r="G262" i="17" s="1"/>
  <c r="E268" i="17"/>
  <c r="G268" i="17" s="1"/>
  <c r="E276" i="17"/>
  <c r="G276" i="17" s="1"/>
  <c r="E282" i="17"/>
  <c r="G282" i="17" s="1"/>
  <c r="E294" i="17"/>
  <c r="G294" i="17" s="1"/>
  <c r="E302" i="17"/>
  <c r="G302" i="17" s="1"/>
  <c r="E310" i="17"/>
  <c r="G310" i="17" s="1"/>
  <c r="E316" i="17"/>
  <c r="G316" i="17" s="1"/>
  <c r="E324" i="17"/>
  <c r="G324" i="17" s="1"/>
  <c r="E330" i="17"/>
  <c r="G330" i="17" s="1"/>
  <c r="E336" i="17"/>
  <c r="G336" i="17" s="1"/>
  <c r="E343" i="17"/>
  <c r="G343" i="17" s="1"/>
  <c r="E350" i="17"/>
  <c r="G350" i="17" s="1"/>
  <c r="E357" i="17"/>
  <c r="G357" i="17" s="1"/>
  <c r="E363" i="17"/>
  <c r="G363" i="17" s="1"/>
  <c r="E375" i="17"/>
  <c r="G375" i="17" s="1"/>
  <c r="E381" i="17"/>
  <c r="G381" i="17" s="1"/>
  <c r="E387" i="17"/>
  <c r="G387" i="17" s="1"/>
  <c r="E393" i="17"/>
  <c r="G393" i="17" s="1"/>
  <c r="E401" i="17"/>
  <c r="G401" i="17" s="1"/>
  <c r="E407" i="17"/>
  <c r="G407" i="17" s="1"/>
  <c r="E413" i="17"/>
  <c r="G413" i="17" s="1"/>
  <c r="E419" i="17"/>
  <c r="G419" i="17" s="1"/>
  <c r="E429" i="17"/>
  <c r="G429" i="17" s="1"/>
  <c r="E435" i="17"/>
  <c r="G435" i="17" s="1"/>
  <c r="E443" i="17"/>
  <c r="G443" i="17" s="1"/>
  <c r="E453" i="17"/>
  <c r="G453" i="17" s="1"/>
  <c r="E459" i="17"/>
  <c r="G459" i="17" s="1"/>
  <c r="E465" i="17"/>
  <c r="G465" i="17" s="1"/>
  <c r="E473" i="17"/>
  <c r="G473" i="17" s="1"/>
  <c r="E479" i="17"/>
  <c r="G479" i="17" s="1"/>
  <c r="E485" i="17"/>
  <c r="G485" i="17" s="1"/>
  <c r="E491" i="17"/>
  <c r="G491" i="17" s="1"/>
  <c r="E498" i="17"/>
  <c r="G498" i="17" s="1"/>
  <c r="E504" i="17"/>
  <c r="G504" i="17" s="1"/>
  <c r="E513" i="17"/>
  <c r="G513" i="17" s="1"/>
  <c r="E521" i="17"/>
  <c r="G521" i="17" s="1"/>
  <c r="E527" i="17"/>
  <c r="G527" i="17" s="1"/>
  <c r="E538" i="17"/>
  <c r="G538" i="17" s="1"/>
  <c r="E546" i="17"/>
  <c r="G546" i="17" s="1"/>
  <c r="E552" i="17"/>
  <c r="G552" i="17" s="1"/>
  <c r="E558" i="17"/>
  <c r="G558" i="17" s="1"/>
  <c r="E564" i="17"/>
  <c r="G564" i="17" s="1"/>
  <c r="E570" i="17"/>
  <c r="G570" i="17" s="1"/>
  <c r="E578" i="17"/>
  <c r="G578" i="17" s="1"/>
  <c r="E584" i="17"/>
  <c r="G584" i="17" s="1"/>
  <c r="E593" i="17"/>
  <c r="G593" i="17" s="1"/>
  <c r="E599" i="17"/>
  <c r="G599" i="17" s="1"/>
  <c r="E605" i="17"/>
  <c r="G605" i="17" s="1"/>
  <c r="E611" i="17"/>
  <c r="G611" i="17" s="1"/>
  <c r="E617" i="17"/>
  <c r="G617" i="17" s="1"/>
  <c r="E625" i="17"/>
  <c r="G625" i="17" s="1"/>
  <c r="E632" i="17"/>
  <c r="G632" i="17" s="1"/>
  <c r="E638" i="17"/>
  <c r="G638" i="17" s="1"/>
  <c r="E646" i="17"/>
  <c r="G646" i="17" s="1"/>
  <c r="E652" i="17"/>
  <c r="G652" i="17" s="1"/>
  <c r="E658" i="17"/>
  <c r="G658" i="17" s="1"/>
  <c r="E618" i="17"/>
  <c r="G618" i="17" s="1"/>
  <c r="E577" i="17"/>
  <c r="G577" i="17" s="1"/>
  <c r="E517" i="17"/>
  <c r="G517" i="17" s="1"/>
  <c r="E471" i="17"/>
  <c r="G471" i="17" s="1"/>
  <c r="E438" i="17"/>
  <c r="G438" i="17" s="1"/>
  <c r="E395" i="17"/>
  <c r="G395" i="17" s="1"/>
  <c r="E373" i="17"/>
  <c r="G373" i="17" s="1"/>
  <c r="E320" i="17"/>
  <c r="G320" i="17" s="1"/>
  <c r="E269" i="17"/>
  <c r="G269" i="17" s="1"/>
  <c r="E236" i="17"/>
  <c r="G236" i="17" s="1"/>
  <c r="E177" i="17"/>
  <c r="G177" i="17" s="1"/>
  <c r="C72" i="12"/>
  <c r="C78" i="12"/>
  <c r="C66" i="12"/>
  <c r="C113" i="12"/>
  <c r="C107" i="12"/>
  <c r="C101" i="12"/>
  <c r="C95" i="12"/>
  <c r="C89" i="12"/>
  <c r="C83" i="12"/>
  <c r="C76" i="12"/>
  <c r="C69" i="12"/>
  <c r="E8" i="16"/>
  <c r="G8" i="16" s="1"/>
  <c r="E14" i="16"/>
  <c r="G14" i="16" s="1"/>
  <c r="E20" i="16"/>
  <c r="G20" i="16" s="1"/>
  <c r="E26" i="16"/>
  <c r="G26" i="16" s="1"/>
  <c r="E69" i="16"/>
  <c r="G69" i="16" s="1"/>
  <c r="E447" i="16"/>
  <c r="G447" i="16" s="1"/>
  <c r="E187" i="16"/>
  <c r="G187" i="16" s="1"/>
  <c r="E72" i="16"/>
  <c r="G72" i="16" s="1"/>
  <c r="E284" i="16"/>
  <c r="G284" i="16" s="1"/>
  <c r="E582" i="16"/>
  <c r="G582" i="16" s="1"/>
  <c r="E558" i="16"/>
  <c r="G558" i="16" s="1"/>
  <c r="E511" i="16"/>
  <c r="G511" i="16" s="1"/>
  <c r="E420" i="16"/>
  <c r="G420" i="16" s="1"/>
  <c r="E339" i="16"/>
  <c r="G339" i="16" s="1"/>
  <c r="E551" i="16"/>
  <c r="G551" i="16" s="1"/>
  <c r="E469" i="16"/>
  <c r="G469" i="16" s="1"/>
  <c r="E333" i="16"/>
  <c r="G333" i="16" s="1"/>
  <c r="E214" i="16"/>
  <c r="G214" i="16" s="1"/>
  <c r="E53" i="16"/>
  <c r="G53" i="16" s="1"/>
  <c r="E461" i="16"/>
  <c r="G461" i="16" s="1"/>
  <c r="E74" i="16"/>
  <c r="G74" i="16" s="1"/>
  <c r="E244" i="16"/>
  <c r="G244" i="16" s="1"/>
  <c r="E547" i="16"/>
  <c r="G547" i="16" s="1"/>
  <c r="E134" i="16"/>
  <c r="G134" i="16" s="1"/>
  <c r="E496" i="16"/>
  <c r="G496" i="16" s="1"/>
  <c r="E174" i="16"/>
  <c r="G174" i="16" s="1"/>
  <c r="E584" i="16"/>
  <c r="G584" i="16" s="1"/>
  <c r="E572" i="16"/>
  <c r="G572" i="16" s="1"/>
  <c r="E48" i="16"/>
  <c r="G48" i="16" s="1"/>
  <c r="E58" i="16"/>
  <c r="G58" i="16" s="1"/>
  <c r="E73" i="16"/>
  <c r="G73" i="16" s="1"/>
  <c r="E81" i="16"/>
  <c r="G81" i="16" s="1"/>
  <c r="E87" i="16"/>
  <c r="G87" i="16" s="1"/>
  <c r="E98" i="16"/>
  <c r="G98" i="16" s="1"/>
  <c r="E106" i="16"/>
  <c r="G106" i="16" s="1"/>
  <c r="E115" i="16"/>
  <c r="G115" i="16" s="1"/>
  <c r="E124" i="16"/>
  <c r="G124" i="16" s="1"/>
  <c r="E133" i="16"/>
  <c r="G133" i="16" s="1"/>
  <c r="E145" i="16"/>
  <c r="G145" i="16" s="1"/>
  <c r="E152" i="16"/>
  <c r="G152" i="16" s="1"/>
  <c r="E158" i="16"/>
  <c r="G158" i="16" s="1"/>
  <c r="E173" i="16"/>
  <c r="G173" i="16" s="1"/>
  <c r="E181" i="16"/>
  <c r="G181" i="16" s="1"/>
  <c r="E197" i="16"/>
  <c r="G197" i="16" s="1"/>
  <c r="E204" i="16"/>
  <c r="G204" i="16" s="1"/>
  <c r="E212" i="16"/>
  <c r="G212" i="16" s="1"/>
  <c r="E220" i="16"/>
  <c r="G220" i="16" s="1"/>
  <c r="E230" i="16"/>
  <c r="G230" i="16" s="1"/>
  <c r="E239" i="16"/>
  <c r="G239" i="16" s="1"/>
  <c r="E249" i="16"/>
  <c r="G249" i="16" s="1"/>
  <c r="E255" i="16"/>
  <c r="G255" i="16" s="1"/>
  <c r="E593" i="16"/>
  <c r="G593" i="16" s="1"/>
  <c r="E568" i="16"/>
  <c r="G568" i="16" s="1"/>
  <c r="E559" i="16"/>
  <c r="G559" i="16" s="1"/>
  <c r="E545" i="16"/>
  <c r="G545" i="16" s="1"/>
  <c r="E540" i="16"/>
  <c r="G540" i="16" s="1"/>
  <c r="E525" i="16"/>
  <c r="G525" i="16" s="1"/>
  <c r="E507" i="16"/>
  <c r="G507" i="16" s="1"/>
  <c r="E497" i="16"/>
  <c r="G497" i="16" s="1"/>
  <c r="E490" i="16"/>
  <c r="G490" i="16" s="1"/>
  <c r="E478" i="16"/>
  <c r="G478" i="16" s="1"/>
  <c r="E484" i="16"/>
  <c r="G484" i="16" s="1"/>
  <c r="E459" i="16"/>
  <c r="G459" i="16" s="1"/>
  <c r="E450" i="16"/>
  <c r="G450" i="16" s="1"/>
  <c r="E262" i="16"/>
  <c r="G262" i="16" s="1"/>
  <c r="E269" i="16"/>
  <c r="G269" i="16" s="1"/>
  <c r="E277" i="16"/>
  <c r="G277" i="16" s="1"/>
  <c r="E283" i="16"/>
  <c r="G283" i="16" s="1"/>
  <c r="E293" i="16"/>
  <c r="G293" i="16" s="1"/>
  <c r="E308" i="16"/>
  <c r="G308" i="16" s="1"/>
  <c r="E317" i="16"/>
  <c r="G317" i="16" s="1"/>
  <c r="E324" i="16"/>
  <c r="G324" i="16" s="1"/>
  <c r="E330" i="16"/>
  <c r="G330" i="16" s="1"/>
  <c r="E338" i="16"/>
  <c r="G338" i="16" s="1"/>
  <c r="E350" i="16"/>
  <c r="G350" i="16" s="1"/>
  <c r="E358" i="16"/>
  <c r="G358" i="16" s="1"/>
  <c r="E365" i="16"/>
  <c r="G365" i="16" s="1"/>
  <c r="E374" i="16"/>
  <c r="G374" i="16" s="1"/>
  <c r="E381" i="16"/>
  <c r="G381" i="16" s="1"/>
  <c r="E388" i="16"/>
  <c r="G388" i="16" s="1"/>
  <c r="E397" i="16"/>
  <c r="G397" i="16" s="1"/>
  <c r="E403" i="16"/>
  <c r="G403" i="16" s="1"/>
  <c r="E413" i="16"/>
  <c r="G413" i="16" s="1"/>
  <c r="E419" i="16"/>
  <c r="G419" i="16" s="1"/>
  <c r="E429" i="16"/>
  <c r="G429" i="16" s="1"/>
  <c r="E437" i="16"/>
  <c r="G437" i="16" s="1"/>
  <c r="E445" i="16"/>
  <c r="G445" i="16" s="1"/>
  <c r="E123" i="16"/>
  <c r="G123" i="16" s="1"/>
  <c r="E30" i="16"/>
  <c r="G30" i="16" s="1"/>
  <c r="E40" i="16"/>
  <c r="G40" i="16" s="1"/>
  <c r="E109" i="16"/>
  <c r="G109" i="16" s="1"/>
  <c r="E164" i="16"/>
  <c r="G164" i="16" s="1"/>
  <c r="E190" i="16"/>
  <c r="G190" i="16" s="1"/>
  <c r="E229" i="16"/>
  <c r="G229" i="16" s="1"/>
  <c r="E296" i="16"/>
  <c r="G296" i="16" s="1"/>
  <c r="E305" i="16"/>
  <c r="G305" i="16" s="1"/>
  <c r="E346" i="16"/>
  <c r="G346" i="16" s="1"/>
  <c r="E466" i="16"/>
  <c r="G466" i="16" s="1"/>
  <c r="E524" i="16"/>
  <c r="G524" i="16" s="1"/>
  <c r="E537" i="16"/>
  <c r="G537" i="16" s="1"/>
  <c r="E602" i="16"/>
  <c r="G602" i="16" s="1"/>
  <c r="E2" i="17"/>
  <c r="G2" i="17" s="1"/>
  <c r="E8" i="17"/>
  <c r="G8" i="17" s="1"/>
  <c r="E26" i="17"/>
  <c r="G26" i="17" s="1"/>
  <c r="E13" i="17"/>
  <c r="G13" i="17" s="1"/>
  <c r="E22" i="17"/>
  <c r="G22" i="17" s="1"/>
  <c r="E33" i="17"/>
  <c r="G33" i="17" s="1"/>
  <c r="E39" i="17"/>
  <c r="G39" i="17" s="1"/>
  <c r="E45" i="17"/>
  <c r="G45" i="17" s="1"/>
  <c r="E51" i="17"/>
  <c r="G51" i="17" s="1"/>
  <c r="E57" i="17"/>
  <c r="G57" i="17" s="1"/>
  <c r="E63" i="17"/>
  <c r="G63" i="17" s="1"/>
  <c r="E69" i="17"/>
  <c r="G69" i="17" s="1"/>
  <c r="E75" i="17"/>
  <c r="G75" i="17" s="1"/>
  <c r="E81" i="17"/>
  <c r="G81" i="17" s="1"/>
  <c r="E87" i="17"/>
  <c r="G87" i="17" s="1"/>
  <c r="E93" i="17"/>
  <c r="G93" i="17" s="1"/>
  <c r="E100" i="17"/>
  <c r="G100" i="17" s="1"/>
  <c r="E105" i="17"/>
  <c r="G105" i="17" s="1"/>
  <c r="E112" i="17"/>
  <c r="G112" i="17" s="1"/>
  <c r="E118" i="17"/>
  <c r="G118" i="17" s="1"/>
  <c r="E124" i="17"/>
  <c r="G124" i="17" s="1"/>
  <c r="E131" i="17"/>
  <c r="G131" i="17" s="1"/>
  <c r="E137" i="17"/>
  <c r="G137" i="17" s="1"/>
  <c r="E143" i="17"/>
  <c r="G143" i="17" s="1"/>
  <c r="E150" i="17"/>
  <c r="G150" i="17" s="1"/>
  <c r="E157" i="17"/>
  <c r="G157" i="17" s="1"/>
  <c r="E163" i="17"/>
  <c r="G163" i="17" s="1"/>
  <c r="E169" i="17"/>
  <c r="G169" i="17" s="1"/>
  <c r="E175" i="17"/>
  <c r="G175" i="17" s="1"/>
  <c r="E183" i="17"/>
  <c r="G183" i="17" s="1"/>
  <c r="E191" i="17"/>
  <c r="G191" i="17" s="1"/>
  <c r="E198" i="17"/>
  <c r="G198" i="17" s="1"/>
  <c r="E204" i="17"/>
  <c r="G204" i="17" s="1"/>
  <c r="E210" i="17"/>
  <c r="G210" i="17" s="1"/>
  <c r="E216" i="17"/>
  <c r="G216" i="17" s="1"/>
  <c r="E222" i="17"/>
  <c r="G222" i="17" s="1"/>
  <c r="E229" i="17"/>
  <c r="G229" i="17" s="1"/>
  <c r="E237" i="17"/>
  <c r="G237" i="17" s="1"/>
  <c r="E243" i="17"/>
  <c r="G243" i="17" s="1"/>
  <c r="E250" i="17"/>
  <c r="G250" i="17" s="1"/>
  <c r="E258" i="17"/>
  <c r="G258" i="17" s="1"/>
  <c r="E264" i="17"/>
  <c r="G264" i="17" s="1"/>
  <c r="E272" i="17"/>
  <c r="G272" i="17" s="1"/>
  <c r="E278" i="17"/>
  <c r="G278" i="17" s="1"/>
  <c r="E290" i="17"/>
  <c r="G290" i="17" s="1"/>
  <c r="E298" i="17"/>
  <c r="G298" i="17" s="1"/>
  <c r="E304" i="17"/>
  <c r="G304" i="17" s="1"/>
  <c r="E312" i="17"/>
  <c r="G312" i="17" s="1"/>
  <c r="E318" i="17"/>
  <c r="G318" i="17" s="1"/>
  <c r="E326" i="17"/>
  <c r="G326" i="17" s="1"/>
  <c r="E332" i="17"/>
  <c r="G332" i="17" s="1"/>
  <c r="E338" i="17"/>
  <c r="G338" i="17" s="1"/>
  <c r="E346" i="17"/>
  <c r="G346" i="17" s="1"/>
  <c r="E352" i="17"/>
  <c r="G352" i="17" s="1"/>
  <c r="E359" i="17"/>
  <c r="G359" i="17" s="1"/>
  <c r="E365" i="17"/>
  <c r="G365" i="17" s="1"/>
  <c r="E377" i="17"/>
  <c r="G377" i="17" s="1"/>
  <c r="E383" i="17"/>
  <c r="G383" i="17" s="1"/>
  <c r="E389" i="17"/>
  <c r="G389" i="17" s="1"/>
  <c r="E397" i="17"/>
  <c r="G397" i="17" s="1"/>
  <c r="E403" i="17"/>
  <c r="G403" i="17" s="1"/>
  <c r="E409" i="17"/>
  <c r="G409" i="17" s="1"/>
  <c r="E415" i="17"/>
  <c r="G415" i="17" s="1"/>
  <c r="E421" i="17"/>
  <c r="G421" i="17" s="1"/>
  <c r="E431" i="17"/>
  <c r="G431" i="17" s="1"/>
  <c r="E439" i="17"/>
  <c r="G439" i="17" s="1"/>
  <c r="E446" i="17"/>
  <c r="G446" i="17" s="1"/>
  <c r="E455" i="17"/>
  <c r="G455" i="17" s="1"/>
  <c r="E461" i="17"/>
  <c r="G461" i="17" s="1"/>
  <c r="E467" i="17"/>
  <c r="G467" i="17" s="1"/>
  <c r="E475" i="17"/>
  <c r="G475" i="17" s="1"/>
  <c r="E481" i="17"/>
  <c r="G481" i="17" s="1"/>
  <c r="E487" i="17"/>
  <c r="G487" i="17" s="1"/>
  <c r="E494" i="17"/>
  <c r="G494" i="17" s="1"/>
  <c r="E500" i="17"/>
  <c r="G500" i="17" s="1"/>
  <c r="E506" i="17"/>
  <c r="G506" i="17" s="1"/>
  <c r="E515" i="17"/>
  <c r="G515" i="17" s="1"/>
  <c r="E523" i="17"/>
  <c r="G523" i="17" s="1"/>
  <c r="E529" i="17"/>
  <c r="G529" i="17" s="1"/>
  <c r="E542" i="17"/>
  <c r="G542" i="17" s="1"/>
  <c r="E548" i="17"/>
  <c r="G548" i="17" s="1"/>
  <c r="E554" i="17"/>
  <c r="G554" i="17" s="1"/>
  <c r="E560" i="17"/>
  <c r="G560" i="17" s="1"/>
  <c r="E566" i="17"/>
  <c r="G566" i="17" s="1"/>
  <c r="E572" i="17"/>
  <c r="G572" i="17" s="1"/>
  <c r="E580" i="17"/>
  <c r="G580" i="17" s="1"/>
  <c r="E589" i="17"/>
  <c r="G589" i="17" s="1"/>
  <c r="E595" i="17"/>
  <c r="G595" i="17" s="1"/>
  <c r="E601" i="17"/>
  <c r="G601" i="17" s="1"/>
  <c r="E607" i="17"/>
  <c r="G607" i="17" s="1"/>
  <c r="E613" i="17"/>
  <c r="G613" i="17" s="1"/>
  <c r="E621" i="17"/>
  <c r="G621" i="17" s="1"/>
  <c r="E628" i="17"/>
  <c r="G628" i="17" s="1"/>
  <c r="E634" i="17"/>
  <c r="G634" i="17" s="1"/>
  <c r="E640" i="17"/>
  <c r="G640" i="17" s="1"/>
  <c r="E648" i="17"/>
  <c r="G648" i="17" s="1"/>
  <c r="E654" i="17"/>
  <c r="G654" i="17" s="1"/>
  <c r="E586" i="17"/>
  <c r="G586" i="17" s="1"/>
  <c r="E531" i="17"/>
  <c r="G531" i="17" s="1"/>
  <c r="E508" i="17"/>
  <c r="G508" i="17" s="1"/>
  <c r="E449" i="17"/>
  <c r="G449" i="17" s="1"/>
  <c r="E425" i="17"/>
  <c r="G425" i="17" s="1"/>
  <c r="E369" i="17"/>
  <c r="G369" i="17" s="1"/>
  <c r="E356" i="17"/>
  <c r="G356" i="17" s="1"/>
  <c r="E306" i="17"/>
  <c r="G306" i="17" s="1"/>
  <c r="E254" i="17"/>
  <c r="G254" i="17" s="1"/>
  <c r="E187" i="17"/>
  <c r="G187" i="17" s="1"/>
  <c r="E149" i="17"/>
  <c r="G149" i="17" s="1"/>
  <c r="E11" i="16"/>
  <c r="G11" i="16" s="1"/>
  <c r="E17" i="16"/>
  <c r="G17" i="16" s="1"/>
  <c r="E23" i="16"/>
  <c r="G23" i="16" s="1"/>
  <c r="E31" i="16"/>
  <c r="G31" i="16" s="1"/>
  <c r="E544" i="16"/>
  <c r="G544" i="16" s="1"/>
  <c r="E336" i="16"/>
  <c r="G336" i="16" s="1"/>
  <c r="E47" i="16"/>
  <c r="G47" i="16" s="1"/>
  <c r="E94" i="16"/>
  <c r="G94" i="16" s="1"/>
  <c r="E599" i="16"/>
  <c r="G599" i="16" s="1"/>
  <c r="E577" i="16"/>
  <c r="G577" i="16" s="1"/>
  <c r="E534" i="16"/>
  <c r="G534" i="16" s="1"/>
  <c r="E428" i="16"/>
  <c r="G428" i="16" s="1"/>
  <c r="E389" i="16"/>
  <c r="G389" i="16" s="1"/>
  <c r="E590" i="16"/>
  <c r="G590" i="16" s="1"/>
  <c r="E521" i="16"/>
  <c r="G521" i="16" s="1"/>
  <c r="E404" i="16"/>
  <c r="G404" i="16" s="1"/>
  <c r="E274" i="16"/>
  <c r="G274" i="16" s="1"/>
  <c r="E162" i="16"/>
  <c r="G162" i="16" s="1"/>
  <c r="E38" i="16"/>
  <c r="G38" i="16" s="1"/>
  <c r="E271" i="16"/>
  <c r="G271" i="16" s="1"/>
  <c r="E127" i="16"/>
  <c r="G127" i="16" s="1"/>
  <c r="E453" i="16"/>
  <c r="G453" i="16" s="1"/>
  <c r="E353" i="16"/>
  <c r="G353" i="16" s="1"/>
  <c r="E463" i="16"/>
  <c r="G463" i="16" s="1"/>
  <c r="E105" i="16"/>
  <c r="G105" i="16" s="1"/>
  <c r="E462" i="16"/>
  <c r="G462" i="16" s="1"/>
  <c r="E578" i="16"/>
  <c r="G578" i="16" s="1"/>
  <c r="E43" i="16"/>
  <c r="G43" i="16" s="1"/>
  <c r="E54" i="16"/>
  <c r="G54" i="16" s="1"/>
  <c r="E66" i="16"/>
  <c r="G66" i="16" s="1"/>
  <c r="E77" i="16"/>
  <c r="G77" i="16" s="1"/>
  <c r="E84" i="16"/>
  <c r="G84" i="16" s="1"/>
  <c r="E91" i="16"/>
  <c r="G91" i="16" s="1"/>
  <c r="E102" i="16"/>
  <c r="G102" i="16" s="1"/>
  <c r="E112" i="16"/>
  <c r="G112" i="16" s="1"/>
  <c r="E130" i="16"/>
  <c r="G130" i="16" s="1"/>
  <c r="E138" i="16"/>
  <c r="G138" i="16" s="1"/>
  <c r="E148" i="16"/>
  <c r="G148" i="16" s="1"/>
  <c r="E155" i="16"/>
  <c r="G155" i="16" s="1"/>
  <c r="E169" i="16"/>
  <c r="G169" i="16" s="1"/>
  <c r="E178" i="16"/>
  <c r="G178" i="16" s="1"/>
  <c r="E191" i="16"/>
  <c r="G191" i="16" s="1"/>
  <c r="E200" i="16"/>
  <c r="G200" i="16" s="1"/>
  <c r="E207" i="16"/>
  <c r="G207" i="16" s="1"/>
  <c r="E217" i="16"/>
  <c r="G217" i="16" s="1"/>
  <c r="E225" i="16"/>
  <c r="G225" i="16" s="1"/>
  <c r="E236" i="16"/>
  <c r="G236" i="16" s="1"/>
  <c r="E245" i="16"/>
  <c r="G245" i="16" s="1"/>
  <c r="E252" i="16"/>
  <c r="G252" i="16" s="1"/>
  <c r="E598" i="16"/>
  <c r="G598" i="16" s="1"/>
  <c r="E588" i="16"/>
  <c r="G588" i="16" s="1"/>
  <c r="E564" i="16"/>
  <c r="G564" i="16" s="1"/>
  <c r="E553" i="16"/>
  <c r="G553" i="16" s="1"/>
  <c r="E535" i="16"/>
  <c r="G535" i="16" s="1"/>
  <c r="E531" i="16"/>
  <c r="G531" i="16" s="1"/>
  <c r="E515" i="16"/>
  <c r="G515" i="16" s="1"/>
  <c r="E504" i="16"/>
  <c r="G504" i="16" s="1"/>
  <c r="E501" i="16"/>
  <c r="G501" i="16" s="1"/>
  <c r="E493" i="16"/>
  <c r="G493" i="16" s="1"/>
  <c r="E481" i="16"/>
  <c r="G481" i="16" s="1"/>
  <c r="E475" i="16"/>
  <c r="G475" i="16" s="1"/>
  <c r="E455" i="16"/>
  <c r="G455" i="16" s="1"/>
  <c r="E257" i="16"/>
  <c r="G257" i="16" s="1"/>
  <c r="E266" i="16"/>
  <c r="G266" i="16" s="1"/>
  <c r="E273" i="16"/>
  <c r="G273" i="16" s="1"/>
  <c r="E280" i="16"/>
  <c r="G280" i="16" s="1"/>
  <c r="E289" i="16"/>
  <c r="G289" i="16" s="1"/>
  <c r="E303" i="16"/>
  <c r="G303" i="16" s="1"/>
  <c r="E314" i="16"/>
  <c r="G314" i="16" s="1"/>
  <c r="E320" i="16"/>
  <c r="G320" i="16" s="1"/>
  <c r="E327" i="16"/>
  <c r="G327" i="16" s="1"/>
  <c r="E334" i="16"/>
  <c r="G334" i="16" s="1"/>
  <c r="E344" i="16"/>
  <c r="G344" i="16" s="1"/>
  <c r="E355" i="16"/>
  <c r="G355" i="16" s="1"/>
  <c r="E361" i="16"/>
  <c r="G361" i="16" s="1"/>
  <c r="E369" i="16"/>
  <c r="G369" i="16" s="1"/>
  <c r="E377" i="16"/>
  <c r="G377" i="16" s="1"/>
  <c r="E385" i="16"/>
  <c r="G385" i="16" s="1"/>
  <c r="E393" i="16"/>
  <c r="G393" i="16" s="1"/>
  <c r="E400" i="16"/>
  <c r="G400" i="16" s="1"/>
  <c r="E407" i="16"/>
  <c r="G407" i="16" s="1"/>
  <c r="E416" i="16"/>
  <c r="G416" i="16" s="1"/>
  <c r="E424" i="16"/>
  <c r="G424" i="16" s="1"/>
  <c r="E433" i="16"/>
  <c r="G433" i="16" s="1"/>
  <c r="E440" i="16"/>
  <c r="G440" i="16" s="1"/>
  <c r="E116" i="16"/>
  <c r="G116" i="16" s="1"/>
  <c r="E6" i="16"/>
  <c r="G6" i="16" s="1"/>
  <c r="E35" i="16"/>
  <c r="G35" i="16" s="1"/>
  <c r="E62" i="16"/>
  <c r="G62" i="16" s="1"/>
  <c r="E160" i="16"/>
  <c r="G160" i="16" s="1"/>
  <c r="E185" i="16"/>
  <c r="G185" i="16" s="1"/>
  <c r="E209" i="16"/>
  <c r="G209" i="16" s="1"/>
  <c r="E260" i="16"/>
  <c r="G260" i="16" s="1"/>
  <c r="E301" i="16"/>
  <c r="G301" i="16" s="1"/>
  <c r="E341" i="16"/>
  <c r="G341" i="16" s="1"/>
  <c r="E441" i="16"/>
  <c r="G441" i="16" s="1"/>
  <c r="E519" i="16"/>
  <c r="G519" i="16" s="1"/>
  <c r="E526" i="16"/>
  <c r="G526" i="16" s="1"/>
  <c r="E586" i="16"/>
  <c r="G586" i="16" s="1"/>
  <c r="E5" i="17"/>
  <c r="G5" i="17" s="1"/>
  <c r="E16" i="17"/>
  <c r="G16" i="17" s="1"/>
  <c r="E29" i="17"/>
  <c r="G29" i="17" s="1"/>
  <c r="E18" i="17"/>
  <c r="G18" i="17" s="1"/>
  <c r="E19" i="17"/>
  <c r="G19" i="17" s="1"/>
  <c r="E30" i="17"/>
  <c r="G30" i="17" s="1"/>
  <c r="E36" i="17"/>
  <c r="G36" i="17" s="1"/>
  <c r="E42" i="17"/>
  <c r="G42" i="17" s="1"/>
  <c r="E48" i="17"/>
  <c r="G48" i="17" s="1"/>
  <c r="E54" i="17"/>
  <c r="G54" i="17" s="1"/>
  <c r="E60" i="17"/>
  <c r="G60" i="17" s="1"/>
  <c r="E66" i="17"/>
  <c r="G66" i="17" s="1"/>
  <c r="E72" i="17"/>
  <c r="G72" i="17" s="1"/>
  <c r="E78" i="17"/>
  <c r="G78" i="17" s="1"/>
  <c r="E84" i="17"/>
  <c r="G84" i="17" s="1"/>
  <c r="E90" i="17"/>
  <c r="G90" i="17" s="1"/>
  <c r="E96" i="17"/>
  <c r="G96" i="17" s="1"/>
  <c r="E102" i="17"/>
  <c r="G102" i="17" s="1"/>
  <c r="E109" i="17"/>
  <c r="G109" i="17" s="1"/>
  <c r="E115" i="17"/>
  <c r="G115" i="17" s="1"/>
  <c r="E121" i="17"/>
  <c r="G121" i="17" s="1"/>
  <c r="E127" i="17"/>
  <c r="G127" i="17" s="1"/>
  <c r="E134" i="17"/>
  <c r="G134" i="17" s="1"/>
  <c r="E140" i="17"/>
  <c r="G140" i="17" s="1"/>
  <c r="E146" i="17"/>
  <c r="G146" i="17" s="1"/>
  <c r="E153" i="17"/>
  <c r="G153" i="17" s="1"/>
  <c r="E160" i="17"/>
  <c r="G160" i="17" s="1"/>
  <c r="E166" i="17"/>
  <c r="G166" i="17" s="1"/>
  <c r="E172" i="17"/>
  <c r="G172" i="17" s="1"/>
  <c r="E180" i="17"/>
  <c r="G180" i="17" s="1"/>
  <c r="E186" i="17"/>
  <c r="G186" i="17" s="1"/>
  <c r="E194" i="17"/>
  <c r="G194" i="17" s="1"/>
  <c r="E201" i="17"/>
  <c r="G201" i="17" s="1"/>
  <c r="E207" i="17"/>
  <c r="G207" i="17" s="1"/>
  <c r="E213" i="17"/>
  <c r="G213" i="17" s="1"/>
  <c r="E219" i="17"/>
  <c r="G219" i="17" s="1"/>
  <c r="E226" i="17"/>
  <c r="G226" i="17" s="1"/>
  <c r="E232" i="17"/>
  <c r="G232" i="17" s="1"/>
  <c r="E240" i="17"/>
  <c r="G240" i="17" s="1"/>
  <c r="E246" i="17"/>
  <c r="G246" i="17" s="1"/>
  <c r="E253" i="17"/>
  <c r="G253" i="17" s="1"/>
  <c r="E261" i="17"/>
  <c r="G261" i="17" s="1"/>
  <c r="E267" i="17"/>
  <c r="G267" i="17" s="1"/>
  <c r="E275" i="17"/>
  <c r="G275" i="17" s="1"/>
  <c r="E281" i="17"/>
  <c r="G281" i="17" s="1"/>
  <c r="E293" i="17"/>
  <c r="G293" i="17" s="1"/>
  <c r="E301" i="17"/>
  <c r="G301" i="17" s="1"/>
  <c r="E309" i="17"/>
  <c r="G309" i="17" s="1"/>
  <c r="E315" i="17"/>
  <c r="G315" i="17" s="1"/>
  <c r="E323" i="17"/>
  <c r="G323" i="17" s="1"/>
  <c r="E329" i="17"/>
  <c r="G329" i="17" s="1"/>
  <c r="E335" i="17"/>
  <c r="G335" i="17" s="1"/>
  <c r="E342" i="17"/>
  <c r="G342" i="17" s="1"/>
  <c r="E349" i="17"/>
  <c r="G349" i="17" s="1"/>
  <c r="E355" i="17"/>
  <c r="G355" i="17" s="1"/>
  <c r="E362" i="17"/>
  <c r="G362" i="17" s="1"/>
  <c r="E368" i="17"/>
  <c r="G368" i="17" s="1"/>
  <c r="E380" i="17"/>
  <c r="G380" i="17" s="1"/>
  <c r="E386" i="17"/>
  <c r="G386" i="17" s="1"/>
  <c r="E392" i="17"/>
  <c r="G392" i="17" s="1"/>
  <c r="E400" i="17"/>
  <c r="G400" i="17" s="1"/>
  <c r="E406" i="17"/>
  <c r="G406" i="17" s="1"/>
  <c r="E412" i="17"/>
  <c r="G412" i="17" s="1"/>
  <c r="E418" i="17"/>
  <c r="G418" i="17" s="1"/>
  <c r="E424" i="17"/>
  <c r="G424" i="17" s="1"/>
  <c r="E434" i="17"/>
  <c r="G434" i="17" s="1"/>
  <c r="E442" i="17"/>
  <c r="G442" i="17" s="1"/>
  <c r="E452" i="17"/>
  <c r="G452" i="17" s="1"/>
  <c r="E458" i="17"/>
  <c r="G458" i="17" s="1"/>
  <c r="E464" i="17"/>
  <c r="G464" i="17" s="1"/>
  <c r="E470" i="17"/>
  <c r="G470" i="17" s="1"/>
  <c r="E478" i="17"/>
  <c r="G478" i="17" s="1"/>
  <c r="E484" i="17"/>
  <c r="G484" i="17" s="1"/>
  <c r="E490" i="17"/>
  <c r="G490" i="17" s="1"/>
  <c r="E497" i="17"/>
  <c r="G497" i="17" s="1"/>
  <c r="E503" i="17"/>
  <c r="G503" i="17" s="1"/>
  <c r="E512" i="17"/>
  <c r="G512" i="17" s="1"/>
  <c r="E520" i="17"/>
  <c r="G520" i="17" s="1"/>
  <c r="E526" i="17"/>
  <c r="G526" i="17" s="1"/>
  <c r="E537" i="17"/>
  <c r="G537" i="17" s="1"/>
  <c r="E545" i="17"/>
  <c r="G545" i="17" s="1"/>
  <c r="E551" i="17"/>
  <c r="G551" i="17" s="1"/>
  <c r="E557" i="17"/>
  <c r="G557" i="17" s="1"/>
  <c r="E563" i="17"/>
  <c r="G563" i="17" s="1"/>
  <c r="E569" i="17"/>
  <c r="G569" i="17" s="1"/>
  <c r="E575" i="17"/>
  <c r="G575" i="17" s="1"/>
  <c r="E583" i="17"/>
  <c r="G583" i="17" s="1"/>
  <c r="E592" i="17"/>
  <c r="G592" i="17" s="1"/>
  <c r="E598" i="17"/>
  <c r="G598" i="17" s="1"/>
  <c r="E604" i="17"/>
  <c r="G604" i="17" s="1"/>
  <c r="E610" i="17"/>
  <c r="G610" i="17" s="1"/>
  <c r="E616" i="17"/>
  <c r="G616" i="17" s="1"/>
  <c r="E624" i="17"/>
  <c r="G624" i="17" s="1"/>
  <c r="E631" i="17"/>
  <c r="G631" i="17" s="1"/>
  <c r="E637" i="17"/>
  <c r="G637" i="17" s="1"/>
  <c r="E645" i="17"/>
  <c r="G645" i="17" s="1"/>
  <c r="E651" i="17"/>
  <c r="G651" i="17" s="1"/>
  <c r="E657" i="17"/>
  <c r="G657" i="17" s="1"/>
  <c r="E627" i="17"/>
  <c r="G627" i="17" s="1"/>
  <c r="E576" i="17"/>
  <c r="G576" i="17" s="1"/>
  <c r="E534" i="17"/>
  <c r="G534" i="17" s="1"/>
  <c r="E493" i="17"/>
  <c r="G493" i="17" s="1"/>
  <c r="E444" i="17"/>
  <c r="G444" i="17" s="1"/>
  <c r="E428" i="17"/>
  <c r="G428" i="17" s="1"/>
  <c r="E372" i="17"/>
  <c r="G372" i="17" s="1"/>
  <c r="E319" i="17"/>
  <c r="G319" i="17" s="1"/>
  <c r="E289" i="17"/>
  <c r="G289" i="17" s="1"/>
  <c r="E235" i="17"/>
  <c r="G235" i="17" s="1"/>
  <c r="E176" i="17"/>
  <c r="G176" i="17" s="1"/>
  <c r="E5" i="16"/>
  <c r="G5" i="16" s="1"/>
  <c r="E13" i="16"/>
  <c r="G13" i="16" s="1"/>
  <c r="E19" i="16"/>
  <c r="G19" i="16" s="1"/>
  <c r="E25" i="16"/>
  <c r="G25" i="16" s="1"/>
  <c r="E37" i="16"/>
  <c r="G37" i="16" s="1"/>
  <c r="E468" i="16"/>
  <c r="G468" i="16" s="1"/>
  <c r="E216" i="16"/>
  <c r="G216" i="16" s="1"/>
  <c r="E56" i="16"/>
  <c r="G56" i="16" s="1"/>
  <c r="E243" i="16"/>
  <c r="G243" i="16" s="1"/>
  <c r="E591" i="16"/>
  <c r="G591" i="16" s="1"/>
  <c r="E556" i="16"/>
  <c r="G556" i="16" s="1"/>
  <c r="E533" i="16"/>
  <c r="G533" i="16" s="1"/>
  <c r="E423" i="16"/>
  <c r="G423" i="16" s="1"/>
  <c r="E351" i="16"/>
  <c r="G351" i="16" s="1"/>
  <c r="E557" i="16"/>
  <c r="G557" i="16" s="1"/>
  <c r="E487" i="16"/>
  <c r="G487" i="16" s="1"/>
  <c r="E362" i="16"/>
  <c r="G362" i="16" s="1"/>
  <c r="E247" i="16"/>
  <c r="G247" i="16" s="1"/>
  <c r="E89" i="16"/>
  <c r="G89" i="16" s="1"/>
  <c r="E467" i="16"/>
  <c r="G467" i="16" s="1"/>
  <c r="E96" i="16"/>
  <c r="G96" i="16" s="1"/>
  <c r="E241" i="16"/>
  <c r="G241" i="16" s="1"/>
  <c r="E570" i="16"/>
  <c r="G570" i="16" s="1"/>
  <c r="E70" i="16"/>
  <c r="G70" i="16" s="1"/>
  <c r="E500" i="16"/>
  <c r="G500" i="16" s="1"/>
  <c r="E172" i="16"/>
  <c r="G172" i="16" s="1"/>
  <c r="E194" i="16"/>
  <c r="G194" i="16" s="1"/>
  <c r="E574" i="16"/>
  <c r="G574" i="16" s="1"/>
  <c r="E573" i="16"/>
  <c r="G573" i="16" s="1"/>
  <c r="E46" i="16"/>
  <c r="G46" i="16" s="1"/>
  <c r="E57" i="16"/>
  <c r="G57" i="16" s="1"/>
  <c r="E68" i="16"/>
  <c r="G68" i="16" s="1"/>
  <c r="E80" i="16"/>
  <c r="G80" i="16" s="1"/>
  <c r="E86" i="16"/>
  <c r="G86" i="16" s="1"/>
  <c r="E95" i="16"/>
  <c r="G95" i="16" s="1"/>
  <c r="E104" i="16"/>
  <c r="G104" i="16" s="1"/>
  <c r="E114" i="16"/>
  <c r="G114" i="16" s="1"/>
  <c r="E121" i="16"/>
  <c r="G121" i="16" s="1"/>
  <c r="E132" i="16"/>
  <c r="G132" i="16" s="1"/>
  <c r="E144" i="16"/>
  <c r="G144" i="16" s="1"/>
  <c r="E150" i="16"/>
  <c r="G150" i="16" s="1"/>
  <c r="E157" i="16"/>
  <c r="G157" i="16" s="1"/>
  <c r="E171" i="16"/>
  <c r="G171" i="16" s="1"/>
  <c r="E180" i="16"/>
  <c r="G180" i="16" s="1"/>
  <c r="E196" i="16"/>
  <c r="G196" i="16" s="1"/>
  <c r="E202" i="16"/>
  <c r="G202" i="16" s="1"/>
  <c r="E211" i="16"/>
  <c r="G211" i="16" s="1"/>
  <c r="E219" i="16"/>
  <c r="G219" i="16" s="1"/>
  <c r="E227" i="16"/>
  <c r="G227" i="16" s="1"/>
  <c r="E238" i="16"/>
  <c r="G238" i="16" s="1"/>
  <c r="E248" i="16"/>
  <c r="G248" i="16" s="1"/>
  <c r="E254" i="16"/>
  <c r="G254" i="16" s="1"/>
  <c r="E592" i="16"/>
  <c r="G592" i="16" s="1"/>
  <c r="E569" i="16"/>
  <c r="G569" i="16" s="1"/>
  <c r="E560" i="16"/>
  <c r="G560" i="16" s="1"/>
  <c r="E555" i="16"/>
  <c r="G555" i="16" s="1"/>
  <c r="E539" i="16"/>
  <c r="G539" i="16" s="1"/>
  <c r="E522" i="16"/>
  <c r="G522" i="16" s="1"/>
  <c r="E509" i="16"/>
  <c r="G509" i="16" s="1"/>
  <c r="E506" i="16"/>
  <c r="G506" i="16" s="1"/>
  <c r="E489" i="16"/>
  <c r="G489" i="16" s="1"/>
  <c r="E495" i="16"/>
  <c r="G495" i="16" s="1"/>
  <c r="E483" i="16"/>
  <c r="G483" i="16" s="1"/>
  <c r="E464" i="16"/>
  <c r="G464" i="16" s="1"/>
  <c r="E452" i="16"/>
  <c r="G452" i="16" s="1"/>
  <c r="E259" i="16"/>
  <c r="G259" i="16" s="1"/>
  <c r="E268" i="16"/>
  <c r="G268" i="16" s="1"/>
  <c r="E276" i="16"/>
  <c r="G276" i="16" s="1"/>
  <c r="E282" i="16"/>
  <c r="G282" i="16" s="1"/>
  <c r="E292" i="16"/>
  <c r="G292" i="16" s="1"/>
  <c r="E307" i="16"/>
  <c r="G307" i="16" s="1"/>
  <c r="E316" i="16"/>
  <c r="G316" i="16" s="1"/>
  <c r="E322" i="16"/>
  <c r="G322" i="16" s="1"/>
  <c r="E329" i="16"/>
  <c r="G329" i="16" s="1"/>
  <c r="E337" i="16"/>
  <c r="G337" i="16" s="1"/>
  <c r="E349" i="16"/>
  <c r="G349" i="16" s="1"/>
  <c r="E357" i="16"/>
  <c r="G357" i="16" s="1"/>
  <c r="E364" i="16"/>
  <c r="G364" i="16" s="1"/>
  <c r="E373" i="16"/>
  <c r="G373" i="16" s="1"/>
  <c r="E379" i="16"/>
  <c r="G379" i="16" s="1"/>
  <c r="E387" i="16"/>
  <c r="G387" i="16" s="1"/>
  <c r="E395" i="16"/>
  <c r="G395" i="16" s="1"/>
  <c r="E402" i="16"/>
  <c r="G402" i="16" s="1"/>
  <c r="E409" i="16"/>
  <c r="G409" i="16" s="1"/>
  <c r="E418" i="16"/>
  <c r="G418" i="16" s="1"/>
  <c r="E427" i="16"/>
  <c r="G427" i="16" s="1"/>
  <c r="E436" i="16"/>
  <c r="G436" i="16" s="1"/>
  <c r="E444" i="16"/>
  <c r="G444" i="16" s="1"/>
  <c r="E122" i="16"/>
  <c r="G122" i="16" s="1"/>
  <c r="E29" i="16"/>
  <c r="G29" i="16" s="1"/>
  <c r="E39" i="16"/>
  <c r="G39" i="16" s="1"/>
  <c r="E108" i="16"/>
  <c r="G108" i="16" s="1"/>
  <c r="E163" i="16"/>
  <c r="G163" i="16" s="1"/>
  <c r="E189" i="16"/>
  <c r="G189" i="16" s="1"/>
  <c r="E228" i="16"/>
  <c r="G228" i="16" s="1"/>
  <c r="E295" i="16"/>
  <c r="G295" i="16" s="1"/>
  <c r="E304" i="16"/>
  <c r="G304" i="16" s="1"/>
  <c r="E345" i="16"/>
  <c r="G345" i="16" s="1"/>
  <c r="E465" i="16"/>
  <c r="G465" i="16" s="1"/>
  <c r="E523" i="16"/>
  <c r="G523" i="16" s="1"/>
  <c r="E536" i="16"/>
  <c r="G536" i="16" s="1"/>
  <c r="E601" i="16"/>
  <c r="G601" i="16" s="1"/>
  <c r="E7" i="17"/>
  <c r="G7" i="17" s="1"/>
  <c r="E25" i="17"/>
  <c r="G25" i="17" s="1"/>
  <c r="E12" i="17"/>
  <c r="G12" i="17" s="1"/>
  <c r="E21" i="17"/>
  <c r="G21" i="17" s="1"/>
  <c r="E32" i="17"/>
  <c r="G32" i="17" s="1"/>
  <c r="E38" i="17"/>
  <c r="G38" i="17" s="1"/>
  <c r="E44" i="17"/>
  <c r="G44" i="17" s="1"/>
  <c r="E50" i="17"/>
  <c r="G50" i="17" s="1"/>
  <c r="E56" i="17"/>
  <c r="G56" i="17" s="1"/>
  <c r="E62" i="17"/>
  <c r="G62" i="17" s="1"/>
  <c r="E68" i="17"/>
  <c r="G68" i="17" s="1"/>
  <c r="E74" i="17"/>
  <c r="G74" i="17" s="1"/>
  <c r="E80" i="17"/>
  <c r="G80" i="17" s="1"/>
  <c r="E86" i="17"/>
  <c r="G86" i="17" s="1"/>
  <c r="E92" i="17"/>
  <c r="G92" i="17" s="1"/>
  <c r="E98" i="17"/>
  <c r="G98" i="17" s="1"/>
  <c r="E104" i="17"/>
  <c r="G104" i="17" s="1"/>
  <c r="E111" i="17"/>
  <c r="G111" i="17" s="1"/>
  <c r="E117" i="17"/>
  <c r="G117" i="17" s="1"/>
  <c r="E123" i="17"/>
  <c r="G123" i="17" s="1"/>
  <c r="E130" i="17"/>
  <c r="G130" i="17" s="1"/>
  <c r="E136" i="17"/>
  <c r="G136" i="17" s="1"/>
  <c r="E142" i="17"/>
  <c r="G142" i="17" s="1"/>
  <c r="E148" i="17"/>
  <c r="G148" i="17" s="1"/>
  <c r="E156" i="17"/>
  <c r="G156" i="17" s="1"/>
  <c r="E162" i="17"/>
  <c r="G162" i="17" s="1"/>
  <c r="E168" i="17"/>
  <c r="G168" i="17" s="1"/>
  <c r="E174" i="17"/>
  <c r="G174" i="17" s="1"/>
  <c r="E182" i="17"/>
  <c r="G182" i="17" s="1"/>
  <c r="E190" i="17"/>
  <c r="G190" i="17" s="1"/>
  <c r="E197" i="17"/>
  <c r="G197" i="17" s="1"/>
  <c r="E203" i="17"/>
  <c r="G203" i="17" s="1"/>
  <c r="E209" i="17"/>
  <c r="G209" i="17" s="1"/>
  <c r="E215" i="17"/>
  <c r="G215" i="17" s="1"/>
  <c r="E221" i="17"/>
  <c r="G221" i="17" s="1"/>
  <c r="E228" i="17"/>
  <c r="G228" i="17" s="1"/>
  <c r="E234" i="17"/>
  <c r="G234" i="17" s="1"/>
  <c r="E242" i="17"/>
  <c r="G242" i="17" s="1"/>
  <c r="E249" i="17"/>
  <c r="G249" i="17" s="1"/>
  <c r="E257" i="17"/>
  <c r="G257" i="17" s="1"/>
  <c r="E263" i="17"/>
  <c r="G263" i="17" s="1"/>
  <c r="E271" i="17"/>
  <c r="G271" i="17" s="1"/>
  <c r="E277" i="17"/>
  <c r="G277" i="17" s="1"/>
  <c r="E283" i="17"/>
  <c r="G283" i="17" s="1"/>
  <c r="E297" i="17"/>
  <c r="G297" i="17" s="1"/>
  <c r="E303" i="17"/>
  <c r="G303" i="17" s="1"/>
  <c r="E311" i="17"/>
  <c r="G311" i="17" s="1"/>
  <c r="E317" i="17"/>
  <c r="G317" i="17" s="1"/>
  <c r="E325" i="17"/>
  <c r="G325" i="17" s="1"/>
  <c r="E331" i="17"/>
  <c r="G331" i="17" s="1"/>
  <c r="E337" i="17"/>
  <c r="G337" i="17" s="1"/>
  <c r="E344" i="17"/>
  <c r="G344" i="17" s="1"/>
  <c r="E351" i="17"/>
  <c r="G351" i="17" s="1"/>
  <c r="E358" i="17"/>
  <c r="G358" i="17" s="1"/>
  <c r="E364" i="17"/>
  <c r="G364" i="17" s="1"/>
  <c r="E376" i="17"/>
  <c r="G376" i="17" s="1"/>
  <c r="E382" i="17"/>
  <c r="G382" i="17" s="1"/>
  <c r="E388" i="17"/>
  <c r="G388" i="17" s="1"/>
  <c r="E394" i="17"/>
  <c r="G394" i="17" s="1"/>
  <c r="E402" i="17"/>
  <c r="G402" i="17" s="1"/>
  <c r="E408" i="17"/>
  <c r="G408" i="17" s="1"/>
  <c r="E414" i="17"/>
  <c r="G414" i="17" s="1"/>
  <c r="E420" i="17"/>
  <c r="G420" i="17" s="1"/>
  <c r="E430" i="17"/>
  <c r="G430" i="17" s="1"/>
  <c r="E436" i="17"/>
  <c r="G436" i="17" s="1"/>
  <c r="E445" i="17"/>
  <c r="G445" i="17" s="1"/>
  <c r="E454" i="17"/>
  <c r="G454" i="17" s="1"/>
  <c r="E460" i="17"/>
  <c r="G460" i="17" s="1"/>
  <c r="E466" i="17"/>
  <c r="G466" i="17" s="1"/>
  <c r="E474" i="17"/>
  <c r="G474" i="17" s="1"/>
  <c r="E480" i="17"/>
  <c r="G480" i="17" s="1"/>
  <c r="E486" i="17"/>
  <c r="G486" i="17" s="1"/>
  <c r="E492" i="17"/>
  <c r="G492" i="17" s="1"/>
  <c r="E499" i="17"/>
  <c r="G499" i="17" s="1"/>
  <c r="E505" i="17"/>
  <c r="G505" i="17" s="1"/>
  <c r="E514" i="17"/>
  <c r="G514" i="17" s="1"/>
  <c r="E522" i="17"/>
  <c r="G522" i="17" s="1"/>
  <c r="E528" i="17"/>
  <c r="G528" i="17" s="1"/>
  <c r="E541" i="17"/>
  <c r="G541" i="17" s="1"/>
  <c r="E547" i="17"/>
  <c r="G547" i="17" s="1"/>
  <c r="E553" i="17"/>
  <c r="G553" i="17" s="1"/>
  <c r="E559" i="17"/>
  <c r="G559" i="17" s="1"/>
  <c r="E565" i="17"/>
  <c r="G565" i="17" s="1"/>
  <c r="E571" i="17"/>
  <c r="G571" i="17" s="1"/>
  <c r="E579" i="17"/>
  <c r="G579" i="17" s="1"/>
  <c r="E585" i="17"/>
  <c r="G585" i="17" s="1"/>
  <c r="E594" i="17"/>
  <c r="G594" i="17" s="1"/>
  <c r="E600" i="17"/>
  <c r="G600" i="17" s="1"/>
  <c r="E606" i="17"/>
  <c r="G606" i="17" s="1"/>
  <c r="E612" i="17"/>
  <c r="G612" i="17" s="1"/>
  <c r="E620" i="17"/>
  <c r="G620" i="17" s="1"/>
  <c r="E626" i="17"/>
  <c r="G626" i="17" s="1"/>
  <c r="E633" i="17"/>
  <c r="G633" i="17" s="1"/>
  <c r="E639" i="17"/>
  <c r="G639" i="17" s="1"/>
  <c r="E647" i="17"/>
  <c r="G647" i="17" s="1"/>
  <c r="E653" i="17"/>
  <c r="G653" i="17" s="1"/>
  <c r="E619" i="17"/>
  <c r="G619" i="17" s="1"/>
  <c r="E530" i="17"/>
  <c r="G530" i="17" s="1"/>
  <c r="E518" i="17"/>
  <c r="G518" i="17" s="1"/>
  <c r="E472" i="17"/>
  <c r="G472" i="17" s="1"/>
  <c r="E437" i="17"/>
  <c r="G437" i="17" s="1"/>
  <c r="E396" i="17"/>
  <c r="G396" i="17" s="1"/>
  <c r="E374" i="17"/>
  <c r="G374" i="17" s="1"/>
  <c r="E305" i="17"/>
  <c r="G305" i="17" s="1"/>
  <c r="E270" i="17"/>
  <c r="G270" i="17" s="1"/>
  <c r="E225" i="17"/>
  <c r="G225" i="17" s="1"/>
  <c r="E154" i="17"/>
  <c r="G154" i="17" s="1"/>
  <c r="E9" i="16"/>
  <c r="G9" i="16" s="1"/>
  <c r="E15" i="16"/>
  <c r="G15" i="16" s="1"/>
  <c r="E21" i="16"/>
  <c r="G21" i="16" s="1"/>
  <c r="E27" i="16"/>
  <c r="G27" i="16" s="1"/>
  <c r="E125" i="16"/>
  <c r="G125" i="16" s="1"/>
  <c r="E392" i="16"/>
  <c r="G392" i="16" s="1"/>
  <c r="E168" i="16"/>
  <c r="G168" i="16" s="1"/>
  <c r="E79" i="16"/>
  <c r="G79" i="16" s="1"/>
  <c r="E575" i="16"/>
  <c r="G575" i="16" s="1"/>
  <c r="E581" i="16"/>
  <c r="G581" i="16" s="1"/>
  <c r="E552" i="16"/>
  <c r="G552" i="16" s="1"/>
  <c r="E449" i="16"/>
  <c r="G449" i="16" s="1"/>
  <c r="E435" i="16"/>
  <c r="G435" i="16" s="1"/>
  <c r="E286" i="16"/>
  <c r="G286" i="16" s="1"/>
  <c r="E530" i="16"/>
  <c r="G530" i="16" s="1"/>
  <c r="E430" i="16"/>
  <c r="G430" i="16" s="1"/>
  <c r="E294" i="16"/>
  <c r="G294" i="16" s="1"/>
  <c r="E203" i="16"/>
  <c r="G203" i="16" s="1"/>
  <c r="E49" i="16"/>
  <c r="G49" i="16" s="1"/>
  <c r="E410" i="16"/>
  <c r="G410" i="16" s="1"/>
  <c r="E97" i="16"/>
  <c r="G97" i="16" s="1"/>
  <c r="E310" i="16"/>
  <c r="G310" i="16" s="1"/>
  <c r="E512" i="16"/>
  <c r="G512" i="16" s="1"/>
  <c r="E222" i="16"/>
  <c r="G222" i="16" s="1"/>
  <c r="E64" i="16"/>
  <c r="G64" i="16" s="1"/>
  <c r="E183" i="16"/>
  <c r="G183" i="16" s="1"/>
  <c r="E583" i="16"/>
  <c r="G583" i="16" s="1"/>
  <c r="E41" i="16"/>
  <c r="G41" i="16" s="1"/>
  <c r="E51" i="16"/>
  <c r="G51" i="16" s="1"/>
  <c r="E61" i="16"/>
  <c r="G61" i="16" s="1"/>
  <c r="E75" i="16"/>
  <c r="G75" i="16" s="1"/>
  <c r="E82" i="16"/>
  <c r="G82" i="16" s="1"/>
  <c r="E88" i="16"/>
  <c r="G88" i="16" s="1"/>
  <c r="E99" i="16"/>
  <c r="G99" i="16" s="1"/>
  <c r="E107" i="16"/>
  <c r="G107" i="16" s="1"/>
  <c r="E118" i="16"/>
  <c r="G118" i="16" s="1"/>
  <c r="E128" i="16"/>
  <c r="G128" i="16" s="1"/>
  <c r="E136" i="16"/>
  <c r="G136" i="16" s="1"/>
  <c r="E146" i="16"/>
  <c r="G146" i="16" s="1"/>
  <c r="E153" i="16"/>
  <c r="G153" i="16" s="1"/>
  <c r="E159" i="16"/>
  <c r="G159" i="16" s="1"/>
  <c r="E176" i="16"/>
  <c r="G176" i="16" s="1"/>
  <c r="E184" i="16"/>
  <c r="G184" i="16" s="1"/>
  <c r="E199" i="16"/>
  <c r="G199" i="16" s="1"/>
  <c r="E205" i="16"/>
  <c r="G205" i="16" s="1"/>
  <c r="E213" i="16"/>
  <c r="G213" i="16" s="1"/>
  <c r="E223" i="16"/>
  <c r="G223" i="16" s="1"/>
  <c r="E234" i="16"/>
  <c r="G234" i="16" s="1"/>
  <c r="E240" i="16"/>
  <c r="G240" i="16" s="1"/>
  <c r="E250" i="16"/>
  <c r="G250" i="16" s="1"/>
  <c r="E604" i="16"/>
  <c r="G604" i="16" s="1"/>
  <c r="E594" i="16"/>
  <c r="G594" i="16" s="1"/>
  <c r="E567" i="16"/>
  <c r="G567" i="16" s="1"/>
  <c r="E549" i="16"/>
  <c r="G549" i="16" s="1"/>
  <c r="E546" i="16"/>
  <c r="G546" i="16" s="1"/>
  <c r="E541" i="16"/>
  <c r="G541" i="16" s="1"/>
  <c r="E514" i="16"/>
  <c r="G514" i="16" s="1"/>
  <c r="E502" i="16"/>
  <c r="G502" i="16" s="1"/>
  <c r="E498" i="16"/>
  <c r="G498" i="16" s="1"/>
  <c r="E491" i="16"/>
  <c r="G491" i="16" s="1"/>
  <c r="E479" i="16"/>
  <c r="G479" i="16" s="1"/>
  <c r="E485" i="16"/>
  <c r="G485" i="16" s="1"/>
  <c r="E460" i="16"/>
  <c r="G460" i="16" s="1"/>
  <c r="E448" i="16"/>
  <c r="G448" i="16" s="1"/>
  <c r="E263" i="16"/>
  <c r="G263" i="16" s="1"/>
  <c r="E270" i="16"/>
  <c r="G270" i="16" s="1"/>
  <c r="E278" i="16"/>
  <c r="G278" i="16" s="1"/>
  <c r="E285" i="16"/>
  <c r="G285" i="16" s="1"/>
  <c r="E297" i="16"/>
  <c r="G297" i="16" s="1"/>
  <c r="E309" i="16"/>
  <c r="G309" i="16" s="1"/>
  <c r="E318" i="16"/>
  <c r="G318" i="16" s="1"/>
  <c r="E325" i="16"/>
  <c r="G325" i="16" s="1"/>
  <c r="E331" i="16"/>
  <c r="G331" i="16" s="1"/>
  <c r="E340" i="16"/>
  <c r="G340" i="16" s="1"/>
  <c r="E352" i="16"/>
  <c r="G352" i="16" s="1"/>
  <c r="E359" i="16"/>
  <c r="G359" i="16" s="1"/>
  <c r="E367" i="16"/>
  <c r="G367" i="16" s="1"/>
  <c r="E375" i="16"/>
  <c r="G375" i="16" s="1"/>
  <c r="E382" i="16"/>
  <c r="G382" i="16" s="1"/>
  <c r="E390" i="16"/>
  <c r="G390" i="16" s="1"/>
  <c r="E398" i="16"/>
  <c r="G398" i="16" s="1"/>
  <c r="E405" i="16"/>
  <c r="G405" i="16" s="1"/>
  <c r="E414" i="16"/>
  <c r="G414" i="16" s="1"/>
  <c r="E421" i="16"/>
  <c r="G421" i="16" s="1"/>
  <c r="E431" i="16"/>
  <c r="G431" i="16" s="1"/>
  <c r="E438" i="16"/>
  <c r="G438" i="16" s="1"/>
  <c r="E446" i="16"/>
  <c r="G446" i="16" s="1"/>
  <c r="E3" i="16"/>
  <c r="G3" i="16" s="1"/>
  <c r="E32" i="16"/>
  <c r="G32" i="16" s="1"/>
  <c r="E59" i="16"/>
  <c r="G59" i="16" s="1"/>
  <c r="E141" i="16"/>
  <c r="G141" i="16" s="1"/>
  <c r="E166" i="16"/>
  <c r="G166" i="16" s="1"/>
  <c r="E192" i="16"/>
  <c r="G192" i="16" s="1"/>
  <c r="E231" i="16"/>
  <c r="G231" i="16" s="1"/>
  <c r="E298" i="16"/>
  <c r="G298" i="16" s="1"/>
  <c r="E312" i="16"/>
  <c r="G312" i="16" s="1"/>
  <c r="E371" i="16"/>
  <c r="G371" i="16" s="1"/>
  <c r="E471" i="16"/>
  <c r="G471" i="16" s="1"/>
  <c r="E517" i="16"/>
  <c r="G517" i="16" s="1"/>
  <c r="E561" i="16"/>
  <c r="G561" i="16" s="1"/>
  <c r="E3" i="17"/>
  <c r="G3" i="17" s="1"/>
  <c r="E9" i="17"/>
  <c r="G9" i="17" s="1"/>
  <c r="E27" i="17"/>
  <c r="G27" i="17" s="1"/>
  <c r="E14" i="17"/>
  <c r="G14" i="17" s="1"/>
  <c r="E23" i="17"/>
  <c r="G23" i="17" s="1"/>
  <c r="E34" i="17"/>
  <c r="G34" i="17" s="1"/>
  <c r="E40" i="17"/>
  <c r="G40" i="17" s="1"/>
  <c r="E46" i="17"/>
  <c r="G46" i="17" s="1"/>
  <c r="E52" i="17"/>
  <c r="G52" i="17" s="1"/>
  <c r="E58" i="17"/>
  <c r="G58" i="17" s="1"/>
  <c r="E64" i="17"/>
  <c r="G64" i="17" s="1"/>
  <c r="E70" i="17"/>
  <c r="G70" i="17" s="1"/>
  <c r="E76" i="17"/>
  <c r="G76" i="17" s="1"/>
  <c r="E82" i="17"/>
  <c r="G82" i="17" s="1"/>
  <c r="E88" i="17"/>
  <c r="G88" i="17" s="1"/>
  <c r="E94" i="17"/>
  <c r="G94" i="17" s="1"/>
  <c r="E101" i="17"/>
  <c r="G101" i="17" s="1"/>
  <c r="E106" i="17"/>
  <c r="G106" i="17" s="1"/>
  <c r="E113" i="17"/>
  <c r="G113" i="17" s="1"/>
  <c r="E119" i="17"/>
  <c r="G119" i="17" s="1"/>
  <c r="E125" i="17"/>
  <c r="G125" i="17" s="1"/>
  <c r="E132" i="17"/>
  <c r="G132" i="17" s="1"/>
  <c r="E138" i="17"/>
  <c r="G138" i="17" s="1"/>
  <c r="E144" i="17"/>
  <c r="G144" i="17" s="1"/>
  <c r="E151" i="17"/>
  <c r="G151" i="17" s="1"/>
  <c r="E158" i="17"/>
  <c r="G158" i="17" s="1"/>
  <c r="E164" i="17"/>
  <c r="G164" i="17" s="1"/>
  <c r="E170" i="17"/>
  <c r="G170" i="17" s="1"/>
  <c r="E178" i="17"/>
  <c r="G178" i="17" s="1"/>
  <c r="E184" i="17"/>
  <c r="G184" i="17" s="1"/>
  <c r="E192" i="17"/>
  <c r="G192" i="17" s="1"/>
  <c r="E199" i="17"/>
  <c r="G199" i="17" s="1"/>
  <c r="E205" i="17"/>
  <c r="G205" i="17" s="1"/>
  <c r="E211" i="17"/>
  <c r="G211" i="17" s="1"/>
  <c r="E217" i="17"/>
  <c r="G217" i="17" s="1"/>
  <c r="E223" i="17"/>
  <c r="G223" i="17" s="1"/>
  <c r="E230" i="17"/>
  <c r="G230" i="17" s="1"/>
  <c r="E238" i="17"/>
  <c r="G238" i="17" s="1"/>
  <c r="E244" i="17"/>
  <c r="G244" i="17" s="1"/>
  <c r="E251" i="17"/>
  <c r="G251" i="17" s="1"/>
  <c r="E259" i="17"/>
  <c r="G259" i="17" s="1"/>
  <c r="E265" i="17"/>
  <c r="G265" i="17" s="1"/>
  <c r="E273" i="17"/>
  <c r="G273" i="17" s="1"/>
  <c r="E279" i="17"/>
  <c r="G279" i="17" s="1"/>
  <c r="E291" i="17"/>
  <c r="G291" i="17" s="1"/>
  <c r="E299" i="17"/>
  <c r="G299" i="17" s="1"/>
  <c r="E307" i="17"/>
  <c r="G307" i="17" s="1"/>
  <c r="E313" i="17"/>
  <c r="G313" i="17" s="1"/>
  <c r="E321" i="17"/>
  <c r="G321" i="17" s="1"/>
  <c r="E327" i="17"/>
  <c r="G327" i="17" s="1"/>
  <c r="E333" i="17"/>
  <c r="G333" i="17" s="1"/>
  <c r="E339" i="17"/>
  <c r="G339" i="17" s="1"/>
  <c r="E347" i="17"/>
  <c r="G347" i="17" s="1"/>
  <c r="E353" i="17"/>
  <c r="G353" i="17" s="1"/>
  <c r="E360" i="17"/>
  <c r="G360" i="17" s="1"/>
  <c r="E366" i="17"/>
  <c r="G366" i="17" s="1"/>
  <c r="E378" i="17"/>
  <c r="G378" i="17" s="1"/>
  <c r="E384" i="17"/>
  <c r="G384" i="17" s="1"/>
  <c r="E390" i="17"/>
  <c r="G390" i="17" s="1"/>
  <c r="E398" i="17"/>
  <c r="G398" i="17" s="1"/>
  <c r="E404" i="17"/>
  <c r="G404" i="17" s="1"/>
  <c r="E410" i="17"/>
  <c r="G410" i="17" s="1"/>
  <c r="E416" i="17"/>
  <c r="G416" i="17" s="1"/>
  <c r="E422" i="17"/>
  <c r="G422" i="17" s="1"/>
  <c r="E432" i="17"/>
  <c r="G432" i="17" s="1"/>
  <c r="E440" i="17"/>
  <c r="G440" i="17" s="1"/>
  <c r="E447" i="17"/>
  <c r="G447" i="17" s="1"/>
  <c r="E456" i="17"/>
  <c r="G456" i="17" s="1"/>
  <c r="E462" i="17"/>
  <c r="G462" i="17" s="1"/>
  <c r="E468" i="17"/>
  <c r="G468" i="17" s="1"/>
  <c r="E476" i="17"/>
  <c r="G476" i="17" s="1"/>
  <c r="E482" i="17"/>
  <c r="G482" i="17" s="1"/>
  <c r="E488" i="17"/>
  <c r="G488" i="17" s="1"/>
  <c r="E495" i="17"/>
  <c r="G495" i="17" s="1"/>
  <c r="E501" i="17"/>
  <c r="G501" i="17" s="1"/>
  <c r="E507" i="17"/>
  <c r="G507" i="17" s="1"/>
  <c r="E516" i="17"/>
  <c r="G516" i="17" s="1"/>
  <c r="E524" i="17"/>
  <c r="G524" i="17" s="1"/>
  <c r="E535" i="17"/>
  <c r="G535" i="17" s="1"/>
  <c r="E543" i="17"/>
  <c r="G543" i="17" s="1"/>
  <c r="E549" i="17"/>
  <c r="G549" i="17" s="1"/>
  <c r="E555" i="17"/>
  <c r="G555" i="17" s="1"/>
  <c r="E561" i="17"/>
  <c r="G561" i="17" s="1"/>
  <c r="E567" i="17"/>
  <c r="G567" i="17" s="1"/>
  <c r="E573" i="17"/>
  <c r="G573" i="17" s="1"/>
  <c r="E581" i="17"/>
  <c r="G581" i="17" s="1"/>
  <c r="E590" i="17"/>
  <c r="G590" i="17" s="1"/>
  <c r="E596" i="17"/>
  <c r="G596" i="17" s="1"/>
  <c r="E602" i="17"/>
  <c r="G602" i="17" s="1"/>
  <c r="E608" i="17"/>
  <c r="G608" i="17" s="1"/>
  <c r="E614" i="17"/>
  <c r="G614" i="17" s="1"/>
  <c r="E622" i="17"/>
  <c r="G622" i="17" s="1"/>
  <c r="E629" i="17"/>
  <c r="G629" i="17" s="1"/>
  <c r="E635" i="17"/>
  <c r="G635" i="17" s="1"/>
  <c r="E641" i="17"/>
  <c r="G641" i="17" s="1"/>
  <c r="E649" i="17"/>
  <c r="G649" i="17" s="1"/>
  <c r="E655" i="17"/>
  <c r="G655" i="17" s="1"/>
  <c r="E643" i="17"/>
  <c r="G643" i="17" s="1"/>
  <c r="E587" i="17"/>
  <c r="G587" i="17" s="1"/>
  <c r="E532" i="17"/>
  <c r="G532" i="17" s="1"/>
  <c r="E509" i="17"/>
  <c r="G509" i="17" s="1"/>
  <c r="E450" i="17"/>
  <c r="G450" i="17" s="1"/>
  <c r="E426" i="17"/>
  <c r="G426" i="17" s="1"/>
  <c r="E370" i="17"/>
  <c r="G370" i="17" s="1"/>
  <c r="E341" i="17"/>
  <c r="G341" i="17" s="1"/>
  <c r="E296" i="17"/>
  <c r="G296" i="17" s="1"/>
  <c r="E255" i="17"/>
  <c r="G255" i="17" s="1"/>
  <c r="E188" i="17"/>
  <c r="G188" i="17" s="1"/>
  <c r="E129" i="17"/>
  <c r="G129" i="17" s="1"/>
  <c r="E287" i="17"/>
  <c r="G287" i="17" s="1"/>
  <c r="E288" i="17"/>
  <c r="G288" i="17" s="1"/>
  <c r="E286" i="17"/>
  <c r="G286" i="17" s="1"/>
  <c r="E284" i="17"/>
  <c r="G284" i="17" s="1"/>
  <c r="E285" i="17"/>
  <c r="G285" i="17" s="1"/>
  <c r="A11" i="4"/>
  <c r="A12" i="4"/>
  <c r="A5" i="4"/>
  <c r="A4" i="4"/>
  <c r="A3" i="4"/>
  <c r="B2" i="4"/>
  <c r="C2" i="4" s="1"/>
  <c r="A26" i="4"/>
  <c r="A9" i="4"/>
  <c r="A13" i="4"/>
  <c r="B16" i="4"/>
  <c r="C16" i="4" s="1"/>
  <c r="A15" i="4"/>
  <c r="B14" i="4"/>
  <c r="C14" i="4" s="1"/>
  <c r="A10" i="4"/>
  <c r="A8" i="4"/>
  <c r="A7" i="4"/>
  <c r="A6" i="4"/>
  <c r="A27" i="4"/>
  <c r="B25" i="4"/>
  <c r="C25" i="4" s="1"/>
  <c r="B24" i="4"/>
  <c r="C24" i="4" s="1"/>
  <c r="B23" i="4"/>
  <c r="B22" i="4"/>
  <c r="B21" i="4"/>
  <c r="C21" i="4" s="1"/>
  <c r="A20" i="4"/>
  <c r="B19" i="4"/>
  <c r="C19" i="4" s="1"/>
  <c r="B18" i="4"/>
  <c r="C18" i="4" s="1"/>
  <c r="B17" i="4"/>
  <c r="C17" i="4" s="1"/>
  <c r="B14" i="7" l="1"/>
  <c r="B28" i="7"/>
  <c r="B82" i="7"/>
  <c r="B136" i="7"/>
  <c r="B190" i="7"/>
  <c r="B244" i="7"/>
  <c r="B22" i="7"/>
  <c r="B130" i="7"/>
  <c r="B238" i="7"/>
  <c r="B40" i="7"/>
  <c r="B94" i="7"/>
  <c r="B148" i="7"/>
  <c r="B202" i="7"/>
  <c r="B256" i="7"/>
  <c r="B10" i="7"/>
  <c r="B172" i="7"/>
  <c r="B76" i="7"/>
  <c r="B184" i="7"/>
  <c r="B46" i="7"/>
  <c r="B100" i="7"/>
  <c r="B154" i="7"/>
  <c r="B208" i="7"/>
  <c r="B64" i="7"/>
  <c r="B226" i="7"/>
  <c r="B3" i="7"/>
  <c r="B58" i="7"/>
  <c r="B112" i="7"/>
  <c r="B166" i="7"/>
  <c r="B220" i="7"/>
  <c r="B118" i="7"/>
  <c r="B68" i="7"/>
  <c r="B176" i="7"/>
  <c r="B34" i="7"/>
  <c r="B142" i="7"/>
  <c r="B250" i="7"/>
  <c r="B38" i="7"/>
  <c r="B146" i="7"/>
  <c r="B254" i="7"/>
  <c r="B3" i="19"/>
  <c r="B9" i="19"/>
  <c r="B15" i="19"/>
  <c r="B21" i="19"/>
  <c r="B27" i="19"/>
  <c r="B33" i="19"/>
  <c r="B4" i="19"/>
  <c r="B10" i="19"/>
  <c r="B16" i="19"/>
  <c r="B22" i="19"/>
  <c r="B28" i="19"/>
  <c r="B34" i="19"/>
  <c r="B2" i="19"/>
  <c r="C22" i="4"/>
  <c r="B5" i="19"/>
  <c r="B11" i="19"/>
  <c r="B17" i="19"/>
  <c r="B23" i="19"/>
  <c r="B29" i="19"/>
  <c r="B35" i="19"/>
  <c r="B6" i="19"/>
  <c r="B12" i="19"/>
  <c r="B18" i="19"/>
  <c r="B24" i="19"/>
  <c r="B30" i="19"/>
  <c r="B36" i="19"/>
  <c r="B7" i="19"/>
  <c r="B13" i="19"/>
  <c r="B19" i="19"/>
  <c r="B25" i="19"/>
  <c r="B31" i="19"/>
  <c r="B37" i="19"/>
  <c r="B8" i="19"/>
  <c r="B14" i="19"/>
  <c r="B20" i="19"/>
  <c r="B26" i="19"/>
  <c r="B32" i="19"/>
  <c r="B38" i="19"/>
  <c r="C23" i="4"/>
  <c r="B52" i="7"/>
  <c r="B160" i="7"/>
  <c r="B56" i="7"/>
  <c r="B164" i="7"/>
  <c r="B70" i="7"/>
  <c r="B178" i="7"/>
  <c r="B74" i="7"/>
  <c r="B182" i="7"/>
  <c r="B7" i="1"/>
  <c r="B13" i="1"/>
  <c r="B19" i="1"/>
  <c r="B25" i="1"/>
  <c r="B9" i="1"/>
  <c r="B15" i="1"/>
  <c r="B21" i="1"/>
  <c r="B2" i="1"/>
  <c r="B5" i="1"/>
  <c r="B11" i="1"/>
  <c r="B17" i="1"/>
  <c r="B23" i="1"/>
  <c r="B12" i="1"/>
  <c r="B4" i="1"/>
  <c r="B6" i="1"/>
  <c r="B20" i="1"/>
  <c r="B22" i="1"/>
  <c r="B10" i="1"/>
  <c r="B24" i="1"/>
  <c r="B14" i="1"/>
  <c r="B26" i="1"/>
  <c r="B16" i="1"/>
  <c r="B3" i="1"/>
  <c r="B18" i="1"/>
  <c r="B8" i="1"/>
  <c r="C188" i="12"/>
  <c r="C194" i="12"/>
  <c r="C200" i="12"/>
  <c r="C206" i="12"/>
  <c r="C212" i="12"/>
  <c r="C218" i="12"/>
  <c r="C224" i="12"/>
  <c r="C230" i="12"/>
  <c r="C236" i="12"/>
  <c r="C242" i="12"/>
  <c r="C248" i="12"/>
  <c r="C254" i="12"/>
  <c r="C260" i="12"/>
  <c r="C184" i="12"/>
  <c r="C191" i="12"/>
  <c r="C198" i="12"/>
  <c r="C205" i="12"/>
  <c r="C213" i="12"/>
  <c r="C220" i="12"/>
  <c r="C227" i="12"/>
  <c r="C234" i="12"/>
  <c r="C241" i="12"/>
  <c r="C249" i="12"/>
  <c r="C256" i="12"/>
  <c r="C182" i="12"/>
  <c r="C185" i="12"/>
  <c r="C192" i="12"/>
  <c r="C199" i="12"/>
  <c r="C207" i="12"/>
  <c r="C214" i="12"/>
  <c r="C221" i="12"/>
  <c r="C228" i="12"/>
  <c r="C235" i="12"/>
  <c r="C243" i="12"/>
  <c r="C250" i="12"/>
  <c r="C257" i="12"/>
  <c r="C244" i="12"/>
  <c r="C251" i="12"/>
  <c r="C258" i="12"/>
  <c r="C186" i="12"/>
  <c r="C193" i="12"/>
  <c r="C201" i="12"/>
  <c r="C208" i="12"/>
  <c r="C215" i="12"/>
  <c r="C222" i="12"/>
  <c r="C229" i="12"/>
  <c r="C237" i="12"/>
  <c r="C187" i="12"/>
  <c r="C195" i="12"/>
  <c r="C202" i="12"/>
  <c r="C209" i="12"/>
  <c r="C216" i="12"/>
  <c r="C223" i="12"/>
  <c r="C231" i="12"/>
  <c r="C238" i="12"/>
  <c r="C245" i="12"/>
  <c r="C252" i="12"/>
  <c r="C259" i="12"/>
  <c r="C183" i="12"/>
  <c r="C190" i="12"/>
  <c r="C197" i="12"/>
  <c r="C204" i="12"/>
  <c r="C211" i="12"/>
  <c r="C219" i="12"/>
  <c r="C226" i="12"/>
  <c r="C233" i="12"/>
  <c r="C240" i="12"/>
  <c r="C247" i="12"/>
  <c r="C255" i="12"/>
  <c r="C262" i="12"/>
  <c r="C210" i="12"/>
  <c r="C253" i="12"/>
  <c r="C261" i="12"/>
  <c r="C225" i="12"/>
  <c r="C189" i="12"/>
  <c r="C232" i="12"/>
  <c r="C196" i="12"/>
  <c r="C239" i="12"/>
  <c r="C203" i="12"/>
  <c r="C246" i="12"/>
  <c r="C217" i="12"/>
  <c r="C122" i="12"/>
  <c r="C128" i="12"/>
  <c r="C134" i="12"/>
  <c r="C140" i="12"/>
  <c r="C146" i="12"/>
  <c r="C152" i="12"/>
  <c r="C158" i="12"/>
  <c r="C164" i="12"/>
  <c r="C170" i="12"/>
  <c r="C176" i="12"/>
  <c r="C119" i="12"/>
  <c r="C126" i="12"/>
  <c r="C133" i="12"/>
  <c r="C141" i="12"/>
  <c r="C148" i="12"/>
  <c r="C155" i="12"/>
  <c r="C162" i="12"/>
  <c r="C169" i="12"/>
  <c r="C177" i="12"/>
  <c r="C120" i="12"/>
  <c r="C127" i="12"/>
  <c r="C135" i="12"/>
  <c r="C142" i="12"/>
  <c r="C149" i="12"/>
  <c r="C156" i="12"/>
  <c r="C163" i="12"/>
  <c r="C171" i="12"/>
  <c r="C178" i="12"/>
  <c r="C121" i="12"/>
  <c r="C129" i="12"/>
  <c r="C136" i="12"/>
  <c r="C143" i="12"/>
  <c r="C150" i="12"/>
  <c r="C157" i="12"/>
  <c r="C165" i="12"/>
  <c r="C172" i="12"/>
  <c r="C179" i="12"/>
  <c r="C123" i="12"/>
  <c r="C130" i="12"/>
  <c r="C137" i="12"/>
  <c r="C144" i="12"/>
  <c r="C151" i="12"/>
  <c r="C159" i="12"/>
  <c r="C166" i="12"/>
  <c r="C173" i="12"/>
  <c r="C180" i="12"/>
  <c r="C125" i="12"/>
  <c r="C132" i="12"/>
  <c r="C139" i="12"/>
  <c r="C147" i="12"/>
  <c r="C154" i="12"/>
  <c r="C161" i="12"/>
  <c r="C168" i="12"/>
  <c r="C175" i="12"/>
  <c r="C153" i="12"/>
  <c r="C124" i="12"/>
  <c r="C167" i="12"/>
  <c r="C131" i="12"/>
  <c r="C174" i="12"/>
  <c r="C138" i="12"/>
  <c r="C181" i="12"/>
  <c r="C145" i="12"/>
  <c r="C160" i="12"/>
  <c r="B15" i="6"/>
  <c r="B39" i="6"/>
  <c r="B57" i="6"/>
  <c r="B4" i="6"/>
  <c r="B10" i="6"/>
  <c r="B16" i="6"/>
  <c r="B22" i="6"/>
  <c r="B28" i="6"/>
  <c r="B34" i="6"/>
  <c r="B40" i="6"/>
  <c r="B46" i="6"/>
  <c r="B52" i="6"/>
  <c r="B58" i="6"/>
  <c r="B64" i="6"/>
  <c r="B70" i="6"/>
  <c r="B6" i="6"/>
  <c r="B12" i="6"/>
  <c r="B18" i="6"/>
  <c r="B24" i="6"/>
  <c r="B30" i="6"/>
  <c r="B36" i="6"/>
  <c r="B42" i="6"/>
  <c r="B48" i="6"/>
  <c r="B54" i="6"/>
  <c r="B60" i="6"/>
  <c r="B66" i="6"/>
  <c r="B72" i="6"/>
  <c r="B8" i="6"/>
  <c r="B14" i="6"/>
  <c r="B20" i="6"/>
  <c r="B26" i="6"/>
  <c r="B32" i="6"/>
  <c r="B38" i="6"/>
  <c r="B44" i="6"/>
  <c r="B50" i="6"/>
  <c r="B56" i="6"/>
  <c r="B62" i="6"/>
  <c r="B68" i="6"/>
  <c r="B3" i="6"/>
  <c r="B9" i="6"/>
  <c r="B21" i="6"/>
  <c r="B27" i="6"/>
  <c r="B33" i="6"/>
  <c r="B45" i="6"/>
  <c r="B51" i="6"/>
  <c r="B63" i="6"/>
  <c r="B69" i="6"/>
  <c r="B5" i="6"/>
  <c r="B23" i="6"/>
  <c r="B41" i="6"/>
  <c r="B59" i="6"/>
  <c r="B43" i="6"/>
  <c r="B11" i="6"/>
  <c r="B29" i="6"/>
  <c r="B47" i="6"/>
  <c r="B65" i="6"/>
  <c r="B13" i="6"/>
  <c r="B31" i="6"/>
  <c r="B49" i="6"/>
  <c r="B67" i="6"/>
  <c r="B17" i="6"/>
  <c r="B35" i="6"/>
  <c r="B53" i="6"/>
  <c r="B71" i="6"/>
  <c r="B19" i="6"/>
  <c r="B37" i="6"/>
  <c r="B55" i="6"/>
  <c r="B2" i="6"/>
  <c r="B7" i="6"/>
  <c r="B25" i="6"/>
  <c r="B61" i="6"/>
  <c r="C13" i="12"/>
  <c r="C19" i="12"/>
  <c r="C25" i="12"/>
  <c r="C31" i="12"/>
  <c r="C37" i="12"/>
  <c r="C43" i="12"/>
  <c r="C49" i="12"/>
  <c r="C55" i="12"/>
  <c r="C61" i="12"/>
  <c r="C4" i="12"/>
  <c r="C10" i="12"/>
  <c r="C15" i="12"/>
  <c r="C21" i="12"/>
  <c r="C27" i="12"/>
  <c r="C33" i="12"/>
  <c r="C39" i="12"/>
  <c r="C45" i="12"/>
  <c r="C51" i="12"/>
  <c r="C57" i="12"/>
  <c r="C63" i="12"/>
  <c r="C6" i="12"/>
  <c r="C11" i="12"/>
  <c r="C17" i="12"/>
  <c r="C23" i="12"/>
  <c r="C29" i="12"/>
  <c r="C35" i="12"/>
  <c r="C41" i="12"/>
  <c r="C47" i="12"/>
  <c r="C53" i="12"/>
  <c r="C59" i="12"/>
  <c r="C65" i="12"/>
  <c r="C8" i="12"/>
  <c r="C14" i="12"/>
  <c r="C26" i="12"/>
  <c r="C38" i="12"/>
  <c r="C50" i="12"/>
  <c r="C62" i="12"/>
  <c r="C2" i="12"/>
  <c r="C28" i="12"/>
  <c r="C64" i="12"/>
  <c r="C18" i="12"/>
  <c r="C30" i="12"/>
  <c r="C42" i="12"/>
  <c r="C54" i="12"/>
  <c r="C3" i="12"/>
  <c r="C20" i="12"/>
  <c r="C32" i="12"/>
  <c r="C44" i="12"/>
  <c r="C56" i="12"/>
  <c r="C5" i="12"/>
  <c r="C22" i="12"/>
  <c r="C34" i="12"/>
  <c r="C46" i="12"/>
  <c r="C58" i="12"/>
  <c r="C7" i="12"/>
  <c r="C12" i="12"/>
  <c r="C24" i="12"/>
  <c r="C36" i="12"/>
  <c r="C48" i="12"/>
  <c r="C60" i="12"/>
  <c r="C9" i="12"/>
  <c r="C16" i="12"/>
  <c r="C40" i="12"/>
  <c r="C52" i="12"/>
  <c r="B3" i="16"/>
  <c r="B18" i="16"/>
  <c r="B24" i="16"/>
  <c r="B30" i="16"/>
  <c r="B36" i="16"/>
  <c r="B42" i="16"/>
  <c r="B48" i="16"/>
  <c r="B54" i="16"/>
  <c r="B60" i="16"/>
  <c r="B66" i="16"/>
  <c r="B72" i="16"/>
  <c r="B78" i="16"/>
  <c r="B84" i="16"/>
  <c r="B90" i="16"/>
  <c r="B96" i="16"/>
  <c r="B102" i="16"/>
  <c r="B108" i="16"/>
  <c r="B114" i="16"/>
  <c r="B120" i="16"/>
  <c r="B126" i="16"/>
  <c r="B132" i="16"/>
  <c r="B138" i="16"/>
  <c r="B144" i="16"/>
  <c r="B150" i="16"/>
  <c r="B156" i="16"/>
  <c r="B162" i="16"/>
  <c r="B168" i="16"/>
  <c r="B174" i="16"/>
  <c r="B180" i="16"/>
  <c r="B186" i="16"/>
  <c r="B192" i="16"/>
  <c r="B198" i="16"/>
  <c r="B204" i="16"/>
  <c r="B210" i="16"/>
  <c r="B216" i="16"/>
  <c r="B222" i="16"/>
  <c r="B228" i="16"/>
  <c r="B234" i="16"/>
  <c r="B240" i="16"/>
  <c r="B246" i="16"/>
  <c r="B252" i="16"/>
  <c r="B258" i="16"/>
  <c r="B264" i="16"/>
  <c r="B270" i="16"/>
  <c r="B276" i="16"/>
  <c r="B282" i="16"/>
  <c r="B288" i="16"/>
  <c r="B294" i="16"/>
  <c r="B300" i="16"/>
  <c r="B21" i="16"/>
  <c r="B27" i="16"/>
  <c r="B33" i="16"/>
  <c r="B39" i="16"/>
  <c r="B45" i="16"/>
  <c r="B51" i="16"/>
  <c r="B57" i="16"/>
  <c r="B63" i="16"/>
  <c r="B69" i="16"/>
  <c r="B75" i="16"/>
  <c r="B81" i="16"/>
  <c r="B87" i="16"/>
  <c r="B93" i="16"/>
  <c r="B99" i="16"/>
  <c r="B105" i="16"/>
  <c r="B111" i="16"/>
  <c r="B117" i="16"/>
  <c r="B123" i="16"/>
  <c r="B129" i="16"/>
  <c r="B135" i="16"/>
  <c r="B141" i="16"/>
  <c r="B147" i="16"/>
  <c r="B153" i="16"/>
  <c r="B159" i="16"/>
  <c r="B165" i="16"/>
  <c r="B171" i="16"/>
  <c r="B177" i="16"/>
  <c r="B183" i="16"/>
  <c r="B189" i="16"/>
  <c r="B195" i="16"/>
  <c r="B201" i="16"/>
  <c r="B207" i="16"/>
  <c r="B213" i="16"/>
  <c r="B219" i="16"/>
  <c r="B225" i="16"/>
  <c r="B231" i="16"/>
  <c r="B237" i="16"/>
  <c r="B243" i="16"/>
  <c r="B249" i="16"/>
  <c r="B255" i="16"/>
  <c r="B261" i="16"/>
  <c r="B267" i="16"/>
  <c r="B273" i="16"/>
  <c r="B279" i="16"/>
  <c r="B285" i="16"/>
  <c r="B291" i="16"/>
  <c r="B297" i="16"/>
  <c r="B303" i="16"/>
  <c r="B17" i="16"/>
  <c r="B23" i="16"/>
  <c r="B29" i="16"/>
  <c r="B35" i="16"/>
  <c r="B41" i="16"/>
  <c r="B47" i="16"/>
  <c r="B53" i="16"/>
  <c r="B59" i="16"/>
  <c r="B65" i="16"/>
  <c r="B71" i="16"/>
  <c r="B77" i="16"/>
  <c r="B83" i="16"/>
  <c r="B89" i="16"/>
  <c r="B95" i="16"/>
  <c r="B101" i="16"/>
  <c r="B107" i="16"/>
  <c r="B113" i="16"/>
  <c r="B119" i="16"/>
  <c r="B125" i="16"/>
  <c r="B131" i="16"/>
  <c r="B137" i="16"/>
  <c r="B143" i="16"/>
  <c r="B149" i="16"/>
  <c r="B155" i="16"/>
  <c r="B22" i="16"/>
  <c r="B34" i="16"/>
  <c r="B46" i="16"/>
  <c r="B58" i="16"/>
  <c r="B70" i="16"/>
  <c r="B82" i="16"/>
  <c r="B94" i="16"/>
  <c r="B106" i="16"/>
  <c r="B118" i="16"/>
  <c r="B130" i="16"/>
  <c r="B142" i="16"/>
  <c r="B154" i="16"/>
  <c r="B164" i="16"/>
  <c r="B173" i="16"/>
  <c r="B182" i="16"/>
  <c r="B191" i="16"/>
  <c r="B200" i="16"/>
  <c r="B209" i="16"/>
  <c r="B218" i="16"/>
  <c r="B227" i="16"/>
  <c r="B236" i="16"/>
  <c r="B245" i="16"/>
  <c r="B254" i="16"/>
  <c r="B263" i="16"/>
  <c r="B272" i="16"/>
  <c r="B281" i="16"/>
  <c r="B290" i="16"/>
  <c r="B299" i="16"/>
  <c r="B307" i="16"/>
  <c r="B313" i="16"/>
  <c r="B319" i="16"/>
  <c r="B325" i="16"/>
  <c r="B331" i="16"/>
  <c r="B337" i="16"/>
  <c r="B343" i="16"/>
  <c r="B349" i="16"/>
  <c r="B355" i="16"/>
  <c r="B361" i="16"/>
  <c r="B367" i="16"/>
  <c r="B373" i="16"/>
  <c r="B379" i="16"/>
  <c r="B385" i="16"/>
  <c r="B391" i="16"/>
  <c r="B397" i="16"/>
  <c r="B403" i="16"/>
  <c r="B409" i="16"/>
  <c r="B415" i="16"/>
  <c r="B421" i="16"/>
  <c r="B427" i="16"/>
  <c r="B433" i="16"/>
  <c r="B439" i="16"/>
  <c r="B445" i="16"/>
  <c r="B451" i="16"/>
  <c r="B457" i="16"/>
  <c r="B463" i="16"/>
  <c r="B469" i="16"/>
  <c r="B475" i="16"/>
  <c r="B481" i="16"/>
  <c r="B487" i="16"/>
  <c r="B493" i="16"/>
  <c r="B499" i="16"/>
  <c r="B505" i="16"/>
  <c r="B511" i="16"/>
  <c r="B517" i="16"/>
  <c r="B523" i="16"/>
  <c r="B529" i="16"/>
  <c r="B535" i="16"/>
  <c r="B541" i="16"/>
  <c r="B547" i="16"/>
  <c r="B553" i="16"/>
  <c r="B559" i="16"/>
  <c r="B565" i="16"/>
  <c r="B571" i="16"/>
  <c r="B577" i="16"/>
  <c r="B583" i="16"/>
  <c r="B589" i="16"/>
  <c r="B595" i="16"/>
  <c r="B601" i="16"/>
  <c r="B6" i="16"/>
  <c r="B12" i="16"/>
  <c r="B25" i="16"/>
  <c r="B37" i="16"/>
  <c r="B49" i="16"/>
  <c r="B61" i="16"/>
  <c r="B73" i="16"/>
  <c r="B85" i="16"/>
  <c r="B97" i="16"/>
  <c r="B109" i="16"/>
  <c r="B121" i="16"/>
  <c r="B133" i="16"/>
  <c r="B145" i="16"/>
  <c r="B157" i="16"/>
  <c r="B166" i="16"/>
  <c r="B175" i="16"/>
  <c r="B184" i="16"/>
  <c r="B193" i="16"/>
  <c r="B202" i="16"/>
  <c r="B211" i="16"/>
  <c r="B220" i="16"/>
  <c r="B229" i="16"/>
  <c r="B238" i="16"/>
  <c r="B247" i="16"/>
  <c r="B256" i="16"/>
  <c r="B265" i="16"/>
  <c r="B274" i="16"/>
  <c r="B283" i="16"/>
  <c r="B292" i="16"/>
  <c r="B301" i="16"/>
  <c r="B308" i="16"/>
  <c r="B314" i="16"/>
  <c r="B320" i="16"/>
  <c r="B326" i="16"/>
  <c r="B332" i="16"/>
  <c r="B338" i="16"/>
  <c r="B344" i="16"/>
  <c r="B350" i="16"/>
  <c r="B356" i="16"/>
  <c r="B362" i="16"/>
  <c r="B368" i="16"/>
  <c r="B374" i="16"/>
  <c r="B380" i="16"/>
  <c r="B386" i="16"/>
  <c r="B392" i="16"/>
  <c r="B398" i="16"/>
  <c r="B404" i="16"/>
  <c r="B410" i="16"/>
  <c r="B416" i="16"/>
  <c r="B422" i="16"/>
  <c r="B428" i="16"/>
  <c r="B434" i="16"/>
  <c r="B440" i="16"/>
  <c r="B446" i="16"/>
  <c r="B452" i="16"/>
  <c r="B458" i="16"/>
  <c r="B464" i="16"/>
  <c r="B470" i="16"/>
  <c r="B476" i="16"/>
  <c r="B482" i="16"/>
  <c r="B488" i="16"/>
  <c r="B494" i="16"/>
  <c r="B500" i="16"/>
  <c r="B506" i="16"/>
  <c r="B512" i="16"/>
  <c r="B518" i="16"/>
  <c r="B524" i="16"/>
  <c r="B530" i="16"/>
  <c r="B536" i="16"/>
  <c r="B542" i="16"/>
  <c r="B548" i="16"/>
  <c r="B554" i="16"/>
  <c r="B560" i="16"/>
  <c r="B566" i="16"/>
  <c r="B572" i="16"/>
  <c r="B578" i="16"/>
  <c r="B584" i="16"/>
  <c r="B590" i="16"/>
  <c r="B596" i="16"/>
  <c r="B602" i="16"/>
  <c r="B7" i="16"/>
  <c r="B13" i="16"/>
  <c r="B26" i="16"/>
  <c r="B38" i="16"/>
  <c r="B50" i="16"/>
  <c r="B62" i="16"/>
  <c r="B74" i="16"/>
  <c r="B86" i="16"/>
  <c r="B98" i="16"/>
  <c r="B110" i="16"/>
  <c r="B122" i="16"/>
  <c r="B134" i="16"/>
  <c r="B146" i="16"/>
  <c r="B158" i="16"/>
  <c r="B167" i="16"/>
  <c r="B176" i="16"/>
  <c r="B185" i="16"/>
  <c r="B194" i="16"/>
  <c r="B203" i="16"/>
  <c r="B212" i="16"/>
  <c r="B221" i="16"/>
  <c r="B230" i="16"/>
  <c r="B239" i="16"/>
  <c r="B248" i="16"/>
  <c r="B257" i="16"/>
  <c r="B266" i="16"/>
  <c r="B275" i="16"/>
  <c r="B284" i="16"/>
  <c r="B293" i="16"/>
  <c r="B302" i="16"/>
  <c r="B309" i="16"/>
  <c r="B315" i="16"/>
  <c r="B321" i="16"/>
  <c r="B327" i="16"/>
  <c r="B333" i="16"/>
  <c r="B339" i="16"/>
  <c r="B345" i="16"/>
  <c r="B351" i="16"/>
  <c r="B357" i="16"/>
  <c r="B363" i="16"/>
  <c r="B369" i="16"/>
  <c r="B375" i="16"/>
  <c r="B381" i="16"/>
  <c r="B387" i="16"/>
  <c r="B393" i="16"/>
  <c r="B399" i="16"/>
  <c r="B405" i="16"/>
  <c r="B411" i="16"/>
  <c r="B417" i="16"/>
  <c r="B423" i="16"/>
  <c r="B429" i="16"/>
  <c r="B435" i="16"/>
  <c r="B441" i="16"/>
  <c r="B447" i="16"/>
  <c r="B453" i="16"/>
  <c r="B459" i="16"/>
  <c r="B465" i="16"/>
  <c r="B471" i="16"/>
  <c r="B477" i="16"/>
  <c r="B483" i="16"/>
  <c r="B489" i="16"/>
  <c r="B495" i="16"/>
  <c r="B501" i="16"/>
  <c r="B507" i="16"/>
  <c r="B513" i="16"/>
  <c r="B519" i="16"/>
  <c r="B525" i="16"/>
  <c r="B531" i="16"/>
  <c r="B537" i="16"/>
  <c r="B543" i="16"/>
  <c r="B549" i="16"/>
  <c r="B555" i="16"/>
  <c r="B561" i="16"/>
  <c r="B567" i="16"/>
  <c r="B573" i="16"/>
  <c r="B579" i="16"/>
  <c r="B585" i="16"/>
  <c r="B591" i="16"/>
  <c r="B597" i="16"/>
  <c r="B603" i="16"/>
  <c r="B8" i="16"/>
  <c r="B14" i="16"/>
  <c r="B19" i="16"/>
  <c r="B31" i="16"/>
  <c r="B43" i="16"/>
  <c r="B55" i="16"/>
  <c r="B67" i="16"/>
  <c r="B79" i="16"/>
  <c r="B91" i="16"/>
  <c r="B103" i="16"/>
  <c r="B115" i="16"/>
  <c r="B127" i="16"/>
  <c r="B139" i="16"/>
  <c r="B151" i="16"/>
  <c r="B161" i="16"/>
  <c r="B170" i="16"/>
  <c r="B179" i="16"/>
  <c r="B188" i="16"/>
  <c r="B197" i="16"/>
  <c r="B206" i="16"/>
  <c r="B215" i="16"/>
  <c r="B224" i="16"/>
  <c r="B233" i="16"/>
  <c r="B242" i="16"/>
  <c r="B251" i="16"/>
  <c r="B260" i="16"/>
  <c r="B269" i="16"/>
  <c r="B278" i="16"/>
  <c r="B287" i="16"/>
  <c r="B296" i="16"/>
  <c r="B305" i="16"/>
  <c r="B311" i="16"/>
  <c r="B317" i="16"/>
  <c r="B323" i="16"/>
  <c r="B329" i="16"/>
  <c r="B335" i="16"/>
  <c r="B341" i="16"/>
  <c r="B347" i="16"/>
  <c r="B353" i="16"/>
  <c r="B359" i="16"/>
  <c r="B365" i="16"/>
  <c r="B371" i="16"/>
  <c r="B377" i="16"/>
  <c r="B383" i="16"/>
  <c r="B389" i="16"/>
  <c r="B395" i="16"/>
  <c r="B401" i="16"/>
  <c r="B407" i="16"/>
  <c r="B413" i="16"/>
  <c r="B419" i="16"/>
  <c r="B425" i="16"/>
  <c r="B431" i="16"/>
  <c r="B437" i="16"/>
  <c r="B443" i="16"/>
  <c r="B449" i="16"/>
  <c r="B455" i="16"/>
  <c r="B461" i="16"/>
  <c r="B467" i="16"/>
  <c r="B473" i="16"/>
  <c r="B479" i="16"/>
  <c r="B485" i="16"/>
  <c r="B491" i="16"/>
  <c r="B497" i="16"/>
  <c r="B503" i="16"/>
  <c r="B509" i="16"/>
  <c r="B515" i="16"/>
  <c r="B521" i="16"/>
  <c r="B527" i="16"/>
  <c r="B533" i="16"/>
  <c r="B539" i="16"/>
  <c r="B545" i="16"/>
  <c r="B551" i="16"/>
  <c r="B557" i="16"/>
  <c r="B563" i="16"/>
  <c r="B569" i="16"/>
  <c r="B575" i="16"/>
  <c r="B581" i="16"/>
  <c r="B587" i="16"/>
  <c r="B593" i="16"/>
  <c r="B599" i="16"/>
  <c r="B4" i="16"/>
  <c r="B10" i="16"/>
  <c r="B2" i="16"/>
  <c r="B20" i="16"/>
  <c r="B56" i="16"/>
  <c r="B92" i="16"/>
  <c r="B128" i="16"/>
  <c r="B163" i="16"/>
  <c r="B190" i="16"/>
  <c r="B217" i="16"/>
  <c r="B244" i="16"/>
  <c r="B271" i="16"/>
  <c r="B298" i="16"/>
  <c r="B318" i="16"/>
  <c r="B336" i="16"/>
  <c r="B354" i="16"/>
  <c r="B372" i="16"/>
  <c r="B390" i="16"/>
  <c r="B408" i="16"/>
  <c r="B426" i="16"/>
  <c r="B444" i="16"/>
  <c r="B462" i="16"/>
  <c r="B480" i="16"/>
  <c r="B498" i="16"/>
  <c r="B516" i="16"/>
  <c r="B534" i="16"/>
  <c r="B552" i="16"/>
  <c r="B570" i="16"/>
  <c r="B588" i="16"/>
  <c r="B5" i="16"/>
  <c r="B28" i="16"/>
  <c r="B64" i="16"/>
  <c r="B100" i="16"/>
  <c r="B136" i="16"/>
  <c r="B169" i="16"/>
  <c r="B196" i="16"/>
  <c r="B223" i="16"/>
  <c r="B250" i="16"/>
  <c r="B277" i="16"/>
  <c r="B304" i="16"/>
  <c r="B322" i="16"/>
  <c r="B340" i="16"/>
  <c r="B358" i="16"/>
  <c r="B376" i="16"/>
  <c r="B394" i="16"/>
  <c r="B412" i="16"/>
  <c r="B430" i="16"/>
  <c r="B448" i="16"/>
  <c r="B466" i="16"/>
  <c r="B484" i="16"/>
  <c r="B502" i="16"/>
  <c r="B520" i="16"/>
  <c r="B538" i="16"/>
  <c r="B556" i="16"/>
  <c r="B574" i="16"/>
  <c r="B592" i="16"/>
  <c r="B9" i="16"/>
  <c r="B32" i="16"/>
  <c r="B68" i="16"/>
  <c r="B104" i="16"/>
  <c r="B140" i="16"/>
  <c r="B172" i="16"/>
  <c r="B199" i="16"/>
  <c r="B226" i="16"/>
  <c r="B253" i="16"/>
  <c r="B280" i="16"/>
  <c r="B306" i="16"/>
  <c r="B324" i="16"/>
  <c r="B342" i="16"/>
  <c r="B360" i="16"/>
  <c r="B378" i="16"/>
  <c r="B396" i="16"/>
  <c r="B414" i="16"/>
  <c r="B432" i="16"/>
  <c r="B450" i="16"/>
  <c r="B468" i="16"/>
  <c r="B486" i="16"/>
  <c r="B504" i="16"/>
  <c r="B522" i="16"/>
  <c r="B540" i="16"/>
  <c r="B558" i="16"/>
  <c r="B576" i="16"/>
  <c r="B594" i="16"/>
  <c r="B11" i="16"/>
  <c r="B40" i="16"/>
  <c r="B76" i="16"/>
  <c r="B112" i="16"/>
  <c r="B148" i="16"/>
  <c r="B178" i="16"/>
  <c r="B205" i="16"/>
  <c r="B232" i="16"/>
  <c r="B259" i="16"/>
  <c r="B286" i="16"/>
  <c r="B310" i="16"/>
  <c r="B328" i="16"/>
  <c r="B346" i="16"/>
  <c r="B364" i="16"/>
  <c r="B382" i="16"/>
  <c r="B400" i="16"/>
  <c r="B418" i="16"/>
  <c r="B436" i="16"/>
  <c r="B454" i="16"/>
  <c r="B472" i="16"/>
  <c r="B490" i="16"/>
  <c r="B508" i="16"/>
  <c r="B526" i="16"/>
  <c r="B544" i="16"/>
  <c r="B562" i="16"/>
  <c r="B580" i="16"/>
  <c r="B598" i="16"/>
  <c r="B15" i="16"/>
  <c r="B44" i="16"/>
  <c r="B80" i="16"/>
  <c r="B116" i="16"/>
  <c r="B16" i="16"/>
  <c r="B52" i="16"/>
  <c r="B88" i="16"/>
  <c r="B124" i="16"/>
  <c r="B160" i="16"/>
  <c r="B187" i="16"/>
  <c r="B214" i="16"/>
  <c r="B241" i="16"/>
  <c r="B268" i="16"/>
  <c r="B295" i="16"/>
  <c r="B316" i="16"/>
  <c r="B334" i="16"/>
  <c r="B352" i="16"/>
  <c r="B370" i="16"/>
  <c r="B388" i="16"/>
  <c r="B406" i="16"/>
  <c r="B424" i="16"/>
  <c r="B442" i="16"/>
  <c r="B460" i="16"/>
  <c r="B478" i="16"/>
  <c r="B496" i="16"/>
  <c r="B514" i="16"/>
  <c r="B532" i="16"/>
  <c r="B550" i="16"/>
  <c r="B568" i="16"/>
  <c r="B586" i="16"/>
  <c r="B604" i="16"/>
  <c r="B289" i="16"/>
  <c r="B402" i="16"/>
  <c r="B510" i="16"/>
  <c r="B152" i="16"/>
  <c r="B181" i="16"/>
  <c r="B330" i="16"/>
  <c r="B438" i="16"/>
  <c r="B546" i="16"/>
  <c r="B420" i="16"/>
  <c r="B208" i="16"/>
  <c r="B348" i="16"/>
  <c r="B456" i="16"/>
  <c r="B564" i="16"/>
  <c r="B235" i="16"/>
  <c r="B474" i="16"/>
  <c r="B582" i="16"/>
  <c r="B262" i="16"/>
  <c r="B384" i="16"/>
  <c r="B492" i="16"/>
  <c r="B600" i="16"/>
  <c r="B312" i="16"/>
  <c r="B366" i="16"/>
  <c r="B528" i="16"/>
  <c r="B286" i="17"/>
  <c r="B288" i="17"/>
  <c r="B5" i="17"/>
  <c r="B11" i="17"/>
  <c r="B17" i="17"/>
  <c r="B23" i="17"/>
  <c r="B29" i="17"/>
  <c r="B35" i="17"/>
  <c r="B41" i="17"/>
  <c r="B47" i="17"/>
  <c r="B53" i="17"/>
  <c r="B59" i="17"/>
  <c r="B65" i="17"/>
  <c r="B71" i="17"/>
  <c r="B77" i="17"/>
  <c r="B83" i="17"/>
  <c r="B89" i="17"/>
  <c r="B95" i="17"/>
  <c r="B287" i="17"/>
  <c r="B6" i="17"/>
  <c r="B12" i="17"/>
  <c r="B18" i="17"/>
  <c r="B24" i="17"/>
  <c r="B30" i="17"/>
  <c r="B36" i="17"/>
  <c r="B42" i="17"/>
  <c r="B48" i="17"/>
  <c r="B54" i="17"/>
  <c r="B60" i="17"/>
  <c r="B66" i="17"/>
  <c r="B72" i="17"/>
  <c r="B78" i="17"/>
  <c r="B84" i="17"/>
  <c r="B90" i="17"/>
  <c r="B96" i="17"/>
  <c r="B102" i="17"/>
  <c r="B108" i="17"/>
  <c r="B114" i="17"/>
  <c r="B120" i="17"/>
  <c r="B126" i="17"/>
  <c r="B132" i="17"/>
  <c r="B138" i="17"/>
  <c r="B144" i="17"/>
  <c r="B150" i="17"/>
  <c r="B156" i="17"/>
  <c r="B162" i="17"/>
  <c r="B168" i="17"/>
  <c r="B174" i="17"/>
  <c r="B180" i="17"/>
  <c r="B284" i="17"/>
  <c r="B8" i="17"/>
  <c r="B14" i="17"/>
  <c r="B20" i="17"/>
  <c r="B26" i="17"/>
  <c r="B32" i="17"/>
  <c r="B38" i="17"/>
  <c r="B44" i="17"/>
  <c r="B50" i="17"/>
  <c r="B56" i="17"/>
  <c r="B62" i="17"/>
  <c r="B68" i="17"/>
  <c r="B74" i="17"/>
  <c r="B80" i="17"/>
  <c r="B86" i="17"/>
  <c r="B92" i="17"/>
  <c r="B13" i="17"/>
  <c r="B25" i="17"/>
  <c r="B37" i="17"/>
  <c r="B49" i="17"/>
  <c r="B61" i="17"/>
  <c r="B73" i="17"/>
  <c r="B85" i="17"/>
  <c r="B97" i="17"/>
  <c r="B104" i="17"/>
  <c r="B111" i="17"/>
  <c r="B118" i="17"/>
  <c r="B125" i="17"/>
  <c r="B133" i="17"/>
  <c r="B140" i="17"/>
  <c r="B147" i="17"/>
  <c r="B154" i="17"/>
  <c r="B161" i="17"/>
  <c r="B169" i="17"/>
  <c r="B176" i="17"/>
  <c r="B183" i="17"/>
  <c r="B189" i="17"/>
  <c r="B195" i="17"/>
  <c r="B201" i="17"/>
  <c r="B207" i="17"/>
  <c r="B213" i="17"/>
  <c r="B219" i="17"/>
  <c r="B225" i="17"/>
  <c r="B231" i="17"/>
  <c r="B237" i="17"/>
  <c r="B243" i="17"/>
  <c r="B249" i="17"/>
  <c r="B255" i="17"/>
  <c r="B261" i="17"/>
  <c r="B267" i="17"/>
  <c r="B273" i="17"/>
  <c r="B279" i="17"/>
  <c r="B290" i="17"/>
  <c r="B296" i="17"/>
  <c r="B302" i="17"/>
  <c r="B308" i="17"/>
  <c r="B314" i="17"/>
  <c r="B320" i="17"/>
  <c r="B326" i="17"/>
  <c r="B332" i="17"/>
  <c r="B338" i="17"/>
  <c r="B344" i="17"/>
  <c r="B350" i="17"/>
  <c r="B356" i="17"/>
  <c r="B362" i="17"/>
  <c r="B368" i="17"/>
  <c r="B374" i="17"/>
  <c r="B380" i="17"/>
  <c r="B386" i="17"/>
  <c r="B392" i="17"/>
  <c r="B398" i="17"/>
  <c r="B404" i="17"/>
  <c r="B410" i="17"/>
  <c r="B416" i="17"/>
  <c r="B422" i="17"/>
  <c r="B428" i="17"/>
  <c r="B434" i="17"/>
  <c r="B440" i="17"/>
  <c r="B446" i="17"/>
  <c r="B452" i="17"/>
  <c r="B458" i="17"/>
  <c r="B464" i="17"/>
  <c r="B470" i="17"/>
  <c r="B476" i="17"/>
  <c r="B482" i="17"/>
  <c r="B488" i="17"/>
  <c r="B494" i="17"/>
  <c r="B500" i="17"/>
  <c r="B506" i="17"/>
  <c r="B512" i="17"/>
  <c r="B518" i="17"/>
  <c r="B524" i="17"/>
  <c r="B530" i="17"/>
  <c r="B536" i="17"/>
  <c r="B542" i="17"/>
  <c r="B548" i="17"/>
  <c r="B554" i="17"/>
  <c r="B560" i="17"/>
  <c r="B566" i="17"/>
  <c r="B572" i="17"/>
  <c r="B578" i="17"/>
  <c r="B584" i="17"/>
  <c r="B590" i="17"/>
  <c r="B596" i="17"/>
  <c r="B602" i="17"/>
  <c r="B608" i="17"/>
  <c r="B614" i="17"/>
  <c r="B620" i="17"/>
  <c r="B626" i="17"/>
  <c r="B632" i="17"/>
  <c r="B638" i="17"/>
  <c r="B644" i="17"/>
  <c r="B650" i="17"/>
  <c r="B656" i="17"/>
  <c r="B285" i="17"/>
  <c r="B3" i="17"/>
  <c r="B15" i="17"/>
  <c r="B27" i="17"/>
  <c r="B39" i="17"/>
  <c r="B51" i="17"/>
  <c r="B63" i="17"/>
  <c r="B75" i="17"/>
  <c r="B87" i="17"/>
  <c r="B98" i="17"/>
  <c r="B105" i="17"/>
  <c r="B112" i="17"/>
  <c r="B119" i="17"/>
  <c r="B127" i="17"/>
  <c r="B134" i="17"/>
  <c r="B141" i="17"/>
  <c r="B148" i="17"/>
  <c r="B155" i="17"/>
  <c r="B163" i="17"/>
  <c r="B170" i="17"/>
  <c r="B177" i="17"/>
  <c r="B184" i="17"/>
  <c r="B190" i="17"/>
  <c r="B196" i="17"/>
  <c r="B202" i="17"/>
  <c r="B208" i="17"/>
  <c r="B214" i="17"/>
  <c r="B220" i="17"/>
  <c r="B226" i="17"/>
  <c r="B232" i="17"/>
  <c r="B238" i="17"/>
  <c r="B244" i="17"/>
  <c r="B250" i="17"/>
  <c r="B256" i="17"/>
  <c r="B262" i="17"/>
  <c r="B268" i="17"/>
  <c r="B274" i="17"/>
  <c r="B280" i="17"/>
  <c r="B291" i="17"/>
  <c r="B297" i="17"/>
  <c r="B303" i="17"/>
  <c r="B309" i="17"/>
  <c r="B315" i="17"/>
  <c r="B321" i="17"/>
  <c r="B327" i="17"/>
  <c r="B333" i="17"/>
  <c r="B339" i="17"/>
  <c r="B345" i="17"/>
  <c r="B351" i="17"/>
  <c r="B357" i="17"/>
  <c r="B363" i="17"/>
  <c r="B369" i="17"/>
  <c r="B375" i="17"/>
  <c r="B381" i="17"/>
  <c r="B387" i="17"/>
  <c r="B393" i="17"/>
  <c r="B399" i="17"/>
  <c r="B405" i="17"/>
  <c r="B411" i="17"/>
  <c r="B417" i="17"/>
  <c r="B423" i="17"/>
  <c r="B429" i="17"/>
  <c r="B435" i="17"/>
  <c r="B441" i="17"/>
  <c r="B447" i="17"/>
  <c r="B453" i="17"/>
  <c r="B459" i="17"/>
  <c r="B465" i="17"/>
  <c r="B471" i="17"/>
  <c r="B477" i="17"/>
  <c r="B483" i="17"/>
  <c r="B489" i="17"/>
  <c r="B495" i="17"/>
  <c r="B501" i="17"/>
  <c r="B507" i="17"/>
  <c r="B513" i="17"/>
  <c r="B519" i="17"/>
  <c r="B525" i="17"/>
  <c r="B531" i="17"/>
  <c r="B537" i="17"/>
  <c r="B543" i="17"/>
  <c r="B549" i="17"/>
  <c r="B555" i="17"/>
  <c r="B561" i="17"/>
  <c r="B567" i="17"/>
  <c r="B573" i="17"/>
  <c r="B579" i="17"/>
  <c r="B585" i="17"/>
  <c r="B591" i="17"/>
  <c r="B597" i="17"/>
  <c r="B603" i="17"/>
  <c r="B609" i="17"/>
  <c r="B4" i="17"/>
  <c r="B16" i="17"/>
  <c r="B28" i="17"/>
  <c r="B40" i="17"/>
  <c r="B52" i="17"/>
  <c r="B64" i="17"/>
  <c r="B76" i="17"/>
  <c r="B88" i="17"/>
  <c r="B99" i="17"/>
  <c r="B106" i="17"/>
  <c r="B113" i="17"/>
  <c r="B121" i="17"/>
  <c r="B128" i="17"/>
  <c r="B135" i="17"/>
  <c r="B142" i="17"/>
  <c r="B149" i="17"/>
  <c r="B157" i="17"/>
  <c r="B164" i="17"/>
  <c r="B171" i="17"/>
  <c r="B178" i="17"/>
  <c r="B185" i="17"/>
  <c r="B191" i="17"/>
  <c r="B197" i="17"/>
  <c r="B203" i="17"/>
  <c r="B209" i="17"/>
  <c r="B215" i="17"/>
  <c r="B221" i="17"/>
  <c r="B227" i="17"/>
  <c r="B233" i="17"/>
  <c r="B239" i="17"/>
  <c r="B245" i="17"/>
  <c r="B251" i="17"/>
  <c r="B257" i="17"/>
  <c r="B263" i="17"/>
  <c r="B269" i="17"/>
  <c r="B275" i="17"/>
  <c r="B281" i="17"/>
  <c r="B292" i="17"/>
  <c r="B298" i="17"/>
  <c r="B304" i="17"/>
  <c r="B310" i="17"/>
  <c r="B316" i="17"/>
  <c r="B322" i="17"/>
  <c r="B328" i="17"/>
  <c r="B334" i="17"/>
  <c r="B340" i="17"/>
  <c r="B346" i="17"/>
  <c r="B7" i="17"/>
  <c r="B19" i="17"/>
  <c r="B31" i="17"/>
  <c r="B43" i="17"/>
  <c r="B55" i="17"/>
  <c r="B67" i="17"/>
  <c r="B79" i="17"/>
  <c r="B91" i="17"/>
  <c r="B100" i="17"/>
  <c r="B107" i="17"/>
  <c r="B115" i="17"/>
  <c r="B122" i="17"/>
  <c r="B129" i="17"/>
  <c r="B136" i="17"/>
  <c r="B143" i="17"/>
  <c r="B151" i="17"/>
  <c r="B158" i="17"/>
  <c r="B165" i="17"/>
  <c r="B172" i="17"/>
  <c r="B179" i="17"/>
  <c r="B186" i="17"/>
  <c r="B192" i="17"/>
  <c r="B198" i="17"/>
  <c r="B204" i="17"/>
  <c r="B210" i="17"/>
  <c r="B216" i="17"/>
  <c r="B222" i="17"/>
  <c r="B228" i="17"/>
  <c r="B234" i="17"/>
  <c r="B240" i="17"/>
  <c r="B246" i="17"/>
  <c r="B252" i="17"/>
  <c r="B258" i="17"/>
  <c r="B264" i="17"/>
  <c r="B270" i="17"/>
  <c r="B276" i="17"/>
  <c r="B282" i="17"/>
  <c r="B293" i="17"/>
  <c r="B299" i="17"/>
  <c r="B305" i="17"/>
  <c r="B311" i="17"/>
  <c r="B317" i="17"/>
  <c r="B323" i="17"/>
  <c r="B329" i="17"/>
  <c r="B335" i="17"/>
  <c r="B341" i="17"/>
  <c r="B347" i="17"/>
  <c r="B353" i="17"/>
  <c r="B359" i="17"/>
  <c r="B365" i="17"/>
  <c r="B371" i="17"/>
  <c r="B377" i="17"/>
  <c r="B383" i="17"/>
  <c r="B389" i="17"/>
  <c r="B395" i="17"/>
  <c r="B401" i="17"/>
  <c r="B407" i="17"/>
  <c r="B413" i="17"/>
  <c r="B419" i="17"/>
  <c r="B425" i="17"/>
  <c r="B431" i="17"/>
  <c r="B437" i="17"/>
  <c r="B443" i="17"/>
  <c r="B449" i="17"/>
  <c r="B455" i="17"/>
  <c r="B461" i="17"/>
  <c r="B467" i="17"/>
  <c r="B473" i="17"/>
  <c r="B479" i="17"/>
  <c r="B485" i="17"/>
  <c r="B491" i="17"/>
  <c r="B497" i="17"/>
  <c r="B503" i="17"/>
  <c r="B509" i="17"/>
  <c r="B515" i="17"/>
  <c r="B521" i="17"/>
  <c r="B527" i="17"/>
  <c r="B533" i="17"/>
  <c r="B539" i="17"/>
  <c r="B545" i="17"/>
  <c r="B551" i="17"/>
  <c r="B557" i="17"/>
  <c r="B563" i="17"/>
  <c r="B569" i="17"/>
  <c r="B575" i="17"/>
  <c r="B581" i="17"/>
  <c r="B587" i="17"/>
  <c r="B593" i="17"/>
  <c r="B599" i="17"/>
  <c r="B605" i="17"/>
  <c r="B611" i="17"/>
  <c r="B617" i="17"/>
  <c r="B623" i="17"/>
  <c r="B629" i="17"/>
  <c r="B635" i="17"/>
  <c r="B641" i="17"/>
  <c r="B647" i="17"/>
  <c r="B653" i="17"/>
  <c r="B2" i="17"/>
  <c r="B9" i="17"/>
  <c r="B21" i="17"/>
  <c r="B33" i="17"/>
  <c r="B45" i="17"/>
  <c r="B57" i="17"/>
  <c r="B69" i="17"/>
  <c r="B81" i="17"/>
  <c r="B93" i="17"/>
  <c r="B101" i="17"/>
  <c r="B109" i="17"/>
  <c r="B116" i="17"/>
  <c r="B123" i="17"/>
  <c r="B130" i="17"/>
  <c r="B137" i="17"/>
  <c r="B145" i="17"/>
  <c r="B152" i="17"/>
  <c r="B159" i="17"/>
  <c r="B166" i="17"/>
  <c r="B173" i="17"/>
  <c r="B181" i="17"/>
  <c r="B187" i="17"/>
  <c r="B193" i="17"/>
  <c r="B199" i="17"/>
  <c r="B205" i="17"/>
  <c r="B211" i="17"/>
  <c r="B217" i="17"/>
  <c r="B223" i="17"/>
  <c r="B229" i="17"/>
  <c r="B235" i="17"/>
  <c r="B241" i="17"/>
  <c r="B247" i="17"/>
  <c r="B253" i="17"/>
  <c r="B259" i="17"/>
  <c r="B265" i="17"/>
  <c r="B271" i="17"/>
  <c r="B277" i="17"/>
  <c r="B283" i="17"/>
  <c r="B294" i="17"/>
  <c r="B300" i="17"/>
  <c r="B306" i="17"/>
  <c r="B312" i="17"/>
  <c r="B318" i="17"/>
  <c r="B324" i="17"/>
  <c r="B330" i="17"/>
  <c r="B336" i="17"/>
  <c r="B342" i="17"/>
  <c r="B348" i="17"/>
  <c r="B354" i="17"/>
  <c r="B360" i="17"/>
  <c r="B366" i="17"/>
  <c r="B372" i="17"/>
  <c r="B378" i="17"/>
  <c r="B384" i="17"/>
  <c r="B390" i="17"/>
  <c r="B396" i="17"/>
  <c r="B402" i="17"/>
  <c r="B408" i="17"/>
  <c r="B414" i="17"/>
  <c r="B420" i="17"/>
  <c r="B10" i="17"/>
  <c r="B22" i="17"/>
  <c r="B34" i="17"/>
  <c r="B46" i="17"/>
  <c r="B58" i="17"/>
  <c r="B70" i="17"/>
  <c r="B82" i="17"/>
  <c r="B94" i="17"/>
  <c r="B103" i="17"/>
  <c r="B110" i="17"/>
  <c r="B117" i="17"/>
  <c r="B124" i="17"/>
  <c r="B131" i="17"/>
  <c r="B139" i="17"/>
  <c r="B146" i="17"/>
  <c r="B153" i="17"/>
  <c r="B160" i="17"/>
  <c r="B167" i="17"/>
  <c r="B175" i="17"/>
  <c r="B182" i="17"/>
  <c r="B188" i="17"/>
  <c r="B194" i="17"/>
  <c r="B200" i="17"/>
  <c r="B206" i="17"/>
  <c r="B212" i="17"/>
  <c r="B218" i="17"/>
  <c r="B224" i="17"/>
  <c r="B230" i="17"/>
  <c r="B236" i="17"/>
  <c r="B242" i="17"/>
  <c r="B248" i="17"/>
  <c r="B254" i="17"/>
  <c r="B260" i="17"/>
  <c r="B266" i="17"/>
  <c r="B272" i="17"/>
  <c r="B278" i="17"/>
  <c r="B289" i="17"/>
  <c r="B295" i="17"/>
  <c r="B301" i="17"/>
  <c r="B307" i="17"/>
  <c r="B313" i="17"/>
  <c r="B319" i="17"/>
  <c r="B325" i="17"/>
  <c r="B331" i="17"/>
  <c r="B337" i="17"/>
  <c r="B343" i="17"/>
  <c r="B349" i="17"/>
  <c r="B355" i="17"/>
  <c r="B361" i="17"/>
  <c r="B367" i="17"/>
  <c r="B373" i="17"/>
  <c r="B379" i="17"/>
  <c r="B385" i="17"/>
  <c r="B391" i="17"/>
  <c r="B397" i="17"/>
  <c r="B403" i="17"/>
  <c r="B409" i="17"/>
  <c r="B415" i="17"/>
  <c r="B421" i="17"/>
  <c r="B427" i="17"/>
  <c r="B433" i="17"/>
  <c r="B439" i="17"/>
  <c r="B445" i="17"/>
  <c r="B451" i="17"/>
  <c r="B457" i="17"/>
  <c r="B463" i="17"/>
  <c r="B469" i="17"/>
  <c r="B475" i="17"/>
  <c r="B481" i="17"/>
  <c r="B487" i="17"/>
  <c r="B493" i="17"/>
  <c r="B499" i="17"/>
  <c r="B505" i="17"/>
  <c r="B511" i="17"/>
  <c r="B517" i="17"/>
  <c r="B523" i="17"/>
  <c r="B529" i="17"/>
  <c r="B535" i="17"/>
  <c r="B541" i="17"/>
  <c r="B547" i="17"/>
  <c r="B553" i="17"/>
  <c r="B559" i="17"/>
  <c r="B565" i="17"/>
  <c r="B571" i="17"/>
  <c r="B577" i="17"/>
  <c r="B583" i="17"/>
  <c r="B589" i="17"/>
  <c r="B595" i="17"/>
  <c r="B601" i="17"/>
  <c r="B607" i="17"/>
  <c r="B613" i="17"/>
  <c r="B619" i="17"/>
  <c r="B625" i="17"/>
  <c r="B631" i="17"/>
  <c r="B637" i="17"/>
  <c r="B643" i="17"/>
  <c r="B649" i="17"/>
  <c r="B655" i="17"/>
  <c r="B382" i="17"/>
  <c r="B418" i="17"/>
  <c r="B438" i="17"/>
  <c r="B456" i="17"/>
  <c r="B474" i="17"/>
  <c r="B492" i="17"/>
  <c r="B510" i="17"/>
  <c r="B528" i="17"/>
  <c r="B546" i="17"/>
  <c r="B564" i="17"/>
  <c r="B582" i="17"/>
  <c r="B600" i="17"/>
  <c r="B616" i="17"/>
  <c r="B628" i="17"/>
  <c r="B640" i="17"/>
  <c r="B652" i="17"/>
  <c r="B352" i="17"/>
  <c r="B388" i="17"/>
  <c r="B424" i="17"/>
  <c r="B442" i="17"/>
  <c r="B460" i="17"/>
  <c r="B478" i="17"/>
  <c r="B496" i="17"/>
  <c r="B514" i="17"/>
  <c r="B532" i="17"/>
  <c r="B550" i="17"/>
  <c r="B568" i="17"/>
  <c r="B586" i="17"/>
  <c r="B604" i="17"/>
  <c r="B618" i="17"/>
  <c r="B630" i="17"/>
  <c r="B642" i="17"/>
  <c r="B654" i="17"/>
  <c r="B358" i="17"/>
  <c r="B394" i="17"/>
  <c r="B426" i="17"/>
  <c r="B444" i="17"/>
  <c r="B462" i="17"/>
  <c r="B480" i="17"/>
  <c r="B498" i="17"/>
  <c r="B516" i="17"/>
  <c r="B534" i="17"/>
  <c r="B552" i="17"/>
  <c r="B570" i="17"/>
  <c r="B588" i="17"/>
  <c r="B606" i="17"/>
  <c r="B621" i="17"/>
  <c r="B633" i="17"/>
  <c r="B645" i="17"/>
  <c r="B657" i="17"/>
  <c r="B364" i="17"/>
  <c r="B400" i="17"/>
  <c r="B430" i="17"/>
  <c r="B448" i="17"/>
  <c r="B466" i="17"/>
  <c r="B484" i="17"/>
  <c r="B502" i="17"/>
  <c r="B520" i="17"/>
  <c r="B538" i="17"/>
  <c r="B556" i="17"/>
  <c r="B574" i="17"/>
  <c r="B592" i="17"/>
  <c r="B610" i="17"/>
  <c r="B622" i="17"/>
  <c r="B634" i="17"/>
  <c r="B646" i="17"/>
  <c r="B658" i="17"/>
  <c r="B376" i="17"/>
  <c r="B412" i="17"/>
  <c r="B436" i="17"/>
  <c r="B454" i="17"/>
  <c r="B472" i="17"/>
  <c r="B490" i="17"/>
  <c r="B508" i="17"/>
  <c r="B526" i="17"/>
  <c r="B544" i="17"/>
  <c r="B562" i="17"/>
  <c r="B580" i="17"/>
  <c r="B598" i="17"/>
  <c r="B615" i="17"/>
  <c r="B627" i="17"/>
  <c r="B639" i="17"/>
  <c r="B651" i="17"/>
  <c r="B486" i="17"/>
  <c r="B594" i="17"/>
  <c r="B370" i="17"/>
  <c r="B504" i="17"/>
  <c r="B612" i="17"/>
  <c r="B406" i="17"/>
  <c r="B522" i="17"/>
  <c r="B624" i="17"/>
  <c r="B432" i="17"/>
  <c r="B540" i="17"/>
  <c r="B636" i="17"/>
  <c r="B450" i="17"/>
  <c r="B558" i="17"/>
  <c r="B648" i="17"/>
  <c r="B468" i="17"/>
  <c r="B576" i="17"/>
</calcChain>
</file>

<file path=xl/sharedStrings.xml><?xml version="1.0" encoding="utf-8"?>
<sst xmlns="http://schemas.openxmlformats.org/spreadsheetml/2006/main" count="17311" uniqueCount="6819">
  <si>
    <t>Name</t>
  </si>
  <si>
    <t>Power</t>
  </si>
  <si>
    <t>Intelligence</t>
  </si>
  <si>
    <t>Symbol</t>
  </si>
  <si>
    <t>Wizard</t>
  </si>
  <si>
    <t>Runes</t>
  </si>
  <si>
    <t>Medusa</t>
  </si>
  <si>
    <t>Face</t>
  </si>
  <si>
    <t>Embossed</t>
  </si>
  <si>
    <t>Lips</t>
  </si>
  <si>
    <t>Fiery</t>
  </si>
  <si>
    <t>Bejeweled</t>
  </si>
  <si>
    <t>Ornate</t>
  </si>
  <si>
    <t>Town</t>
  </si>
  <si>
    <t>Runic</t>
  </si>
  <si>
    <t>Phoenix</t>
  </si>
  <si>
    <t>Evil Eye</t>
  </si>
  <si>
    <t>Sunray</t>
  </si>
  <si>
    <t>Celestial</t>
  </si>
  <si>
    <t>Skull</t>
  </si>
  <si>
    <t>Coat Of Arms</t>
  </si>
  <si>
    <t>Flowers</t>
  </si>
  <si>
    <t>Lightning</t>
  </si>
  <si>
    <t>Broken Heart</t>
  </si>
  <si>
    <t>Celtic</t>
  </si>
  <si>
    <t>Cathedral</t>
  </si>
  <si>
    <t>Chamber of Stars</t>
  </si>
  <si>
    <t>Rusted</t>
  </si>
  <si>
    <t>ItemCode</t>
  </si>
  <si>
    <t>/+ofrenewal</t>
  </si>
  <si>
    <t>Adds 12 to Mana</t>
  </si>
  <si>
    <t>of Renewal</t>
  </si>
  <si>
    <t>/+ofthefox</t>
  </si>
  <si>
    <t>Adds 7 to Health</t>
  </si>
  <si>
    <t>of the Fox</t>
  </si>
  <si>
    <t>/+ofrefreshment</t>
  </si>
  <si>
    <t>Adds 20 to Mana</t>
  </si>
  <si>
    <t>of Refreshment</t>
  </si>
  <si>
    <t>/+ofthebadger</t>
  </si>
  <si>
    <t>Adds 12 to Health</t>
  </si>
  <si>
    <t>of the Badger</t>
  </si>
  <si>
    <t>/+ofrevival</t>
  </si>
  <si>
    <t>Adds 29 to Mana</t>
  </si>
  <si>
    <t>of Revival</t>
  </si>
  <si>
    <t>/+oftheowl</t>
  </si>
  <si>
    <t>Adds 17 to Health</t>
  </si>
  <si>
    <t>of the Owl</t>
  </si>
  <si>
    <t>/+ofreprieval</t>
  </si>
  <si>
    <t>Adds 35 to Mana</t>
  </si>
  <si>
    <t>of Reprieval</t>
  </si>
  <si>
    <t>/+ofthedog</t>
  </si>
  <si>
    <t>Adds 21 to Health</t>
  </si>
  <si>
    <t>of the Dog</t>
  </si>
  <si>
    <t>/+oftheswift</t>
  </si>
  <si>
    <t>Adds 1 to Dexterity</t>
  </si>
  <si>
    <t>of the Swift</t>
  </si>
  <si>
    <t>/+ofcharity</t>
  </si>
  <si>
    <t>Reduces the cost of Healing Spells in this Spellbook by 5%</t>
  </si>
  <si>
    <t>of Charity</t>
  </si>
  <si>
    <t>/+ofbidding</t>
  </si>
  <si>
    <t>Reduces the cost of Summoning Spells in this Spellbook by 5%</t>
  </si>
  <si>
    <t>of Bidding</t>
  </si>
  <si>
    <t>/+ofstatic</t>
  </si>
  <si>
    <t>Reduces the cost of Lightning Spells in this Spellbook by 5%</t>
  </si>
  <si>
    <t>of Static</t>
  </si>
  <si>
    <t>/+oftheflame</t>
  </si>
  <si>
    <t>Reduces the cost of Fire Spells in this Spellbook by 5%</t>
  </si>
  <si>
    <t>of the Flame</t>
  </si>
  <si>
    <t>/+ofthechill</t>
  </si>
  <si>
    <t>Reduces the cost of Ice Spells in this Spellbook by 5%</t>
  </si>
  <si>
    <t>of the Chill</t>
  </si>
  <si>
    <t>/+oftheserpent</t>
  </si>
  <si>
    <t>Adds 37 to Health</t>
  </si>
  <si>
    <t>of the Serpent</t>
  </si>
  <si>
    <t>/+ofawareness</t>
  </si>
  <si>
    <t>Adds 1 to Intelligence</t>
  </si>
  <si>
    <t>of Awareness</t>
  </si>
  <si>
    <t>/+ofrevendication</t>
  </si>
  <si>
    <t>Adds 53 to Mana</t>
  </si>
  <si>
    <t>of Revendication</t>
  </si>
  <si>
    <t>/+ofrejuvenation</t>
  </si>
  <si>
    <t>Adds 71 to Mana</t>
  </si>
  <si>
    <t>of Rejuvenation</t>
  </si>
  <si>
    <t>/+oftheboar</t>
  </si>
  <si>
    <t>Adds 42 to Health</t>
  </si>
  <si>
    <t>of the Boar</t>
  </si>
  <si>
    <t>/+ofthespry</t>
  </si>
  <si>
    <t>Adds 2 to Dexterity</t>
  </si>
  <si>
    <t>of the Spry</t>
  </si>
  <si>
    <t>/+ofrecuperation</t>
  </si>
  <si>
    <t>Adds 101 to Mana</t>
  </si>
  <si>
    <t>of Recuperation</t>
  </si>
  <si>
    <t>/+ofinsight</t>
  </si>
  <si>
    <t>Adds 2 to Intelligence</t>
  </si>
  <si>
    <t>of Insight</t>
  </si>
  <si>
    <t>/+ofclemency</t>
  </si>
  <si>
    <t>Reduces the cost of Healing Spells in this Spellbook by 10%</t>
  </si>
  <si>
    <t>of Clemency</t>
  </si>
  <si>
    <t>/+ofconvening</t>
  </si>
  <si>
    <t>Reduces the cost of Summoning Spells in this Spellbook by 10%</t>
  </si>
  <si>
    <t>of Convening</t>
  </si>
  <si>
    <t>/+ofthecharge</t>
  </si>
  <si>
    <t>Reduces the cost of Lightning Spells in this Spellbook by 10%</t>
  </si>
  <si>
    <t>of the Charge</t>
  </si>
  <si>
    <t>/+oftheblaze</t>
  </si>
  <si>
    <t>Reduces the cost of Fire Spells in this Spellbook by 10%</t>
  </si>
  <si>
    <t>of the Blaze</t>
  </si>
  <si>
    <t>/+ofthefrost</t>
  </si>
  <si>
    <t>Reduces the cost of Ice Spells in this Spellbook by 10%</t>
  </si>
  <si>
    <t>of the Frost</t>
  </si>
  <si>
    <t>/+ofthewolf</t>
  </si>
  <si>
    <t>Adds 89 to Health</t>
  </si>
  <si>
    <t>of the Wolf</t>
  </si>
  <si>
    <t>/+ofthenimble</t>
  </si>
  <si>
    <t>Adds 3 to Dexterity</t>
  </si>
  <si>
    <t>of the Nimble</t>
  </si>
  <si>
    <t>/+ofmercy</t>
  </si>
  <si>
    <t>Reduces the cost of Healing Spells in this Spellbook by 15%</t>
  </si>
  <si>
    <t>of Mercy</t>
  </si>
  <si>
    <t>/+ofcommanding</t>
  </si>
  <si>
    <t>Reduces the cost of Summoning Spells in this Spellbook by 15%</t>
  </si>
  <si>
    <t>of Commanding</t>
  </si>
  <si>
    <t>/+ofthespark</t>
  </si>
  <si>
    <t>Reduces the cost of Lightning Spells in this Spellbook by 15%</t>
  </si>
  <si>
    <t>of the Spark</t>
  </si>
  <si>
    <t>/+ofthefire</t>
  </si>
  <si>
    <t>Reduces the cost of Fire Spells in this Spellbook by 15%</t>
  </si>
  <si>
    <t>of the Fire</t>
  </si>
  <si>
    <t>/+ofthefrigid</t>
  </si>
  <si>
    <t>Reduces the cost of Ice Spells in this Spellbook by 15%</t>
  </si>
  <si>
    <t>of the Frigid</t>
  </si>
  <si>
    <t>/+ofrecovery</t>
  </si>
  <si>
    <t>Adds 203 to Mana</t>
  </si>
  <si>
    <t>of Recovery</t>
  </si>
  <si>
    <t>/+ofknowledge</t>
  </si>
  <si>
    <t>Adds 3 to Intelligence</t>
  </si>
  <si>
    <t>of Knowledge</t>
  </si>
  <si>
    <t>/+ofrestoration</t>
  </si>
  <si>
    <t>Adds 275 to Mana</t>
  </si>
  <si>
    <t>of Restoration</t>
  </si>
  <si>
    <t>/+oftheram</t>
  </si>
  <si>
    <t>Adds 163 to Health</t>
  </si>
  <si>
    <t>of the Ram</t>
  </si>
  <si>
    <t>/+ofthedeft</t>
  </si>
  <si>
    <t>Adds 4 to Dexterity</t>
  </si>
  <si>
    <t>of the Deft</t>
  </si>
  <si>
    <t>/+ofintellect</t>
  </si>
  <si>
    <t>Adds 4 to Intelligence</t>
  </si>
  <si>
    <t>of Intellect</t>
  </si>
  <si>
    <t>/+ofcompassion</t>
  </si>
  <si>
    <t>Reduces the cost of Healing Spells in this Spellbook by 20%</t>
  </si>
  <si>
    <t>of Compassion</t>
  </si>
  <si>
    <t>/+ofconvoking</t>
  </si>
  <si>
    <t>Reduces the cost of Summoning Spells in this Spellbook by 20%</t>
  </si>
  <si>
    <t>of Convoking</t>
  </si>
  <si>
    <t>/+ofelectricity</t>
  </si>
  <si>
    <t>Reduces the cost of Lightning Spells in this Spellbook by 20%</t>
  </si>
  <si>
    <t>of Electricity</t>
  </si>
  <si>
    <t>/+oftheconflagration</t>
  </si>
  <si>
    <t>Reduces the cost of Fire Spells in this Spellbook by 20%</t>
  </si>
  <si>
    <t>of the Conflagration</t>
  </si>
  <si>
    <t>/+ofthefrozen</t>
  </si>
  <si>
    <t>Reduces the cost of Ice Spells in this Spellbook by 20%</t>
  </si>
  <si>
    <t>of the Frozen</t>
  </si>
  <si>
    <t>/+ofreinvention</t>
  </si>
  <si>
    <t>Adds 346 to Mana</t>
  </si>
  <si>
    <t>of Reinvention</t>
  </si>
  <si>
    <t>/+oftheleopard</t>
  </si>
  <si>
    <t>Adds 230 to Health</t>
  </si>
  <si>
    <t>of the Leopard</t>
  </si>
  <si>
    <t>/+ofreclamation</t>
  </si>
  <si>
    <t>Adds 426 to Mana</t>
  </si>
  <si>
    <t>of Reclamation</t>
  </si>
  <si>
    <t>/+ofthedexterous</t>
  </si>
  <si>
    <t>Adds 6 to Dexterity</t>
  </si>
  <si>
    <t>of the Dexterous</t>
  </si>
  <si>
    <t>/+ofjudgment</t>
  </si>
  <si>
    <t>Adds 6 to Intelligence</t>
  </si>
  <si>
    <t>of Judgment</t>
  </si>
  <si>
    <t>/+ofgrace</t>
  </si>
  <si>
    <t>Reduces the cost of Healing Spells in this Spellbook by 25%</t>
  </si>
  <si>
    <t>of Grace</t>
  </si>
  <si>
    <t>/+ofsummoning</t>
  </si>
  <si>
    <t>Reduces the cost of Summoning Spells in this Spellbook by 25%</t>
  </si>
  <si>
    <t>of Summoning</t>
  </si>
  <si>
    <t>/+ofthethunderbolt</t>
  </si>
  <si>
    <t>Reduces the cost of Lightning Spells in this Spellbook by 25%</t>
  </si>
  <si>
    <t>of the Thunderbolt</t>
  </si>
  <si>
    <t>/+oftheinferno</t>
  </si>
  <si>
    <t>Reduces the cost of Fire Spells in this Spellbook by 25%</t>
  </si>
  <si>
    <t>of the Inferno</t>
  </si>
  <si>
    <t>/+oftheglacier</t>
  </si>
  <si>
    <t>Reduces the cost of Ice Spells in this Spellbook by 25%</t>
  </si>
  <si>
    <t>of the Glacier</t>
  </si>
  <si>
    <t>/+ofinvigoration</t>
  </si>
  <si>
    <t>Adds 541 to Mana</t>
  </si>
  <si>
    <t>of Invigoration</t>
  </si>
  <si>
    <t>Template Code</t>
  </si>
  <si>
    <t>Power Level</t>
  </si>
  <si>
    <t>Bonus</t>
  </si>
  <si>
    <t>/+profound</t>
  </si>
  <si>
    <t>Adds 6 to Armor</t>
  </si>
  <si>
    <t>Profound</t>
  </si>
  <si>
    <t>/+fabricated</t>
  </si>
  <si>
    <t>Adds 1 to Combat Magic Skill</t>
  </si>
  <si>
    <t>Fabricated</t>
  </si>
  <si>
    <t>/+campestral</t>
  </si>
  <si>
    <t>Adds 1 to Nature Magic Skill</t>
  </si>
  <si>
    <t>Campestral</t>
  </si>
  <si>
    <t>/+spiritual</t>
  </si>
  <si>
    <t>Adds 10 to Armor</t>
  </si>
  <si>
    <t>Incorporeal</t>
  </si>
  <si>
    <t>/+persevering</t>
  </si>
  <si>
    <t>+5% Chance to Block Magic Attacks</t>
  </si>
  <si>
    <t>Persevering</t>
  </si>
  <si>
    <t>/+shimmering</t>
  </si>
  <si>
    <t>Increase the damage of electric spells in this Spellbook by 5%</t>
  </si>
  <si>
    <t>Shimmering</t>
  </si>
  <si>
    <t>/+fiery</t>
  </si>
  <si>
    <t>Increase the damage of Fire spells in this Spellbook by 5%</t>
  </si>
  <si>
    <t>/+cold</t>
  </si>
  <si>
    <t>Increase the damage of Cold spells in this Spellbook by 5%</t>
  </si>
  <si>
    <t>Cold</t>
  </si>
  <si>
    <t>/+therapeutic</t>
  </si>
  <si>
    <t xml:space="preserve">Adds 1 to Nature Magic Skill
Adds 17 to Health
+3% Chance to Block Magic Attacks	</t>
  </si>
  <si>
    <t>Therapeutic</t>
  </si>
  <si>
    <t>/+hidebound</t>
  </si>
  <si>
    <t>Adds 1 to Strength</t>
  </si>
  <si>
    <t>Hide Bound</t>
  </si>
  <si>
    <t>/+stern</t>
  </si>
  <si>
    <t>Magic Damage Reduced by 5%</t>
  </si>
  <si>
    <t>Stern</t>
  </si>
  <si>
    <t>/+holy</t>
  </si>
  <si>
    <t>Adds 15 to Armor</t>
  </si>
  <si>
    <t>Ethereal</t>
  </si>
  <si>
    <t>/+molded</t>
  </si>
  <si>
    <t>Adds 2 to Combat Magic Skill</t>
  </si>
  <si>
    <t>Molded</t>
  </si>
  <si>
    <t>/+pastoral</t>
  </si>
  <si>
    <t>Adds 2 to Nature Magic Skill</t>
  </si>
  <si>
    <t>Pastoral</t>
  </si>
  <si>
    <t>/+leatherbound</t>
  </si>
  <si>
    <t>Adds 2 to Strength</t>
  </si>
  <si>
    <t>Leather Bound</t>
  </si>
  <si>
    <t>/+reliant</t>
  </si>
  <si>
    <t>+8% Chance to Block Magic Attacks</t>
  </si>
  <si>
    <t>Reliant</t>
  </si>
  <si>
    <t>/+zapping</t>
  </si>
  <si>
    <t>Increase the damage of electric spells in this Spellbook by 10%</t>
  </si>
  <si>
    <t>Zapping</t>
  </si>
  <si>
    <t>/+combusting</t>
  </si>
  <si>
    <t>Increase the damage of Fire spells in this Spellbook by 10%</t>
  </si>
  <si>
    <t>Combusting</t>
  </si>
  <si>
    <t>/+frozen</t>
  </si>
  <si>
    <t>Increase the damage of Cold spells in this Spellbook by 10%</t>
  </si>
  <si>
    <t>Arctic</t>
  </si>
  <si>
    <t>/+mystical</t>
  </si>
  <si>
    <t>Adds 25 to Armor</t>
  </si>
  <si>
    <t>Mystical</t>
  </si>
  <si>
    <t>/+harsh</t>
  </si>
  <si>
    <t>Magic Damage Reduced by 11%</t>
  </si>
  <si>
    <t>Harsh</t>
  </si>
  <si>
    <t>/+rustic</t>
  </si>
  <si>
    <t>Adds 3 to Nature Magic Skill</t>
  </si>
  <si>
    <t>Rustic</t>
  </si>
  <si>
    <t>/+shaped</t>
  </si>
  <si>
    <t>Adds 3 to Combat Magic Skill</t>
  </si>
  <si>
    <t>Shaped</t>
  </si>
  <si>
    <t>/+sparking</t>
  </si>
  <si>
    <t>Increase the damage of electric spells in this Spellbook by 15%</t>
  </si>
  <si>
    <t>Sparking</t>
  </si>
  <si>
    <t>/+burnt</t>
  </si>
  <si>
    <t>Increase the damage of Fire spells in this Spellbook by 15%</t>
  </si>
  <si>
    <t>Burnt</t>
  </si>
  <si>
    <t>/+icy</t>
  </si>
  <si>
    <t>Increase the damage of Cold spells in this Spellbook by 15%</t>
  </si>
  <si>
    <t>Icy</t>
  </si>
  <si>
    <t>/+oakbound</t>
  </si>
  <si>
    <t>Adds 3 to Strength</t>
  </si>
  <si>
    <t>Oak Bound</t>
  </si>
  <si>
    <t>/+supernatural</t>
  </si>
  <si>
    <t>Adds 40 to Armor</t>
  </si>
  <si>
    <t>Supernatural</t>
  </si>
  <si>
    <t>/+stringent</t>
  </si>
  <si>
    <t>Magic Damage Reduced by 15%</t>
  </si>
  <si>
    <t>Stringent</t>
  </si>
  <si>
    <t>/+forged</t>
  </si>
  <si>
    <t>Adds 4 to Combat Magic Skill</t>
  </si>
  <si>
    <t>Forged</t>
  </si>
  <si>
    <t>/+unwearied</t>
  </si>
  <si>
    <t>+13% Chance to Block Magic Attacks</t>
  </si>
  <si>
    <t>Unwearied</t>
  </si>
  <si>
    <t>/+idyllic</t>
  </si>
  <si>
    <t>Adds 4 to Nature Magic Skill</t>
  </si>
  <si>
    <t>Idyllic</t>
  </si>
  <si>
    <t>/+ironbound</t>
  </si>
  <si>
    <t>Adds 4 to Strength</t>
  </si>
  <si>
    <t>Iron Bound</t>
  </si>
  <si>
    <t>/+electric</t>
  </si>
  <si>
    <t>Increase the damage of electric spells in this Spellbook by 20%</t>
  </si>
  <si>
    <t>Electric</t>
  </si>
  <si>
    <t>/+smoldering</t>
  </si>
  <si>
    <t>Increase the damage of Fire spells in this Spellbook by 20%</t>
  </si>
  <si>
    <t>Smoldering</t>
  </si>
  <si>
    <t>/+wintry</t>
  </si>
  <si>
    <t>Increase the damage of Cold spells in this Spellbook by 20%</t>
  </si>
  <si>
    <t>Wintry</t>
  </si>
  <si>
    <t>/+ruthless</t>
  </si>
  <si>
    <t>Magic Damage Reduced by 20%</t>
  </si>
  <si>
    <t>Ruthless</t>
  </si>
  <si>
    <t>/+unwavering</t>
  </si>
  <si>
    <t>+15% Chance to Block Magic Attacks</t>
  </si>
  <si>
    <t>Unwavering</t>
  </si>
  <si>
    <t>/+manufactured</t>
  </si>
  <si>
    <t>Adds 6 to Combat Magic Skill</t>
  </si>
  <si>
    <t>Manufactured</t>
  </si>
  <si>
    <t>/+natural</t>
  </si>
  <si>
    <t>Adds 6 to Nature Magic Skill</t>
  </si>
  <si>
    <t>Natural</t>
  </si>
  <si>
    <t>/+steelbound</t>
  </si>
  <si>
    <t>Adds 6 to Strength</t>
  </si>
  <si>
    <t>Steel Bound</t>
  </si>
  <si>
    <t>/+shocking</t>
  </si>
  <si>
    <t>Increase the damage of electric spells in this Spellbook by 25%</t>
  </si>
  <si>
    <t>Shocking</t>
  </si>
  <si>
    <t>/+scorched</t>
  </si>
  <si>
    <t>Increase the damage of Fire spells in this Spellbook by 25%</t>
  </si>
  <si>
    <t>Scorched</t>
  </si>
  <si>
    <t>/+glacial</t>
  </si>
  <si>
    <t>Increase the damage of Cold spells in this Spellbook by 25%</t>
  </si>
  <si>
    <t>Glacial</t>
  </si>
  <si>
    <t>/+merciless</t>
  </si>
  <si>
    <t>Magic Damage Reduced by 25%</t>
  </si>
  <si>
    <t>Merciless</t>
  </si>
  <si>
    <t>PackagePath</t>
  </si>
  <si>
    <t>AssetName</t>
  </si>
  <si>
    <t>amr body chain</t>
  </si>
  <si>
    <t>amr body cloth</t>
  </si>
  <si>
    <t>amr body leather</t>
  </si>
  <si>
    <t>amr body plate</t>
  </si>
  <si>
    <t>amr boot</t>
  </si>
  <si>
    <t>amr glove</t>
  </si>
  <si>
    <t>amr helm</t>
  </si>
  <si>
    <t>amr shield</t>
  </si>
  <si>
    <t>ptn potion</t>
  </si>
  <si>
    <t>spl spell</t>
  </si>
  <si>
    <t>trs amulet</t>
  </si>
  <si>
    <t>trs book lore</t>
  </si>
  <si>
    <t>trs book spell</t>
  </si>
  <si>
    <t>trs ring</t>
  </si>
  <si>
    <t>wpn arrow</t>
  </si>
  <si>
    <t>wpn axe</t>
  </si>
  <si>
    <t>wpn bow</t>
  </si>
  <si>
    <t>wpn club</t>
  </si>
  <si>
    <t>wpn dagger</t>
  </si>
  <si>
    <t>wpn hammer</t>
  </si>
  <si>
    <t>wpn mace</t>
  </si>
  <si>
    <t>wpn misc</t>
  </si>
  <si>
    <t>wpn projectile</t>
  </si>
  <si>
    <t>wpn staff</t>
  </si>
  <si>
    <t>wpn sword</t>
  </si>
  <si>
    <t>amr</t>
  </si>
  <si>
    <t>ptn</t>
  </si>
  <si>
    <t>spl</t>
  </si>
  <si>
    <t>trs</t>
  </si>
  <si>
    <t>wpn</t>
  </si>
  <si>
    <t>body</t>
  </si>
  <si>
    <t>book</t>
  </si>
  <si>
    <t>chain</t>
  </si>
  <si>
    <t>cloth</t>
  </si>
  <si>
    <t>leather</t>
  </si>
  <si>
    <t>plate</t>
  </si>
  <si>
    <t>boot</t>
  </si>
  <si>
    <t>glove</t>
  </si>
  <si>
    <t>helm</t>
  </si>
  <si>
    <t>shield</t>
  </si>
  <si>
    <t>potion</t>
  </si>
  <si>
    <t>spell</t>
  </si>
  <si>
    <t>amulet</t>
  </si>
  <si>
    <t>lore</t>
  </si>
  <si>
    <t>ring</t>
  </si>
  <si>
    <t>arrow</t>
  </si>
  <si>
    <t>axe</t>
  </si>
  <si>
    <t>bow</t>
  </si>
  <si>
    <t>club</t>
  </si>
  <si>
    <t>dagger</t>
  </si>
  <si>
    <t>hammer</t>
  </si>
  <si>
    <t>mace</t>
  </si>
  <si>
    <t>misc</t>
  </si>
  <si>
    <t>projectile</t>
  </si>
  <si>
    <t>staff</t>
  </si>
  <si>
    <t>sword</t>
  </si>
  <si>
    <t>HexCode</t>
  </si>
  <si>
    <t>DecimalCode</t>
  </si>
  <si>
    <t>BinaryFlag</t>
  </si>
  <si>
    <r>
      <rPr>
        <sz val="15"/>
        <color theme="3"/>
        <rFont val="Calibri"/>
        <family val="2"/>
        <scheme val="minor"/>
      </rPr>
      <t>0</t>
    </r>
    <r>
      <rPr>
        <b/>
        <sz val="15"/>
        <color theme="3"/>
        <rFont val="Calibri"/>
        <family val="2"/>
        <scheme val="minor"/>
      </rPr>
      <t>F</t>
    </r>
    <r>
      <rPr>
        <sz val="15"/>
        <color theme="3"/>
        <rFont val="Calibri"/>
        <family val="2"/>
        <scheme val="minor"/>
      </rPr>
      <t>00:FFFF</t>
    </r>
  </si>
  <si>
    <r>
      <rPr>
        <sz val="15"/>
        <color theme="3"/>
        <rFont val="Calibri"/>
        <family val="2"/>
        <scheme val="minor"/>
      </rPr>
      <t>00</t>
    </r>
    <r>
      <rPr>
        <b/>
        <sz val="15"/>
        <color theme="3"/>
        <rFont val="Calibri"/>
        <family val="2"/>
        <scheme val="minor"/>
      </rPr>
      <t>F</t>
    </r>
    <r>
      <rPr>
        <sz val="15"/>
        <color theme="3"/>
        <rFont val="Calibri"/>
        <family val="2"/>
        <scheme val="minor"/>
      </rPr>
      <t>0:FFFF</t>
    </r>
  </si>
  <si>
    <r>
      <rPr>
        <sz val="15"/>
        <color theme="3"/>
        <rFont val="Calibri"/>
        <family val="2"/>
        <scheme val="minor"/>
      </rPr>
      <t>000</t>
    </r>
    <r>
      <rPr>
        <b/>
        <sz val="15"/>
        <color theme="3"/>
        <rFont val="Calibri"/>
        <family val="2"/>
        <scheme val="minor"/>
      </rPr>
      <t>F</t>
    </r>
    <r>
      <rPr>
        <sz val="15"/>
        <color theme="3"/>
        <rFont val="Calibri"/>
        <family val="2"/>
        <scheme val="minor"/>
      </rPr>
      <t>:FFFF</t>
    </r>
  </si>
  <si>
    <r>
      <rPr>
        <sz val="15"/>
        <color theme="3"/>
        <rFont val="Calibri"/>
        <family val="2"/>
        <scheme val="minor"/>
      </rPr>
      <t>0</t>
    </r>
    <r>
      <rPr>
        <b/>
        <sz val="15"/>
        <color theme="3"/>
        <rFont val="Calibri"/>
        <family val="2"/>
        <scheme val="minor"/>
      </rPr>
      <t>1</t>
    </r>
    <r>
      <rPr>
        <sz val="15"/>
        <color theme="3"/>
        <rFont val="Calibri"/>
        <family val="2"/>
        <scheme val="minor"/>
      </rPr>
      <t>000000</t>
    </r>
  </si>
  <si>
    <r>
      <rPr>
        <sz val="15"/>
        <color theme="3"/>
        <rFont val="Calibri"/>
        <family val="2"/>
        <scheme val="minor"/>
      </rPr>
      <t>00</t>
    </r>
    <r>
      <rPr>
        <b/>
        <sz val="15"/>
        <color theme="3"/>
        <rFont val="Calibri"/>
        <family val="2"/>
        <scheme val="minor"/>
      </rPr>
      <t>1</t>
    </r>
    <r>
      <rPr>
        <sz val="15"/>
        <color theme="3"/>
        <rFont val="Calibri"/>
        <family val="2"/>
        <scheme val="minor"/>
      </rPr>
      <t>00000</t>
    </r>
  </si>
  <si>
    <r>
      <rPr>
        <sz val="15"/>
        <color theme="3"/>
        <rFont val="Calibri"/>
        <family val="2"/>
        <scheme val="minor"/>
      </rPr>
      <t>000</t>
    </r>
    <r>
      <rPr>
        <b/>
        <sz val="15"/>
        <color theme="3"/>
        <rFont val="Calibri"/>
        <family val="2"/>
        <scheme val="minor"/>
      </rPr>
      <t>1</t>
    </r>
    <r>
      <rPr>
        <sz val="15"/>
        <color theme="3"/>
        <rFont val="Calibri"/>
        <family val="2"/>
        <scheme val="minor"/>
      </rPr>
      <t>0000</t>
    </r>
  </si>
  <si>
    <t>Spell</t>
  </si>
  <si>
    <t>Description</t>
  </si>
  <si>
    <t>Min Skill Level</t>
  </si>
  <si>
    <t>Scroll Value</t>
  </si>
  <si>
    <t>Icon Texture</t>
  </si>
  <si>
    <t>InventoryIcon</t>
  </si>
  <si>
    <t>/Game/DungeonSiege/Items/Spells/CombatMagic/Acid_Cloud.Acid_Cloud</t>
  </si>
  <si>
    <t>Acid_Cloud</t>
  </si>
  <si>
    <t>Acid Cloud</t>
  </si>
  <si>
    <t>Surrounds the Target with a cloud of acid, damaging nearby Enemies.</t>
  </si>
  <si>
    <t>/Game/DungeonSiege/Items/Spells/CombatMagic/Acid_Gas.Acid_Gas</t>
  </si>
  <si>
    <t>Acid_Gas</t>
  </si>
  <si>
    <t>Acid Gas</t>
  </si>
  <si>
    <t>Surrounds the Target with a small puff of acid, damaging Enemies caught within.</t>
  </si>
  <si>
    <t>/Game/DungeonSiege/Items/Spells/CombatMagic/Battle_Healing.Battle_Healing</t>
  </si>
  <si>
    <t>Battle_Healing</t>
  </si>
  <si>
    <t>Battle Healing</t>
  </si>
  <si>
    <t>Infuses a Party Member with x Health. x is based on your magic skill and/or mana points.</t>
  </si>
  <si>
    <t>/Game/DungeonSiege/Items/Spells/CombatMagic/Blaster.Blaster</t>
  </si>
  <si>
    <t>Blaster</t>
  </si>
  <si>
    <t>Conjures a flurry of intense flameballs to pelt the Enemy.</t>
  </si>
  <si>
    <t>/Game/DungeonSiege/Items/Spells/CombatMagic/Bomb.Bomb</t>
  </si>
  <si>
    <t>Bomb</t>
  </si>
  <si>
    <t>Ignites a magical bomb and hurls it at the Target.</t>
  </si>
  <si>
    <t>/Game/DungeonSiege/Items/Spells/CombatMagic/Bombard.Bombard</t>
  </si>
  <si>
    <t>Bombard</t>
  </si>
  <si>
    <t>Catapults several exploding balls of fire towards the Enemy.</t>
  </si>
  <si>
    <t>/Game/DungeonSiege/Items/Spells/CombatMagic/Burn_Body.Burn_Body</t>
  </si>
  <si>
    <t>Burn_Body</t>
  </si>
  <si>
    <t>Burn Body</t>
  </si>
  <si>
    <t>Bursts an Enemy corpse with searing flame.</t>
  </si>
  <si>
    <t>/Game/DungeonSiege/Items/Spells/CombatMagic/Cluster_Bomb.Cluster_Bomb</t>
  </si>
  <si>
    <t>Cluster_Bomb</t>
  </si>
  <si>
    <t>Cluster Bomb</t>
  </si>
  <si>
    <t>Ignites a handful of magical bombs and hurls them at the Enemy.</t>
  </si>
  <si>
    <t>/Game/DungeonSiege/Items/Spells/CombatMagic/Corpse_Transmutation.Corpse_Transmutation</t>
  </si>
  <si>
    <t>Corpse_Transmutation</t>
  </si>
  <si>
    <t>Corpse Transmutation</t>
  </si>
  <si>
    <t>Allows Caster to draw Mana from the bodies of the dead.</t>
  </si>
  <si>
    <t>/Game/DungeonSiege/Items/Spells/CombatMagic/Curse.Curse</t>
  </si>
  <si>
    <t>Curse</t>
  </si>
  <si>
    <t>Strikes the enemy with a curse, lowering its ability to fight and recover from damage. Mana cost dependent on the power of the Target.</t>
  </si>
  <si>
    <t>/Game/DungeonSiege/Items/Spells/CombatMagic/Cyclone_Of_Fire.Cyclone_Of_Fire</t>
  </si>
  <si>
    <t>Cyclone_Of_Fire</t>
  </si>
  <si>
    <t>Cyclone Of Fire</t>
  </si>
  <si>
    <t>Calls forth a massive cyclone of fire from the sky that incinerates Enemies caught in its path.</t>
  </si>
  <si>
    <t>/Game/DungeonSiege/Items/Spells/CombatMagic/Death_Blast.Death_Blast</t>
  </si>
  <si>
    <t>Death_Blast</t>
  </si>
  <si>
    <t>Death Blast</t>
  </si>
  <si>
    <t>Delivering killing blows will explode the Enemy in a powerful burst of flame. Click on the Caster to enable this spell.</t>
  </si>
  <si>
    <t>/Game/DungeonSiege/Items/Spells/CombatMagic/Dragon_Fire.Dragon_Fire</t>
  </si>
  <si>
    <t>Dragon_Fire</t>
  </si>
  <si>
    <t>Dragon Fire</t>
  </si>
  <si>
    <t>Invokes a searing gout of Flame to rake the Enemy.</t>
  </si>
  <si>
    <t>/Game/DungeonSiege/Items/Spells/CombatMagic/Explode_Body.Explode_Body</t>
  </si>
  <si>
    <t>Explode_Body</t>
  </si>
  <si>
    <t>Explode Body</t>
  </si>
  <si>
    <t>Blasts apart the flesh of the dead, causing concussion damage to surrounding Enemies.</t>
  </si>
  <si>
    <t>/Game/DungeonSiege/Items/Spells/CombatMagic/Explosive_Powder.Explosive_Powder</t>
  </si>
  <si>
    <t>Explosive_Powder</t>
  </si>
  <si>
    <t>Explosive Powder</t>
  </si>
  <si>
    <t>Ignites a magical charge and hurls it at the Target.</t>
  </si>
  <si>
    <t>/Game/DungeonSiege/Items/Spells/CombatMagic/Fire_Ring.Fire_Ring</t>
  </si>
  <si>
    <t>Fire_Ring</t>
  </si>
  <si>
    <t>Fire Ring</t>
  </si>
  <si>
    <t>Surrounds the Caster with a seething ring of fire, burning Enemies within range.</t>
  </si>
  <si>
    <t>/Game/DungeonSiege/Items/Spells/CombatMagic/Fire_Wall.Fire_Wall</t>
  </si>
  <si>
    <t>Fire_Wall</t>
  </si>
  <si>
    <t>Fire Wall</t>
  </si>
  <si>
    <t>Lays a searing wall of flame before the caster, burning all Enemies who pass through.</t>
  </si>
  <si>
    <t>/Game/DungeonSiege/Items/Spells/CombatMagic/Fireball.Fireball</t>
  </si>
  <si>
    <t>Fireball</t>
  </si>
  <si>
    <t>Hurls a large ball of flame that explodes on impact.</t>
  </si>
  <si>
    <t>/Game/DungeonSiege/Items/Spells/CombatMagic/Fireball_Rain.Fireball_Rain</t>
  </si>
  <si>
    <t>Fireball_Rain</t>
  </si>
  <si>
    <t>Fireball Rain</t>
  </si>
  <si>
    <t>Calls forth explosive rain from the sky that incinerates Enemies with each strike.</t>
  </si>
  <si>
    <t>/Game/DungeonSiege/Items/Spells/CombatMagic/Fireblast.Fireblast</t>
  </si>
  <si>
    <t>Fireblast</t>
  </si>
  <si>
    <t>Launches several exploding balls of fire at the Target.</t>
  </si>
  <si>
    <t>/Game/DungeonSiege/Items/Spells/CombatMagic/Firebomb.Firebomb</t>
  </si>
  <si>
    <t>Firebomb</t>
  </si>
  <si>
    <t>Catapults an exploding ball of fire toward the Enemy.</t>
  </si>
  <si>
    <t>/Game/DungeonSiege/Items/Spells/CombatMagic/Firerain.Firerain</t>
  </si>
  <si>
    <t>Firerain</t>
  </si>
  <si>
    <t>Calls forth a hail of fire from the sky, burning Enemies with each strike.</t>
  </si>
  <si>
    <t>/Game/DungeonSiege/Items/Spells/CombatMagic/Fireshot.Fireshot</t>
  </si>
  <si>
    <t>Fireshot</t>
  </si>
  <si>
    <t>Hurls a ball of fire at the Target.</t>
  </si>
  <si>
    <t>/Game/DungeonSiege/Items/Spells/CombatMagic/Fireshot_Armor.Fireshot_Armor</t>
  </si>
  <si>
    <t>Fireshot_Armor</t>
  </si>
  <si>
    <t>Fireshot Armor</t>
  </si>
  <si>
    <t>Adds x to Armor and blasts a Fireshot back at attacking Enemies. x is based on your magic skill and/or mana points.</t>
  </si>
  <si>
    <t>/Game/DungeonSiege/Items/Spells/CombatMagic/Fireskull.Fireskull</t>
  </si>
  <si>
    <t>Fireskull</t>
  </si>
  <si>
    <t>Summons a flaming skull and hurls it at the Target.</t>
  </si>
  <si>
    <t>/Game/DungeonSiege/Items/Spells/CombatMagic/Firespray.Firespray</t>
  </si>
  <si>
    <t>Firespray</t>
  </si>
  <si>
    <t>Sends Multiple Fireshots fanning out from the Caster's hand.</t>
  </si>
  <si>
    <t>/Game/DungeonSiege/Items/Spells/CombatMagic/Flame.Flame</t>
  </si>
  <si>
    <t>Flame</t>
  </si>
  <si>
    <t>Burns nearby Enemies with a sweep of fire.</t>
  </si>
  <si>
    <t>/Game/DungeonSiege/Items/Spells/CombatMagic/Flame_Blades.Flame_Blades</t>
  </si>
  <si>
    <t>Flame_Blades</t>
  </si>
  <si>
    <t>Flame Blades</t>
  </si>
  <si>
    <t>Conjures flaming blades and hurls them at the Target.</t>
  </si>
  <si>
    <t>/Game/DungeonSiege/Items/Spells/CombatMagic/Flame_Shield.Flame_Shield</t>
  </si>
  <si>
    <t>Flame_Shield</t>
  </si>
  <si>
    <t>Flame Shield</t>
  </si>
  <si>
    <t>Calls forth a protective coat of flame around the Caster, adding x to Armor and burning attackers. x is based on your magic skill and/or mana points.</t>
  </si>
  <si>
    <t>/Game/DungeonSiege/Items/Spells/CombatMagic/Incinerate.Incinerate</t>
  </si>
  <si>
    <t>Incinerate</t>
  </si>
  <si>
    <t>Envelops the Enemy with searing flames.</t>
  </si>
  <si>
    <t>/Game/DungeonSiege/Items/Spells/CombatMagic/Inferno.Inferno</t>
  </si>
  <si>
    <t>Inferno</t>
  </si>
  <si>
    <t>Extends a fan of intense flames in front of the Caster.</t>
  </si>
  <si>
    <t>/Game/DungeonSiege/Items/Spells/CombatMagic/Leech_Life.Leech_Life</t>
  </si>
  <si>
    <t>Leech_Life</t>
  </si>
  <si>
    <t>Leech Life</t>
  </si>
  <si>
    <t>Tears x Health from the Enemy and gives it to the Caster. x is based on your magic skill and/or mana points.</t>
  </si>
  <si>
    <t>/Game/DungeonSiege/Items/Spells/CombatMagic/Malign.Malign</t>
  </si>
  <si>
    <t>Malign</t>
  </si>
  <si>
    <t>Weakens an enemy by reducing its Armor. Mana cost dependent on the power of the Target.</t>
  </si>
  <si>
    <t>/Game/DungeonSiege/Items/Spells/CombatMagic/Mana_Chant.Mana_Chant</t>
  </si>
  <si>
    <t>Mana_Chant</t>
  </si>
  <si>
    <t>Mana Chant</t>
  </si>
  <si>
    <t>Adds to Mana recovery at the expense of Health.</t>
  </si>
  <si>
    <t>/Game/DungeonSiege/Items/Spells/CombatMagic/Metal_Shards.Metal_Shards</t>
  </si>
  <si>
    <t>Metal_Shards</t>
  </si>
  <si>
    <t>Metal Shards</t>
  </si>
  <si>
    <t>Arcs a tight spray of jagged metal shards toward the Target.</t>
  </si>
  <si>
    <t>/Game/DungeonSiege/Items/Spells/CombatMagic/Meteor.Meteor</t>
  </si>
  <si>
    <t>Meteor</t>
  </si>
  <si>
    <t>Calls a meteor from the sky to smite the Target.</t>
  </si>
  <si>
    <t>/Game/DungeonSiege/Items/Spells/CombatMagic/Meteor_Storm.Meteor_Storm</t>
  </si>
  <si>
    <t>Meteor_Storm</t>
  </si>
  <si>
    <t>Meteor Storm</t>
  </si>
  <si>
    <t>Calls forth Meteors from the sky and smashes them into the target area.</t>
  </si>
  <si>
    <t>/Game/DungeonSiege/Items/Spells/CombatMagic/Ogres_Might.Ogres_Might</t>
  </si>
  <si>
    <t>Ogres_Might</t>
  </si>
  <si>
    <t>Ogre's Might</t>
  </si>
  <si>
    <t>Boosts the Target physical power, adding x to Strength. x is based on your magic skill and/or mana points.</t>
  </si>
  <si>
    <t>/Game/DungeonSiege/Items/Spells/CombatMagic/Pain_Reflux.Pain_Reflux</t>
  </si>
  <si>
    <t>Pain_Reflux</t>
  </si>
  <si>
    <t>Pain Reflux</t>
  </si>
  <si>
    <t>% of damage taken is reflected back to the attacker. x is based on your magic skill and/or mana points.</t>
  </si>
  <si>
    <t>/Game/DungeonSiege/Items/Spells/CombatMagic/Pestilence.Pestilence</t>
  </si>
  <si>
    <t>Pestilence</t>
  </si>
  <si>
    <t>Calls forth a cloud of plague over the targeted area, damaging Enemies caught within.</t>
  </si>
  <si>
    <t>/Game/DungeonSiege/Items/Spells/CombatMagic/Pestilence_cloud.Pestilence_cloud</t>
  </si>
  <si>
    <t>Pestilence_cloud</t>
  </si>
  <si>
    <t>Pestilence cloud</t>
  </si>
  <si>
    <t>Calls forth a massive cloud of plague over the targeted area, damaging Enemies caught within.</t>
  </si>
  <si>
    <t>/Game/DungeonSiege/Items/Spells/CombatMagic/Pillar_Of_Fire.Pillar_Of_Fire</t>
  </si>
  <si>
    <t>Pillar_Of_Fire</t>
  </si>
  <si>
    <t>Pillar Of Fire</t>
  </si>
  <si>
    <t>Creates a pillar of fire that wanders the grounds, igniting Enemies caught in its path.</t>
  </si>
  <si>
    <t>/Game/DungeonSiege/Items/Spells/CombatMagic/Rage.Rage</t>
  </si>
  <si>
    <t>Rage</t>
  </si>
  <si>
    <t>Adds x to Minimum Melee Damage and x to Maximum Melee Damage at the expense of Health. x is based on your magic skill and/or mana points.</t>
  </si>
  <si>
    <t>/Game/DungeonSiege/Items/Spells/CombatMagic/Reconstitution.Reconstitution</t>
  </si>
  <si>
    <t>Reconstitution</t>
  </si>
  <si>
    <t>Infuses the entire Party with x Health per second. x is based on your magic skill and/or mana points.</t>
  </si>
  <si>
    <t>/Game/DungeonSiege/Items/Spells/CombatMagic/Revive.Revive</t>
  </si>
  <si>
    <t>Revive</t>
  </si>
  <si>
    <t>Raises the corpse of a Party Member. Mana cost dependent on the power of the Target</t>
  </si>
  <si>
    <t>/Game/DungeonSiege/Items/Spells/CombatMagic/Rip_Mana.Rip_Mana</t>
  </si>
  <si>
    <t>Rip_Mana</t>
  </si>
  <si>
    <t>Rip Mana</t>
  </si>
  <si>
    <t>Tears x Mana from the Enemy and gives it to the Caster. x is based on your magic skill and/or mana points.</t>
  </si>
  <si>
    <t>/Game/DungeonSiege/Items/Spells/CombatMagic/Shargs_Revive.Shargs_Revive</t>
  </si>
  <si>
    <t>Shargs_Revive</t>
  </si>
  <si>
    <t>Sharg's Revive</t>
  </si>
  <si>
    <t>Raises the corpse of a Party Member along with some health. Mana cost dependent on the power of the Target.</t>
  </si>
  <si>
    <t>/Game/DungeonSiege/Items/Spells/CombatMagic/Soul_Lance.Soul_Lance</t>
  </si>
  <si>
    <t>Soul_Lance</t>
  </si>
  <si>
    <t>Soul Lance</t>
  </si>
  <si>
    <t>Summons a powerful magical lance that arcs toward the target.</t>
  </si>
  <si>
    <t>/Game/DungeonSiege/Items/Spells/CombatMagic/Spirit_Armor.Spirit_Armor</t>
  </si>
  <si>
    <t>Spirit_Armor</t>
  </si>
  <si>
    <t>Spirit Armor</t>
  </si>
  <si>
    <t>Surrounds the Target with a shifting spectral aura, adding x to Armor. x is based on your magic skill and/or mana points.</t>
  </si>
  <si>
    <t>/Game/DungeonSiege/Items/Spells/CombatMagic/Summon_Black_Drake.Summon_Black_Drake</t>
  </si>
  <si>
    <t>Summon_Black_Drake</t>
  </si>
  <si>
    <t>Summon Black Drake</t>
  </si>
  <si>
    <t>Summons a Black Drake to guard the Caster.</t>
  </si>
  <si>
    <t>/Game/DungeonSiege/Items/Spells/CombatMagic/Summon_Darkling.Summon_Darkling</t>
  </si>
  <si>
    <t>Summon_Darkling</t>
  </si>
  <si>
    <t>Summon Darkling</t>
  </si>
  <si>
    <t>Summons a Darkling to guard the Caster.</t>
  </si>
  <si>
    <t>/Game/DungeonSiege/Items/Spells/CombatMagic/Summon_Desert_Braak.Summon_Desert_Braak</t>
  </si>
  <si>
    <t>Summon_Desert_Braak</t>
  </si>
  <si>
    <t>Summon Desert Braak</t>
  </si>
  <si>
    <t>Summons a Desert Braak to guard the Caster.</t>
  </si>
  <si>
    <t>/Game/DungeonSiege/Items/Spells/CombatMagic/Summon_Fire_Elemental.Summon_Fire_Elemental</t>
  </si>
  <si>
    <t>Summon_Fire_Elemental</t>
  </si>
  <si>
    <t>Summon Fire Elemental</t>
  </si>
  <si>
    <t>Summons a Fire Elemental to guard the Caster.</t>
  </si>
  <si>
    <t>/Game/DungeonSiege/Items/Spells/CombatMagic/Summon_Forest_Troll.Summon_Forest_Troll</t>
  </si>
  <si>
    <t>Summon_Forest_Troll</t>
  </si>
  <si>
    <t>Summon Forest Troll</t>
  </si>
  <si>
    <t>Summons a Forest Troll to guard the Caster.</t>
  </si>
  <si>
    <t>/Game/DungeonSiege/Items/Spells/CombatMagic/Summon_Hell_Boar.Summon_Hell_Boar</t>
  </si>
  <si>
    <t>Summon_Hell_Boar</t>
  </si>
  <si>
    <t>Summon Hell Boar</t>
  </si>
  <si>
    <t>Summons a Hell Boar to guard the Caster.</t>
  </si>
  <si>
    <t>/Game/DungeonSiege/Items/Spells/CombatMagic/Summon_Impaler.Summon_Impaler</t>
  </si>
  <si>
    <t>Summon_Impaler</t>
  </si>
  <si>
    <t>Summon Impaler</t>
  </si>
  <si>
    <t>Summons an Impaler to guard the Caster.</t>
  </si>
  <si>
    <t>/Game/DungeonSiege/Items/Spells/CombatMagic/Summon_Jade_Gargoyle.Summon_Jade_Gargoyle</t>
  </si>
  <si>
    <t>Summon_Jade_Gargoyle</t>
  </si>
  <si>
    <t>Summon Jade Gargoyle</t>
  </si>
  <si>
    <t>Summons a Jade Gargoyle to guard the Caster.</t>
  </si>
  <si>
    <t>/Game/DungeonSiege/Items/Spells/CombatMagic/Summon_Lava_Spirit.Summon_Lava_Spirit</t>
  </si>
  <si>
    <t>Summon_Lava_Spirit</t>
  </si>
  <si>
    <t>Summon Lava Spirit</t>
  </si>
  <si>
    <t>Summons a Lava Spirit to guard the Caster.</t>
  </si>
  <si>
    <t>/Game/DungeonSiege/Items/Spells/CombatMagic/Summon_Mucosa.Summon_Mucosa</t>
  </si>
  <si>
    <t>Summon_Mucosa</t>
  </si>
  <si>
    <t>Summon Mucosa</t>
  </si>
  <si>
    <t>Summons a Mucosa to guard the Caster.</t>
  </si>
  <si>
    <t>/Game/DungeonSiege/Items/Spells/CombatMagic/Summon_Mucosa_Predator.Summon_Mucosa_Predator</t>
  </si>
  <si>
    <t>Summon_Mucosa_Predator</t>
  </si>
  <si>
    <t>Summon Mucosa Predator</t>
  </si>
  <si>
    <t>Summons a Mucosa Predator to guard the Caster.</t>
  </si>
  <si>
    <t>/Game/DungeonSiege/Items/Spells/CombatMagic/Summon_Picker.Summon_Picker</t>
  </si>
  <si>
    <t>Summon_Picker</t>
  </si>
  <si>
    <t>Summon Picker</t>
  </si>
  <si>
    <t>Summons a Picker to guard the Caster.</t>
  </si>
  <si>
    <t>/Game/DungeonSiege/Items/Spells/CombatMagic/Summon_Skeleton.Summon_Skeleton</t>
  </si>
  <si>
    <t>Summon_Skeleton</t>
  </si>
  <si>
    <t>Summon Skeleton</t>
  </si>
  <si>
    <t>Summons a Skeleton to guard the Caster.</t>
  </si>
  <si>
    <t>/Game/DungeonSiege/Items/Spells/CombatMagic/Summon_Skeleton_Krug_Dog.Summon_Skeleton_Krug_Dog</t>
  </si>
  <si>
    <t>Summon_Skeleton_Krug_Dog</t>
  </si>
  <si>
    <t>Summon Skeleton Krug Dog</t>
  </si>
  <si>
    <t>Summons a Skeleton Krug Dog to guard the Caster.</t>
  </si>
  <si>
    <t>/Game/DungeonSiege/Items/Spells/CombatMagic/Summon_Skick.Summon_Skick</t>
  </si>
  <si>
    <t>Summon_Skick</t>
  </si>
  <si>
    <t>Summon Skick</t>
  </si>
  <si>
    <t>Summons a Skick to guard the Caster.</t>
  </si>
  <si>
    <t>/Game/DungeonSiege/Items/Spells/CombatMagic/Summon_Slag.Summon_Slag</t>
  </si>
  <si>
    <t>Summon_Slag</t>
  </si>
  <si>
    <t>Summon Slag</t>
  </si>
  <si>
    <t>Summons a Molten Golem to guard the Caster.</t>
  </si>
  <si>
    <t>/Game/DungeonSiege/Items/Spells/CombatMagic/Summon_Wraith.Summon_Wraith</t>
  </si>
  <si>
    <t>Summon_Wraith</t>
  </si>
  <si>
    <t>Summon Wraith</t>
  </si>
  <si>
    <t>Summons a Wraith to guard the Caster.</t>
  </si>
  <si>
    <t>/Game/DungeonSiege/Items/Spells/CombatMagic/Summon_Wraith_Archer.Summon_Wraith_Archer</t>
  </si>
  <si>
    <t>Summon_Wraith_Archer</t>
  </si>
  <si>
    <t>Summon Wraith Archer</t>
  </si>
  <si>
    <t>Summons a Wraith Archer to guard the Caster.</t>
  </si>
  <si>
    <t>/Game/DungeonSiege/Items/Spells/CombatMagic/Summon_Zombie.Summon_Zombie</t>
  </si>
  <si>
    <t>Summon_Zombie</t>
  </si>
  <si>
    <t>Summon Zombie</t>
  </si>
  <si>
    <t>Summons a Zombie to guard the Caster.</t>
  </si>
  <si>
    <t>/Game/DungeonSiege/Items/Spells/CombatMagic/Tremor.Tremor</t>
  </si>
  <si>
    <t>Tremor</t>
  </si>
  <si>
    <t>Calls forth a violent earthquake, shaking apart Enemies caught within.</t>
  </si>
  <si>
    <t>/Game/DungeonSiege/Items/Spells/CombatMagic/Triple_Strike.Triple_Strike</t>
  </si>
  <si>
    <t>Triple_Strike</t>
  </si>
  <si>
    <t>Triple Strike</t>
  </si>
  <si>
    <t>Grants the Target the ability to attack three adjacent Enemies with each swing.</t>
  </si>
  <si>
    <t>/Game/DungeonSiege/Items/Spells/CombatMagic/Weaken.Weaken</t>
  </si>
  <si>
    <t>Weaken</t>
  </si>
  <si>
    <t>Rots the muscles of the Enemy, reducing Minimum Melee Damage by x and Maximum Melee Damage by x. Mana cost dependent on the power of the Target. x is based on your magic skill and/or mana points.</t>
  </si>
  <si>
    <t>combat</t>
  </si>
  <si>
    <t>nature</t>
  </si>
  <si>
    <t>ItemIcon</t>
  </si>
  <si>
    <t>Texture2D'/Game/DungeonSiege/art/bitmaps/gui/in_game/inventory/items/b_gui_ig_i_it_magic-book.b_gui_ig_i_it_magic-book'</t>
  </si>
  <si>
    <t>Attribute</t>
  </si>
  <si>
    <t>attrib</t>
  </si>
  <si>
    <t>prefix</t>
  </si>
  <si>
    <t>suffix</t>
  </si>
  <si>
    <t>Bonuses</t>
  </si>
  <si>
    <t>Quality</t>
  </si>
  <si>
    <t>Applicable Items</t>
  </si>
  <si>
    <t>Adds 7 to Melee Skill</t>
  </si>
  <si>
    <t>Magic</t>
  </si>
  <si>
    <t>Melee</t>
  </si>
  <si>
    <t>Wicked</t>
  </si>
  <si>
    <t>Adds 7 to Ranged Skill</t>
  </si>
  <si>
    <t>Adds 15 to 35 Damage</t>
  </si>
  <si>
    <t>Ranged</t>
  </si>
  <si>
    <t>/+wicked</t>
  </si>
  <si>
    <t>Hulking</t>
  </si>
  <si>
    <t>Adds 150 to Armor</t>
  </si>
  <si>
    <t>Armor, Ring, Amulet</t>
  </si>
  <si>
    <t>/+hulking</t>
  </si>
  <si>
    <t>Refined</t>
  </si>
  <si>
    <t>Adds 9 to Nature Magic Skill</t>
  </si>
  <si>
    <t>Staff, Armor, Ring, Amulet</t>
  </si>
  <si>
    <t>/+refined</t>
  </si>
  <si>
    <t>Warring</t>
  </si>
  <si>
    <t>Adds 9 to Combat Magic Skill</t>
  </si>
  <si>
    <t>/+warring</t>
  </si>
  <si>
    <t>Admired</t>
  </si>
  <si>
    <t>Adds 3 Health Per Hit</t>
  </si>
  <si>
    <t>4 Mana Stolen Per Hit</t>
  </si>
  <si>
    <t>Piercing Damage Reduced by 16%</t>
  </si>
  <si>
    <t>10% of Damage Reflected to Enemy</t>
  </si>
  <si>
    <t>Rare</t>
  </si>
  <si>
    <t>Weapon, Armor, Ring, Amulet</t>
  </si>
  <si>
    <t>/+admired</t>
  </si>
  <si>
    <t>Eradicating</t>
  </si>
  <si>
    <t>Adds 10 to Melee Skill</t>
  </si>
  <si>
    <t>Melee, Armor, Ring, Amulet</t>
  </si>
  <si>
    <t>/+eradicating</t>
  </si>
  <si>
    <t>Sacred</t>
  </si>
  <si>
    <t>Adds 2 to Melee Skill</t>
  </si>
  <si>
    <t>Adds 1 to Ranged Skill</t>
  </si>
  <si>
    <t>Ranged Damage Reduced by 12%</t>
  </si>
  <si>
    <t>3% of Damage Reflected to Enemy</t>
  </si>
  <si>
    <t>/+sacred</t>
  </si>
  <si>
    <t>Propelling</t>
  </si>
  <si>
    <t>Adds 11 to Ranged Skill</t>
  </si>
  <si>
    <t>Ranged, Armor, Ring, Amulet</t>
  </si>
  <si>
    <t>/+propelling</t>
  </si>
  <si>
    <t>Unsurpassed</t>
  </si>
  <si>
    <t>6 Mana Stolen Per Hit</t>
  </si>
  <si>
    <t>Piercing Damage Reduced by 13%</t>
  </si>
  <si>
    <t>/+unsurpassed</t>
  </si>
  <si>
    <t>Colossal</t>
  </si>
  <si>
    <t>Adds 5 to Melee Skill</t>
  </si>
  <si>
    <t>/+colossal</t>
  </si>
  <si>
    <t>Vicious</t>
  </si>
  <si>
    <t>Adds 5 to Ranged Skill</t>
  </si>
  <si>
    <t>Adds 9 to 21 Damage</t>
  </si>
  <si>
    <t>/+vicious</t>
  </si>
  <si>
    <t>Virulent</t>
  </si>
  <si>
    <t>Immense</t>
  </si>
  <si>
    <t>Adds 7 to 16 Piercing Damage</t>
  </si>
  <si>
    <t>/+immense</t>
  </si>
  <si>
    <t>Spectacular</t>
  </si>
  <si>
    <t>2 Health Stolen Per Hit</t>
  </si>
  <si>
    <t>Ranged Damage Reduced by 8%</t>
  </si>
  <si>
    <t>/+spectacular</t>
  </si>
  <si>
    <t>Brute</t>
  </si>
  <si>
    <t>Adds 130 to Armor</t>
  </si>
  <si>
    <t>/+brute</t>
  </si>
  <si>
    <t>Treasured</t>
  </si>
  <si>
    <t>Adds 6 Mana Per Hit</t>
  </si>
  <si>
    <t>Adds 1 to Melee Skill</t>
  </si>
  <si>
    <t>+2% Chance to Block Melee Attack</t>
  </si>
  <si>
    <t>+5% Chance to Dodge Melee Attack</t>
  </si>
  <si>
    <t>/+treasured</t>
  </si>
  <si>
    <t>Sabotaging</t>
  </si>
  <si>
    <t>Adds 8 to Melee Skill</t>
  </si>
  <si>
    <t>/+sabotaging</t>
  </si>
  <si>
    <t>Celebrated</t>
  </si>
  <si>
    <t>Adds 4 to Ranged Skill</t>
  </si>
  <si>
    <t>/+celebrated</t>
  </si>
  <si>
    <t>Terrifying</t>
  </si>
  <si>
    <t>/+terrifying</t>
  </si>
  <si>
    <t>Gaseous</t>
  </si>
  <si>
    <t>Praised</t>
  </si>
  <si>
    <t>/+praised</t>
  </si>
  <si>
    <t>Cunning</t>
  </si>
  <si>
    <t>+20% Chance to Block Ranged Attack</t>
  </si>
  <si>
    <t>Shield</t>
  </si>
  <si>
    <t>/+cunning</t>
  </si>
  <si>
    <t>Utmost</t>
  </si>
  <si>
    <t>/+utmost</t>
  </si>
  <si>
    <t>Unparalleled</t>
  </si>
  <si>
    <t>+8% Chance to Block Melee Attack</t>
  </si>
  <si>
    <t>Shield, Staff, Amulet</t>
  </si>
  <si>
    <t>/+unparalleled</t>
  </si>
  <si>
    <t>Rushing</t>
  </si>
  <si>
    <t>Adds 9 to Ranged Skill</t>
  </si>
  <si>
    <t>/+rushing</t>
  </si>
  <si>
    <t>Combating</t>
  </si>
  <si>
    <t>Adds 7 to Combat Magic Skill</t>
  </si>
  <si>
    <t>/+combating</t>
  </si>
  <si>
    <t>elevated</t>
  </si>
  <si>
    <t>/+elevated</t>
  </si>
  <si>
    <t>Pristine</t>
  </si>
  <si>
    <t>Adds 7 to Nature Magic Skill</t>
  </si>
  <si>
    <t>/+pristine</t>
  </si>
  <si>
    <t>Sublime</t>
  </si>
  <si>
    <t>/+sublime</t>
  </si>
  <si>
    <t>Defiant</t>
  </si>
  <si>
    <t>Melee Damage Reduced by 20%</t>
  </si>
  <si>
    <t>/+defiant</t>
  </si>
  <si>
    <t>Armor, Ring, Amulet, Spellbook</t>
  </si>
  <si>
    <t>Revered</t>
  </si>
  <si>
    <t>Adds 2 to Ranged Skill</t>
  </si>
  <si>
    <t>/+revered</t>
  </si>
  <si>
    <t>Husky</t>
  </si>
  <si>
    <t>Adds 105 to Armor</t>
  </si>
  <si>
    <t>/+husky</t>
  </si>
  <si>
    <t>Unequivocal</t>
  </si>
  <si>
    <t>+5% Chance to Inflict a Piercing Hit</t>
  </si>
  <si>
    <t>/+unequivocal</t>
  </si>
  <si>
    <t>Esteemed</t>
  </si>
  <si>
    <t>5% of Damage Reflected to Enemy</t>
  </si>
  <si>
    <t>/+esteemed</t>
  </si>
  <si>
    <t>Distinguished</t>
  </si>
  <si>
    <t>Adds 1 to Nature Magic Min Damage</t>
  </si>
  <si>
    <t>Adds 2 to 6 Combat Magic Damage</t>
  </si>
  <si>
    <t>/+distinguished</t>
  </si>
  <si>
    <t>Acclaimed</t>
  </si>
  <si>
    <t>+4% Chance to Inflict a Piercing Hit</t>
  </si>
  <si>
    <t>Melee Damage Reduced by 5%</t>
  </si>
  <si>
    <t>/+acclaimed</t>
  </si>
  <si>
    <t>Impeding</t>
  </si>
  <si>
    <t>Ranged Damage Reduced by 20%</t>
  </si>
  <si>
    <t>Shield, Staff</t>
  </si>
  <si>
    <t>/+impeding</t>
  </si>
  <si>
    <t>Mephitic</t>
  </si>
  <si>
    <t>glacial</t>
  </si>
  <si>
    <t>Spellbook</t>
  </si>
  <si>
    <t>scorched</t>
  </si>
  <si>
    <t>shocking</t>
  </si>
  <si>
    <t>Petrifying</t>
  </si>
  <si>
    <t>Tenacious</t>
  </si>
  <si>
    <t>Piercing Damage Reduced by 20%</t>
  </si>
  <si>
    <t>Armor</t>
  </si>
  <si>
    <t>/+tenacious</t>
  </si>
  <si>
    <t>Majestic</t>
  </si>
  <si>
    <t>/+majestic</t>
  </si>
  <si>
    <t>Radiant</t>
  </si>
  <si>
    <t>+5% Chance to Dodge Ranged Attack</t>
  </si>
  <si>
    <t>/+radiant</t>
  </si>
  <si>
    <t>Prized</t>
  </si>
  <si>
    <t>Melee Damage Reduced by 10%</t>
  </si>
  <si>
    <t>/+prized</t>
  </si>
  <si>
    <t>Demolishing</t>
  </si>
  <si>
    <t>/+demolishing</t>
  </si>
  <si>
    <t>Dissolving</t>
  </si>
  <si>
    <t>Arching</t>
  </si>
  <si>
    <t>/+arching</t>
  </si>
  <si>
    <t>Essential</t>
  </si>
  <si>
    <t>/+essential</t>
  </si>
  <si>
    <t>Skirmishing</t>
  </si>
  <si>
    <t>/+skirmishing</t>
  </si>
  <si>
    <t>Uncompromising</t>
  </si>
  <si>
    <t>+16% Chance to Block Melee Attack</t>
  </si>
  <si>
    <t>/+uncompromising</t>
  </si>
  <si>
    <t>Strategic</t>
  </si>
  <si>
    <t>+18% Chance to Block Ranged Attack</t>
  </si>
  <si>
    <t>/+strategic</t>
  </si>
  <si>
    <t>Shield, Staff, Spellbook</t>
  </si>
  <si>
    <t>Excessive</t>
  </si>
  <si>
    <t>Piercing Damage Reduced by 9%</t>
  </si>
  <si>
    <t>/+excessive</t>
  </si>
  <si>
    <t>Outlandish</t>
  </si>
  <si>
    <t>+10% Chance to Dodge Ranged Attack</t>
  </si>
  <si>
    <t>Unique</t>
  </si>
  <si>
    <t>/+outlandish</t>
  </si>
  <si>
    <t>Frightening</t>
  </si>
  <si>
    <t>/+frightening</t>
  </si>
  <si>
    <t>Tremendous</t>
  </si>
  <si>
    <t>Adds 4 to Melee Skill</t>
  </si>
  <si>
    <t>/+tremendous</t>
  </si>
  <si>
    <t>Adroit</t>
  </si>
  <si>
    <t>Adds 5 to 11 Damage</t>
  </si>
  <si>
    <t>/+adroit</t>
  </si>
  <si>
    <t>Unfathomable</t>
  </si>
  <si>
    <t>1 Health Stolen Per Hit</t>
  </si>
  <si>
    <t>/+unfathomable</t>
  </si>
  <si>
    <t>Diverting</t>
  </si>
  <si>
    <t>Melee Damage Reduced by 17%</t>
  </si>
  <si>
    <t>/+diverting</t>
  </si>
  <si>
    <t>Splendorous</t>
  </si>
  <si>
    <t>Ranged Damage Reduced by 3%</t>
  </si>
  <si>
    <t>/+splendorous</t>
  </si>
  <si>
    <t>Eccentric</t>
  </si>
  <si>
    <t>+5% Chance to Block Melee Attack</t>
  </si>
  <si>
    <t>+9% Chance to Block Ranged Attack</t>
  </si>
  <si>
    <t>/+eccentric</t>
  </si>
  <si>
    <t>Rugged</t>
  </si>
  <si>
    <t>Adds 70 to Armor</t>
  </si>
  <si>
    <t>/+rugged</t>
  </si>
  <si>
    <t>Supreme</t>
  </si>
  <si>
    <t>/+supreme</t>
  </si>
  <si>
    <t>Toxic</t>
  </si>
  <si>
    <t>Stoning</t>
  </si>
  <si>
    <t>Valued</t>
  </si>
  <si>
    <t>1 Mana Stolen Per Hit</t>
  </si>
  <si>
    <t>/+valued</t>
  </si>
  <si>
    <t>Incomparable</t>
  </si>
  <si>
    <t>Adds 1 Mana Per Hit</t>
  </si>
  <si>
    <t>/+incomparable</t>
  </si>
  <si>
    <t>Informal</t>
  </si>
  <si>
    <t>/+informal</t>
  </si>
  <si>
    <t>Steadfast</t>
  </si>
  <si>
    <t>+13% Chance to Block Melee Attack</t>
  </si>
  <si>
    <t>/+steadfast</t>
  </si>
  <si>
    <t>Vaporizing</t>
  </si>
  <si>
    <t>smoldering</t>
  </si>
  <si>
    <t>electric</t>
  </si>
  <si>
    <t>Devastating</t>
  </si>
  <si>
    <t>/+devastating</t>
  </si>
  <si>
    <t>Resilient</t>
  </si>
  <si>
    <t>/+resilient</t>
  </si>
  <si>
    <t>Soaring</t>
  </si>
  <si>
    <t>/+soaring</t>
  </si>
  <si>
    <t>Terranean</t>
  </si>
  <si>
    <t>/+terranean</t>
  </si>
  <si>
    <t>Obstructing</t>
  </si>
  <si>
    <t>Ranged Damage Reduced by 15%</t>
  </si>
  <si>
    <t>/+obstructing</t>
  </si>
  <si>
    <t>Conserving</t>
  </si>
  <si>
    <t>+15% Chance to Block Ranged Attack</t>
  </si>
  <si>
    <t>/+conserving</t>
  </si>
  <si>
    <t>Respected</t>
  </si>
  <si>
    <t>/+respected</t>
  </si>
  <si>
    <t>Superlative</t>
  </si>
  <si>
    <t>Adds 2 Health Per Hit</t>
  </si>
  <si>
    <t>Adds 4 to 10 Piercing Damage</t>
  </si>
  <si>
    <t>Adds 8 to 13 Damage</t>
  </si>
  <si>
    <t>/+superlative</t>
  </si>
  <si>
    <t>Talismanic</t>
  </si>
  <si>
    <t>/+talismanic</t>
  </si>
  <si>
    <t>Fighting</t>
  </si>
  <si>
    <t>/+fighting</t>
  </si>
  <si>
    <t>Deflecting</t>
  </si>
  <si>
    <t>Melee Damage Reduced by 14%</t>
  </si>
  <si>
    <t>/+deflecting</t>
  </si>
  <si>
    <t>Wiley</t>
  </si>
  <si>
    <t>+15% Chance to Dodge Melee Attack</t>
  </si>
  <si>
    <t>/+wiley</t>
  </si>
  <si>
    <t>Recoiling</t>
  </si>
  <si>
    <t>+15% Chance to Dodge Ranged Attack</t>
  </si>
  <si>
    <t>/+recoiling</t>
  </si>
  <si>
    <t>Dignified</t>
  </si>
  <si>
    <t>/+dignified</t>
  </si>
  <si>
    <t>Obscure</t>
  </si>
  <si>
    <t>+10% Chance to Block Melee Attack</t>
  </si>
  <si>
    <t>/+obscure</t>
  </si>
  <si>
    <t>Illustrious</t>
  </si>
  <si>
    <t>Adds 1 Health Per Hit</t>
  </si>
  <si>
    <t>+5% Chance to Hit Enemy with a Ranged Weapon</t>
  </si>
  <si>
    <t>/+illustrious</t>
  </si>
  <si>
    <t>Solemn</t>
  </si>
  <si>
    <t>/+solemn</t>
  </si>
  <si>
    <t>Pummeling</t>
  </si>
  <si>
    <t>+10% Chance to Dodge Melee Attack</t>
  </si>
  <si>
    <t>/+pummeling</t>
  </si>
  <si>
    <t>Incredible</t>
  </si>
  <si>
    <t>Adds 1 to 4 Piercing Damage</t>
  </si>
  <si>
    <t>/+incredible</t>
  </si>
  <si>
    <t>Hallowed</t>
  </si>
  <si>
    <t>/+hallowed</t>
  </si>
  <si>
    <t>Constant</t>
  </si>
  <si>
    <t>/+constant</t>
  </si>
  <si>
    <t>Noble</t>
  </si>
  <si>
    <t>Adds 1 to Min Damage</t>
  </si>
  <si>
    <t>/+noble</t>
  </si>
  <si>
    <t>Gleaming</t>
  </si>
  <si>
    <t>/+gleaming</t>
  </si>
  <si>
    <t>Loyal</t>
  </si>
  <si>
    <t>+13% Chance to Block Ranged Attack</t>
  </si>
  <si>
    <t>/+loyal</t>
  </si>
  <si>
    <t>Fantastic</t>
  </si>
  <si>
    <t>Adds 1 to Combat Magic Min Damage</t>
  </si>
  <si>
    <t>/+fantastic</t>
  </si>
  <si>
    <t>Hefty</t>
  </si>
  <si>
    <t>/+hefty</t>
  </si>
  <si>
    <t>Stately</t>
  </si>
  <si>
    <t>/+stately</t>
  </si>
  <si>
    <t>Notorious</t>
  </si>
  <si>
    <t>Piercing Damage Reduced by 4%</t>
  </si>
  <si>
    <t>/+notorious</t>
  </si>
  <si>
    <t>Enormous</t>
  </si>
  <si>
    <t>/+enormous</t>
  </si>
  <si>
    <t>Clever</t>
  </si>
  <si>
    <t>Adds 2 to 6 Damage</t>
  </si>
  <si>
    <t>/+clever</t>
  </si>
  <si>
    <t>Diseased</t>
  </si>
  <si>
    <t>Paralyzing</t>
  </si>
  <si>
    <t>Infused</t>
  </si>
  <si>
    <t>/+infused</t>
  </si>
  <si>
    <t>Glimmering</t>
  </si>
  <si>
    <t>/+glimmering</t>
  </si>
  <si>
    <t>Superior</t>
  </si>
  <si>
    <t>Adds 2 to Max Damage</t>
  </si>
  <si>
    <t>/+superior</t>
  </si>
  <si>
    <t>Intense</t>
  </si>
  <si>
    <t>/+intense</t>
  </si>
  <si>
    <t>Mystic</t>
  </si>
  <si>
    <t>/+mystic</t>
  </si>
  <si>
    <t>Divine</t>
  </si>
  <si>
    <t>/+divine</t>
  </si>
  <si>
    <t>Curious</t>
  </si>
  <si>
    <t>/+curious</t>
  </si>
  <si>
    <t>Miraculous</t>
  </si>
  <si>
    <t>/+miraculous</t>
  </si>
  <si>
    <t>Ravaging</t>
  </si>
  <si>
    <t>/+ravaging</t>
  </si>
  <si>
    <t>Unyielding</t>
  </si>
  <si>
    <t>/+unyielding</t>
  </si>
  <si>
    <t>Protective</t>
  </si>
  <si>
    <t>/+protective</t>
  </si>
  <si>
    <t>Marvelous</t>
  </si>
  <si>
    <t>/+marvelous</t>
  </si>
  <si>
    <t>Intimidating</t>
  </si>
  <si>
    <t>/+intimidating</t>
  </si>
  <si>
    <t>Flying</t>
  </si>
  <si>
    <t>Adds 3 to Range</t>
  </si>
  <si>
    <t>/+flying</t>
  </si>
  <si>
    <t>Spraying</t>
  </si>
  <si>
    <t>icy</t>
  </si>
  <si>
    <t>burnt</t>
  </si>
  <si>
    <t>sparking</t>
  </si>
  <si>
    <t>Peerless</t>
  </si>
  <si>
    <t>Adds 13 to Armor</t>
  </si>
  <si>
    <t>/+peerless</t>
  </si>
  <si>
    <t>Bold</t>
  </si>
  <si>
    <t>/+bold</t>
  </si>
  <si>
    <t>Clandestine</t>
  </si>
  <si>
    <t>/+clandestine</t>
  </si>
  <si>
    <t>Anticipated</t>
  </si>
  <si>
    <t>/+anticipated</t>
  </si>
  <si>
    <t>Obedient</t>
  </si>
  <si>
    <t>/+obedient</t>
  </si>
  <si>
    <t>Renowned</t>
  </si>
  <si>
    <t>Adds 2 to 3 Damage</t>
  </si>
  <si>
    <t>/+renowned</t>
  </si>
  <si>
    <t>Launching</t>
  </si>
  <si>
    <t>/+launching</t>
  </si>
  <si>
    <t>Brawling</t>
  </si>
  <si>
    <t>/+brawling</t>
  </si>
  <si>
    <t>Thwarting</t>
  </si>
  <si>
    <t>/+thwarting</t>
  </si>
  <si>
    <t>Darting</t>
  </si>
  <si>
    <t>/+darting</t>
  </si>
  <si>
    <t>Retreating</t>
  </si>
  <si>
    <t>/+retreating</t>
  </si>
  <si>
    <t>Grounded</t>
  </si>
  <si>
    <t>/+grounded</t>
  </si>
  <si>
    <t>Dashing</t>
  </si>
  <si>
    <t>/+dashing</t>
  </si>
  <si>
    <t>Assured</t>
  </si>
  <si>
    <t>/+assured</t>
  </si>
  <si>
    <t>Prevailing</t>
  </si>
  <si>
    <t>/+prevailing</t>
  </si>
  <si>
    <t>Impressive</t>
  </si>
  <si>
    <t>/+impressive</t>
  </si>
  <si>
    <t>Palpable</t>
  </si>
  <si>
    <t>/+palpable</t>
  </si>
  <si>
    <t>Almighty</t>
  </si>
  <si>
    <t>/+almighty</t>
  </si>
  <si>
    <t>Earthen</t>
  </si>
  <si>
    <t>/+earthen</t>
  </si>
  <si>
    <t>Girded</t>
  </si>
  <si>
    <t>/+girded</t>
  </si>
  <si>
    <t>Relentless</t>
  </si>
  <si>
    <t>/+relentless</t>
  </si>
  <si>
    <t>Immaculate</t>
  </si>
  <si>
    <t>+3% Chance to Inflict a Piercing Hit</t>
  </si>
  <si>
    <t>/+immaculate</t>
  </si>
  <si>
    <t>Tactile</t>
  </si>
  <si>
    <t>/+tactile</t>
  </si>
  <si>
    <t>Momentous</t>
  </si>
  <si>
    <t>/+momentous</t>
  </si>
  <si>
    <t>Notable</t>
  </si>
  <si>
    <t>/+notable</t>
  </si>
  <si>
    <t>Burly</t>
  </si>
  <si>
    <t>/+burly</t>
  </si>
  <si>
    <t>Neutralizing</t>
  </si>
  <si>
    <t>/+neutralizing</t>
  </si>
  <si>
    <t>Lurid</t>
  </si>
  <si>
    <t>/+lurid</t>
  </si>
  <si>
    <t>Exceptional</t>
  </si>
  <si>
    <t>/+exceptional</t>
  </si>
  <si>
    <t>Legendary</t>
  </si>
  <si>
    <t>/+legendary</t>
  </si>
  <si>
    <t>Predestined</t>
  </si>
  <si>
    <t>/+predestined</t>
  </si>
  <si>
    <t>Shooting</t>
  </si>
  <si>
    <t>Adds 2 to Range</t>
  </si>
  <si>
    <t>/+shooting</t>
  </si>
  <si>
    <t>zapping</t>
  </si>
  <si>
    <t>Stupefying</t>
  </si>
  <si>
    <t>Remarkable</t>
  </si>
  <si>
    <t>/+remarkable</t>
  </si>
  <si>
    <t>Uncommon</t>
  </si>
  <si>
    <t>/+uncommon</t>
  </si>
  <si>
    <t>Foretold</t>
  </si>
  <si>
    <t>Armor, Ring, Amulet, Staff</t>
  </si>
  <si>
    <t>/+foretold</t>
  </si>
  <si>
    <t>Flourishing</t>
  </si>
  <si>
    <t>/+flourishing</t>
  </si>
  <si>
    <t>Resistant</t>
  </si>
  <si>
    <t>/+resistant</t>
  </si>
  <si>
    <t>Formidable</t>
  </si>
  <si>
    <t>/+formidable</t>
  </si>
  <si>
    <t>Wondrous</t>
  </si>
  <si>
    <t>+2% Chance to Inflict a Piercing Hit</t>
  </si>
  <si>
    <t>/+wondrous</t>
  </si>
  <si>
    <t>Astonishing</t>
  </si>
  <si>
    <t>+1% Chance to Inflict a Piercing Hit</t>
  </si>
  <si>
    <t>/+astonishing</t>
  </si>
  <si>
    <t>Exalted</t>
  </si>
  <si>
    <t>/+exalted</t>
  </si>
  <si>
    <t>Terrestrial</t>
  </si>
  <si>
    <t>/+terrestrial</t>
  </si>
  <si>
    <t>Elusive</t>
  </si>
  <si>
    <t>/+elusive</t>
  </si>
  <si>
    <t>Avoiding</t>
  </si>
  <si>
    <t>/+avoiding</t>
  </si>
  <si>
    <t>Staunch</t>
  </si>
  <si>
    <t>/+staunch</t>
  </si>
  <si>
    <t>Defensive</t>
  </si>
  <si>
    <t>/+defensive</t>
  </si>
  <si>
    <t>Stupendous</t>
  </si>
  <si>
    <t>/+stupendous</t>
  </si>
  <si>
    <t>Trusted</t>
  </si>
  <si>
    <t>/+trusted</t>
  </si>
  <si>
    <t>Inspired</t>
  </si>
  <si>
    <t>/+inspired</t>
  </si>
  <si>
    <t>Scuffling</t>
  </si>
  <si>
    <t>/+scuffling</t>
  </si>
  <si>
    <t>Dense</t>
  </si>
  <si>
    <t>/+dense</t>
  </si>
  <si>
    <t>Preeminent</t>
  </si>
  <si>
    <t>Weapon</t>
  </si>
  <si>
    <t>/+preeminent</t>
  </si>
  <si>
    <t>Outrageous</t>
  </si>
  <si>
    <t>/+outrageous</t>
  </si>
  <si>
    <t>Fabled</t>
  </si>
  <si>
    <t>+4% Chance to Block Ranged Attack</t>
  </si>
  <si>
    <t>/+fabled</t>
  </si>
  <si>
    <t>Elite</t>
  </si>
  <si>
    <t>/+elite</t>
  </si>
  <si>
    <t>Meticulous</t>
  </si>
  <si>
    <t>/+meticulous</t>
  </si>
  <si>
    <t>Forgotten</t>
  </si>
  <si>
    <t>/+forgotten</t>
  </si>
  <si>
    <t>Bullying</t>
  </si>
  <si>
    <t>/+bullying</t>
  </si>
  <si>
    <t>Massive</t>
  </si>
  <si>
    <t>/+massive</t>
  </si>
  <si>
    <t>Capable</t>
  </si>
  <si>
    <t>Adds 1 to 4 Damage</t>
  </si>
  <si>
    <t>/+capable</t>
  </si>
  <si>
    <t>Poisonous</t>
  </si>
  <si>
    <t>Brawny</t>
  </si>
  <si>
    <t>/+brawny</t>
  </si>
  <si>
    <t>Butchering</t>
  </si>
  <si>
    <t>/+butchering</t>
  </si>
  <si>
    <t>Splendid</t>
  </si>
  <si>
    <t>/+splendid</t>
  </si>
  <si>
    <t>Misting</t>
  </si>
  <si>
    <t>Vengeful</t>
  </si>
  <si>
    <t>/+vengeful</t>
  </si>
  <si>
    <t>Driving</t>
  </si>
  <si>
    <t>/+driving</t>
  </si>
  <si>
    <t>Intact</t>
  </si>
  <si>
    <t>/+intact</t>
  </si>
  <si>
    <t>Firm</t>
  </si>
  <si>
    <t>/+firm</t>
  </si>
  <si>
    <t>Armor, Staff, Spellbook, Ring, Amulet</t>
  </si>
  <si>
    <t>Sustained</t>
  </si>
  <si>
    <t>/+sustained</t>
  </si>
  <si>
    <t>Novel</t>
  </si>
  <si>
    <t>/+novel</t>
  </si>
  <si>
    <t>Distinct</t>
  </si>
  <si>
    <t>/+distinct</t>
  </si>
  <si>
    <t>Optimistic</t>
  </si>
  <si>
    <t>/+optimistic</t>
  </si>
  <si>
    <t>Blustering</t>
  </si>
  <si>
    <t>/+blustering</t>
  </si>
  <si>
    <t>Calloused</t>
  </si>
  <si>
    <t>/+calloused</t>
  </si>
  <si>
    <t>Organic</t>
  </si>
  <si>
    <t>/+organic</t>
  </si>
  <si>
    <t>Conflicting</t>
  </si>
  <si>
    <t>/+conflicting</t>
  </si>
  <si>
    <t>Negating</t>
  </si>
  <si>
    <t>/+negating</t>
  </si>
  <si>
    <t>Blocking</t>
  </si>
  <si>
    <t>/+blocking</t>
  </si>
  <si>
    <t>Brilliant</t>
  </si>
  <si>
    <t>/+brilliant</t>
  </si>
  <si>
    <t>Daring</t>
  </si>
  <si>
    <t>/+daring</t>
  </si>
  <si>
    <t>Secret</t>
  </si>
  <si>
    <t>/+secret</t>
  </si>
  <si>
    <t>Feisty</t>
  </si>
  <si>
    <t>/+feisty</t>
  </si>
  <si>
    <t>Fierce</t>
  </si>
  <si>
    <t>Adds 8 to Armor</t>
  </si>
  <si>
    <t>/+fierce</t>
  </si>
  <si>
    <t>Flame Retardant</t>
  </si>
  <si>
    <t>Reduces the cost of fire spells in this spell book</t>
  </si>
  <si>
    <t>/+flameretardant</t>
  </si>
  <si>
    <t>Enforced</t>
  </si>
  <si>
    <t>/+enforced</t>
  </si>
  <si>
    <t>Repellant</t>
  </si>
  <si>
    <t>/+repellant</t>
  </si>
  <si>
    <t>Goring</t>
  </si>
  <si>
    <t>/+goring</t>
  </si>
  <si>
    <t>Solid</t>
  </si>
  <si>
    <t>/+solid</t>
  </si>
  <si>
    <t>Sailing</t>
  </si>
  <si>
    <t>Adds 1 to Range</t>
  </si>
  <si>
    <t>/+sailing</t>
  </si>
  <si>
    <t>Stunning</t>
  </si>
  <si>
    <t>Rough</t>
  </si>
  <si>
    <t>Adds 3 to Armor</t>
  </si>
  <si>
    <t>/+rough</t>
  </si>
  <si>
    <t>Gliding</t>
  </si>
  <si>
    <t>/+gliding</t>
  </si>
  <si>
    <t>of Attainment</t>
  </si>
  <si>
    <t>Adds 15 to 218 Damage</t>
  </si>
  <si>
    <t>/+ofattainment</t>
  </si>
  <si>
    <t>of Aptitude</t>
  </si>
  <si>
    <t>Adds 12 to 174 Damage</t>
  </si>
  <si>
    <t>/+ofaptitude</t>
  </si>
  <si>
    <t>of the Destructive</t>
  </si>
  <si>
    <t>Adds 120 to Max Damage</t>
  </si>
  <si>
    <t>/+ofthedestructive</t>
  </si>
  <si>
    <t>of Zeal</t>
  </si>
  <si>
    <t>Adds 23 to 70 Nature Magic Damage</t>
  </si>
  <si>
    <t>Staff</t>
  </si>
  <si>
    <t>/+ofzeal</t>
  </si>
  <si>
    <t>of Antagonism</t>
  </si>
  <si>
    <t>Adds 23 to 70 Combat Magic Damage</t>
  </si>
  <si>
    <t>/+ofantagonism</t>
  </si>
  <si>
    <t>of the Lion</t>
  </si>
  <si>
    <t>Adds 529 to Health</t>
  </si>
  <si>
    <t>Weapon, Armor, Ring, Amulet, Spellbook</t>
  </si>
  <si>
    <t>/+ofthelion</t>
  </si>
  <si>
    <t>of the Zapped</t>
  </si>
  <si>
    <t>Adds 105 to 124 Lightning Damage</t>
  </si>
  <si>
    <t>/+ofthezapped</t>
  </si>
  <si>
    <t>of Lightning</t>
  </si>
  <si>
    <t>Adds 74 to 87 Lightning Damage</t>
  </si>
  <si>
    <t>/+oflightning</t>
  </si>
  <si>
    <t>of Agony</t>
  </si>
  <si>
    <t>Adds 84 to 140 Damage</t>
  </si>
  <si>
    <t>/+ofagony</t>
  </si>
  <si>
    <t>of Intent</t>
  </si>
  <si>
    <t>+12% Chance to Inflict a Piercing Hit</t>
  </si>
  <si>
    <t>/+ofintent</t>
  </si>
  <si>
    <t>of Ice</t>
  </si>
  <si>
    <t>/+ofice</t>
  </si>
  <si>
    <t>of Glaciers</t>
  </si>
  <si>
    <t>Bow</t>
  </si>
  <si>
    <t>/+ofglaciers</t>
  </si>
  <si>
    <t>of Colossus</t>
  </si>
  <si>
    <t>Adds 11 to Strength</t>
  </si>
  <si>
    <t>/+ofcolossus</t>
  </si>
  <si>
    <t>of Omniscience</t>
  </si>
  <si>
    <t>Adds 11 to Intelligence</t>
  </si>
  <si>
    <t>/+ofomniscience</t>
  </si>
  <si>
    <t>of Transcendence</t>
  </si>
  <si>
    <t>Adds 45 to 104 Damage</t>
  </si>
  <si>
    <t>/+oftranscendence</t>
  </si>
  <si>
    <t>of the Effortless</t>
  </si>
  <si>
    <t>Adds 11 to Dexterity</t>
  </si>
  <si>
    <t>/+oftheeffortless</t>
  </si>
  <si>
    <t>of the Oppressive</t>
  </si>
  <si>
    <t>Adds 104 to Max Damage</t>
  </si>
  <si>
    <t>/+oftheoppressive</t>
  </si>
  <si>
    <t>of Rejoicing</t>
  </si>
  <si>
    <t>Adds 20 to 61 Nature Magic Damage</t>
  </si>
  <si>
    <t>/+ofrejoicing</t>
  </si>
  <si>
    <t>of Repression</t>
  </si>
  <si>
    <t>Adds 20 to 61 Combat Magic Damage</t>
  </si>
  <si>
    <t>/+ofrepression</t>
  </si>
  <si>
    <t>of Fangs</t>
  </si>
  <si>
    <t>Adds 35 to 82 Piercing Damage</t>
  </si>
  <si>
    <t>/+offangs</t>
  </si>
  <si>
    <t>of Dawn</t>
  </si>
  <si>
    <t>Adds 17 Mana Per Hit</t>
  </si>
  <si>
    <t>/+ofdawn</t>
  </si>
  <si>
    <t>of Fire</t>
  </si>
  <si>
    <t>Adds 65 to 133 Fire Damage</t>
  </si>
  <si>
    <t>/+offire</t>
  </si>
  <si>
    <t>of Ignition</t>
  </si>
  <si>
    <t>Adds 46 to 93 Fire Damage</t>
  </si>
  <si>
    <t>/+ofignition</t>
  </si>
  <si>
    <t>of Ingenuity</t>
  </si>
  <si>
    <t>Adds 7 to 104 Damage</t>
  </si>
  <si>
    <t>/+ofingenuity</t>
  </si>
  <si>
    <t>of the Eagle</t>
  </si>
  <si>
    <t>Adds 67 to Max Damage</t>
  </si>
  <si>
    <t>/+oftheeagle</t>
  </si>
  <si>
    <t>of Premeditation</t>
  </si>
  <si>
    <t>/+ofpremeditation</t>
  </si>
  <si>
    <t>of the Slayer</t>
  </si>
  <si>
    <t>16 Mana Stolen Per Hit</t>
  </si>
  <si>
    <t>/+oftheslayer</t>
  </si>
  <si>
    <t>of Frostbite</t>
  </si>
  <si>
    <t>/+offrostbite</t>
  </si>
  <si>
    <t>of Icebergs</t>
  </si>
  <si>
    <t>/+oficebergs</t>
  </si>
  <si>
    <t>of the Panther</t>
  </si>
  <si>
    <t>Adds 415 to Health</t>
  </si>
  <si>
    <t>/+ofthepanther</t>
  </si>
  <si>
    <t>of Velocity</t>
  </si>
  <si>
    <t>Adds 30 to 70 Piercing Damage</t>
  </si>
  <si>
    <t>/+ofvelocity</t>
  </si>
  <si>
    <t>of Torment</t>
  </si>
  <si>
    <t>Adds 67 to 113 Damage</t>
  </si>
  <si>
    <t>/+oftorment</t>
  </si>
  <si>
    <t>of the Shocked</t>
  </si>
  <si>
    <t>Adds 85 to 95 Lightning Damage</t>
  </si>
  <si>
    <t>/+oftheshocked</t>
  </si>
  <si>
    <t>of Tempests</t>
  </si>
  <si>
    <t>Adds 60 to 67 Lightning Damage</t>
  </si>
  <si>
    <t>/+oftempests</t>
  </si>
  <si>
    <t>of Grandeur</t>
  </si>
  <si>
    <t>Adds 9 to Strength</t>
  </si>
  <si>
    <t>/+ofgrandeur</t>
  </si>
  <si>
    <t>of Foresight</t>
  </si>
  <si>
    <t>Adds 9 to Intelligence</t>
  </si>
  <si>
    <t>/+offoresight</t>
  </si>
  <si>
    <t>of Transience</t>
  </si>
  <si>
    <t>Adds 36 to 84 Damage</t>
  </si>
  <si>
    <t>/+oftransience</t>
  </si>
  <si>
    <t>of Pestilence</t>
  </si>
  <si>
    <t>Adds 85 to Maximum Damage</t>
  </si>
  <si>
    <t>/+ofpestilence</t>
  </si>
  <si>
    <t>of Epidemic</t>
  </si>
  <si>
    <t>Adds 60 to Maximum Damage</t>
  </si>
  <si>
    <t>/+ofepidemic</t>
  </si>
  <si>
    <t>of the Speedy</t>
  </si>
  <si>
    <t>Adds 9 to Dexterity</t>
  </si>
  <si>
    <t>/+ofthespeedy</t>
  </si>
  <si>
    <t>of Exhilaration</t>
  </si>
  <si>
    <t>Adds 17 to 50 Nature Magic Damage</t>
  </si>
  <si>
    <t>/+ofexhilaration</t>
  </si>
  <si>
    <t>of Adversaries</t>
  </si>
  <si>
    <t>Adds 17 to 50 Combat Magic Damage</t>
  </si>
  <si>
    <t>/+ofadversaries</t>
  </si>
  <si>
    <t>of Bounty</t>
  </si>
  <si>
    <t>Adds 11 Health Per Hit</t>
  </si>
  <si>
    <t>/+ofbounty</t>
  </si>
  <si>
    <t>of Vindication</t>
  </si>
  <si>
    <t>18% of Damage Reflected to Enemy</t>
  </si>
  <si>
    <t>/+ofvindication</t>
  </si>
  <si>
    <t>of Sunrise</t>
  </si>
  <si>
    <t>Adds 15 Mana Per Hit</t>
  </si>
  <si>
    <t>/+ofsunrise</t>
  </si>
  <si>
    <t>of the Falcon</t>
  </si>
  <si>
    <t>Adds 54 to Max Damage</t>
  </si>
  <si>
    <t>/+ofthefalcon</t>
  </si>
  <si>
    <t>of Flame</t>
  </si>
  <si>
    <t>Adds 50 to 105 Fire Damage</t>
  </si>
  <si>
    <t>/+offlame</t>
  </si>
  <si>
    <t>of Cinders</t>
  </si>
  <si>
    <t>Adds 35 to 74 Fire Damage</t>
  </si>
  <si>
    <t>/+ofsparks</t>
  </si>
  <si>
    <t>of Talons</t>
  </si>
  <si>
    <t>Adds 26 to 62 Piercing Damage</t>
  </si>
  <si>
    <t>/+oftalons</t>
  </si>
  <si>
    <t>of Magnitude</t>
  </si>
  <si>
    <t>Adds 25 to Max Nature Magic Damage</t>
  </si>
  <si>
    <t>/+ofmagnitude</t>
  </si>
  <si>
    <t>of Hostility</t>
  </si>
  <si>
    <t>Adds 25 to Max Combat Magic Damage</t>
  </si>
  <si>
    <t>/+ofhostility</t>
  </si>
  <si>
    <t>of Freezing</t>
  </si>
  <si>
    <t>/+offreezing</t>
  </si>
  <si>
    <t>of Blizzards</t>
  </si>
  <si>
    <t>Adds 31 to 51 Cold Damage</t>
  </si>
  <si>
    <t>/+ofblizzards</t>
  </si>
  <si>
    <t>of Prominence</t>
  </si>
  <si>
    <t>Adds 7 to Strength</t>
  </si>
  <si>
    <t>/+ofprominence</t>
  </si>
  <si>
    <t>of Wisdom</t>
  </si>
  <si>
    <t>Adds 7 to Intelligence</t>
  </si>
  <si>
    <t>/+ofwisdom</t>
  </si>
  <si>
    <t>of the Predator</t>
  </si>
  <si>
    <t>14 Mana Stolen Per Hit</t>
  </si>
  <si>
    <t>/+ofthepredator</t>
  </si>
  <si>
    <t>of Laceration</t>
  </si>
  <si>
    <t>Adds 54 to 90 Damage</t>
  </si>
  <si>
    <t>/+oflaceration</t>
  </si>
  <si>
    <t>of the Honed</t>
  </si>
  <si>
    <t>Adds 7 to Dexterity</t>
  </si>
  <si>
    <t>/+ofthehoned</t>
  </si>
  <si>
    <t>of the Bear</t>
  </si>
  <si>
    <t>Adds 320 to Health</t>
  </si>
  <si>
    <t>/+ofthebear</t>
  </si>
  <si>
    <t>Weapon, Ring, Amulet, Spellbook</t>
  </si>
  <si>
    <t>of the Venomous</t>
  </si>
  <si>
    <t>Adds 70 to Max Damage</t>
  </si>
  <si>
    <t>/+ofthevenomous</t>
  </si>
  <si>
    <t>of Resolution</t>
  </si>
  <si>
    <t>+10% Chance to Inflict a Piercing Hit</t>
  </si>
  <si>
    <t>/+ofresolution</t>
  </si>
  <si>
    <t>of Beyond</t>
  </si>
  <si>
    <t>Adds 27 to 63 Damage</t>
  </si>
  <si>
    <t>/+ofbeyond</t>
  </si>
  <si>
    <t>of Remoteness</t>
  </si>
  <si>
    <t>+20% Chance to Hit Enemy with a Ranged Weapon</t>
  </si>
  <si>
    <t>/+ofremoteness</t>
  </si>
  <si>
    <t>of Cautery</t>
  </si>
  <si>
    <t>Adds 40 to 85 Fire Damage</t>
  </si>
  <si>
    <t>/+ofcautery</t>
  </si>
  <si>
    <t>of Smoke</t>
  </si>
  <si>
    <t>Adds 28 to 60 Fire Damage</t>
  </si>
  <si>
    <t>/+ofsmoke</t>
  </si>
  <si>
    <t>of Greater Nova Strike</t>
  </si>
  <si>
    <t>+30% Chance to Cast Novastrike on Taking Damage</t>
  </si>
  <si>
    <t>/+ofgreaternovastrike</t>
  </si>
  <si>
    <t>of Score</t>
  </si>
  <si>
    <t>/+ofscore</t>
  </si>
  <si>
    <t>of Abundance</t>
  </si>
  <si>
    <t>Adds 9 Health Per Hit</t>
  </si>
  <si>
    <t>/+ofabundance</t>
  </si>
  <si>
    <t>of the Hunter</t>
  </si>
  <si>
    <t>13 Mana Stolen Per Hit</t>
  </si>
  <si>
    <t>/+ofthehunter</t>
  </si>
  <si>
    <t>of the Hawk</t>
  </si>
  <si>
    <t>Adds 42 to Max Damage</t>
  </si>
  <si>
    <t>/+ofthehawk</t>
  </si>
  <si>
    <t>of Joviality</t>
  </si>
  <si>
    <t>Adds 12 to 36 Nature Magic Damage</t>
  </si>
  <si>
    <t>/+ofjoviality</t>
  </si>
  <si>
    <t>of Foes</t>
  </si>
  <si>
    <t>Adds 12 to 36 Combat Magic Damage</t>
  </si>
  <si>
    <t>/+offoes</t>
  </si>
  <si>
    <t>of The Glacier</t>
  </si>
  <si>
    <t>of The Inferno</t>
  </si>
  <si>
    <t>of The Thunderbolt</t>
  </si>
  <si>
    <t>of Daylight</t>
  </si>
  <si>
    <t>Adds 13 Mana Per Hit</t>
  </si>
  <si>
    <t>/+ofdaylight</t>
  </si>
  <si>
    <t>of Vengeance</t>
  </si>
  <si>
    <t>15% of Damage Reflected to Enemy</t>
  </si>
  <si>
    <t>/+ofvengeance</t>
  </si>
  <si>
    <t>of Winter</t>
  </si>
  <si>
    <t>+15% Chance to Freeze and</t>
  </si>
  <si>
    <t>/+ofwinter</t>
  </si>
  <si>
    <t>of Snowstorms</t>
  </si>
  <si>
    <t>/+ofsnowstorms</t>
  </si>
  <si>
    <t>of Greater Firebomb</t>
  </si>
  <si>
    <t>+30% Chance to Cast Firebomb on Taking Damage</t>
  </si>
  <si>
    <t>/+ofgreaterfirebomb</t>
  </si>
  <si>
    <t>of Might</t>
  </si>
  <si>
    <t>/+ofmight</t>
  </si>
  <si>
    <t>of Acceleration</t>
  </si>
  <si>
    <t>Adds 18 to 42 Piercing Damage</t>
  </si>
  <si>
    <t>/+ofacceleration</t>
  </si>
  <si>
    <t>of Excellence</t>
  </si>
  <si>
    <t>+20% Chance to Hit Enemy with a Melee Weapon</t>
  </si>
  <si>
    <t>Melee, Ring, Amulet</t>
  </si>
  <si>
    <t>/+ofexcellence</t>
  </si>
  <si>
    <t>of Boundlessness</t>
  </si>
  <si>
    <t>Adds 20 to Max Nature Magic Damage</t>
  </si>
  <si>
    <t>/+ofboundlessness</t>
  </si>
  <si>
    <t>of Contention</t>
  </si>
  <si>
    <t>Adds 20 to Max Combat Magic Damage</t>
  </si>
  <si>
    <t>/+ofcontention</t>
  </si>
  <si>
    <t>of Impalement</t>
  </si>
  <si>
    <t>Adds 41 to 67 Damage</t>
  </si>
  <si>
    <t>/+ofimpalement</t>
  </si>
  <si>
    <t>of the Savage</t>
  </si>
  <si>
    <t>/+ofthesavage</t>
  </si>
  <si>
    <t>of the Jolted</t>
  </si>
  <si>
    <t>Adds 49 to 58 Lightning Damage</t>
  </si>
  <si>
    <t>/+ofthejolted</t>
  </si>
  <si>
    <t>of Cyclones</t>
  </si>
  <si>
    <t>Adds 34 to 41 Lightning Damage</t>
  </si>
  <si>
    <t>/+ofcyclones</t>
  </si>
  <si>
    <t>of Perjury</t>
  </si>
  <si>
    <t>6 Health Stolen Per Hit</t>
  </si>
  <si>
    <t>/+ofperjury</t>
  </si>
  <si>
    <t>of Afar</t>
  </si>
  <si>
    <t>Adds 21 to 51 Damage</t>
  </si>
  <si>
    <t>/+ofafar</t>
  </si>
  <si>
    <t>of Greater Starburst</t>
  </si>
  <si>
    <t>+30% Chance to Cast Starburst on Taking Damage</t>
  </si>
  <si>
    <t>/+ofgreaterstarburst</t>
  </si>
  <si>
    <t>of Glory</t>
  </si>
  <si>
    <t>/+ofglory</t>
  </si>
  <si>
    <t>of Major Nova Strike</t>
  </si>
  <si>
    <t>+25% Chance to Cast Novastrike on Taking Damage</t>
  </si>
  <si>
    <t>/+ofmajornovastrike</t>
  </si>
  <si>
    <t>of Tusks</t>
  </si>
  <si>
    <t>Adds 17 to 41 Piercing Damage</t>
  </si>
  <si>
    <t>/+oftusks</t>
  </si>
  <si>
    <t>of the Raider</t>
  </si>
  <si>
    <t>11 Mana Stolen Per Hit</t>
  </si>
  <si>
    <t>/+oftheraider</t>
  </si>
  <si>
    <t>of Vibrancy</t>
  </si>
  <si>
    <t>Adds 10 to 30 Nature Magic Damage</t>
  </si>
  <si>
    <t>/+ofvibrancy</t>
  </si>
  <si>
    <t>of Clashing</t>
  </si>
  <si>
    <t>Adds 10 to 30 Combat Magic Damage</t>
  </si>
  <si>
    <t>/+ofclashing</t>
  </si>
  <si>
    <t>of Disease</t>
  </si>
  <si>
    <t>Adds 45 to Maximum Damage</t>
  </si>
  <si>
    <t>/+ofdisease</t>
  </si>
  <si>
    <t>of Consumption</t>
  </si>
  <si>
    <t>Adds 32 to Maximum Damage</t>
  </si>
  <si>
    <t>/+ofconsumption</t>
  </si>
  <si>
    <t>of Equity</t>
  </si>
  <si>
    <t>Adds 23 to Max Damage</t>
  </si>
  <si>
    <t>/+ofequity</t>
  </si>
  <si>
    <t>of Extension</t>
  </si>
  <si>
    <t>+15% Chance to Hit Enemy with a Ranged Weapon</t>
  </si>
  <si>
    <t>/+ofextension</t>
  </si>
  <si>
    <t>of Wounding</t>
  </si>
  <si>
    <t>Adds 35 to 57 Damage</t>
  </si>
  <si>
    <t>/+ofwounding</t>
  </si>
  <si>
    <t>of Regard</t>
  </si>
  <si>
    <t>/+ofregard</t>
  </si>
  <si>
    <t>of Greater Lightray</t>
  </si>
  <si>
    <t>+30% Chance to Cast Lightray on Taking Damage</t>
  </si>
  <si>
    <t>/+ofgreaterlightray</t>
  </si>
  <si>
    <t>of Major Firebomb</t>
  </si>
  <si>
    <t>+25% Chance to Cast Firebomb on Taking Damage</t>
  </si>
  <si>
    <t>/+ofmajorfirebomb</t>
  </si>
  <si>
    <t>of Wealth</t>
  </si>
  <si>
    <t>Adds 7 Health Per Hit</t>
  </si>
  <si>
    <t>/+ofwealth</t>
  </si>
  <si>
    <t>of the Feral</t>
  </si>
  <si>
    <t>Adds 45 to Max Damage</t>
  </si>
  <si>
    <t>/+oftheferal</t>
  </si>
  <si>
    <t>of Numbness</t>
  </si>
  <si>
    <t>/+ofnumbness</t>
  </si>
  <si>
    <t>of Hail</t>
  </si>
  <si>
    <t>/+ofhail</t>
  </si>
  <si>
    <t>of Greater Lightning Blast</t>
  </si>
  <si>
    <t>+30% Chance to Cast lightningblast on Taking Damage</t>
  </si>
  <si>
    <t>/+ofgreaterlightningblast</t>
  </si>
  <si>
    <t>of Major Starburst</t>
  </si>
  <si>
    <t>+25% Chance to Cast Starburst on Taking Damage</t>
  </si>
  <si>
    <t>/+ofmajorstarburst</t>
  </si>
  <si>
    <t>of Agility</t>
  </si>
  <si>
    <t>Adds 14 to 30 Piercing Damage</t>
  </si>
  <si>
    <t>/+ofagility</t>
  </si>
  <si>
    <t>of Threat</t>
  </si>
  <si>
    <t>5 Health Stolen Per Hit</t>
  </si>
  <si>
    <t>/+ofthreat</t>
  </si>
  <si>
    <t>of Retribution</t>
  </si>
  <si>
    <t>13% of Damage Reflected to Enemy</t>
  </si>
  <si>
    <t>/+ofretribution</t>
  </si>
  <si>
    <t>of the Heron</t>
  </si>
  <si>
    <t>Adds 28 to Max Damage</t>
  </si>
  <si>
    <t>/+oftheheron</t>
  </si>
  <si>
    <t>of Breadth</t>
  </si>
  <si>
    <t>Adds 17 to 40 Damage</t>
  </si>
  <si>
    <t>/+ofbreadth</t>
  </si>
  <si>
    <t>of Nova Strike</t>
  </si>
  <si>
    <t>+20% Chance to Cast Novastrike on Taking Damage</t>
  </si>
  <si>
    <t>/+ofnovastrike</t>
  </si>
  <si>
    <t>of The Frozen</t>
  </si>
  <si>
    <t>of The Conflagration</t>
  </si>
  <si>
    <t>of Virulence</t>
  </si>
  <si>
    <t>/+ofvirulence</t>
  </si>
  <si>
    <t>of Claws</t>
  </si>
  <si>
    <t>Adds 14 to 32 Piercing Damage</t>
  </si>
  <si>
    <t>/+ofclaws</t>
  </si>
  <si>
    <t>of Target</t>
  </si>
  <si>
    <t>+8% Chance to Inflict a Piercing Hit</t>
  </si>
  <si>
    <t>/+oftarget</t>
  </si>
  <si>
    <t>of Sunset</t>
  </si>
  <si>
    <t>Adds 9 Mana Per Hit</t>
  </si>
  <si>
    <t>/+ofsunset</t>
  </si>
  <si>
    <t>of Perfection</t>
  </si>
  <si>
    <t>+15% Chance to Hit Enemy with a Melee Weapon</t>
  </si>
  <si>
    <t>/+ofperfection</t>
  </si>
  <si>
    <t>of Enormity</t>
  </si>
  <si>
    <t>Adds 13 to Max Nature Magic Damage</t>
  </si>
  <si>
    <t>/+ofenormity</t>
  </si>
  <si>
    <t>of Opposition</t>
  </si>
  <si>
    <t>Adds 13 to Max Combat Magic Damage</t>
  </si>
  <si>
    <t>/+ofopposition</t>
  </si>
  <si>
    <t>of Animation</t>
  </si>
  <si>
    <t>Adds 8 to 24 Nature Magic Damage</t>
  </si>
  <si>
    <t>/+ofanimation</t>
  </si>
  <si>
    <t>of Dissension</t>
  </si>
  <si>
    <t>Adds 8 to 24 Combat Magic Damage</t>
  </si>
  <si>
    <t>/+ofdissension</t>
  </si>
  <si>
    <t>of Blistering</t>
  </si>
  <si>
    <t>Adds 25 to 52 Fire Damage</t>
  </si>
  <si>
    <t>/+ofblistering</t>
  </si>
  <si>
    <t>of Embers</t>
  </si>
  <si>
    <t>Adds 18 to 36 Fire Damage</t>
  </si>
  <si>
    <t>/+ofembers</t>
  </si>
  <si>
    <t>of Infirmity</t>
  </si>
  <si>
    <t>Adds 39 to Maximum Damage</t>
  </si>
  <si>
    <t>/+ofinfirmity</t>
  </si>
  <si>
    <t>of Malady</t>
  </si>
  <si>
    <t>Adds 27 to Maximum Damage</t>
  </si>
  <si>
    <t>/+ofmalady</t>
  </si>
  <si>
    <t>of Revenge</t>
  </si>
  <si>
    <t>+6% Chance to Inflict a Piercing Hit</t>
  </si>
  <si>
    <t>/+ofrevenge</t>
  </si>
  <si>
    <t>of Major Lightray</t>
  </si>
  <si>
    <t>+25% Chance to Cast Lightray on Taking Damage</t>
  </si>
  <si>
    <t>/+ofmajorlightray</t>
  </si>
  <si>
    <t>of Endeavor</t>
  </si>
  <si>
    <t>+7% Chance to Inflict a Piercing Hit</t>
  </si>
  <si>
    <t>/+ofendeavor</t>
  </si>
  <si>
    <t>of the Plunderer</t>
  </si>
  <si>
    <t>9 Mana Stolen Per Hit</t>
  </si>
  <si>
    <t>/+oftheplunderer</t>
  </si>
  <si>
    <t>of Puncture</t>
  </si>
  <si>
    <t>Adds 27 to 48 Damage</t>
  </si>
  <si>
    <t>/+ofpuncture</t>
  </si>
  <si>
    <t>of Certainty</t>
  </si>
  <si>
    <t>/+ofcertainty</t>
  </si>
  <si>
    <t>of Greater Multispark</t>
  </si>
  <si>
    <t>+30% Chance to Cast Multispark on Taking Damage</t>
  </si>
  <si>
    <t>/+ofgreatermultispark</t>
  </si>
  <si>
    <t>of Firebomb</t>
  </si>
  <si>
    <t>+20% Chance to Cast Firebomb on Taking Damage</t>
  </si>
  <si>
    <t>/+offirebomb</t>
  </si>
  <si>
    <t>of Surplus</t>
  </si>
  <si>
    <t>Adds 6 Health Per Hit</t>
  </si>
  <si>
    <t>/+ofsurplus</t>
  </si>
  <si>
    <t>of the Rabid</t>
  </si>
  <si>
    <t>Adds 36 to Max Damage</t>
  </si>
  <si>
    <t>/+oftherabid</t>
  </si>
  <si>
    <t>of Reach</t>
  </si>
  <si>
    <t>/+ofreach</t>
  </si>
  <si>
    <t>of Emphasis</t>
  </si>
  <si>
    <t>/+ofemphasis</t>
  </si>
  <si>
    <t>of Major Lightning Blast</t>
  </si>
  <si>
    <t>+25% Chance to Cast lightningblast on Taking Damage</t>
  </si>
  <si>
    <t>/+ofmajorlightningblast</t>
  </si>
  <si>
    <t>of Impulse</t>
  </si>
  <si>
    <t>/+ofimpulse</t>
  </si>
  <si>
    <t>of Fortitude</t>
  </si>
  <si>
    <t>/+offortitude</t>
  </si>
  <si>
    <t>of Starburst</t>
  </si>
  <si>
    <t>+20% Chance to Cast Starburst on Taking Damage</t>
  </si>
  <si>
    <t>/+ofstarburst</t>
  </si>
  <si>
    <t>of Greater Fireball</t>
  </si>
  <si>
    <t>+30% Chance to Cast Fireball on Taking Damage</t>
  </si>
  <si>
    <t>/+ofgreaterfireball</t>
  </si>
  <si>
    <t>of Teeth</t>
  </si>
  <si>
    <t>Adds 12 to 28 Piercing Damage</t>
  </si>
  <si>
    <t>/+ofteeth</t>
  </si>
  <si>
    <t>of Malevolence</t>
  </si>
  <si>
    <t>4 Health Stolen Per Hit</t>
  </si>
  <si>
    <t>/+ofmalevolence</t>
  </si>
  <si>
    <t>of Defiance</t>
  </si>
  <si>
    <t>/+ofdefiance</t>
  </si>
  <si>
    <t>of the Raven</t>
  </si>
  <si>
    <t>/+oftheraven</t>
  </si>
  <si>
    <t>of Frigidity</t>
  </si>
  <si>
    <t>/+offrigidity</t>
  </si>
  <si>
    <t>of Sleet</t>
  </si>
  <si>
    <t>Adds 13 to 23 Cold Damage</t>
  </si>
  <si>
    <t>/+ofsleet</t>
  </si>
  <si>
    <t>of Virtue</t>
  </si>
  <si>
    <t>Adds 3 Mana Per Hit</t>
  </si>
  <si>
    <t>Weapon, Armor</t>
  </si>
  <si>
    <t>/+ofvirtue</t>
  </si>
  <si>
    <t>of Major Multispark</t>
  </si>
  <si>
    <t>+25% Chance to Cast Multispark on Taking Damage</t>
  </si>
  <si>
    <t>/+ofmajormultispark</t>
  </si>
  <si>
    <t>of Lightray</t>
  </si>
  <si>
    <t>+20% Chance to Cast Lightray on Taking Damage</t>
  </si>
  <si>
    <t>/+oflightray</t>
  </si>
  <si>
    <t>of the Pillager</t>
  </si>
  <si>
    <t>7 Mana Stolen Per Hit</t>
  </si>
  <si>
    <t>/+ofthepillager</t>
  </si>
  <si>
    <t>of Shadows</t>
  </si>
  <si>
    <t>Adds 7 Mana Per Hit</t>
  </si>
  <si>
    <t>/+ofshadows</t>
  </si>
  <si>
    <t>of Detail</t>
  </si>
  <si>
    <t>+13% Chance to Hit Enemy with a Melee Weapon</t>
  </si>
  <si>
    <t>/+ofdetail</t>
  </si>
  <si>
    <t>of Perforation</t>
  </si>
  <si>
    <t>Adds 23 to 33 Damage</t>
  </si>
  <si>
    <t>/+ofperforation</t>
  </si>
  <si>
    <t>of Confidence</t>
  </si>
  <si>
    <t>/+ofconfidence</t>
  </si>
  <si>
    <t>of Calculation</t>
  </si>
  <si>
    <t>/+ofcalculation</t>
  </si>
  <si>
    <t>of the Proud</t>
  </si>
  <si>
    <t>/+oftheproud</t>
  </si>
  <si>
    <t>of Minor Nova Strike</t>
  </si>
  <si>
    <t>+15% Chance to Cast Novastrike on Taking Damage</t>
  </si>
  <si>
    <t>/+ofminornovastrike</t>
  </si>
  <si>
    <t>of Independence</t>
  </si>
  <si>
    <t>Adds 1 to Max Combat Magic Damage</t>
  </si>
  <si>
    <t>Adds 3 to 8 Nature Magic Damage</t>
  </si>
  <si>
    <t>/+ofindependence</t>
  </si>
  <si>
    <t>of Greater Lightning</t>
  </si>
  <si>
    <t>+30% Chance to Cast Lightning on Taking Damage</t>
  </si>
  <si>
    <t>/+ofgreaterlightning</t>
  </si>
  <si>
    <t>of Lightning Blast</t>
  </si>
  <si>
    <t>+20% Chance to Cast lightningblast on Taking Damage</t>
  </si>
  <si>
    <t>/+oflightningblast</t>
  </si>
  <si>
    <t>of the Forgiven</t>
  </si>
  <si>
    <t>/+oftheforgiven</t>
  </si>
  <si>
    <t>of Conviction</t>
  </si>
  <si>
    <t>/+ofconviction</t>
  </si>
  <si>
    <t>of Major Fireball</t>
  </si>
  <si>
    <t>+25% Chance to Cast Fireball on Taking Damage</t>
  </si>
  <si>
    <t>/+ofmajorfireball</t>
  </si>
  <si>
    <t>of Minor Firebomb</t>
  </si>
  <si>
    <t>+15% Chance to Cast Firebomb on Taking Damage</t>
  </si>
  <si>
    <t>/+ofminorfirebomb</t>
  </si>
  <si>
    <t>of Risk</t>
  </si>
  <si>
    <t>/+ofrisk</t>
  </si>
  <si>
    <t>of Talent</t>
  </si>
  <si>
    <t>Adds 2 to 27 Damage</t>
  </si>
  <si>
    <t>/+oftalent</t>
  </si>
  <si>
    <t>of Reliance</t>
  </si>
  <si>
    <t>Adds 6 to 13 Piercing Damage</t>
  </si>
  <si>
    <t>/+ofreliance</t>
  </si>
  <si>
    <t>of Aspiration</t>
  </si>
  <si>
    <t>/+ofaspiration</t>
  </si>
  <si>
    <t>of Multispark</t>
  </si>
  <si>
    <t>+20% Chance to Cast Multispark on Taking Damage</t>
  </si>
  <si>
    <t>/+ofmultispark</t>
  </si>
  <si>
    <t>of Minor Starburst</t>
  </si>
  <si>
    <t>+15% Chance to Cast Starburst on Taking Damage</t>
  </si>
  <si>
    <t>/+ofminorstarburst</t>
  </si>
  <si>
    <t>of Robustness</t>
  </si>
  <si>
    <t>/+ofrobustness</t>
  </si>
  <si>
    <t>of Momentum</t>
  </si>
  <si>
    <t>Adds 8 to 20 Piercing Damage</t>
  </si>
  <si>
    <t>/+ofmomentum</t>
  </si>
  <si>
    <t>of Vastness</t>
  </si>
  <si>
    <t>Adds 8 to Max Nature Magic Damage</t>
  </si>
  <si>
    <t>/+ofvastness</t>
  </si>
  <si>
    <t>of Rivalry</t>
  </si>
  <si>
    <t>Adds 8 to Max Combat Magic Damage</t>
  </si>
  <si>
    <t>/+ofrivalry</t>
  </si>
  <si>
    <t>of Vitality</t>
  </si>
  <si>
    <t>Adds 5 to 15 Nature Magic Damage</t>
  </si>
  <si>
    <t>/+ofvitality</t>
  </si>
  <si>
    <t>of Disparity</t>
  </si>
  <si>
    <t>Adds 5 to 15 Combat Magic Damage</t>
  </si>
  <si>
    <t>/+ofdisparity</t>
  </si>
  <si>
    <t>of Scorching</t>
  </si>
  <si>
    <t>Adds 16 to 34 Fire Damage</t>
  </si>
  <si>
    <t>/+ofscorching</t>
  </si>
  <si>
    <t>of Coals</t>
  </si>
  <si>
    <t>Adds 11 to 24 Fire Damage</t>
  </si>
  <si>
    <t>/+ofcoals</t>
  </si>
  <si>
    <t>of The Frigid</t>
  </si>
  <si>
    <t>of The Fire</t>
  </si>
  <si>
    <t>of The Spark</t>
  </si>
  <si>
    <t>of Greater Fireskull</t>
  </si>
  <si>
    <t>+30% Chance to Cast Fireskull on Taking Damage</t>
  </si>
  <si>
    <t>/+ofgreaterfireskull</t>
  </si>
  <si>
    <t>of Courage</t>
  </si>
  <si>
    <t>/+ofcourage</t>
  </si>
  <si>
    <t>of Minor Lightray</t>
  </si>
  <si>
    <t>+15% Chance to Cast Lightray on Taking Damage</t>
  </si>
  <si>
    <t>/+ofminorlightray</t>
  </si>
  <si>
    <t>of Valor</t>
  </si>
  <si>
    <t>/+ofvalor</t>
  </si>
  <si>
    <t>of Retaliation</t>
  </si>
  <si>
    <t>/+ofretaliation</t>
  </si>
  <si>
    <t>of Secrecy</t>
  </si>
  <si>
    <t>/+ofsecrecy</t>
  </si>
  <si>
    <t>of Fireball</t>
  </si>
  <si>
    <t>+20% Chance to Cast Fireball on Taking Damage</t>
  </si>
  <si>
    <t>/+offireball</t>
  </si>
  <si>
    <t>of Excess</t>
  </si>
  <si>
    <t>Adds 5 Health Per Hit</t>
  </si>
  <si>
    <t>/+ofexcess</t>
  </si>
  <si>
    <t>of Stride</t>
  </si>
  <si>
    <t>+10% Chance to Hit Enemy with a Ranged Weapon</t>
  </si>
  <si>
    <t>/+ofstride</t>
  </si>
  <si>
    <t>of the Wild</t>
  </si>
  <si>
    <t>Adds 22 to Max Damage</t>
  </si>
  <si>
    <t>/+ofthewild</t>
  </si>
  <si>
    <t>of Stretch</t>
  </si>
  <si>
    <t>/+ofstretch</t>
  </si>
  <si>
    <t>of Vigilance</t>
  </si>
  <si>
    <t>/+ofvigilance</t>
  </si>
  <si>
    <t>of Patience</t>
  </si>
  <si>
    <t>/+ofpatience</t>
  </si>
  <si>
    <t>of Major Fireskull</t>
  </si>
  <si>
    <t>+25% Chance to Cast Fireskull on Taking Damage</t>
  </si>
  <si>
    <t>/+ofmajorfireskull</t>
  </si>
  <si>
    <t>of Minor Lightning Blast</t>
  </si>
  <si>
    <t>+15% Chance to Cast lightningblast on Taking Damage</t>
  </si>
  <si>
    <t>/+ofminorlightningblast</t>
  </si>
  <si>
    <t>of Personal Battle Rally</t>
  </si>
  <si>
    <r>
      <t>Raises the character's chance to hit in Melee combat by </t>
    </r>
    <r>
      <rPr>
        <i/>
        <sz val="8"/>
        <color rgb="FFFFFFFF"/>
        <rFont val="Arial"/>
        <family val="2"/>
      </rPr>
      <t>(leveled bonus)</t>
    </r>
    <r>
      <rPr>
        <sz val="8"/>
        <color rgb="FFFFFFFF"/>
        <rFont val="Arial"/>
        <family val="2"/>
      </rPr>
      <t>%.</t>
    </r>
  </si>
  <si>
    <t>/+ofpersonalbattlecry</t>
  </si>
  <si>
    <t>of Greater Firespray</t>
  </si>
  <si>
    <t>+30% Chance to Cast Firespray on Taking Damage</t>
  </si>
  <si>
    <t>/+ofgreaterfirespray</t>
  </si>
  <si>
    <t>+20% Chance to Cast Lightning on Taking Damage</t>
  </si>
  <si>
    <t>/+oflightning_special_defense</t>
  </si>
  <si>
    <t>of Lesser Nova Strike</t>
  </si>
  <si>
    <t>+10% Chance to Cast Novastrike on Taking Damage</t>
  </si>
  <si>
    <t>/+oflessernovastrike</t>
  </si>
  <si>
    <t>of Spikes</t>
  </si>
  <si>
    <t>/+ofspikes</t>
  </si>
  <si>
    <t>of Strike</t>
  </si>
  <si>
    <t>/+ofstrike</t>
  </si>
  <si>
    <t>of Resolve</t>
  </si>
  <si>
    <t>/+ofresolve</t>
  </si>
  <si>
    <t>of Greed</t>
  </si>
  <si>
    <t>3 Health Stolen Per Hit</t>
  </si>
  <si>
    <t>/+ofgreed</t>
  </si>
  <si>
    <t>of the Thief</t>
  </si>
  <si>
    <t>/+ofthethief</t>
  </si>
  <si>
    <t>of the Gull</t>
  </si>
  <si>
    <t>Adds 13 to Max Damage</t>
  </si>
  <si>
    <t>/+ofthegull</t>
  </si>
  <si>
    <t>of the Startled</t>
  </si>
  <si>
    <t>Adds 16 to 20 Lightning Damage</t>
  </si>
  <si>
    <t>/+ofthestartled</t>
  </si>
  <si>
    <t>of Hurricanes</t>
  </si>
  <si>
    <t>Adds 11 to 14 Lightning Damage</t>
  </si>
  <si>
    <t>/+ofhurricanes</t>
  </si>
  <si>
    <t>of the Redeemed</t>
  </si>
  <si>
    <t>/+oftheredeemed</t>
  </si>
  <si>
    <t>of Diligence</t>
  </si>
  <si>
    <t>/+ofdiligence</t>
  </si>
  <si>
    <t>of Minor Multispark</t>
  </si>
  <si>
    <t>+15% Chance to Cast Multispark on Taking Damage</t>
  </si>
  <si>
    <t>/+ofminormultispark</t>
  </si>
  <si>
    <t>of Lesser Firebomb</t>
  </si>
  <si>
    <t>+10% Chance to Cast Firebomb on Taking Damage</t>
  </si>
  <si>
    <t>/+oflesserfirebomb</t>
  </si>
  <si>
    <t>of Craft</t>
  </si>
  <si>
    <t>Adds 1 to 19 Damage</t>
  </si>
  <si>
    <t>/+ofcraft</t>
  </si>
  <si>
    <t>of the Banished</t>
  </si>
  <si>
    <t>/+ofthebanished</t>
  </si>
  <si>
    <t>of Contempt</t>
  </si>
  <si>
    <t>/+ofcontempt</t>
  </si>
  <si>
    <t>of Mortality</t>
  </si>
  <si>
    <t>/+ofmortality</t>
  </si>
  <si>
    <t>of Eagle Eye</t>
  </si>
  <si>
    <r>
      <t>Raises the Ranged Skill of the character by </t>
    </r>
    <r>
      <rPr>
        <i/>
        <sz val="8"/>
        <color rgb="FFFFFFFF"/>
        <rFont val="Arial"/>
        <family val="2"/>
      </rPr>
      <t>(leveled bonus)</t>
    </r>
    <r>
      <rPr>
        <sz val="8"/>
        <color rgb="FFFFFFFF"/>
        <rFont val="Arial"/>
        <family val="2"/>
      </rPr>
      <t>.</t>
    </r>
  </si>
  <si>
    <t>Ranged, helm, Gloves</t>
  </si>
  <si>
    <t>/+ofeagleeye</t>
  </si>
  <si>
    <t>of Stability</t>
  </si>
  <si>
    <t>/+ofstability</t>
  </si>
  <si>
    <t>of Old</t>
  </si>
  <si>
    <t>/+ofold</t>
  </si>
  <si>
    <t>of the Haughty</t>
  </si>
  <si>
    <t>/+ofthehaughty</t>
  </si>
  <si>
    <t>of Pretense</t>
  </si>
  <si>
    <t>/+ofpretense</t>
  </si>
  <si>
    <t>of Major Firespray</t>
  </si>
  <si>
    <t>+25% Chance to Cast Firespray on Taking Damage</t>
  </si>
  <si>
    <t>/+ofmajorfirespray</t>
  </si>
  <si>
    <t>of Fireskull</t>
  </si>
  <si>
    <t>+20% Chance to Cast Fireskull on Taking Damage</t>
  </si>
  <si>
    <t>/+offireskull</t>
  </si>
  <si>
    <t>of Minor Fireball</t>
  </si>
  <si>
    <t>+15% Chance to Cast Fireball on Taking Damage</t>
  </si>
  <si>
    <t>/+ofminorfireball</t>
  </si>
  <si>
    <t>of Lesser Starburst</t>
  </si>
  <si>
    <t>+10% Chance to Cast Starburst on Taking Damage</t>
  </si>
  <si>
    <t>/+oflesserstarburst</t>
  </si>
  <si>
    <t>of Urgency</t>
  </si>
  <si>
    <t>/+ofurgency</t>
  </si>
  <si>
    <t>of Dusk</t>
  </si>
  <si>
    <t>/+ofdusk</t>
  </si>
  <si>
    <t>of Exactness</t>
  </si>
  <si>
    <t>+10% Chance to Hit Enemy with a Melee Weapon</t>
  </si>
  <si>
    <t>/+ofexactness</t>
  </si>
  <si>
    <t>of Stabbing</t>
  </si>
  <si>
    <t>Adds 12 to 20 Damage</t>
  </si>
  <si>
    <t>/+ofstabbing</t>
  </si>
  <si>
    <t>of Infection</t>
  </si>
  <si>
    <t>Adds 16 to Maximum Damage</t>
  </si>
  <si>
    <t>/+ofinfection</t>
  </si>
  <si>
    <t>of Ailment</t>
  </si>
  <si>
    <t>Adds 11 to Maximum Damage</t>
  </si>
  <si>
    <t>/+ofailment</t>
  </si>
  <si>
    <t>of Greater Spark</t>
  </si>
  <si>
    <t>+30% Chance to Cast Spark on Taking Damage</t>
  </si>
  <si>
    <t>/+ofgreaterspark</t>
  </si>
  <si>
    <t>of Lesser Lightray</t>
  </si>
  <si>
    <t>+10% Chance to Cast Lightray on Taking Damage</t>
  </si>
  <si>
    <t>/+oflesserlightray</t>
  </si>
  <si>
    <t>of The Frost</t>
  </si>
  <si>
    <t>of The Blaze</t>
  </si>
  <si>
    <t>of The Charge</t>
  </si>
  <si>
    <t>of Minor Lightning</t>
  </si>
  <si>
    <t>+15% Chance to Cast Lightning on Taking Damage</t>
  </si>
  <si>
    <t>/+ofminorlightning</t>
  </si>
  <si>
    <t>of Honor</t>
  </si>
  <si>
    <t>Adds 3 to Max Damage</t>
  </si>
  <si>
    <t>/+ofhonor</t>
  </si>
  <si>
    <t>of Firespray</t>
  </si>
  <si>
    <t>+20% Chance to Cast Firespray on Taking Damage</t>
  </si>
  <si>
    <t>/+offirespray</t>
  </si>
  <si>
    <t>of Major Lightning</t>
  </si>
  <si>
    <t>+25% Chance to Cast Lightning on Taking Damage</t>
  </si>
  <si>
    <t>/+ofmajorlightning</t>
  </si>
  <si>
    <t>of Lesser Lightning Blast</t>
  </si>
  <si>
    <t>+10% Chance to Cast lightningblast on Taking Damage</t>
  </si>
  <si>
    <t>/+oflesserlightningblast</t>
  </si>
  <si>
    <t>of Sturdiness</t>
  </si>
  <si>
    <t>/+ofsturdiness</t>
  </si>
  <si>
    <t>of Liveliness</t>
  </si>
  <si>
    <t>/+ofliveliness</t>
  </si>
  <si>
    <t>of Protest</t>
  </si>
  <si>
    <t>Adds 3 to 8 Combat Magic Damage</t>
  </si>
  <si>
    <t>/+ofprotest</t>
  </si>
  <si>
    <t>of Chilling</t>
  </si>
  <si>
    <t>/+ofchilling</t>
  </si>
  <si>
    <t>of Slush</t>
  </si>
  <si>
    <t>/+ofslush</t>
  </si>
  <si>
    <t>of Privilege</t>
  </si>
  <si>
    <t>/+ofprivilege</t>
  </si>
  <si>
    <t>of Faith</t>
  </si>
  <si>
    <t>Adds 1 to Max Nature Magic Damage</t>
  </si>
  <si>
    <t>/+offaith</t>
  </si>
  <si>
    <t>of Clean Strike</t>
  </si>
  <si>
    <t>/+ofcleanstrike</t>
  </si>
  <si>
    <t>of Major Spark</t>
  </si>
  <si>
    <t>+25% Chance to Cast Spark on Taking Damage</t>
  </si>
  <si>
    <t>/+ofmajorspark</t>
  </si>
  <si>
    <t>of Lesser Multispark</t>
  </si>
  <si>
    <t>+10% Chance to Cast Multispark on Taking Damage</t>
  </si>
  <si>
    <t>/+oflessermultispark</t>
  </si>
  <si>
    <t>of Briars</t>
  </si>
  <si>
    <t>/+ofbriars</t>
  </si>
  <si>
    <t>of Precision</t>
  </si>
  <si>
    <t>/+ofprecision</t>
  </si>
  <si>
    <t>of Twilight</t>
  </si>
  <si>
    <t>Adds 4 Mana Per Hit</t>
  </si>
  <si>
    <t>/+oftwilight</t>
  </si>
  <si>
    <t>of Exchange</t>
  </si>
  <si>
    <t>/+ofexchange</t>
  </si>
  <si>
    <t>of the Provoked</t>
  </si>
  <si>
    <t>Adds 12 to Max Damage</t>
  </si>
  <si>
    <t>/+oftheprovoked</t>
  </si>
  <si>
    <t>of Horizon</t>
  </si>
  <si>
    <t>/+ofhorizon</t>
  </si>
  <si>
    <t>of Searing</t>
  </si>
  <si>
    <t>Adds 8 to 15 Fire Damage</t>
  </si>
  <si>
    <t>/+ofsearing</t>
  </si>
  <si>
    <t>Adds 6 to 11 Fire Damage</t>
  </si>
  <si>
    <t>/+ofcinders</t>
  </si>
  <si>
    <t>of Youth</t>
  </si>
  <si>
    <t>/+ofyouth</t>
  </si>
  <si>
    <t>of Truth</t>
  </si>
  <si>
    <t>/+oftruth</t>
  </si>
  <si>
    <t>of Personal Stone Skin</t>
  </si>
  <si>
    <r>
      <t>Surrounds the character with a shell of magical energy, adding </t>
    </r>
    <r>
      <rPr>
        <i/>
        <sz val="8"/>
        <color rgb="FFFFFFFF"/>
        <rFont val="Arial"/>
        <family val="2"/>
      </rPr>
      <t>(leveled bonus)</t>
    </r>
    <r>
      <rPr>
        <sz val="8"/>
        <color rgb="FFFFFFFF"/>
        <rFont val="Arial"/>
        <family val="2"/>
      </rPr>
      <t> to Armor.</t>
    </r>
  </si>
  <si>
    <t>/+ofpersonalstoneskin</t>
  </si>
  <si>
    <t>of Minor Fireskull</t>
  </si>
  <si>
    <t>+15% Chance to Cast Fireskull on Taking Damage</t>
  </si>
  <si>
    <t>/+ofminorfireskull</t>
  </si>
  <si>
    <t>of Purpose</t>
  </si>
  <si>
    <t>/+ofpurpose</t>
  </si>
  <si>
    <t>of Lechery</t>
  </si>
  <si>
    <t>/+oflechery</t>
  </si>
  <si>
    <t>of the Looter</t>
  </si>
  <si>
    <t>/+ofthelooter</t>
  </si>
  <si>
    <t>of the Dove</t>
  </si>
  <si>
    <t>Adds 8 to Max Damage</t>
  </si>
  <si>
    <t>/+ofthedove</t>
  </si>
  <si>
    <t>of Expanse</t>
  </si>
  <si>
    <t>Adds 4 to Max Nature Magic Damage</t>
  </si>
  <si>
    <t>/+ofexpanse</t>
  </si>
  <si>
    <t>of Discord</t>
  </si>
  <si>
    <t>Adds 4 to Max Combat Magic Damage</t>
  </si>
  <si>
    <t>/+ofdiscord</t>
  </si>
  <si>
    <t>of Carving</t>
  </si>
  <si>
    <t>/+ofcarving</t>
  </si>
  <si>
    <t>of Dread</t>
  </si>
  <si>
    <t>/+ofdread</t>
  </si>
  <si>
    <t>of Prosperity</t>
  </si>
  <si>
    <t>/+ofprosperity</t>
  </si>
  <si>
    <t>of Greater Fireshot</t>
  </si>
  <si>
    <t>+30% Chance to Cast Fireshot on Taking Damage</t>
  </si>
  <si>
    <t>/+ofgreaterfireshot</t>
  </si>
  <si>
    <t>of Spark</t>
  </si>
  <si>
    <t>+20% Chance to Cast Spark on Taking Damage</t>
  </si>
  <si>
    <t>/+ofspark</t>
  </si>
  <si>
    <t>of Lesser Fireball</t>
  </si>
  <si>
    <t>+10% Chance to Cast Fireball on Taking Damage</t>
  </si>
  <si>
    <t>/+oflesserfireball</t>
  </si>
  <si>
    <t>of Monstrosity</t>
  </si>
  <si>
    <t>/+ofmonstrosity</t>
  </si>
  <si>
    <t>of Currents</t>
  </si>
  <si>
    <t>/+ofcurrents</t>
  </si>
  <si>
    <t>of Minor Firespray</t>
  </si>
  <si>
    <t>+15% Chance to Cast Firespray on Taking Damage</t>
  </si>
  <si>
    <t>/+ofminorfirespray</t>
  </si>
  <si>
    <t>of Lesser Lightning</t>
  </si>
  <si>
    <t>+10% Chance to Cast Lightning on Taking Damage</t>
  </si>
  <si>
    <t>/+oflesserlightning</t>
  </si>
  <si>
    <t>of Affluence</t>
  </si>
  <si>
    <t>/+ofaffluence</t>
  </si>
  <si>
    <t>of Distance</t>
  </si>
  <si>
    <t>/+ofdistance</t>
  </si>
  <si>
    <t>of Energy</t>
  </si>
  <si>
    <t>Adds 2 to 6 Nature Magic Damage</t>
  </si>
  <si>
    <t>/+ofenergy</t>
  </si>
  <si>
    <t>of Objection</t>
  </si>
  <si>
    <t>/+ofobjection</t>
  </si>
  <si>
    <t>of Hope</t>
  </si>
  <si>
    <t>/+ofhope</t>
  </si>
  <si>
    <t>of Major Fireshot</t>
  </si>
  <si>
    <t>+25% Chance to Cast Fireshot on Taking Damage</t>
  </si>
  <si>
    <t>/+ofmajorfireshot</t>
  </si>
  <si>
    <t>of Range Boost</t>
  </si>
  <si>
    <r>
      <t>Increases the range of this Weapon by </t>
    </r>
    <r>
      <rPr>
        <i/>
        <sz val="8"/>
        <color rgb="FFFFFFFF"/>
        <rFont val="Arial"/>
        <family val="2"/>
      </rPr>
      <t>(leveled bonus)</t>
    </r>
    <r>
      <rPr>
        <sz val="8"/>
        <color rgb="FFFFFFFF"/>
        <rFont val="Arial"/>
        <family val="2"/>
      </rPr>
      <t>.</t>
    </r>
  </si>
  <si>
    <t>/+ofrangeboost</t>
  </si>
  <si>
    <t>of Fireshot</t>
  </si>
  <si>
    <t>+20% Chance to Cast Fireshot on Taking Damage</t>
  </si>
  <si>
    <t>/+offireshot</t>
  </si>
  <si>
    <t>of Minor Spark</t>
  </si>
  <si>
    <t>+15% Chance to Cast Spark on Taking Damage</t>
  </si>
  <si>
    <t>/+ofminorspark</t>
  </si>
  <si>
    <t>of Lesser Fireskull</t>
  </si>
  <si>
    <t>+10% Chance to Cast Fireskull on Taking Damage</t>
  </si>
  <si>
    <t>/+oflesserfireskull</t>
  </si>
  <si>
    <t>of Sorrows</t>
  </si>
  <si>
    <t>/+ofsorrows</t>
  </si>
  <si>
    <t>of Greater Zap</t>
  </si>
  <si>
    <t>+30% Chance to Cast Zap on Taking Damage</t>
  </si>
  <si>
    <t>/+ofgreaterzap</t>
  </si>
  <si>
    <t>of Lesser Firespray</t>
  </si>
  <si>
    <t>+10% Chance to Cast Firespray on Taking Damage</t>
  </si>
  <si>
    <t>/+oflesserfirespray</t>
  </si>
  <si>
    <t>of Ferocity</t>
  </si>
  <si>
    <t>/+offerocity</t>
  </si>
  <si>
    <t>of Hardiness</t>
  </si>
  <si>
    <t>/+ofhardiness</t>
  </si>
  <si>
    <t>of Haste</t>
  </si>
  <si>
    <t>/+ofhaste</t>
  </si>
  <si>
    <t>of Measure</t>
  </si>
  <si>
    <t>/+ofmeasure</t>
  </si>
  <si>
    <t>of Endowment</t>
  </si>
  <si>
    <t>/+ofendowment</t>
  </si>
  <si>
    <t>of Starlight</t>
  </si>
  <si>
    <t>/+ofstarlight</t>
  </si>
  <si>
    <t>of Focus</t>
  </si>
  <si>
    <t>+5% Chance to Hit Enemy with a Melee Weapon</t>
  </si>
  <si>
    <t>/+offocus</t>
  </si>
  <si>
    <t>of Reversal</t>
  </si>
  <si>
    <t>/+ofreversal</t>
  </si>
  <si>
    <t>of the Untamed</t>
  </si>
  <si>
    <t>Adds 6 to Max Damage</t>
  </si>
  <si>
    <t>/+oftheuntamed</t>
  </si>
  <si>
    <t>of Length</t>
  </si>
  <si>
    <t>/+oflength</t>
  </si>
  <si>
    <t>of Coldness</t>
  </si>
  <si>
    <t>/+ofcoldness</t>
  </si>
  <si>
    <t>of Snowflakes</t>
  </si>
  <si>
    <t>/+ofsnowflakes</t>
  </si>
  <si>
    <t>of the Jarred</t>
  </si>
  <si>
    <t>Adds 5 to 7 Lightning Damage</t>
  </si>
  <si>
    <t>/+ofthejarred</t>
  </si>
  <si>
    <t>of Thunder</t>
  </si>
  <si>
    <t>Adds 4 to 5 Lightning Damage</t>
  </si>
  <si>
    <t>/+ofthunder</t>
  </si>
  <si>
    <t>of Aggression</t>
  </si>
  <si>
    <t>/+ofaggression</t>
  </si>
  <si>
    <t>of Carnage</t>
  </si>
  <si>
    <t>/+ofcarnage</t>
  </si>
  <si>
    <t>of Spirit Armor</t>
  </si>
  <si>
    <r>
      <t>Adds </t>
    </r>
    <r>
      <rPr>
        <i/>
        <sz val="8"/>
        <color rgb="FFFFFFFF"/>
        <rFont val="Arial"/>
        <family val="2"/>
      </rPr>
      <t>(leveled bonus)</t>
    </r>
    <r>
      <rPr>
        <sz val="8"/>
        <color rgb="FFFFFFFF"/>
        <rFont val="Arial"/>
        <family val="2"/>
      </rPr>
      <t> to Armor.</t>
    </r>
  </si>
  <si>
    <t>/+ofspiritArmor</t>
  </si>
  <si>
    <t>of Personal Mystic Aid</t>
  </si>
  <si>
    <t>/+ofpersonalmysticaid</t>
  </si>
  <si>
    <t>of Major Zap</t>
  </si>
  <si>
    <t>+25% Chance to Cast Zap on Taking Damage</t>
  </si>
  <si>
    <t>/+ofmajorzap</t>
  </si>
  <si>
    <t>of Minor Fireshot</t>
  </si>
  <si>
    <t>+15% Chance to Cast Fireshot on Taking Damage</t>
  </si>
  <si>
    <t>/+ofminorfireshot</t>
  </si>
  <si>
    <t>of Refuge</t>
  </si>
  <si>
    <t>/+ofrefuge</t>
  </si>
  <si>
    <t>of Ogres Might</t>
  </si>
  <si>
    <r>
      <t>Boosts the character's physical power, adding </t>
    </r>
    <r>
      <rPr>
        <i/>
        <sz val="8"/>
        <color rgb="FFFFFFFF"/>
        <rFont val="Arial"/>
        <family val="2"/>
      </rPr>
      <t>(leveled bonus)</t>
    </r>
    <r>
      <rPr>
        <sz val="8"/>
        <color rgb="FFFFFFFF"/>
        <rFont val="Arial"/>
        <family val="2"/>
      </rPr>
      <t> to Strength.</t>
    </r>
  </si>
  <si>
    <t>/+ofogresmight</t>
  </si>
  <si>
    <t>of The Chill</t>
  </si>
  <si>
    <t>of The Flame</t>
  </si>
  <si>
    <t>of Zap</t>
  </si>
  <si>
    <t>+20% Chance to Cast Zap on Taking Damage</t>
  </si>
  <si>
    <t>/+ofzap</t>
  </si>
  <si>
    <t>of Lesser Spark</t>
  </si>
  <si>
    <t>+10% Chance to Cast Spark on Taking Damage</t>
  </si>
  <si>
    <t>/+oflesserspark</t>
  </si>
  <si>
    <t>of Pluck</t>
  </si>
  <si>
    <t>/+ofpluck</t>
  </si>
  <si>
    <t>of Thorns</t>
  </si>
  <si>
    <t>/+ofthorns</t>
  </si>
  <si>
    <t>of Deception</t>
  </si>
  <si>
    <t>/+ofdeception</t>
  </si>
  <si>
    <t>of Projection</t>
  </si>
  <si>
    <t>/+ofprojection</t>
  </si>
  <si>
    <t>of Creation</t>
  </si>
  <si>
    <t>/+ofcreation</t>
  </si>
  <si>
    <t>of Struggle</t>
  </si>
  <si>
    <t>/+ofstruggle</t>
  </si>
  <si>
    <t>of the Sparrow</t>
  </si>
  <si>
    <t>/+ofthesparrow</t>
  </si>
  <si>
    <t>of Greatness</t>
  </si>
  <si>
    <t>/+ofgreatness</t>
  </si>
  <si>
    <t>of Strife</t>
  </si>
  <si>
    <t>/+ofstrife</t>
  </si>
  <si>
    <t>of Span</t>
  </si>
  <si>
    <t>/+ofspan</t>
  </si>
  <si>
    <t>of Singeing</t>
  </si>
  <si>
    <t>Adds 3 to 5 Fire Damage</t>
  </si>
  <si>
    <t>/+ofsingeing</t>
  </si>
  <si>
    <t>of Ash</t>
  </si>
  <si>
    <t>Adds 2 to 3 Fire Damage</t>
  </si>
  <si>
    <t>/+ofash</t>
  </si>
  <si>
    <t>of Illness</t>
  </si>
  <si>
    <t>Adds 4 to Maximum Damage</t>
  </si>
  <si>
    <t>/+ofillness</t>
  </si>
  <si>
    <t>of Sickness</t>
  </si>
  <si>
    <t>Adds 3 to Maximum Damage</t>
  </si>
  <si>
    <t>/+ofsickness</t>
  </si>
  <si>
    <t>of Influence</t>
  </si>
  <si>
    <t>/+ofinfluence</t>
  </si>
  <si>
    <t>of Seasons</t>
  </si>
  <si>
    <t>/+ofseasons</t>
  </si>
  <si>
    <t>of Lesser Fireshot</t>
  </si>
  <si>
    <t>+10% Chance to Cast Fireshot on Taking Damage</t>
  </si>
  <si>
    <t>/+oflesserfireshot</t>
  </si>
  <si>
    <t>of Zest</t>
  </si>
  <si>
    <t>/+ofzest</t>
  </si>
  <si>
    <t>of Promise</t>
  </si>
  <si>
    <t>/+ofpromise</t>
  </si>
  <si>
    <t>of Minor Zap</t>
  </si>
  <si>
    <t>+15% Chance to Cast Zap on Taking Damage</t>
  </si>
  <si>
    <t>/+ofminorzap</t>
  </si>
  <si>
    <t>of Design</t>
  </si>
  <si>
    <t>/+ofdesign</t>
  </si>
  <si>
    <t>of Enhancement</t>
  </si>
  <si>
    <t>/+ofenhancement</t>
  </si>
  <si>
    <t>of Sharpness</t>
  </si>
  <si>
    <t>/+ofsharpness</t>
  </si>
  <si>
    <t>of the Unbridled</t>
  </si>
  <si>
    <t>/+oftheunbridled</t>
  </si>
  <si>
    <t>of Slicing</t>
  </si>
  <si>
    <t>/+ofslicing</t>
  </si>
  <si>
    <t>of Survival</t>
  </si>
  <si>
    <t>Adds 1 to 2 Nature Magic Damage</t>
  </si>
  <si>
    <t>/+ofsurvival</t>
  </si>
  <si>
    <t>of Dispute</t>
  </si>
  <si>
    <t>Adds 1 to 2 Combat Magic Damage</t>
  </si>
  <si>
    <t>/+ofdispute</t>
  </si>
  <si>
    <t>of Shivering</t>
  </si>
  <si>
    <t>/+ofshivering</t>
  </si>
  <si>
    <t>of the Shaken</t>
  </si>
  <si>
    <t>Adds 1 to 3 Lightning Damage</t>
  </si>
  <si>
    <t>/+oftheshaken</t>
  </si>
  <si>
    <t>of Life Force</t>
  </si>
  <si>
    <r>
      <t>Increases wielders Melee damage versus Undead by +</t>
    </r>
    <r>
      <rPr>
        <i/>
        <sz val="8"/>
        <color rgb="FFFFFFFF"/>
        <rFont val="Arial"/>
        <family val="2"/>
      </rPr>
      <t>(leveled bonus)</t>
    </r>
    <r>
      <rPr>
        <sz val="8"/>
        <color rgb="FFFFFFFF"/>
        <rFont val="Arial"/>
        <family val="2"/>
      </rPr>
      <t> points.</t>
    </r>
  </si>
  <si>
    <t>/+oflifeforce</t>
  </si>
  <si>
    <t>of Lesser Zap</t>
  </si>
  <si>
    <t>+10% Chance to Cast Zap on Taking Damage</t>
  </si>
  <si>
    <t>/+oflesserzap</t>
  </si>
  <si>
    <t>of Poison</t>
  </si>
  <si>
    <t>/+ofpoison</t>
  </si>
  <si>
    <t>of Accuracy</t>
  </si>
  <si>
    <t>/+ofaccuracy</t>
  </si>
  <si>
    <t>of the Parasite</t>
  </si>
  <si>
    <t>/+oftheparasite</t>
  </si>
  <si>
    <t>of Midnight</t>
  </si>
  <si>
    <t>/+ofmidnight</t>
  </si>
  <si>
    <t>of Burning</t>
  </si>
  <si>
    <t>Adds 1 to 2 Fire Damage</t>
  </si>
  <si>
    <t>/+ofburning</t>
  </si>
  <si>
    <t>of Symptoms</t>
  </si>
  <si>
    <t>Adds 1 to Maximum Damage</t>
  </si>
  <si>
    <t>/+ofsymptoms</t>
  </si>
  <si>
    <t>of Magic Armor</t>
  </si>
  <si>
    <t>/+ofmagicArmor</t>
  </si>
  <si>
    <t>of Charged Fist</t>
  </si>
  <si>
    <r>
      <t>Raises the Max Melee damage of the character by </t>
    </r>
    <r>
      <rPr>
        <i/>
        <sz val="8"/>
        <color rgb="FFFFFFFF"/>
        <rFont val="Arial"/>
        <family val="2"/>
      </rPr>
      <t>(leveled bonus)</t>
    </r>
    <r>
      <rPr>
        <sz val="8"/>
        <color rgb="FFFFFFFF"/>
        <rFont val="Arial"/>
        <family val="2"/>
      </rPr>
      <t>.</t>
    </r>
  </si>
  <si>
    <t>Gloves</t>
  </si>
  <si>
    <t>/+ofchargedfist</t>
  </si>
  <si>
    <t>of Anchored Shot</t>
  </si>
  <si>
    <r>
      <t>Raises the character's chance to hit in Ranged combat by </t>
    </r>
    <r>
      <rPr>
        <i/>
        <sz val="8"/>
        <color rgb="FFFFFFFF"/>
        <rFont val="Arial"/>
        <family val="2"/>
      </rPr>
      <t>(leveled bonus)</t>
    </r>
    <r>
      <rPr>
        <sz val="8"/>
        <color rgb="FFFFFFFF"/>
        <rFont val="Arial"/>
        <family val="2"/>
      </rPr>
      <t>%.</t>
    </r>
  </si>
  <si>
    <t>Ranged, Gloves, Ring</t>
  </si>
  <si>
    <t>/+ofanchoredshot</t>
  </si>
  <si>
    <t>Adds 7 to Melee Skill
Adds 27 to 48 Melee Damage</t>
  </si>
  <si>
    <t xml:space="preserve">Magic
</t>
  </si>
  <si>
    <t xml:space="preserve">Melee
</t>
  </si>
  <si>
    <t xml:space="preserve">115
</t>
  </si>
  <si>
    <t xml:space="preserve">/+monumental
</t>
  </si>
  <si>
    <t>Adds 7 to Ranged Skill
Adds 15 to 35 Damage</t>
  </si>
  <si>
    <t>Adds 1 to Strength
Adds 3 Health Per Hit
4 Mana Stolen Per Hit
Piercing Damage Reduced by 16%
10% of Damage Reflected to Enemy</t>
  </si>
  <si>
    <t>Adds 6 to Dexterity
Adds 2 to Melee Skill
Adds 1 to Ranged Skill
Ranged Damage Reduced by 12%
3% of Damage Reflected to Enemy</t>
  </si>
  <si>
    <t>6 Mana Stolen Per Hit
Adds 3 to Combat Magic Skill
Adds 25 to Armor
Piercing Damage Reduced by 13%
Adds 3 to Max Combat Magic Damage</t>
  </si>
  <si>
    <t>Adds 5 to Melee Skill
Adds 23 to 33 Melee Damage</t>
  </si>
  <si>
    <t>Adds 5 to Ranged Skill
Adds 9 to 21 Damage</t>
  </si>
  <si>
    <t>+20% Chance To Poison And
Adds 20 to 30 Poison Damage</t>
  </si>
  <si>
    <t>Adds 3 to Strength
Adds 5 to Melee Skill
Adds 7 to 16 Piercing Damage
Magic Damage Reduced by 5%</t>
  </si>
  <si>
    <t>2 Health Stolen Per Hit
5 Mana Stolen Per Hit
Adds 2 to Melee Skill
Adds 3 to Combat Magic Skill
Ranged Damage Reduced by 8%</t>
  </si>
  <si>
    <t>Adds 6 Mana Per Hit
Adds 1 to Melee Skill
Adds 28 to Armor
+2% Chance to Block Melee Attack
+5% Chance to Dodge Melee Attack</t>
  </si>
  <si>
    <t>Adds 4 to Nature Magic Skill
Adds 4 to Ranged Skill
Adds 23 to Armor
+2% Chance to Block Melee Attack</t>
  </si>
  <si>
    <t>+20% Chance To Flee And
Adds 20 to 30 Fear Damage</t>
  </si>
  <si>
    <t>+20% Chance To Acidify And
Adds 20 to 30 Acid Damage</t>
  </si>
  <si>
    <t>Adds 4 to Intelligence
Adds 3 Health Per Hit
Adds 223 to Mana
Adds 1 to Ranged Skill</t>
  </si>
  <si>
    <t>Adds 2 to Strength
Adds 3 to Dexterity
Adds 1 to Intelligence
Adds 50 to Armor</t>
  </si>
  <si>
    <t>+8% Chance to Block Melee Attack
+13% Chance to Block Magic Attacks
Melee Damage Reduced by 11%</t>
  </si>
  <si>
    <t>Adds 166 to Health
Adds 7 to Armor
+11% Chance to Dodge Ranged Attack
+3% Chance to Hit Enemy with a Melee Weapon</t>
  </si>
  <si>
    <t>Adds 5 to Ranged Skill
Magic Damage Reduced by 6%
3% of Damage Reflected to Enemy
Adds 1 to Combat Magic Skill</t>
  </si>
  <si>
    <t>Adds 2 to Melee Skill
Adds 2 to Ranged Skill
Adds 3 to Nature Magic Skill
Adds 3 to Combat Magic Skill
Adds 26 to Armor</t>
  </si>
  <si>
    <t>2 Health Stolen Per Hit
+5% Chance to Inflict a Piercing Hit
+8% Chance to Block Magic Attacks
+9% Chance to Hit Enemy with a Ranged Weapon
Adds 7 to Max Damage</t>
  </si>
  <si>
    <t>4 Mana Stolen Per Hit
+5% Chance to Block Magic Attacks
+5% Chance to Dodge Melee Attack
5% of Damage Reflected to Enemy
Adds 22 to Melee Max Damage</t>
  </si>
  <si>
    <t>Adds 4 to Intelligence
Adds 79 to Mana
Adds 1 to Nature Magic Min Damage
Adds 2 to 6 Combat Magic Damage</t>
  </si>
  <si>
    <t>Adds 3 to Combat Magic Skill
+4% Chance to Inflict a Piercing Hit
Melee Damage Reduced by 5%
+9% Chance to Dodge Melee Attack</t>
  </si>
  <si>
    <t>+15% Chance To Poison And
Adds 20 to 30 Poison Damage</t>
  </si>
  <si>
    <t>+20% Chance To Petrify And
Adds 15 to 25 Petrification Damage</t>
  </si>
  <si>
    <t>Adds 3 to Strength
2 Health Stolen Per Hit
+5% Chance to Block Magic Attacks
+4% Chance to Hit Enemy with a Melee Weapon
+7% Chance to Hit Enemy with a Ranged Weapon</t>
  </si>
  <si>
    <t>Magic Damage Reduced by 5%
Piercing Damage Reduced by 7%
+13% Chance to Hit Enemy
+5% Chance to Dodge Ranged Attack</t>
  </si>
  <si>
    <t>Adds 1 to Dexterity
Adds 1 to Intelligence
2 Health Stolen Per Hit
Adds 3 to Nature Magic Skill
Melee Damage Reduced by 10%</t>
  </si>
  <si>
    <t>+20% Chance To Acidify And
Adds 10 to 20 Acid Damage</t>
  </si>
  <si>
    <t>Adds 97 to Health
+5% Chance to Dodge Ranged Attack
3% of Damage Reflected to Enemy
Piercing Damage Reduced by 9%</t>
  </si>
  <si>
    <t>Adds 4 to Ranged Skill
+10% Chance to Dodge Ranged Attack
Piercing Damage Reduced by 5%</t>
  </si>
  <si>
    <t>+20% Chance To Flee And
Adds 15 to 25 Fear Damage</t>
  </si>
  <si>
    <t>Adds 4 to Melee Skill
Adds 12 to 20 Melee Damage</t>
  </si>
  <si>
    <t>Adds 4 to Ranged Skill
Adds 5 to 11 Damage</t>
  </si>
  <si>
    <t>Adds 2 to Strength
1 Health Stolen Per Hit
+5% Chance to Dodge Melee Attack
3% of Damage Reflected to Enemy
Adds 2 to Intelligence</t>
  </si>
  <si>
    <t>Adds 1 to Intelligence
Adds 4 to Melee Skill
Piercing Damage Reduced by 9%
Ranged Damage Reduced by 3%
+2% Chance to Block Melee Attack</t>
  </si>
  <si>
    <t>Adds 3 to Combat Magic Skill
+5% Chance to Block Melee Attack
+9% Chance to Block Ranged Attack</t>
  </si>
  <si>
    <t>Adds 2 to Intelligence
+6% Chance to Hit Enemy with a Melee Weapon
Adds 3 to 5 Lightning Damage
Adds 2 to Strength</t>
  </si>
  <si>
    <t>+15% Chance To Poison And
Adds 10 to 20 Poison Damage</t>
  </si>
  <si>
    <t>+20% Chance To Turn to Stone And
Adds 5 to 15 Stoning Damage</t>
  </si>
  <si>
    <t>Adds 3 to Intelligence
Adds 47 to Health
1 Mana Stolen Per Hit
+7% Chance to Hit Enemy with a Ranged Weapon</t>
  </si>
  <si>
    <t>Adds 3 Health Per Hit
Adds 1 Mana Per Hit
Adds 4 to Ranged Skill
3% of Damage Reflected to Enemy
+4% Chance to Dodge Ranged Attack</t>
  </si>
  <si>
    <t>Adds 4 to Melee Skill
Melee Damage Reduced by 4%
+6% Chance to Dodge Melee Attack</t>
  </si>
  <si>
    <t>+15% Chance To Acidify And
Adds 10 to 20 Acid Damage</t>
  </si>
  <si>
    <t>Adds 1 to Strength
Adds 2 to Dexterity
Melee Damage Reduced by 9%
3% of Damage Reflected to Enemy</t>
  </si>
  <si>
    <t>Adds 2 Health Per Hit
Adds 1 to Melee Skill
Adds 4 to 10 Piercing Damage
+4% Chance to Hit Enemy with a Melee Weapon
Adds 8 to 13 Damage</t>
  </si>
  <si>
    <t>Adds 36 to Armor
Melee Damage Reduced by 5%
Ranged Damage Reduced by 8%
Piercing Damage Reduced by 3%</t>
  </si>
  <si>
    <t>Adds 12 to Health
Adds 23 to Armor
+5% Chance to Block Magic Attacks
+10% Chance to Dodge Ranged Attack</t>
  </si>
  <si>
    <t>Adds 1 to Melee Skill
+10% Chance to Block Melee Attack</t>
  </si>
  <si>
    <t>Adds 1 Health Per Hit
Adds 25 to Mana
Adds 2 to Nature Magic Skill
Adds 2 to Combat Magic Skill
+5% Chance to Hit Enemy with a Ranged Weapon</t>
  </si>
  <si>
    <t>Adds 1 to Nature Magic Skill
Magic Damage Reduced by 7%
+10% Chance to Dodge Ranged Attack</t>
  </si>
  <si>
    <t>Subtracts 2 from Nature Magic Skill
+10% Chance to Dodge Melee Attack</t>
  </si>
  <si>
    <t>Adds 1 to Ranged Skill
Adds 1 to 4 Piercing Damage
Magic Damage Reduced by 5%
+5% Chance to Dodge Melee Attack
+7% Chance to Hit Enemy with a Ranged Weapon</t>
  </si>
  <si>
    <t>Adds 2 to Melee Skill
Piercing Damage Reduced by 9%
+5% Chance to Dodge Melee Attack</t>
  </si>
  <si>
    <t>1 Mana Stolen Per Hit
Adds 1 to Ranged Skill
+4% Chance to Inflict a Piercing Hit
+5% Chance to Block Melee Attack
Adds 1 to Min Damage</t>
  </si>
  <si>
    <t>Adds 2 to Melee Skill
+5% Chance to Dodge Melee Attack
+9% Chance to Block Ranged Attack</t>
  </si>
  <si>
    <t>Adds 1 to Nature Magic Skill
Adds 1 to Combat Magic Skill
+13% Chance to Block Ranged Attack</t>
  </si>
  <si>
    <t>Adds 2 to Nature Magic Skill
Melee Damage Reduced by 5%
+5% Chance to Dodge Ranged Attack
Adds 1 to Combat Magic Min Damage</t>
  </si>
  <si>
    <t>Adds 1 to Intelligence
Adds 1 Mana Per Hit
Ranged Damage Reduced by 8%
+5% Chance to Dodge Melee Attack</t>
  </si>
  <si>
    <t>Adds 1 to Melee Skill
Piercing Damage Reduced by 4%
+10% Chance to Dodge Melee Attack</t>
  </si>
  <si>
    <t>Adds 2 to Melee Skill
Adds 8 to 13 Melee Damage</t>
  </si>
  <si>
    <t>Adds 2 to Ranged Skill
Adds 2 to 6 Damage</t>
  </si>
  <si>
    <t>+10% Chance To Poison And
Adds 10 to 20 Poison Damage</t>
  </si>
  <si>
    <t>+15% Chance To Paralyze And
Adds 5 to 15 Paralysis Damage</t>
  </si>
  <si>
    <t>Adds 1 to Nature Magic Skill
Magic Damage Reduced by 7%
Piercing Damage Reduced by 10%</t>
  </si>
  <si>
    <t>Melee Damage Reduced by 5%
+8% Chance to Block Magic Attacks</t>
  </si>
  <si>
    <t>1 Health Stolen Per Hit
Adds 1 to 4 Piercing Damage
+5% Chance to Dodge Ranged Attack
+6% Chance to Hit Enemy with a Melee Weapon
Adds 2 to Max Damage</t>
  </si>
  <si>
    <t>Adds 2 to Nature Magic Skill
Adds 1 to Combat Magic Skill
+5% Chance to Block Melee Attack</t>
  </si>
  <si>
    <t>Magic Damage Reduced by 5%
Piercing Damage Reduced by 4%
Melee Damage Reduced by 10%</t>
  </si>
  <si>
    <t>+8% Chance to Block Magic Attacks
+5% Chance to Dodge Melee Attack
Ranged Damage Reduced by 3%</t>
  </si>
  <si>
    <t>Adds 2 to Ranged Skill
Melee Damage Reduced by 5%
Ranged Damage Reduced by 8%
Piercing Damage Reduced by 3%</t>
  </si>
  <si>
    <t>Adds 7 to Armor
Magic Damage Reduced by 5%
+8% Chance to Block Melee Attack</t>
  </si>
  <si>
    <t>Adds 1 to Strength
Adds 48 to Health
3% of Damage Reflected to Enemy
Adds 17 to Armor</t>
  </si>
  <si>
    <t>+15% Chance To Flee And
Adds 15 to 25 Fear Damage</t>
  </si>
  <si>
    <t>+15% Chance To Acidify And
Adds 5 to 10 Acid Damage</t>
  </si>
  <si>
    <t>Adds 13 to Armor
+2% Chance to Block Melee Attack
+5% Chance to Block Magic Attacks
3% of Damage Reflected to Enemy
Adds 1 to Nature Magic Skill</t>
  </si>
  <si>
    <t>Adds 2 to Ranged Skill
Piercing Damage Reduced by 4%
+5% Chance to Dodge Ranged Attack</t>
  </si>
  <si>
    <t>Magic Damage Reduced by 5%
+2% Chance to Block Melee Attack
+5% Chance to Dodge Ranged Attack</t>
  </si>
  <si>
    <t>Adds 2 to Melee Skill
Piercing Damage Reduced by 9%
Ranged Damage Reduced by 3%</t>
  </si>
  <si>
    <t>Adds 2 to Ranged Skill
Adds 15 to Armor
Melee Damage Reduced by 10%</t>
  </si>
  <si>
    <t>2 Health Stolen Per Hit
+3% Chance to Hit Enemy with a Melee Weapon
3% of Damage Reflected to Enemy
Adds 2 to 3 Damage</t>
  </si>
  <si>
    <t>Subtracts 3 from Ranged Skill
Melee Damage Reduced by 10%</t>
  </si>
  <si>
    <t>Adds 1 to Dexterity
Adds 1 Health Per Hit
Adds 20 to Mana
+4% Chance to Inflict a Piercing Hit</t>
  </si>
  <si>
    <t>Adds 1 to Ranged Skill
Magic Damage Reduced by 7%
+5% Chance to Block Melee Attack</t>
  </si>
  <si>
    <t>Adds 3 Health Per Hit
Adds 17 to Armor
Magic Damage Reduced by 5%
Ranged Damage Reduced by 3%</t>
  </si>
  <si>
    <t>Adds 1 to Strength
Adds 39 to Mana
Adds 1 to Combat Magic Skill
Piercing Damage Reduced by 4%</t>
  </si>
  <si>
    <t>Adds 1 to Melee Skill
+5% Chance to Dodge Melee Attack
Piercing Damage Reduced by 4%</t>
  </si>
  <si>
    <t>Ranged Damage Reduced by 3%
+9% Chance to Block Ranged Attack
Piercing Damage Reduced by 4%</t>
  </si>
  <si>
    <t>Adds 2 to Melee Skill
Piercing Damage Reduced by 4%
Melee Damage Reduced by 5%</t>
  </si>
  <si>
    <t>Adds 29 to Health
Adds 1 to Nature Magic Skill
+3% Chance to Inflict a Piercing Hit
Adds 16 to Armor</t>
  </si>
  <si>
    <t>Adds 1 to Melee Skill
Melee Damage Reduced by 5%
+5% Chance to Block Melee Attack</t>
  </si>
  <si>
    <t>Magic Damage Reduced by 5%
Adds 2 to Ranged Skill</t>
  </si>
  <si>
    <t>Adds 1 to Combat Magic Skill
Magic Damage Reduced by 5%
Piercing Damage Reduced by 4%</t>
  </si>
  <si>
    <t>Adds 20 to Armor
+5% Chance to Dodge Melee Attack</t>
  </si>
  <si>
    <t>Adds 17 to Health
1 Mana Stolen Per Hit
Adds 9 to Armor
Magic Damage Reduced by 8%</t>
  </si>
  <si>
    <t>Adds 2 to Melee Skill
Adds 1 to Nature Magic Skill
Ranged Damage Reduced by 3%</t>
  </si>
  <si>
    <t>Ranged Damage Reduced by 3%
+5% Chance to Dodge Melee Attack
Adds 7 to Armor</t>
  </si>
  <si>
    <t>+15% Chance To Stupify And
Adds 1 to 5 Stupefication Damage</t>
  </si>
  <si>
    <t>1 Health Stolen Per Hit
Adds 1 to Nature Magic Skill
Adds 1 to Combat Magic Skill
Ranged Damage Reduced by 3%</t>
  </si>
  <si>
    <t>Adds 1 to Strength
Adds 12 to Health
Adds 7 to Armor
3% of Damage Reflected to Enemy</t>
  </si>
  <si>
    <t>Adds 20 to Armor
+2% Chance to Block Melee Attack
+5% Chance to Block Magic Attacks</t>
  </si>
  <si>
    <t>Adds 1 to Nature Magic Skill
Ranged Damage Reduced by 3%
+5% Chance to Block Magic Attacks</t>
  </si>
  <si>
    <t>1 Mana Stolen Per Hit
Adds 1 to Nature Magic Skill
+3% Chance to Inflict a Piercing Hit
Adds 1 to Intelligence</t>
  </si>
  <si>
    <t>Adds 1 to Dexterity
Adds 14 to Health
Adds 1 to 4 Piercing Damage
+2% Chance to Inflict a Piercing Hit</t>
  </si>
  <si>
    <t>Adds 1 to Strength
Adds 1 to Melee Skill
Adds 1 to 4 Piercing Damage
+1% Chance to Inflict a Piercing Hit</t>
  </si>
  <si>
    <t>Adds 1 to Dexterity
Adds 1 to Intelligence
Adds 1 Health Per Hit
Adds 1 Mana Per Hit</t>
  </si>
  <si>
    <t>Adds 8 to Health
Adds 23 to Mana
Magic Damage Reduced by 5%
Melee Damage Reduced by 5%</t>
  </si>
  <si>
    <t>Adds 1 to Melee Skill
Magic Damage Reduced by 5%
Melee Damage Reduced by 5%</t>
  </si>
  <si>
    <t>Adds 1 to Nature Magic Skill
Adds 1 to Combat Magic Skill
Melee Damage Reduced by 5%</t>
  </si>
  <si>
    <t>Adds 1 to Dexterity
Adds 1 to Ranged Skill
Adds 1 to Nature Magic Skill
Adds 2 to Melee Max Damage</t>
  </si>
  <si>
    <t>Adds 1 to Dexterity
Adds 1 Health Per Hit
Adds 1 to Ranged Skill
Adds 1 to Min Damage</t>
  </si>
  <si>
    <t>Adds 1 to Ranged Skill
Piercing Damage Reduced by 4%
+4% Chance to Block Ranged Attack</t>
  </si>
  <si>
    <t>Adds 1 to Dexterity
1 Health Stolen Per Hit
Adds 1 to Melee Skill</t>
  </si>
  <si>
    <t>Adds 9 to Armor
+5% Chance to Block Magic Attacks
+4% Chance to Block Ranged Attack</t>
  </si>
  <si>
    <t>Adds 15 to Armor
Magic Damage Reduced by 5%</t>
  </si>
  <si>
    <t>+15% Chance To Flee And
Adds 10 to 20 Fear Damage</t>
  </si>
  <si>
    <t>Adds 2 to 3 Melee Damage
Adds 1 to Melee Skill</t>
  </si>
  <si>
    <t>Adds 1 to Ranged Skill
Adds 1 to 4 Damage</t>
  </si>
  <si>
    <t>+10% Chance To Poison And
Adds 5 to 10 Poison Damage</t>
  </si>
  <si>
    <t>Adds 1 to Melee Skill
Adds 1 to Ranged Skill
Adds 1 to Combat Magic Skill
Adds 5 to Armor</t>
  </si>
  <si>
    <t>+10% Chance To Acidify And
Adds 5 to 10 Acid Damage</t>
  </si>
  <si>
    <t>Adds 1 to Ranged Skill
+5% Chance to Block Ranged Attack</t>
  </si>
  <si>
    <t>Adds 1 to Nature Magic Skill
Adds 17 to Health
+3% Chance to Block Magic Attacks</t>
  </si>
  <si>
    <t>Adds 9 to Health
Adds 19 to Mana
Adds 1 to Melee Skill
Adds 9 to Armor</t>
  </si>
  <si>
    <t>Adds 15 to Health
Adds 20 to Mana
Ranged Damage Reduced by 3%
Adds 6 to Armor</t>
  </si>
  <si>
    <t>Adds 1 to Melee Skill
Adds 6 to Armor
Ranged Damage Reduced by 3%</t>
  </si>
  <si>
    <t>+10% Chance To Flee And
Adds 10 to 20 Fear Damage</t>
  </si>
  <si>
    <t>Adds 15 to Health
Adds 26 to Mana
Adds 1 to Ranged Skill
Adds 7 to Armor</t>
  </si>
  <si>
    <t>Adds 1 to Ranged Skill
Adds 5 to Armor
Ranged Damage Reduced by 3%</t>
  </si>
  <si>
    <t>Adds 1 to Melee Skill
Adds 1 to Ranged Skill
Adds 9 to Armor</t>
  </si>
  <si>
    <t>+3% Chance To Acidify And
Adds 1 to 4 Acid Damage
Adds 14 to Health
Adds 6 to Armor</t>
  </si>
  <si>
    <t>Adds 1 to Melee Skill
Adds 8 to Armor
+2% Chance to Dodge Melee Attack</t>
  </si>
  <si>
    <t>+10% Chance To Stun And
Adds 1 to 5 Stun Damage</t>
  </si>
  <si>
    <t>+5% Chance to Freeze and
Adds 56 to 99 Cold Damage</t>
  </si>
  <si>
    <t>+3% Chance to Freeze and
Adds 45 to 76 Cold Damage</t>
  </si>
  <si>
    <t>+10% Chance to Freeze and
Adds 47 to 82 Cold Damage</t>
  </si>
  <si>
    <t>+3% Chance to Freeze and
Adds 39 to 65 Cold Damage</t>
  </si>
  <si>
    <t>+15% Chance to Freeze and
Adds 29 to 50 Cold Damage</t>
  </si>
  <si>
    <t>+3% Chance to Freeze and
Adds 24 to 39 Cold Damage</t>
  </si>
  <si>
    <t>Adds 62 to Health
Adds 6 Mana Per Hit
Adds 7 to Max Combat Magic Damage
Adds 1 to Nature Magic Min Damage</t>
  </si>
  <si>
    <t>Adds 1 to 4 Piercing Damage
+4% Chance to Hit Enemy with a Ranged Weapon
Adds 23 to Max Damage</t>
  </si>
  <si>
    <t>Adds 1 to Strength
Adds 1 to Intelligence
Adds 89 to Health
Adds 6 Mana Per Hit</t>
  </si>
  <si>
    <t>+7% Chance to Freeze and
Adds 18 to 32 Cold Damage</t>
  </si>
  <si>
    <t>+10% Chance to Freeze and
Adds 22 to 40 Cold Damage</t>
  </si>
  <si>
    <t>Adds 3 Health Per Hit
+6% Chance to Inflict a Piercing Hit
Adds 8 to 13 Damage</t>
  </si>
  <si>
    <t>Adds 3 Health Per Hit
Adds 34 to Mana
+4% Chance to Hit Enemy with a Ranged Weapon
6% of Damage Reflected to Enemy</t>
  </si>
  <si>
    <t>Adds 2 to Strength
Adds 1 to Intelligence
Adds 163 to Health
6% of Damage Reflected to Enemy</t>
  </si>
  <si>
    <t>Adds 42 to Health
4 Mana Stolen Per Hit
+4% Chance to Inflict a Piercing Hit</t>
  </si>
  <si>
    <t>Adds 3 to Strength
Adds 1 to Dexterity
Adds 1 to Intelligence</t>
  </si>
  <si>
    <t>2 Health Stolen Per Hit
Adds 3 Mana Per Hit
3% of Damage Reflected to Enemy</t>
  </si>
  <si>
    <t>+5% Chance to Freeze and
Adds 17 to 30 Cold Damage</t>
  </si>
  <si>
    <t>Adds 2 Health Per Hit
5% of Damage Reflected to Enemy
Adds 2 to Intelligence</t>
  </si>
  <si>
    <t>2 Health Stolen Per Hit
Adds 4 to 10 Piercing Damage
3% of Damage Reflected to Enemy
Adds 1 to Min Damage</t>
  </si>
  <si>
    <t>2 Health Stolen Per Hit
+3% Chance to Inflict a Piercing Hit
Adds 5 to 7 Damage</t>
  </si>
  <si>
    <t>Adds 1 to Intelligence
Adds 3 Mana Per Hit
Adds 1 to Max Combat Magic Damage
Adds 3 to 8 Nature Magic Damage</t>
  </si>
  <si>
    <t>Adds 2 to Strength
Adds 3 Health Per Hit
Adds 1 to 4 Piercing Damage
Adds 2 to Max Damage</t>
  </si>
  <si>
    <t>Adds 2 Health Per Hit
+3% Chance to Inflict a Piercing Hit
+11% Chance to Hit Enemy with a Melee Weapon</t>
  </si>
  <si>
    <t>Adds 2 to Dexterity
+3% Chance to Inflict a Piercing Hit
Adds 1 to Min Damage</t>
  </si>
  <si>
    <t>Adds 6 to 13 Piercing Damage
3% of Damage Reflected to Enemy
Adds 1 to Min Damage</t>
  </si>
  <si>
    <t>Adds 2 to Strength
Adds 33 to Health
Adds 71 to Mana</t>
  </si>
  <si>
    <t>Adds 1 to Strength
Adds 2 to Dexterity
Adds 1 to Intelligence</t>
  </si>
  <si>
    <t>Adds 1 to Strength
Adds 29 to Health
Adds 2 to Intelligence</t>
  </si>
  <si>
    <t>Adds 1 to Strength
Adds 42 to Health
Adds 45 to Mana
Adds 1 to Dexterity</t>
  </si>
  <si>
    <t>Adds 2 to Intelligence
+8% Chance to Hit Enemy with a Melee Weapon
Adds 22 to Health</t>
  </si>
  <si>
    <t>Adds 52 to Mana
+3% Chance to Inflict a Piercing Hit
3% of Damage Reflected to Enemy</t>
  </si>
  <si>
    <t>Adds 2 to Intelligence
Adds 46 to Mana
Adds 1 to Max Combat Magic Damage</t>
  </si>
  <si>
    <t>Adds 1 to Dexterity
Adds 1 to 4 Piercing Damage
+6% Chance to Hit Enemy with a Ranged Weapon</t>
  </si>
  <si>
    <t>Adds 1 to Dexterity
Adds 1 to 4 Piercing Damage
+9% Chance to Hit Enemy with a Ranged Weapon</t>
  </si>
  <si>
    <t>Adds 2 to Intelligence
Adds 17 to Mana
Adds 22 to Health</t>
  </si>
  <si>
    <t>Adds 2 to Intelligence
1 Mana Stolen Per Hit
1 Health Stolen Per Hit</t>
  </si>
  <si>
    <t>Adds 2 Health Per Hit
Adds 1 to 4 Piercing Damage
+7% Chance to Hit Enemy with a Melee Weapon
Adds 1 to Min Damage</t>
  </si>
  <si>
    <t>Subtracts 2 from Strength
Adds 1 to 4 Piercing Damage</t>
  </si>
  <si>
    <t>Adds 1 to Strength
Adds 1 to Dexterity
Adds 1 to Intelligence
1 Mana Stolen Per Hit</t>
  </si>
  <si>
    <t>Adds 1 to Strength
Adds 22 to Mana
3% of Damage Reflected to Enemy
Adds 1 to Dexterity</t>
  </si>
  <si>
    <t>Adds 13 to Health
1 Mana Stolen Per Hit
+4% Chance to Inflict a Piercing Hit</t>
  </si>
  <si>
    <t>Adds 1 to Dexterity
Adds 26 to Health
+2% Chance to Inflict a Piercing Hit
Adds 3 to Max Damage</t>
  </si>
  <si>
    <t>+3% Chance to Freeze and
Adds 6 to 9 Cold Damage</t>
  </si>
  <si>
    <t>+15% Chance to Freeze and
Adds 6 to 11 Cold Damage</t>
  </si>
  <si>
    <t>Adds 24 to Mana
3 Mana Stolen Per Hit
Adds 1 to Max Nature Magic Damage</t>
  </si>
  <si>
    <t>Adds 2 to Strength
1 Health Stolen Per Hit</t>
  </si>
  <si>
    <t>Adds 1 Health Per Hit
Adds 1 to 4 Piercing Damage
3% of Damage Reflected to Enemy</t>
  </si>
  <si>
    <t>Adds 1 to Strength
Adds 1 Mana Per Hit
1 Health Stolen Per Hit</t>
  </si>
  <si>
    <t>Adds 1 to Dexterity
1 Mana Stolen Per Hit
3% of Damage Reflected to Enemy</t>
  </si>
  <si>
    <t>Adds 1 to Strength
Subtracts 1 from Dexterity</t>
  </si>
  <si>
    <t>Adds 3 to 5 Lightning Damage
Adds 1 to Dexterity
1 Health Stolen Per Hit</t>
  </si>
  <si>
    <t>Adds 1 Health Per Hit
Adds 14 to Mana
+3% Chance to Inflict a Piercing Hit</t>
  </si>
  <si>
    <t>Adds 12 to Health
Adds 1 Health Per Hit
2 Mana Stolen Per Hit</t>
  </si>
  <si>
    <t>Adds 1 to Strength
Adds 1 to Combat Magic Skill
Melee Damage Reduced by 2%</t>
  </si>
  <si>
    <t>+4% Chance to Hit Enemy with a Melee Weapon
Adds 2 to 3 Damage</t>
  </si>
  <si>
    <t>+5% Chance to Freeze and
Adds 2 to 4 Cold Damage</t>
  </si>
  <si>
    <t>+10% Chance to Freeze and
Adds 2 to 5 Cold Damage</t>
  </si>
  <si>
    <t>Adds 1 Health Per Hit
Adds 3 to 7 Piercing Damage</t>
  </si>
  <si>
    <t>Raises the character's chance to hit in Melee combat by (leveled bonus)% and
chance to hit in Ranged Combat by (leveled bonus)%.</t>
  </si>
  <si>
    <t>Adds 15 to Health
Subtracts 12 from Mana</t>
  </si>
  <si>
    <t>+5% Chance to Cast Fireshot on Taking Damage
Adds 1 to Combat Magic Skill
Adds 14 to Mana
Adds 3 to Armor</t>
  </si>
  <si>
    <t>Adds 13 to Health
Adds 1 Health Per Hit
1 Mana Stolen Per Hit</t>
  </si>
  <si>
    <t>Adds 8 to Health
Adds 1 Health Per Hit
Adds 1 Mana Per Hit</t>
  </si>
  <si>
    <t>+6% Chance to Cast Zap on Taking Damage
1% of Damage Reflected to Enemy
Adds 6 to Armor</t>
  </si>
  <si>
    <t>Adds 11 to Health
Adds 1 Mana Per Hit
+1% Chance to Inflict a Piercing Hit</t>
  </si>
  <si>
    <t>+25% Chance to Poison and
Adds 2 to 5 Poison Damage</t>
  </si>
  <si>
    <t>+5% Chance to Freeze and
Adds 39 to 65 Cold Damage</t>
  </si>
  <si>
    <t>Banded Armor</t>
  </si>
  <si>
    <t>str</t>
  </si>
  <si>
    <t>Stiff Banded Armor</t>
  </si>
  <si>
    <t>Crude Banded Armor</t>
  </si>
  <si>
    <t>Mage Banded Armor</t>
  </si>
  <si>
    <t>Ranger Banded Armor</t>
  </si>
  <si>
    <t>Battle Plate</t>
  </si>
  <si>
    <t>Basic Battle Plate</t>
  </si>
  <si>
    <t>Heavy Brigandine</t>
  </si>
  <si>
    <t>Haggard Brigandine</t>
  </si>
  <si>
    <t>Thin Brigandine</t>
  </si>
  <si>
    <t>Flimsy Brigandine</t>
  </si>
  <si>
    <t>Brigandine Armor</t>
  </si>
  <si>
    <t>Full Plate</t>
  </si>
  <si>
    <t>Bulky Full Plate</t>
  </si>
  <si>
    <t>Thin Plate</t>
  </si>
  <si>
    <t>Quarter Plate</t>
  </si>
  <si>
    <t>Heavy Plate</t>
  </si>
  <si>
    <t>Common Heavy Plate</t>
  </si>
  <si>
    <t>Dented Heavy Plate</t>
  </si>
  <si>
    <t>Mage Plate</t>
  </si>
  <si>
    <t>Ranger Plate</t>
  </si>
  <si>
    <t>Fused Steel</t>
  </si>
  <si>
    <t>Stellar Plate</t>
  </si>
  <si>
    <t>Clay Brigandine</t>
  </si>
  <si>
    <t>Compact Brigandine</t>
  </si>
  <si>
    <t>Prime Brigandine</t>
  </si>
  <si>
    <t>Cardinal Plate</t>
  </si>
  <si>
    <t>Imperial Plate</t>
  </si>
  <si>
    <t>Ancient Banded</t>
  </si>
  <si>
    <t>Bone Plate</t>
  </si>
  <si>
    <t>Copper Plate</t>
  </si>
  <si>
    <t>Cirene Scale</t>
  </si>
  <si>
    <t>Black Widow Brigandine</t>
  </si>
  <si>
    <t>Plate Coat</t>
  </si>
  <si>
    <t>Magical Plate</t>
  </si>
  <si>
    <t>Crystal Plate</t>
  </si>
  <si>
    <t>Solid Plate</t>
  </si>
  <si>
    <t>Standard Plate</t>
  </si>
  <si>
    <t>Thick Chain</t>
  </si>
  <si>
    <t>Rusty Chain</t>
  </si>
  <si>
    <t>Stiff Chain</t>
  </si>
  <si>
    <t>Thin Chain</t>
  </si>
  <si>
    <t>Chain Mail</t>
  </si>
  <si>
    <t>Tarnished Chain Mail</t>
  </si>
  <si>
    <t>Solar Chain</t>
  </si>
  <si>
    <t>Dragon Weave</t>
  </si>
  <si>
    <t>Blood Scale</t>
  </si>
  <si>
    <t>Shadow Scale</t>
  </si>
  <si>
    <t>Noble Scale</t>
  </si>
  <si>
    <t>Thick Scale</t>
  </si>
  <si>
    <t>Pitted Scale</t>
  </si>
  <si>
    <t>Bulky Scale</t>
  </si>
  <si>
    <t>Thin Scale</t>
  </si>
  <si>
    <t>Flexible Scale</t>
  </si>
  <si>
    <t>Green Chain Mail</t>
  </si>
  <si>
    <t>Serpentine Scale</t>
  </si>
  <si>
    <t>Dark Scale</t>
  </si>
  <si>
    <t>Rigid Leather</t>
  </si>
  <si>
    <t>Worn Rigid Leather</t>
  </si>
  <si>
    <t>Cracked Rigid Leather</t>
  </si>
  <si>
    <t>Waxed Leather</t>
  </si>
  <si>
    <t>Boiled Leather</t>
  </si>
  <si>
    <t>Thick Leather</t>
  </si>
  <si>
    <t>Crude Leather</t>
  </si>
  <si>
    <t>Worn Leather</t>
  </si>
  <si>
    <t>Mage Leather</t>
  </si>
  <si>
    <t>Leather Armor</t>
  </si>
  <si>
    <t>Tattered Leather</t>
  </si>
  <si>
    <t>Rock Pelt</t>
  </si>
  <si>
    <t>Night Leather</t>
  </si>
  <si>
    <t>Stellar Leather</t>
  </si>
  <si>
    <t>Fused Leather</t>
  </si>
  <si>
    <t>Dream Leather</t>
  </si>
  <si>
    <t>Noble Leather</t>
  </si>
  <si>
    <t>Classic Leather</t>
  </si>
  <si>
    <t>Marshal Leather</t>
  </si>
  <si>
    <t>Cleated Leather</t>
  </si>
  <si>
    <t>Torn Leather</t>
  </si>
  <si>
    <t>Riveted Leather</t>
  </si>
  <si>
    <t>Weathered Leather</t>
  </si>
  <si>
    <t>Studded Leather</t>
  </si>
  <si>
    <t>Lord Hovart's Blood Armor</t>
  </si>
  <si>
    <t>Woodland Leather</t>
  </si>
  <si>
    <t>Altan's Leather</t>
  </si>
  <si>
    <t>Olaf's Studded Leather</t>
  </si>
  <si>
    <t>Ash Burlap</t>
  </si>
  <si>
    <t>int</t>
  </si>
  <si>
    <t>Night Garment</t>
  </si>
  <si>
    <t>Blood Coat</t>
  </si>
  <si>
    <t>Dream Robe</t>
  </si>
  <si>
    <t>Clay Tatters</t>
  </si>
  <si>
    <t>Dirt Rags</t>
  </si>
  <si>
    <t>Solar Cloth</t>
  </si>
  <si>
    <t>Gossamer Linen</t>
  </si>
  <si>
    <t>Astral Cloak</t>
  </si>
  <si>
    <t>Radiant Gown</t>
  </si>
  <si>
    <t>Shadow Finery</t>
  </si>
  <si>
    <t>Noble Vesture</t>
  </si>
  <si>
    <t>Burlap</t>
  </si>
  <si>
    <t>Garment</t>
  </si>
  <si>
    <t>Coat</t>
  </si>
  <si>
    <t>Robe</t>
  </si>
  <si>
    <t>Tatters</t>
  </si>
  <si>
    <t>Rags</t>
  </si>
  <si>
    <t>Cloth</t>
  </si>
  <si>
    <t>Linen</t>
  </si>
  <si>
    <t>Cloak</t>
  </si>
  <si>
    <t>Gown</t>
  </si>
  <si>
    <t>Finery</t>
  </si>
  <si>
    <t>Vesture</t>
  </si>
  <si>
    <t>Starlight Vesture</t>
  </si>
  <si>
    <t>Template Name</t>
  </si>
  <si>
    <t>Inventory Icon</t>
  </si>
  <si>
    <t>Armor Style</t>
  </si>
  <si>
    <t>Armor Type</t>
  </si>
  <si>
    <t>001</t>
  </si>
  <si>
    <t>a5</t>
  </si>
  <si>
    <t>inventory height</t>
  </si>
  <si>
    <t>inventory width</t>
  </si>
  <si>
    <t>009</t>
  </si>
  <si>
    <t>002</t>
  </si>
  <si>
    <t>a6</t>
  </si>
  <si>
    <t>015</t>
  </si>
  <si>
    <t>004</t>
  </si>
  <si>
    <t>005</t>
  </si>
  <si>
    <t>006</t>
  </si>
  <si>
    <t>007</t>
  </si>
  <si>
    <t>008</t>
  </si>
  <si>
    <t>010</t>
  </si>
  <si>
    <t>011</t>
  </si>
  <si>
    <t>012</t>
  </si>
  <si>
    <t>013</t>
  </si>
  <si>
    <t>014</t>
  </si>
  <si>
    <t>016</t>
  </si>
  <si>
    <t>bd_ba_f_g_c_avg</t>
  </si>
  <si>
    <t>bd_ba_f_g_c_avg:o_fin</t>
  </si>
  <si>
    <t>bd_ba_f_g_c_avg:o_mag</t>
  </si>
  <si>
    <t>bd_ba_f_g_c_avg:o_str</t>
  </si>
  <si>
    <t>bd_ba_f_g_c_fun</t>
  </si>
  <si>
    <t>bd_ba_f_g_c_low</t>
  </si>
  <si>
    <t>bd_ba_m_g_c_str</t>
  </si>
  <si>
    <t>bd_ba_r_g_o_fin</t>
  </si>
  <si>
    <t>bd_bp_f_g_c_avg</t>
  </si>
  <si>
    <t>bd_bp_f_g_c_avg:c_fin</t>
  </si>
  <si>
    <t>bd_bp_f_g_c_avg:c_str</t>
  </si>
  <si>
    <t>bd_bp_f_g_c_avg:o_mag</t>
  </si>
  <si>
    <t>bd_bp_f_g_c_avg:o_str</t>
  </si>
  <si>
    <t>bd_bp_f_g_c_fun</t>
  </si>
  <si>
    <t>bd_br_f_g_c_avg</t>
  </si>
  <si>
    <t>bd_br_f_g_c_avg:c_str</t>
  </si>
  <si>
    <t>bd_br_f_g_c_avg:o_fin</t>
  </si>
  <si>
    <t>bd_br_f_g_c_low</t>
  </si>
  <si>
    <t>bd_br_m_g_c_avg</t>
  </si>
  <si>
    <t>bd_br_m_g_c_avg:c_mag</t>
  </si>
  <si>
    <t>bd_br_m_g_c_avg:o_fin</t>
  </si>
  <si>
    <t>bd_br_m_g_c_low</t>
  </si>
  <si>
    <t>bd_br_r_g_c_avg</t>
  </si>
  <si>
    <t>bd_br_r_g_c_avg:c_fin</t>
  </si>
  <si>
    <t>bd_br_r_g_c_avg:o_mag</t>
  </si>
  <si>
    <t>bd_fp_f_g_c_avg</t>
  </si>
  <si>
    <t>bd_fp_f_g_c_avg:c_str</t>
  </si>
  <si>
    <t>bd_fp_f_g_c_avg:o_fin</t>
  </si>
  <si>
    <t>bd_fp_f_g_c_avg:o_mag</t>
  </si>
  <si>
    <t>bd_fp_f_g_c_avg:o_str</t>
  </si>
  <si>
    <t>bd_fp_f_g_c_fun</t>
  </si>
  <si>
    <t>bd_fp_m_g_o_mag</t>
  </si>
  <si>
    <t>bd_fp_r_g_c_avg</t>
  </si>
  <si>
    <t>bd_pl_f_g_c_avg</t>
  </si>
  <si>
    <t>bd_pl_f_g_c_avg:c_fin</t>
  </si>
  <si>
    <t>bd_pl_f_g_c_fun</t>
  </si>
  <si>
    <t>bd_pl_f_g_c_low</t>
  </si>
  <si>
    <t>bd_pl_m_g_c_str</t>
  </si>
  <si>
    <t>bd_pl_r_g_c_fin</t>
  </si>
  <si>
    <t>bd_pl_r_g_c_fin:o_str</t>
  </si>
  <si>
    <t>bd_ra_ba_f_g_o_fin</t>
  </si>
  <si>
    <t>bd_ra_ba_f_g_o_fin:o_mag</t>
  </si>
  <si>
    <t>bd_ra_bp_f_g_c_fin</t>
  </si>
  <si>
    <t>bd_ra_bp_f_g_c_fin:c_str</t>
  </si>
  <si>
    <t>bd_ra_br_f_g_c_str</t>
  </si>
  <si>
    <t>bd_ra_br_m_g_o_fin</t>
  </si>
  <si>
    <t>bd_ra_br_m_g_o_fin:c_mag</t>
  </si>
  <si>
    <t>bd_ra_br_r_g_c_avg</t>
  </si>
  <si>
    <t>bd_ra_br_r_g_c_avg:c_fin</t>
  </si>
  <si>
    <t>bd_ra_fp_f_g_o_fin</t>
  </si>
  <si>
    <t>bd_ra_fp_f_g_o_fin:o_str</t>
  </si>
  <si>
    <t>bd_ra_fp_r_g_c_avg</t>
  </si>
  <si>
    <t>bd_un_ba_f_g_skeleton_captain</t>
  </si>
  <si>
    <t>bd_un_br_f_bone</t>
  </si>
  <si>
    <t>bd_un_br_f_copper</t>
  </si>
  <si>
    <t>bd_un_br_f_d_c_str</t>
  </si>
  <si>
    <t>bd_un_br_f_spider</t>
  </si>
  <si>
    <t>bd_un_br_r_d_o_str</t>
  </si>
  <si>
    <t>bd_un_fp_f_g_c_mag</t>
  </si>
  <si>
    <t>bd_un_fp_f_g_c_mag:o_mag</t>
  </si>
  <si>
    <t>bd_un_pl_f_crystal</t>
  </si>
  <si>
    <t>bd_un_pl_f_g_c_avg</t>
  </si>
  <si>
    <t>bd_un_pl_f_g_c_avg:c_fin</t>
  </si>
  <si>
    <t>bd_un_pl_f_g_c_fun</t>
  </si>
  <si>
    <t>bd_ch_f_g_c_avg</t>
  </si>
  <si>
    <t>bd_ch_f_g_c_avg:c_fin</t>
  </si>
  <si>
    <t>bd_ch_f_g_c_avg:c_str</t>
  </si>
  <si>
    <t>bd_ch_f_g_c_avg:o_fin</t>
  </si>
  <si>
    <t>bd_ch_f_g_c_fun</t>
  </si>
  <si>
    <t>bd_ch_f_g_c_low</t>
  </si>
  <si>
    <t>bd_ch_m_g_c_avg</t>
  </si>
  <si>
    <t>bd_ch_m_g_c_avg:c_fin</t>
  </si>
  <si>
    <t>bd_ch_m_g_c_avg:c_mag</t>
  </si>
  <si>
    <t>bd_ch_m_g_c_avg:c_str</t>
  </si>
  <si>
    <t>bd_ch_m_g_c_avg:o_avg</t>
  </si>
  <si>
    <t>bd_ch_m_g_c_avg:o_fin</t>
  </si>
  <si>
    <t>bd_ch_m_g_c_avg:o_mag</t>
  </si>
  <si>
    <t>bd_ch_m_g_c_avg:o_str</t>
  </si>
  <si>
    <t>bd_ch_r_g_c_avg</t>
  </si>
  <si>
    <t>bd_ch_r_g_c_avg:c_fin</t>
  </si>
  <si>
    <t>bd_ch_r_g_c_avg:c_mag</t>
  </si>
  <si>
    <t>bd_ch_r_g_c_avg:c_str</t>
  </si>
  <si>
    <t>bd_ch_r_g_c_avg:o_avg</t>
  </si>
  <si>
    <t>bd_ch_r_g_c_avg:o_fin</t>
  </si>
  <si>
    <t>bd_ch_r_g_c_avg:o_mag</t>
  </si>
  <si>
    <t>bd_ch_r_g_c_avg:o_str</t>
  </si>
  <si>
    <t>bd_ch_r_g_c_fun</t>
  </si>
  <si>
    <t>bd_ra_ch_m_g_c_fin</t>
  </si>
  <si>
    <t>bd_ra_ch_m_g_c_fin:o_avg</t>
  </si>
  <si>
    <t>bd_ra_ch_m_g_c_fin:o_fin</t>
  </si>
  <si>
    <t>bd_ra_ch_r_g_o_fin</t>
  </si>
  <si>
    <t>bd_ra_ch_r_g_o_fin:c_str</t>
  </si>
  <si>
    <t>bd_ra_ch_r_g_o_fin:o_mag</t>
  </si>
  <si>
    <t>bd_ra_sc_f_g_o_mag</t>
  </si>
  <si>
    <t>bd_ra_sc_m_g_c_fin</t>
  </si>
  <si>
    <t>bd_ra_sc_m_g_c_fin:c_mag</t>
  </si>
  <si>
    <t>bd_ra_sc_m_g_c_fin:o_fin</t>
  </si>
  <si>
    <t>bd_ra_sc_r_g_c_fin</t>
  </si>
  <si>
    <t>bd_ra_sc_r_g_c_fin:c_str</t>
  </si>
  <si>
    <t>bd_sc_f_g_c_avg</t>
  </si>
  <si>
    <t>bd_sc_f_g_c_avg:c_str</t>
  </si>
  <si>
    <t>bd_sc_f_g_c_avg:o_fin</t>
  </si>
  <si>
    <t>bd_sc_f_g_c_avg:o_mag</t>
  </si>
  <si>
    <t>bd_sc_f_g_c_avg:o_str</t>
  </si>
  <si>
    <t>bd_sc_f_g_c_fun</t>
  </si>
  <si>
    <t>bd_sc_f_g_o_low</t>
  </si>
  <si>
    <t>bd_sc_m_g_c_avg</t>
  </si>
  <si>
    <t>bd_sc_m_g_c_avg:c_fin</t>
  </si>
  <si>
    <t>bd_sc_m_g_c_avg:c_mag</t>
  </si>
  <si>
    <t>bd_sc_m_g_c_avg:o_fin</t>
  </si>
  <si>
    <t>bd_sc_r_g_c_avg</t>
  </si>
  <si>
    <t>bd_sc_r_g_c_avg:c_fin</t>
  </si>
  <si>
    <t>bd_sc_r_g_c_avg:c_str</t>
  </si>
  <si>
    <t>bd_sc_r_g_c_avg:o_fin</t>
  </si>
  <si>
    <t>bd_un_ch_r_green</t>
  </si>
  <si>
    <t>bd_un_sc_f_dragon</t>
  </si>
  <si>
    <t>bd_un_sc_r_d_o_mag</t>
  </si>
  <si>
    <t>bd_bl_f_g_c_avg</t>
  </si>
  <si>
    <t>bd_bl_f_g_c_avg:c_str</t>
  </si>
  <si>
    <t>bd_bl_f_g_c_avg:o_fin</t>
  </si>
  <si>
    <t>bd_bl_f_g_c_fun</t>
  </si>
  <si>
    <t>bd_bl_f_g_c_low</t>
  </si>
  <si>
    <t>bd_bl_m_g_c_avg</t>
  </si>
  <si>
    <t>bd_bl_m_g_c_avg:c_fin</t>
  </si>
  <si>
    <t>bd_bl_m_g_c_avg:o_fin</t>
  </si>
  <si>
    <t>bd_bl_r_g_c_avg</t>
  </si>
  <si>
    <t>bd_bl_r_g_c_avg:o_fin</t>
  </si>
  <si>
    <t>bd_le_f_g_c_avg</t>
  </si>
  <si>
    <t>bd_le_f_g_c_avg:c_fin</t>
  </si>
  <si>
    <t>bd_le_f_g_c_avg:o_fin</t>
  </si>
  <si>
    <t>bd_le_f_g_c_fun</t>
  </si>
  <si>
    <t>bd_le_f_g_c_low</t>
  </si>
  <si>
    <t>bd_le_m_g_c_avg</t>
  </si>
  <si>
    <t>bd_le_m_g_c_avg:c_str</t>
  </si>
  <si>
    <t>bd_le_m_g_c_avg:o_avg</t>
  </si>
  <si>
    <t>bd_le_m_g_c_avg:o_fin</t>
  </si>
  <si>
    <t>bd_le_r_g_c_avg</t>
  </si>
  <si>
    <t>bd_le_r_g_c_avg:o_fin</t>
  </si>
  <si>
    <t>bd_le_r_g_c_low</t>
  </si>
  <si>
    <t>bd_ra_bl_f_g_c_str</t>
  </si>
  <si>
    <t>bd_ra_bl_f_g_c_str:o_fin</t>
  </si>
  <si>
    <t>bd_ra_bl_m_g_c_fin</t>
  </si>
  <si>
    <t>bd_ra_bl_m_g_c_fin:o_fin</t>
  </si>
  <si>
    <t>bd_ra_bl_r_g_o_fin</t>
  </si>
  <si>
    <t>bd_ra_le_f_g_c_fin</t>
  </si>
  <si>
    <t>bd_ra_le_m_g_o_avg</t>
  </si>
  <si>
    <t>bd_ra_le_r_g_o_fin</t>
  </si>
  <si>
    <t>bd_ra_sl_m_g_c_avg</t>
  </si>
  <si>
    <t>bd_ra_sl_m_g_c_avg:c_fin</t>
  </si>
  <si>
    <t>bd_ra_sl_m_g_c_avg:c_str</t>
  </si>
  <si>
    <t>bd_ra_sl_m_g_c_avg:o_fin</t>
  </si>
  <si>
    <t>bd_ra_sl_m_g_c_avg:o_str</t>
  </si>
  <si>
    <t>bd_ra_sl_r_g_c_avg</t>
  </si>
  <si>
    <t>bd_ra_sl_r_g_c_avg:c_fin</t>
  </si>
  <si>
    <t>bd_ra_sl_r_g_c_avg:c_str</t>
  </si>
  <si>
    <t>bd_sl_f_g_c_avg</t>
  </si>
  <si>
    <t>bd_sl_f_g_c_avg:c_str</t>
  </si>
  <si>
    <t>bd_sl_f_g_c_avg:o_fin</t>
  </si>
  <si>
    <t>bd_sl_f_g_c_fun</t>
  </si>
  <si>
    <t>bd_sl_m_g_c_avg</t>
  </si>
  <si>
    <t>bd_sl_m_g_c_avg:c_fin</t>
  </si>
  <si>
    <t>bd_sl_m_g_c_avg:c_mag</t>
  </si>
  <si>
    <t>bd_sl_m_g_c_avg:c_str</t>
  </si>
  <si>
    <t>bd_sl_m_g_c_avg:o_avg</t>
  </si>
  <si>
    <t>bd_sl_m_g_c_avg:o_fin</t>
  </si>
  <si>
    <t>bd_sl_m_g_c_avg:o_str</t>
  </si>
  <si>
    <t>bd_sl_m_g_c_fun</t>
  </si>
  <si>
    <t>bd_sl_r_g_c_avg</t>
  </si>
  <si>
    <t>bd_sl_r_g_c_avg:c_fin</t>
  </si>
  <si>
    <t>bd_sl_r_g_c_avg:c_mag</t>
  </si>
  <si>
    <t>bd_sl_r_g_c_avg:c_str</t>
  </si>
  <si>
    <t>bd_sl_r_g_c_avg:o_avg</t>
  </si>
  <si>
    <t>bd_sl_r_g_c_avg:o_fin</t>
  </si>
  <si>
    <t>bd_sl_r_g_c_avg:o_mag</t>
  </si>
  <si>
    <t>bd_sl_r_g_c_avg:o_str</t>
  </si>
  <si>
    <t>gen_bd_un_bl_f_g_c_blood</t>
  </si>
  <si>
    <t>bd_un_bl_f_g_c_blood</t>
  </si>
  <si>
    <t>bd_un_bl_r_leaf</t>
  </si>
  <si>
    <t>bd_un_le_f_pad_avg</t>
  </si>
  <si>
    <t>bd_un_sl_f_barbarian</t>
  </si>
  <si>
    <t>bd_ra_ro_m_d_c_003</t>
  </si>
  <si>
    <t>bd_ra_ro_m_d_c_004</t>
  </si>
  <si>
    <t>bd_ra_ro_m_d_c_009</t>
  </si>
  <si>
    <t>bd_ra_ro_m_d_c_041</t>
  </si>
  <si>
    <t>bd_ra_ro_m_d_c_043</t>
  </si>
  <si>
    <t>bd_ra_ro_m_d_c_077</t>
  </si>
  <si>
    <t>bd_ra_ro_m_g_c_001</t>
  </si>
  <si>
    <t>bd_ra_ro_m_g_c_002</t>
  </si>
  <si>
    <t>bd_ra_ro_m_g_c_005</t>
  </si>
  <si>
    <t>bd_ra_ro_m_g_c_005a</t>
  </si>
  <si>
    <t>bd_ra_ro_m_g_c_008</t>
  </si>
  <si>
    <t>bd_ra_ro_m_g_c_012</t>
  </si>
  <si>
    <t>bd_ra_ro_m_g_c_014</t>
  </si>
  <si>
    <t>bd_ra_ro_m_g_c_015</t>
  </si>
  <si>
    <t>bd_ra_ro_m_g_c_018</t>
  </si>
  <si>
    <t>bd_ra_ro_m_g_c_020</t>
  </si>
  <si>
    <t>bd_ra_ro_m_g_c_021</t>
  </si>
  <si>
    <t>bd_ra_ro_m_g_c_023</t>
  </si>
  <si>
    <t>bd_ra_ro_m_g_c_024</t>
  </si>
  <si>
    <t>bd_ra_ro_m_g_c_026</t>
  </si>
  <si>
    <t>bd_ra_ro_m_g_c_029</t>
  </si>
  <si>
    <t>bd_ra_ro_m_g_c_031</t>
  </si>
  <si>
    <t>bd_ra_ro_m_g_c_034</t>
  </si>
  <si>
    <t>bd_ra_ro_m_g_c_037</t>
  </si>
  <si>
    <t>bd_ra_ro_m_g_c_039</t>
  </si>
  <si>
    <t>bd_ra_ro_m_g_c_042</t>
  </si>
  <si>
    <t>bd_ra_ro_m_g_c_045</t>
  </si>
  <si>
    <t>bd_ra_ro_m_g_c_046</t>
  </si>
  <si>
    <t>bd_ra_ro_m_g_c_053</t>
  </si>
  <si>
    <t>bd_ra_ro_m_g_c_059</t>
  </si>
  <si>
    <t>bd_ra_ro_m_g_c_065</t>
  </si>
  <si>
    <t>bd_ra_ro_m_g_c_071</t>
  </si>
  <si>
    <t>bd_ra_ro_m_g_c_084</t>
  </si>
  <si>
    <t>bd_ra_ro_m_g_c_089</t>
  </si>
  <si>
    <t>bd_ra_ro_m_g_c_094</t>
  </si>
  <si>
    <t>bd_ra_ro_m_g_c_100</t>
  </si>
  <si>
    <t>bd_ra_ro_m_g_c_105</t>
  </si>
  <si>
    <t>bd_ra_ro_m_g_c_110</t>
  </si>
  <si>
    <t>bd_ro_m_d_c_003</t>
  </si>
  <si>
    <t>bd_ro_m_d_c_004</t>
  </si>
  <si>
    <t>bd_ro_m_d_c_009</t>
  </si>
  <si>
    <t>bd_ro_m_d_c_041</t>
  </si>
  <si>
    <t>bd_ro_m_d_c_043</t>
  </si>
  <si>
    <t>bd_ro_m_d_c_077</t>
  </si>
  <si>
    <t>bd_ro_m_g_c_001</t>
  </si>
  <si>
    <t>bd_ro_m_g_c_002</t>
  </si>
  <si>
    <t>bd_ro_m_g_c_005</t>
  </si>
  <si>
    <t>bd_ro_m_g_c_005a</t>
  </si>
  <si>
    <t>bd_ro_m_g_c_008</t>
  </si>
  <si>
    <t>bd_ro_m_g_c_012</t>
  </si>
  <si>
    <t>bd_ro_m_g_c_014</t>
  </si>
  <si>
    <t>bd_ro_m_g_c_015</t>
  </si>
  <si>
    <t>bd_ro_m_g_c_018</t>
  </si>
  <si>
    <t>bd_ro_m_g_c_020</t>
  </si>
  <si>
    <t>bd_ro_m_g_c_021</t>
  </si>
  <si>
    <t>bd_ro_m_g_c_022</t>
  </si>
  <si>
    <t>bd_ro_m_g_c_023</t>
  </si>
  <si>
    <t>bd_ro_m_g_c_024</t>
  </si>
  <si>
    <t>bd_ro_m_g_c_026</t>
  </si>
  <si>
    <t>bd_ro_m_g_c_029</t>
  </si>
  <si>
    <t>bd_ro_m_g_c_031</t>
  </si>
  <si>
    <t>bd_ro_m_g_c_034</t>
  </si>
  <si>
    <t>bd_ro_m_g_c_037</t>
  </si>
  <si>
    <t>bd_ro_m_g_c_039</t>
  </si>
  <si>
    <t>bd_ro_m_g_c_042</t>
  </si>
  <si>
    <t>bd_ro_m_g_c_044</t>
  </si>
  <si>
    <t>bd_ro_m_g_c_045</t>
  </si>
  <si>
    <t>bd_ro_m_g_c_046</t>
  </si>
  <si>
    <t>bd_ro_m_g_c_053</t>
  </si>
  <si>
    <t>bd_ro_m_g_c_059</t>
  </si>
  <si>
    <t>bd_ro_m_g_c_063</t>
  </si>
  <si>
    <t>bd_ro_m_g_c_065</t>
  </si>
  <si>
    <t>bd_ro_m_g_c_067</t>
  </si>
  <si>
    <t>bd_ro_m_g_c_071</t>
  </si>
  <si>
    <t>bd_ro_m_g_c_084</t>
  </si>
  <si>
    <t>bd_ro_m_g_c_089</t>
  </si>
  <si>
    <t>bd_ro_m_g_c_094</t>
  </si>
  <si>
    <t>bd_ro_m_g_c_100</t>
  </si>
  <si>
    <t>bd_ro_m_g_c_105</t>
  </si>
  <si>
    <t>bd_ro_m_g_c_110</t>
  </si>
  <si>
    <t>bd_ro_un_merik</t>
  </si>
  <si>
    <t>019</t>
  </si>
  <si>
    <t>020</t>
  </si>
  <si>
    <t>a2</t>
  </si>
  <si>
    <t>a3</t>
  </si>
  <si>
    <t>022</t>
  </si>
  <si>
    <t>035</t>
  </si>
  <si>
    <t>026</t>
  </si>
  <si>
    <t>023</t>
  </si>
  <si>
    <t>024</t>
  </si>
  <si>
    <t>025</t>
  </si>
  <si>
    <t>027</t>
  </si>
  <si>
    <t>028</t>
  </si>
  <si>
    <t>029</t>
  </si>
  <si>
    <t>030</t>
  </si>
  <si>
    <t>031</t>
  </si>
  <si>
    <t>017</t>
  </si>
  <si>
    <t>003</t>
  </si>
  <si>
    <t>021</t>
  </si>
  <si>
    <t>a1</t>
  </si>
  <si>
    <t>053</t>
  </si>
  <si>
    <t>a4</t>
  </si>
  <si>
    <t>033</t>
  </si>
  <si>
    <t>034</t>
  </si>
  <si>
    <t>036</t>
  </si>
  <si>
    <t>037</t>
  </si>
  <si>
    <t>050</t>
  </si>
  <si>
    <t>038</t>
  </si>
  <si>
    <t>032</t>
  </si>
  <si>
    <t>018</t>
  </si>
  <si>
    <t>052</t>
  </si>
  <si>
    <t>048</t>
  </si>
  <si>
    <t>049</t>
  </si>
  <si>
    <t>055</t>
  </si>
  <si>
    <t>054</t>
  </si>
  <si>
    <t>042</t>
  </si>
  <si>
    <t>043</t>
  </si>
  <si>
    <t>077</t>
  </si>
  <si>
    <t>076</t>
  </si>
  <si>
    <t>045</t>
  </si>
  <si>
    <t>044</t>
  </si>
  <si>
    <t>046</t>
  </si>
  <si>
    <t>047</t>
  </si>
  <si>
    <t>040</t>
  </si>
  <si>
    <t>041</t>
  </si>
  <si>
    <t>039</t>
  </si>
  <si>
    <t>056</t>
  </si>
  <si>
    <t>051</t>
  </si>
  <si>
    <t>078</t>
  </si>
  <si>
    <t>a7</t>
  </si>
  <si>
    <t>b_gui_ig_i_a_pos_a5_025</t>
  </si>
  <si>
    <t>b_gui_ig_i_a_pos_a6_013</t>
  </si>
  <si>
    <t>b_gui_ig_i_a_pos_a5_023</t>
  </si>
  <si>
    <t>b_gui_ig_i_a_pos_a6_012</t>
  </si>
  <si>
    <t>b_gui_ig_i_a_pos_a3_041</t>
  </si>
  <si>
    <t>b_gui_ig_i_a_pos_a3_043</t>
  </si>
  <si>
    <t>b_gui_ig_i_a_pos_a3_038</t>
  </si>
  <si>
    <t>b_gui_ig_i_a_pos_a3_042</t>
  </si>
  <si>
    <t>b_gui_ig_i_a_pos_a3_039</t>
  </si>
  <si>
    <t>b_gui_ig_i_a_pos_a5_022</t>
  </si>
  <si>
    <t>b_gui_ig_i_a_pos_a6_014</t>
  </si>
  <si>
    <t>b_gui_ig_i_a_pos_a5_024</t>
  </si>
  <si>
    <t>b_gui_ig_i_a_pos_a2_064</t>
  </si>
  <si>
    <t>b_gui_ig_i_a_pos_a2_065</t>
  </si>
  <si>
    <t>b_gui_ig_i_a_pos_a2_066</t>
  </si>
  <si>
    <t>b_gui_ig_i_a_pos_a2_062</t>
  </si>
  <si>
    <t>b_gui_ig_i_a_pos_a3_044</t>
  </si>
  <si>
    <t>b_gui_ig_i_a_pos_a2_063</t>
  </si>
  <si>
    <t>b_gui_ig_i_a_pos_a4_013</t>
  </si>
  <si>
    <t>b_gui_ig_i_a_pos_a2_061</t>
  </si>
  <si>
    <t>b_gui_ig_i_a_pos_a4_012</t>
  </si>
  <si>
    <t>b_gui_ig_i_a_pos_a2_058</t>
  </si>
  <si>
    <t>b_gui_ig_i_a_pos_a4_011</t>
  </si>
  <si>
    <t>b_gui_ig_i_a_pos_a3_040</t>
  </si>
  <si>
    <t>b_gui_ig_i_a_pos_a7_053</t>
  </si>
  <si>
    <t>b_gui_ig_i_a_pos_a7_066</t>
  </si>
  <si>
    <t>b_gui_ig_i_a_pos_a7_074</t>
  </si>
  <si>
    <t>b_gui_ig_i_a_pos_a7_057</t>
  </si>
  <si>
    <t>b_gui_ig_i_a_pos_a7_056</t>
  </si>
  <si>
    <t>b_gui_ig_i_a_pos_a7_063</t>
  </si>
  <si>
    <t>b_gui_ig_i_a_pos_a7_076</t>
  </si>
  <si>
    <t>b_gui_ig_i_a_pos_a7_075</t>
  </si>
  <si>
    <t>b_gui_ig_i_a_pos_a7_071</t>
  </si>
  <si>
    <t>b_gui_ig_i_a_pos_a7_069</t>
  </si>
  <si>
    <t>b_gui_ig_i_a_pos_a7_052</t>
  </si>
  <si>
    <t>b_gui_ig_i_a_pos_a7_088</t>
  </si>
  <si>
    <t>b_gui_ig_i_a_pos_a7_087</t>
  </si>
  <si>
    <t>b_gui_ig_i_a_pos_a7_086</t>
  </si>
  <si>
    <t>b_gui_ig_i_a_pos_a7_072</t>
  </si>
  <si>
    <t>b_gui_ig_i_a_pos_a7_085</t>
  </si>
  <si>
    <t>b_gui_ig_i_a_pos_a7_068</t>
  </si>
  <si>
    <t>b_gui_ig_i_a_pos_a7_084</t>
  </si>
  <si>
    <t>b_gui_ig_i_a_pos_a7_062</t>
  </si>
  <si>
    <t>b_gui_ig_i_a_pos_a7_083</t>
  </si>
  <si>
    <t>b_gui_ig_i_a_pos_a7_064</t>
  </si>
  <si>
    <t>b_gui_ig_i_a_pos_a7_082</t>
  </si>
  <si>
    <t>b_gui_ig_i_a_pos_a7_065</t>
  </si>
  <si>
    <t>b_gui_ig_i_a_pos_a7_081</t>
  </si>
  <si>
    <t>b_gui_ig_i_a_pos_a7_051</t>
  </si>
  <si>
    <t>b_gui_ig_i_a_pos_a7_080</t>
  </si>
  <si>
    <t>b_gui_ig_i_a_pos_a7_070</t>
  </si>
  <si>
    <t>b_gui_ig_i_a_pos_a7_079</t>
  </si>
  <si>
    <t>b_gui_ig_i_a_pos_a7_078</t>
  </si>
  <si>
    <t>b_gui_ig_i_a_pos_a7_058</t>
  </si>
  <si>
    <t>b_gui_ig_i_a_pos_a7_060</t>
  </si>
  <si>
    <t>b_gui_ig_i_a_pos_a7_077</t>
  </si>
  <si>
    <t>b_gui_ig_i_a_pos_a7_073</t>
  </si>
  <si>
    <t>b_gui_ig_i_a_pos_a7_055</t>
  </si>
  <si>
    <t>b_gui_ig_i_a_pos_a7_054</t>
  </si>
  <si>
    <t>b_gui_ig_i_a_pos_a7_067</t>
  </si>
  <si>
    <t>b_gui_ig_i_a_pos_a7_061</t>
  </si>
  <si>
    <t>b_gui_ig_i_a_pos_a7_059</t>
  </si>
  <si>
    <t>b_gui_ig_i_a_pos_a2_057</t>
  </si>
  <si>
    <t>b_gui_ig_i_a_pos_a2_067</t>
  </si>
  <si>
    <t>b_gui_ig_i_a_pos_a2_068</t>
  </si>
  <si>
    <t>b_gui_ig_i_a_pos_a2_070</t>
  </si>
  <si>
    <t>b_gui_ig_i_a_pos_a1_063</t>
  </si>
  <si>
    <t>b_gui_ig_i_a_pos_a2_069</t>
  </si>
  <si>
    <t>b_gui_ig_i_a_pos_a1_062</t>
  </si>
  <si>
    <t>b_gui_ig_i_a_pos_a1_061</t>
  </si>
  <si>
    <t>b_gui_ig_i_a_pos_a1_060</t>
  </si>
  <si>
    <t>b_gui_ig_i_a_pos_a1_058</t>
  </si>
  <si>
    <t>b_gui_ig_i_a_pos_a1_059</t>
  </si>
  <si>
    <t>b_gui_ig_i_a_pos_a2_059</t>
  </si>
  <si>
    <t>b_gui_ig_i_a_pos_a3_037</t>
  </si>
  <si>
    <t>b_gui_ig_i_a_pos_a2_060</t>
  </si>
  <si>
    <t>b_gui_ig_i_a_pos_a2_072</t>
  </si>
  <si>
    <t>b_gui_ig_i_a_pos_a2_071</t>
  </si>
  <si>
    <t>RequirementAttribute</t>
  </si>
  <si>
    <t>RequirementValue</t>
  </si>
  <si>
    <t>AllowNormal</t>
  </si>
  <si>
    <t>AllowMagic</t>
  </si>
  <si>
    <t>AllowRare</t>
  </si>
  <si>
    <t>AllowUnique</t>
  </si>
  <si>
    <t>ItemName</t>
  </si>
  <si>
    <t>Modifier Min</t>
  </si>
  <si>
    <t>Modifier Max</t>
  </si>
  <si>
    <t>---</t>
  </si>
  <si>
    <t>Defense</t>
  </si>
  <si>
    <t>Texture2D'/Game/DungeonSiege/art/bitmaps/gui/in_game/inventory/spells/combat/Texture_PSD/T_AcidCloud.T_AcidCloud'</t>
  </si>
  <si>
    <t>Texture2D'/Game/DungeonSiege/art/bitmaps/gui/in_game/inventory/spells/combat/Texture_PSD/T_AcidGas.T_AcidGas'</t>
  </si>
  <si>
    <t>Texture2D'/Game/DungeonSiege/art/bitmaps/gui/in_game/inventory/spells/combat/Texture_PSD/T_BattleHealing.T_BattleHealing'</t>
  </si>
  <si>
    <t>Texture2D'/Game/DungeonSiege/art/bitmaps/gui/in_game/inventory/spells/combat/Texture_PSD/T_Blaster.T_Blaster'</t>
  </si>
  <si>
    <t>Texture2D'/Game/DungeonSiege/art/bitmaps/gui/in_game/inventory/spells/combat/Texture_PSD/T_Bomb.T_Bomb'</t>
  </si>
  <si>
    <t>Texture2D'/Game/DungeonSiege/art/bitmaps/gui/in_game/inventory/spells/combat/Texture_PSD/T_Bombard.T_Bombard'</t>
  </si>
  <si>
    <t>Texture2D'/Game/DungeonSiege/art/bitmaps/gui/in_game/inventory/spells/combat/Texture_PSD/T_BurnBody.T_BurnBody'</t>
  </si>
  <si>
    <t>Texture2D'/Game/DungeonSiege/art/bitmaps/gui/in_game/inventory/spells/combat/Texture_PSD/T_ClusterBomb.T_ClusterBomb'</t>
  </si>
  <si>
    <t>Texture2D'/Game/DungeonSiege/art/bitmaps/gui/in_game/inventory/spells/combat/Texture_PSD/T_CorpseTransmutation.T_CorpseTransmutation'</t>
  </si>
  <si>
    <t>Texture2D'/Game/DungeonSiege/art/bitmaps/gui/in_game/inventory/spells/combat/Texture_PSD/T_Curse.T_Curse'</t>
  </si>
  <si>
    <t>Texture2D'/Game/DungeonSiege/art/bitmaps/gui/in_game/inventory/spells/combat/Texture_PSD/T_CycloneOfFire.T_CycloneOfFire'</t>
  </si>
  <si>
    <t>Texture2D'/Game/DungeonSiege/art/bitmaps/gui/in_game/inventory/spells/combat/Texture_PSD/T_DeathBlast.T_DeathBlast'</t>
  </si>
  <si>
    <t>Texture2D'/Game/DungeonSiege/art/bitmaps/gui/in_game/inventory/spells/combat/Texture_PSD/T_DragonFire.T_DragonFire'</t>
  </si>
  <si>
    <t>Texture2D'/Game/DungeonSiege/art/bitmaps/gui/in_game/inventory/spells/combat/Texture_PSD/T_ExplodeBody.T_ExplodeBody'</t>
  </si>
  <si>
    <t>Texture2D'/Game/DungeonSiege/art/bitmaps/gui/in_game/inventory/spells/combat/Texture_PSD/T_ExplosivePowder.T_ExplosivePowder'</t>
  </si>
  <si>
    <t>Texture2D'/Game/DungeonSiege/art/bitmaps/gui/in_game/inventory/spells/combat/Texture_PSD/T_FireRing.T_FireRing'</t>
  </si>
  <si>
    <t>Texture2D'/Game/DungeonSiege/art/bitmaps/gui/in_game/inventory/spells/combat/Texture_PSD/T_FireWall.T_FireWall'</t>
  </si>
  <si>
    <t>Texture2D'/Game/DungeonSiege/art/bitmaps/gui/in_game/inventory/spells/combat/Texture_PSD/T_Fireball.T_Fireball'</t>
  </si>
  <si>
    <t>Texture2D'/Game/DungeonSiege/art/bitmaps/gui/in_game/inventory/spells/combat/Texture_PSD/T_FireballRain.T_FireballRain'</t>
  </si>
  <si>
    <t>Texture2D'/Game/DungeonSiege/art/bitmaps/gui/in_game/inventory/spells/combat/Texture_PSD/T_Fireblast.T_Fireblast'</t>
  </si>
  <si>
    <t>Texture2D'/Game/DungeonSiege/art/bitmaps/gui/in_game/inventory/spells/combat/Texture_PSD/T_Firebomb.T_Firebomb'</t>
  </si>
  <si>
    <t>Texture2D'/Game/DungeonSiege/art/bitmaps/gui/in_game/inventory/spells/combat/Texture_PSD/T_Firerain.T_Firerain'</t>
  </si>
  <si>
    <t>Texture2D'/Game/DungeonSiege/art/bitmaps/gui/in_game/inventory/spells/combat/Texture_PSD/T_Fireshot.T_Fireshot'</t>
  </si>
  <si>
    <t>Texture2D'/Game/DungeonSiege/art/bitmaps/gui/in_game/inventory/spells/combat/Texture_PSD/T_FireshotArmor.T_FireshotArmor'</t>
  </si>
  <si>
    <t>Texture2D'/Game/DungeonSiege/art/bitmaps/gui/in_game/inventory/spells/combat/Texture_PSD/T_Fireskull.T_Fireskull'</t>
  </si>
  <si>
    <t>Texture2D'/Game/DungeonSiege/art/bitmaps/gui/in_game/inventory/spells/combat/Texture_PSD/T_Firespray.T_Firespray'</t>
  </si>
  <si>
    <t>Texture2D'/Game/DungeonSiege/art/bitmaps/gui/in_game/inventory/spells/combat/Texture_PSD/T_Flame.T_Flame'</t>
  </si>
  <si>
    <t>Texture2D'/Game/DungeonSiege/art/bitmaps/gui/in_game/inventory/spells/combat/Texture_PSD/T_FlameBlades.T_FlameBlades'</t>
  </si>
  <si>
    <t>Texture2D'/Game/DungeonSiege/art/bitmaps/gui/in_game/inventory/spells/combat/Texture_PSD/T_FlameShield.T_FlameShield'</t>
  </si>
  <si>
    <t>Texture2D'/Game/DungeonSiege/art/bitmaps/gui/in_game/inventory/spells/combat/Texture_PSD/T_Incinerate.T_Incinerate'</t>
  </si>
  <si>
    <t>Texture2D'/Game/DungeonSiege/art/bitmaps/gui/in_game/inventory/spells/combat/Texture_PSD/T_Inferno.T_Inferno'</t>
  </si>
  <si>
    <t>Texture2D'/Game/DungeonSiege/art/bitmaps/gui/in_game/inventory/spells/combat/Texture_PSD/T_LeechLife.T_LeechLife'</t>
  </si>
  <si>
    <t>Texture2D'/Game/DungeonSiege/art/bitmaps/gui/in_game/inventory/spells/combat/Texture_PSD/T_Malign.T_Malign'</t>
  </si>
  <si>
    <t>Texture2D'/Game/DungeonSiege/art/bitmaps/gui/in_game/inventory/spells/combat/Texture_PSD/T_ManaChant.T_ManaChant'</t>
  </si>
  <si>
    <t>Texture2D'/Game/DungeonSiege/art/bitmaps/gui/in_game/inventory/spells/combat/Texture_PSD/T_MetalShards.T_MetalShards'</t>
  </si>
  <si>
    <t>Texture2D'/Game/DungeonSiege/art/bitmaps/gui/in_game/inventory/spells/combat/Texture_PSD/T_Meteor.T_Meteor'</t>
  </si>
  <si>
    <t>Texture2D'/Game/DungeonSiege/art/bitmaps/gui/in_game/inventory/spells/combat/Texture_PSD/T_MeteorStorm.T_MeteorStorm'</t>
  </si>
  <si>
    <t>Texture2D'/Game/DungeonSiege/art/bitmaps/gui/in_game/inventory/spells/combat/Texture_PSD/T_OgresMight.T_OgresMight'</t>
  </si>
  <si>
    <t>Texture2D'/Game/DungeonSiege/art/bitmaps/gui/in_game/inventory/spells/combat/Texture_PSD/T_PainReflux.T_PainReflux'</t>
  </si>
  <si>
    <t>Texture2D'/Game/DungeonSiege/art/bitmaps/gui/in_game/inventory/spells/combat/Texture_PSD/T_Pestilence.T_Pestilence'</t>
  </si>
  <si>
    <t>Texture2D'/Game/DungeonSiege/art/bitmaps/gui/in_game/inventory/spells/combat/Texture_PSD/T_Pestilencecloud.T_Pestilencecloud'</t>
  </si>
  <si>
    <t>Texture2D'/Game/DungeonSiege/art/bitmaps/gui/in_game/inventory/spells/combat/Texture_PSD/T_PillarOfFire.T_PillarOfFire'</t>
  </si>
  <si>
    <t>Texture2D'/Game/DungeonSiege/art/bitmaps/gui/in_game/inventory/spells/combat/Texture_PSD/T_Rage.T_Rage'</t>
  </si>
  <si>
    <t>Texture2D'/Game/DungeonSiege/art/bitmaps/gui/in_game/inventory/spells/combat/Texture_PSD/T_Reconstitution.T_Reconstitution'</t>
  </si>
  <si>
    <t>Texture2D'/Game/DungeonSiege/art/bitmaps/gui/in_game/inventory/spells/combat/Texture_PSD/T_Revive.T_Revive'</t>
  </si>
  <si>
    <t>Texture2D'/Game/DungeonSiege/art/bitmaps/gui/in_game/inventory/spells/combat/Texture_PSD/T_RipMana.T_RipMana'</t>
  </si>
  <si>
    <t>Texture2D'/Game/DungeonSiege/art/bitmaps/gui/in_game/inventory/spells/combat/Texture_PSD/T_ShargsRevive.T_ShargsRevive'</t>
  </si>
  <si>
    <t>Texture2D'/Game/DungeonSiege/art/bitmaps/gui/in_game/inventory/spells/combat/Texture_PSD/T_SoulLance.T_SoulLance'</t>
  </si>
  <si>
    <t>Texture2D'/Game/DungeonSiege/art/bitmaps/gui/in_game/inventory/spells/combat/Texture_PSD/T_SpiritArmor.T_SpiritArmor'</t>
  </si>
  <si>
    <t>Texture2D'/Game/DungeonSiege/art/bitmaps/gui/in_game/inventory/spells/combat/Texture_PSD/T_SummonBlackDrake.T_SummonBlackDrake'</t>
  </si>
  <si>
    <t>Texture2D'/Game/DungeonSiege/art/bitmaps/gui/in_game/inventory/spells/combat/Texture_PSD/T_SummonDarkling.T_SummonDarkling'</t>
  </si>
  <si>
    <t>Texture2D'/Game/DungeonSiege/art/bitmaps/gui/in_game/inventory/spells/combat/Texture_PSD/T_SummonDesertBraak.T_SummonDesertBraak'</t>
  </si>
  <si>
    <t>Texture2D'/Game/DungeonSiege/art/bitmaps/gui/in_game/inventory/spells/combat/Texture_PSD/T_SummonFireElemental.T_SummonFireElemental'</t>
  </si>
  <si>
    <t>Texture2D'/Game/DungeonSiege/art/bitmaps/gui/in_game/inventory/spells/combat/Texture_PSD/T_SummonForestTroll.T_SummonForestTroll'</t>
  </si>
  <si>
    <t>Texture2D'/Game/DungeonSiege/art/bitmaps/gui/in_game/inventory/spells/combat/Texture_PSD/T_SummonHellBoar.T_SummonHellBoar'</t>
  </si>
  <si>
    <t>Texture2D'/Game/DungeonSiege/art/bitmaps/gui/in_game/inventory/spells/combat/Texture_PSD/T_SummonImpaler.T_SummonImpaler'</t>
  </si>
  <si>
    <t>Texture2D'/Game/DungeonSiege/art/bitmaps/gui/in_game/inventory/spells/combat/Texture_PSD/T_SummonJadeGargoyle.T_SummonJadeGargoyle'</t>
  </si>
  <si>
    <t>Texture2D'/Game/DungeonSiege/art/bitmaps/gui/in_game/inventory/spells/combat/Texture_PSD/T_SummonLavaSpirit.T_SummonLavaSpirit'</t>
  </si>
  <si>
    <t>Texture2D'/Game/DungeonSiege/art/bitmaps/gui/in_game/inventory/spells/combat/Texture_PSD/T_SummonMucosa.T_SummonMucosa'</t>
  </si>
  <si>
    <t>Texture2D'/Game/DungeonSiege/art/bitmaps/gui/in_game/inventory/spells/combat/Texture_PSD/T_SummonMucosaPredator.T_SummonMucosaPredator'</t>
  </si>
  <si>
    <t>Texture2D'/Game/DungeonSiege/art/bitmaps/gui/in_game/inventory/spells/combat/Texture_PSD/T_SummonPicker.T_SummonPicker'</t>
  </si>
  <si>
    <t>Texture2D'/Game/DungeonSiege/art/bitmaps/gui/in_game/inventory/spells/combat/Texture_PSD/T_SummonSkeleton.T_SummonSkeleton'</t>
  </si>
  <si>
    <t>Texture2D'/Game/DungeonSiege/art/bitmaps/gui/in_game/inventory/spells/combat/Texture_PSD/T_SummonSkeletonKrugDog.T_SummonSkeletonKrugDog'</t>
  </si>
  <si>
    <t>Texture2D'/Game/DungeonSiege/art/bitmaps/gui/in_game/inventory/spells/combat/Texture_PSD/T_SummonSkick.T_SummonSkick'</t>
  </si>
  <si>
    <t>Texture2D'/Game/DungeonSiege/art/bitmaps/gui/in_game/inventory/spells/combat/Texture_PSD/T_SummonSlag.T_SummonSlag'</t>
  </si>
  <si>
    <t>Texture2D'/Game/DungeonSiege/art/bitmaps/gui/in_game/inventory/spells/combat/Texture_PSD/T_SummonWraith.T_SummonWraith'</t>
  </si>
  <si>
    <t>Texture2D'/Game/DungeonSiege/art/bitmaps/gui/in_game/inventory/spells/combat/Texture_PSD/T_SummonWraithArcher.T_SummonWraithArcher'</t>
  </si>
  <si>
    <t>Texture2D'/Game/DungeonSiege/art/bitmaps/gui/in_game/inventory/spells/combat/Texture_PSD/T_SummonZombie.T_SummonZombie'</t>
  </si>
  <si>
    <t>Texture2D'/Game/DungeonSiege/art/bitmaps/gui/in_game/inventory/spells/combat/Texture_PSD/T_Tremor.T_Tremor'</t>
  </si>
  <si>
    <t>Texture2D'/Game/DungeonSiege/art/bitmaps/gui/in_game/inventory/spells/combat/Texture_PSD/T_TripleStrike.T_TripleStrike'</t>
  </si>
  <si>
    <t>Texture2D'/Game/DungeonSiege/art/bitmaps/gui/in_game/inventory/spells/combat/Texture_PSD/T_Weaken.T_Weaken'</t>
  </si>
  <si>
    <t>Texture2D'/Game/DungeonSiege/art/bitmaps/gui/in_game/inventory/spells/combat/Texture_PSD/m_Inventory/T_AcidCloud_Inv.T_AcidCloud_Inv'</t>
  </si>
  <si>
    <t>Texture2D'/Game/DungeonSiege/art/bitmaps/gui/in_game/inventory/spells/combat/Texture_PSD/m_Inventory/T_AcidGas_Inv.T_AcidGas_Inv'</t>
  </si>
  <si>
    <t>Texture2D'/Game/DungeonSiege/art/bitmaps/gui/in_game/inventory/spells/combat/Texture_PSD/m_Inventory/T_BattleHealing_Inv.T_BattleHealing_Inv'</t>
  </si>
  <si>
    <t>Texture2D'/Game/DungeonSiege/art/bitmaps/gui/in_game/inventory/spells/combat/Texture_PSD/m_Inventory/T_Blaster_Inv.T_Blaster_Inv'</t>
  </si>
  <si>
    <t>Texture2D'/Game/DungeonSiege/art/bitmaps/gui/in_game/inventory/spells/combat/Texture_PSD/m_Inventory/T_Bomb_Inv.T_Bomb_Inv'</t>
  </si>
  <si>
    <t>Texture2D'/Game/DungeonSiege/art/bitmaps/gui/in_game/inventory/spells/combat/Texture_PSD/m_Inventory/T_Bombard_Inv.T_Bombard_Inv'</t>
  </si>
  <si>
    <t>Texture2D'/Game/DungeonSiege/art/bitmaps/gui/in_game/inventory/spells/combat/Texture_PSD/m_Inventory/T_BurnBody_Inv.T_BurnBody_Inv'</t>
  </si>
  <si>
    <t>Texture2D'/Game/DungeonSiege/art/bitmaps/gui/in_game/inventory/spells/combat/Texture_PSD/m_Inventory/T_ClusterBomb_Inv.T_ClusterBomb_Inv'</t>
  </si>
  <si>
    <t>Texture2D'/Game/DungeonSiege/art/bitmaps/gui/in_game/inventory/spells/combat/Texture_PSD/m_Inventory/T_CorpseTransmutation_Inv.T_CorpseTransmutation_Inv'</t>
  </si>
  <si>
    <t>Texture2D'/Game/DungeonSiege/art/bitmaps/gui/in_game/inventory/spells/combat/Texture_PSD/m_Inventory/T_Curse_Inv.T_Curse_Inv'</t>
  </si>
  <si>
    <t>Texture2D'/Game/DungeonSiege/art/bitmaps/gui/in_game/inventory/spells/combat/Texture_PSD/m_Inventory/T_CycloneOfFire_Inv.T_CycloneOfFire_Inv'</t>
  </si>
  <si>
    <t>Texture2D'/Game/DungeonSiege/art/bitmaps/gui/in_game/inventory/spells/combat/Texture_PSD/m_Inventory/T_DeathBlast_Inv.T_DeathBlast_Inv'</t>
  </si>
  <si>
    <t>Texture2D'/Game/DungeonSiege/art/bitmaps/gui/in_game/inventory/spells/combat/Texture_PSD/m_Inventory/T_DragonFire_Inv.T_DragonFire_Inv'</t>
  </si>
  <si>
    <t>Texture2D'/Game/DungeonSiege/art/bitmaps/gui/in_game/inventory/spells/combat/Texture_PSD/m_Inventory/T_ExplodeBody_Inv.T_ExplodeBody_Inv'</t>
  </si>
  <si>
    <t>Texture2D'/Game/DungeonSiege/art/bitmaps/gui/in_game/inventory/spells/combat/Texture_PSD/m_Inventory/T_ExplosivePowder_Inv.T_ExplosivePowder_Inv'</t>
  </si>
  <si>
    <t>Texture2D'/Game/DungeonSiege/art/bitmaps/gui/in_game/inventory/spells/combat/Texture_PSD/m_Inventory/T_FireRing_Inv.T_FireRing_Inv'</t>
  </si>
  <si>
    <t>Texture2D'/Game/DungeonSiege/art/bitmaps/gui/in_game/inventory/spells/combat/Texture_PSD/m_Inventory/T_FireWall_Inv.T_FireWall_Inv'</t>
  </si>
  <si>
    <t>Texture2D'/Game/DungeonSiege/art/bitmaps/gui/in_game/inventory/spells/combat/Texture_PSD/m_Inventory/T_Fireball_Inv.T_Fireball_Inv'</t>
  </si>
  <si>
    <t>Texture2D'/Game/DungeonSiege/art/bitmaps/gui/in_game/inventory/spells/combat/Texture_PSD/m_Inventory/T_FireballRain_Inv.T_FireballRain_Inv'</t>
  </si>
  <si>
    <t>Texture2D'/Game/DungeonSiege/art/bitmaps/gui/in_game/inventory/spells/combat/Texture_PSD/m_Inventory/T_Fireblast_Inv.T_Fireblast_Inv'</t>
  </si>
  <si>
    <t>Texture2D'/Game/DungeonSiege/art/bitmaps/gui/in_game/inventory/spells/combat/Texture_PSD/m_Inventory/T_Firebomb_Inv.T_Firebomb_Inv'</t>
  </si>
  <si>
    <t>Texture2D'/Game/DungeonSiege/art/bitmaps/gui/in_game/inventory/spells/combat/Texture_PSD/m_Inventory/T_Firerain_Inv.T_Firerain_Inv'</t>
  </si>
  <si>
    <t>Texture2D'/Game/DungeonSiege/art/bitmaps/gui/in_game/inventory/spells/combat/Texture_PSD/m_Inventory/T_Fireshot_Inv.T_Fireshot_Inv'</t>
  </si>
  <si>
    <t>Texture2D'/Game/DungeonSiege/art/bitmaps/gui/in_game/inventory/spells/combat/Texture_PSD/m_Inventory/T_FireshotArmor_Inv.T_FireshotArmor_Inv'</t>
  </si>
  <si>
    <t>Texture2D'/Game/DungeonSiege/art/bitmaps/gui/in_game/inventory/spells/combat/Texture_PSD/m_Inventory/T_Fireskull_Inv.T_Fireskull_Inv'</t>
  </si>
  <si>
    <t>Texture2D'/Game/DungeonSiege/art/bitmaps/gui/in_game/inventory/spells/combat/Texture_PSD/m_Inventory/T_Firespray_Inv.T_Firespray_Inv'</t>
  </si>
  <si>
    <t>Texture2D'/Game/DungeonSiege/art/bitmaps/gui/in_game/inventory/spells/combat/Texture_PSD/m_Inventory/T_Flame_Inv.T_Flame_Inv'</t>
  </si>
  <si>
    <t>Texture2D'/Game/DungeonSiege/art/bitmaps/gui/in_game/inventory/spells/combat/Texture_PSD/m_Inventory/T_FlameBlades_Inv.T_FlameBlades_Inv'</t>
  </si>
  <si>
    <t>Texture2D'/Game/DungeonSiege/art/bitmaps/gui/in_game/inventory/spells/combat/Texture_PSD/m_Inventory/T_FlameShield_Inv.T_FlameShield_Inv'</t>
  </si>
  <si>
    <t>Texture2D'/Game/DungeonSiege/art/bitmaps/gui/in_game/inventory/spells/combat/Texture_PSD/m_Inventory/T_Incinerate_Inv.T_Incinerate_Inv'</t>
  </si>
  <si>
    <t>Texture2D'/Game/DungeonSiege/art/bitmaps/gui/in_game/inventory/spells/combat/Texture_PSD/m_Inventory/T_Inferno_Inv.T_Inferno_Inv'</t>
  </si>
  <si>
    <t>Texture2D'/Game/DungeonSiege/art/bitmaps/gui/in_game/inventory/spells/combat/Texture_PSD/m_Inventory/T_LeechLife_Inv.T_LeechLife_Inv'</t>
  </si>
  <si>
    <t>Texture2D'/Game/DungeonSiege/art/bitmaps/gui/in_game/inventory/spells/combat/Texture_PSD/m_Inventory/T_Malign_Inv.T_Malign_Inv'</t>
  </si>
  <si>
    <t>Texture2D'/Game/DungeonSiege/art/bitmaps/gui/in_game/inventory/spells/combat/Texture_PSD/m_Inventory/T_ManaChant_Inv.T_ManaChant_Inv'</t>
  </si>
  <si>
    <t>Texture2D'/Game/DungeonSiege/art/bitmaps/gui/in_game/inventory/spells/combat/Texture_PSD/m_Inventory/T_MetalShards_Inv.T_MetalShards_Inv'</t>
  </si>
  <si>
    <t>Texture2D'/Game/DungeonSiege/art/bitmaps/gui/in_game/inventory/spells/combat/Texture_PSD/m_Inventory/T_Meteor_Inv.T_Meteor_Inv'</t>
  </si>
  <si>
    <t>Texture2D'/Game/DungeonSiege/art/bitmaps/gui/in_game/inventory/spells/combat/Texture_PSD/m_Inventory/T_MeteorStorm_Inv.T_MeteorStorm_Inv'</t>
  </si>
  <si>
    <t>Texture2D'/Game/DungeonSiege/art/bitmaps/gui/in_game/inventory/spells/combat/Texture_PSD/m_Inventory/T_OgresMight_Inv.T_OgresMight_Inv'</t>
  </si>
  <si>
    <t>Texture2D'/Game/DungeonSiege/art/bitmaps/gui/in_game/inventory/spells/combat/Texture_PSD/m_Inventory/T_PainReflux_Inv.T_PainReflux_Inv'</t>
  </si>
  <si>
    <t>Texture2D'/Game/DungeonSiege/art/bitmaps/gui/in_game/inventory/spells/combat/Texture_PSD/m_Inventory/T_Pestilence_Inv.T_Pestilence_Inv'</t>
  </si>
  <si>
    <t>Texture2D'/Game/DungeonSiege/art/bitmaps/gui/in_game/inventory/spells/combat/Texture_PSD/m_Inventory/T_Pestilencecloud_Inv.T_Pestilencecloud_Inv'</t>
  </si>
  <si>
    <t>Texture2D'/Game/DungeonSiege/art/bitmaps/gui/in_game/inventory/spells/combat/Texture_PSD/m_Inventory/T_PillarOfFire_Inv.T_PillarOfFire_Inv'</t>
  </si>
  <si>
    <t>Texture2D'/Game/DungeonSiege/art/bitmaps/gui/in_game/inventory/spells/combat/Texture_PSD/m_Inventory/T_Rage_Inv.T_Rage_Inv'</t>
  </si>
  <si>
    <t>Texture2D'/Game/DungeonSiege/art/bitmaps/gui/in_game/inventory/spells/combat/Texture_PSD/m_Inventory/T_Reconstitution_Inv.T_Reconstitution_Inv'</t>
  </si>
  <si>
    <t>Texture2D'/Game/DungeonSiege/art/bitmaps/gui/in_game/inventory/spells/combat/Texture_PSD/m_Inventory/T_Revive_Inv.T_Revive_Inv'</t>
  </si>
  <si>
    <t>Texture2D'/Game/DungeonSiege/art/bitmaps/gui/in_game/inventory/spells/combat/Texture_PSD/m_Inventory/T_RipMana_Inv.T_RipMana_Inv'</t>
  </si>
  <si>
    <t>Texture2D'/Game/DungeonSiege/art/bitmaps/gui/in_game/inventory/spells/combat/Texture_PSD/m_Inventory/T_ShargsRevive_Inv.T_ShargsRevive_Inv'</t>
  </si>
  <si>
    <t>Texture2D'/Game/DungeonSiege/art/bitmaps/gui/in_game/inventory/spells/combat/Texture_PSD/m_Inventory/T_SoulLance_Inv.T_SoulLance_Inv'</t>
  </si>
  <si>
    <t>Texture2D'/Game/DungeonSiege/art/bitmaps/gui/in_game/inventory/spells/combat/Texture_PSD/m_Inventory/T_SpiritArmor_Inv.T_SpiritArmor_Inv'</t>
  </si>
  <si>
    <t>Texture2D'/Game/DungeonSiege/art/bitmaps/gui/in_game/inventory/spells/combat/Texture_PSD/m_Inventory/T_SummonBlackDrake_Inv.T_SummonBlackDrake_Inv'</t>
  </si>
  <si>
    <t>Texture2D'/Game/DungeonSiege/art/bitmaps/gui/in_game/inventory/spells/combat/Texture_PSD/m_Inventory/T_SummonDarkling_Inv.T_SummonDarkling_Inv'</t>
  </si>
  <si>
    <t>Texture2D'/Game/DungeonSiege/art/bitmaps/gui/in_game/inventory/spells/combat/Texture_PSD/m_Inventory/T_SummonDesertBraak_Inv.T_SummonDesertBraak_Inv'</t>
  </si>
  <si>
    <t>Texture2D'/Game/DungeonSiege/art/bitmaps/gui/in_game/inventory/spells/combat/Texture_PSD/m_Inventory/T_SummonFireElemental_Inv.T_SummonFireElemental_Inv'</t>
  </si>
  <si>
    <t>Texture2D'/Game/DungeonSiege/art/bitmaps/gui/in_game/inventory/spells/combat/Texture_PSD/m_Inventory/T_SummonForestTroll_Inv.T_SummonForestTroll_Inv'</t>
  </si>
  <si>
    <t>Texture2D'/Game/DungeonSiege/art/bitmaps/gui/in_game/inventory/spells/combat/Texture_PSD/m_Inventory/T_SummonHellBoar_Inv.T_SummonHellBoar_Inv'</t>
  </si>
  <si>
    <t>Texture2D'/Game/DungeonSiege/art/bitmaps/gui/in_game/inventory/spells/combat/Texture_PSD/m_Inventory/T_SummonImpaler_Inv.T_SummonImpaler_Inv'</t>
  </si>
  <si>
    <t>Texture2D'/Game/DungeonSiege/art/bitmaps/gui/in_game/inventory/spells/combat/Texture_PSD/m_Inventory/T_SummonJadeGargoyle_Inv.T_SummonJadeGargoyle_Inv'</t>
  </si>
  <si>
    <t>Texture2D'/Game/DungeonSiege/art/bitmaps/gui/in_game/inventory/spells/combat/Texture_PSD/m_Inventory/T_SummonLavaSpirit_Inv.T_SummonLavaSpirit_Inv'</t>
  </si>
  <si>
    <t>Texture2D'/Game/DungeonSiege/art/bitmaps/gui/in_game/inventory/spells/combat/Texture_PSD/m_Inventory/T_SummonMucosa_Inv.T_SummonMucosa_Inv'</t>
  </si>
  <si>
    <t>Texture2D'/Game/DungeonSiege/art/bitmaps/gui/in_game/inventory/spells/combat/Texture_PSD/m_Inventory/T_SummonMucosaPredator_Inv.T_SummonMucosaPredator_Inv'</t>
  </si>
  <si>
    <t>Texture2D'/Game/DungeonSiege/art/bitmaps/gui/in_game/inventory/spells/combat/Texture_PSD/m_Inventory/T_SummonPicker_Inv.T_SummonPicker_Inv'</t>
  </si>
  <si>
    <t>Texture2D'/Game/DungeonSiege/art/bitmaps/gui/in_game/inventory/spells/combat/Texture_PSD/m_Inventory/T_SummonSkeleton_Inv.T_SummonSkeleton_Inv'</t>
  </si>
  <si>
    <t>Texture2D'/Game/DungeonSiege/art/bitmaps/gui/in_game/inventory/spells/combat/Texture_PSD/m_Inventory/T_SummonSkeletonKrugDog_Inv.T_SummonSkeletonKrugDog_Inv'</t>
  </si>
  <si>
    <t>Texture2D'/Game/DungeonSiege/art/bitmaps/gui/in_game/inventory/spells/combat/Texture_PSD/m_Inventory/T_SummonSkick_Inv.T_SummonSkick_Inv'</t>
  </si>
  <si>
    <t>Texture2D'/Game/DungeonSiege/art/bitmaps/gui/in_game/inventory/spells/combat/Texture_PSD/m_Inventory/T_SummonSlag_Inv.T_SummonSlag_Inv'</t>
  </si>
  <si>
    <t>Texture2D'/Game/DungeonSiege/art/bitmaps/gui/in_game/inventory/spells/combat/Texture_PSD/m_Inventory/T_SummonWraith_Inv.T_SummonWraith_Inv'</t>
  </si>
  <si>
    <t>Texture2D'/Game/DungeonSiege/art/bitmaps/gui/in_game/inventory/spells/combat/Texture_PSD/m_Inventory/T_SummonWraithArcher_Inv.T_SummonWraithArcher_Inv'</t>
  </si>
  <si>
    <t>Texture2D'/Game/DungeonSiege/art/bitmaps/gui/in_game/inventory/spells/combat/Texture_PSD/m_Inventory/T_SummonZombie_Inv.T_SummonZombie_Inv'</t>
  </si>
  <si>
    <t>Texture2D'/Game/DungeonSiege/art/bitmaps/gui/in_game/inventory/spells/combat/Texture_PSD/m_Inventory/T_Tremor_Inv.T_Tremor_Inv'</t>
  </si>
  <si>
    <t>Texture2D'/Game/DungeonSiege/art/bitmaps/gui/in_game/inventory/spells/combat/Texture_PSD/m_Inventory/T_TripleStrike_Inv.T_TripleStrike_Inv'</t>
  </si>
  <si>
    <t>Texture2D'/Game/DungeonSiege/art/bitmaps/gui/in_game/inventory/spells/combat/Texture_PSD/m_Inventory/T_Weaken_Inv.T_Weaken_Inv'</t>
  </si>
  <si>
    <t>PlaceSound</t>
  </si>
  <si>
    <t>SoundWave'/Game/Sound/Effects/s_e_gui_put_down_armor_chain.s_e_gui_put_down_armor_chain'</t>
  </si>
  <si>
    <t>SoundWave'/Game/Sound/Effects/s_e_gui_put_down_armor_plate.s_e_gui_put_down_armor_plate'</t>
  </si>
  <si>
    <t>SoundWave'/Game/Sound/Effects/s_e_gui_put_down_armor_leather.s_e_gui_put_down_armor_leather'</t>
  </si>
  <si>
    <t>SoundWave'/Game/Sound/Effects/s_e_gui_put_down_robe.s_e_gui_put_down_robe'</t>
  </si>
  <si>
    <t>EntityCode</t>
  </si>
  <si>
    <t>Strength</t>
  </si>
  <si>
    <t>Dexterity</t>
  </si>
  <si>
    <t>CombatMagic</t>
  </si>
  <si>
    <t>NatureMagic</t>
  </si>
  <si>
    <t>ArmorRating</t>
  </si>
  <si>
    <t>#</t>
  </si>
  <si>
    <t>HealthPerHit</t>
  </si>
  <si>
    <t>ManaPerHit</t>
  </si>
  <si>
    <t>HealthStealPerHit</t>
  </si>
  <si>
    <t>ManaStealPerHit</t>
  </si>
  <si>
    <t>MinDamageMod</t>
  </si>
  <si>
    <t>MaxDamageMod</t>
  </si>
  <si>
    <t>PercentDamageReflectedToEnemy</t>
  </si>
  <si>
    <t>ChanceToHitEnemy</t>
  </si>
  <si>
    <t>ChanceToInflictPiercingHit</t>
  </si>
  <si>
    <t>MinPiercingDamageMod</t>
  </si>
  <si>
    <t>MaxPiercingDamageMod</t>
  </si>
  <si>
    <t>PercentRangedDamageReduction</t>
  </si>
  <si>
    <t>ChanceToBlockRangedAttack</t>
  </si>
  <si>
    <t>RangedHitChance</t>
  </si>
  <si>
    <t>ChanceToDodgeRangeAttack</t>
  </si>
  <si>
    <t>PercentMeleeDamageReduction</t>
  </si>
  <si>
    <t>ChanceToBlockMeleeAttack</t>
  </si>
  <si>
    <t>MeleeHitChance</t>
  </si>
  <si>
    <t>ChanceToDodgeMeleeAttack</t>
  </si>
  <si>
    <t>MeleeMinDamageMod</t>
  </si>
  <si>
    <t>MeleeMaxDamageMod</t>
  </si>
  <si>
    <t>NatureMagicCostReduction</t>
  </si>
  <si>
    <t>NatureMagicMinDamageMod</t>
  </si>
  <si>
    <t>NatureMagicMaxDamageMod</t>
  </si>
  <si>
    <t>CombatMagicCostReduction</t>
  </si>
  <si>
    <t>CombatMagicMinDamageMod</t>
  </si>
  <si>
    <t>CombatMagicMaxDamageMod</t>
  </si>
  <si>
    <t>PercentMagicDamageReduction</t>
  </si>
  <si>
    <t>MagicCostReduction</t>
  </si>
  <si>
    <t>ColdDamageAmplification</t>
  </si>
  <si>
    <t>ColdSpellCostReduction</t>
  </si>
  <si>
    <t>FireDamageAmplification</t>
  </si>
  <si>
    <t>FireSpellCostReduction</t>
  </si>
  <si>
    <t>ChanceToDodgeMagicAttack</t>
  </si>
  <si>
    <t>ChanceToBlockMagicAttack</t>
  </si>
  <si>
    <t>ChanceToAcidify</t>
  </si>
  <si>
    <t>AcidMinDamageMod</t>
  </si>
  <si>
    <t>AcidMaxDamageMod</t>
  </si>
  <si>
    <t>ChanceToPoison</t>
  </si>
  <si>
    <t>PoisonMinDamageMod</t>
  </si>
  <si>
    <t>PoisonMaxDamageMod</t>
  </si>
  <si>
    <t>ElectricMinDamageMod</t>
  </si>
  <si>
    <t>ElectricMaxDamageMod</t>
  </si>
  <si>
    <t>ChanceToFlee</t>
  </si>
  <si>
    <t>FleeMinDamageMod</t>
  </si>
  <si>
    <t>FleeMaxDamageMod</t>
  </si>
  <si>
    <t>ChanceToParalyze</t>
  </si>
  <si>
    <t>ParalyzeMinDamageMod</t>
  </si>
  <si>
    <t>ParalyzeMaxDamageMod</t>
  </si>
  <si>
    <t>ChanceToPetrify</t>
  </si>
  <si>
    <t>PetrifyMinDamageMod</t>
  </si>
  <si>
    <t>PetrifyMaxDamageMod</t>
  </si>
  <si>
    <t>ChanceToTurnToStone</t>
  </si>
  <si>
    <t>StoningMinDamageMod</t>
  </si>
  <si>
    <t>StoningMaxDamageMod</t>
  </si>
  <si>
    <t>ChanceToStun</t>
  </si>
  <si>
    <t>StunMinDamageMod</t>
  </si>
  <si>
    <t>StunMaxDamageMod</t>
  </si>
  <si>
    <t>ChanceToStupify</t>
  </si>
  <si>
    <t>StupifyMinDamageMod</t>
  </si>
  <si>
    <t>StupifyMaxDamageMod</t>
  </si>
  <si>
    <t>LightningMinDamageMod</t>
  </si>
  <si>
    <t>LightningMaxDamageMod</t>
  </si>
  <si>
    <t>FullName</t>
  </si>
  <si>
    <t>Value</t>
  </si>
  <si>
    <t>Adds 27 to 48 Melee Damage</t>
  </si>
  <si>
    <t>Adds 3 to Max Combat Magic Damage</t>
  </si>
  <si>
    <t>Adds 23 to 33 Melee Damage</t>
  </si>
  <si>
    <t>Adds 20 to 30 Poison Damage</t>
  </si>
  <si>
    <t>5 Mana Stolen Per Hit</t>
  </si>
  <si>
    <t>Adds 28 to Armor</t>
  </si>
  <si>
    <t>Adds 23 to Armor</t>
  </si>
  <si>
    <t>Adds 20 to 30 Fear Damage</t>
  </si>
  <si>
    <t>Adds 20 to 30 Acid Damage</t>
  </si>
  <si>
    <t>Adds 223 to Mana</t>
  </si>
  <si>
    <t>Adds 50 to Armor</t>
  </si>
  <si>
    <t>Melee Damage Reduced by 11%</t>
  </si>
  <si>
    <t>Adds 166 to Health</t>
  </si>
  <si>
    <t>Adds 7 to Armor</t>
  </si>
  <si>
    <t>+11% Chance to Dodge Ranged Attack</t>
  </si>
  <si>
    <t>+3% Chance to Hit Enemy with a Melee Weapon</t>
  </si>
  <si>
    <t>Magic Damage Reduced by 6%</t>
  </si>
  <si>
    <t>Adds 26 to Armor</t>
  </si>
  <si>
    <t>+9% Chance to Hit Enemy with a Ranged Weapon</t>
  </si>
  <si>
    <t>Adds 7 to Max Damage</t>
  </si>
  <si>
    <t>Adds 22 to Melee Max Damage</t>
  </si>
  <si>
    <t>Adds 79 to Mana</t>
  </si>
  <si>
    <t>+9% Chance to Dodge Melee Attack</t>
  </si>
  <si>
    <t>Adds 15 to 25 Petrification Damage</t>
  </si>
  <si>
    <t>+4% Chance to Hit Enemy with a Melee Weapon</t>
  </si>
  <si>
    <t>+7% Chance to Hit Enemy with a Ranged Weapon</t>
  </si>
  <si>
    <t>Piercing Damage Reduced by 7%</t>
  </si>
  <si>
    <t>+13% Chance to Hit Enemy</t>
  </si>
  <si>
    <t>Adds 10 to 20 Acid Damage</t>
  </si>
  <si>
    <t>Adds 97 to Health</t>
  </si>
  <si>
    <t>Piercing Damage Reduced by 5%</t>
  </si>
  <si>
    <t>Adds 15 to 25 Fear Damage</t>
  </si>
  <si>
    <t>Adds 12 to 20 Melee Damage</t>
  </si>
  <si>
    <t>+6% Chance to Hit Enemy with a Melee Weapon</t>
  </si>
  <si>
    <t>Adds 3 to 5 Lightning Damage</t>
  </si>
  <si>
    <t>Adds 10 to 20 Poison Damage</t>
  </si>
  <si>
    <t>Adds 5 to 15 Stoning Damage</t>
  </si>
  <si>
    <t>Adds 47 to Health</t>
  </si>
  <si>
    <t>+4% Chance to Dodge Ranged Attack</t>
  </si>
  <si>
    <t>Melee Damage Reduced by 4%</t>
  </si>
  <si>
    <t>+6% Chance to Dodge Melee Attack</t>
  </si>
  <si>
    <t>Melee Damage Reduced by 9%</t>
  </si>
  <si>
    <t>Adds 36 to Armor</t>
  </si>
  <si>
    <t>Piercing Damage Reduced by 3%</t>
  </si>
  <si>
    <t>Adds 25 to Mana</t>
  </si>
  <si>
    <t>Magic Damage Reduced by 7%</t>
  </si>
  <si>
    <t>Subtracts 2 from Nature Magic Skill</t>
  </si>
  <si>
    <t>Adds 8 to 13 Melee Damage</t>
  </si>
  <si>
    <t>Adds 5 to 15 Paralysis Damage</t>
  </si>
  <si>
    <t>Piercing Damage Reduced by 10%</t>
  </si>
  <si>
    <t>Adds 48 to Health</t>
  </si>
  <si>
    <t>Adds 17 to Armor</t>
  </si>
  <si>
    <t>Adds 5 to 10 Acid Damage</t>
  </si>
  <si>
    <t>Subtracts 3 from Ranged Skill</t>
  </si>
  <si>
    <t>Adds 39 to Mana</t>
  </si>
  <si>
    <t>Adds 29 to Health</t>
  </si>
  <si>
    <t>Adds 16 to Armor</t>
  </si>
  <si>
    <t>Adds 20 to Armor</t>
  </si>
  <si>
    <t>Adds 9 to Armor</t>
  </si>
  <si>
    <t>Magic Damage Reduced by 8%</t>
  </si>
  <si>
    <t>Adds 1 to 5 Stupefication Damage</t>
  </si>
  <si>
    <t>Adds 14 to Health</t>
  </si>
  <si>
    <t>Adds 8 to Health</t>
  </si>
  <si>
    <t>Adds 23 to Mana</t>
  </si>
  <si>
    <t>Adds 2 to Melee Max Damage</t>
  </si>
  <si>
    <t>Adds 10 to 20 Fear Damage</t>
  </si>
  <si>
    <t>Adds 2 to 3 Melee Damage</t>
  </si>
  <si>
    <t>Adds 5 to 10 Poison Damage</t>
  </si>
  <si>
    <t>Adds 5 to Armor</t>
  </si>
  <si>
    <t>+5% Chance to Block Ranged Attack</t>
  </si>
  <si>
    <t>+3% Chance to Block Magic Attacks</t>
  </si>
  <si>
    <t>Adds 9 to Health</t>
  </si>
  <si>
    <t>Adds 19 to Mana</t>
  </si>
  <si>
    <t>Adds 15 to Health</t>
  </si>
  <si>
    <t>Adds 26 to Mana</t>
  </si>
  <si>
    <t>Adds 1 to 4 Acid Damage</t>
  </si>
  <si>
    <t>+2% Chance to Dodge Melee Attack</t>
  </si>
  <si>
    <t>Adds 1 to 5 Stun Damage</t>
  </si>
  <si>
    <t xml:space="preserve">+20% Chance To Flee </t>
  </si>
  <si>
    <t xml:space="preserve">+20% Chance To Acidify </t>
  </si>
  <si>
    <t xml:space="preserve">+15% Chance To Poison </t>
  </si>
  <si>
    <t xml:space="preserve">+20% Chance To Petrify </t>
  </si>
  <si>
    <t xml:space="preserve">+20% Chance To Turn to Stone </t>
  </si>
  <si>
    <t xml:space="preserve">+15% Chance To Acidify </t>
  </si>
  <si>
    <t xml:space="preserve">+10% Chance To Poison </t>
  </si>
  <si>
    <t xml:space="preserve">+15% Chance To Paralyze </t>
  </si>
  <si>
    <t xml:space="preserve">+15% Chance To Flee </t>
  </si>
  <si>
    <t xml:space="preserve">+15% Chance To Stupify </t>
  </si>
  <si>
    <t xml:space="preserve">+10% Chance To Acidify </t>
  </si>
  <si>
    <t xml:space="preserve">+10% Chance To Flee </t>
  </si>
  <si>
    <t xml:space="preserve">+3% Chance To Acidify </t>
  </si>
  <si>
    <t xml:space="preserve">+10% Chance To Stun </t>
  </si>
  <si>
    <t xml:space="preserve">+20% Chance To Poison </t>
  </si>
  <si>
    <t>Health</t>
  </si>
  <si>
    <t>BaseHealth</t>
  </si>
  <si>
    <t>BaseHealthBonus</t>
  </si>
  <si>
    <t>BaseHealthPercentileBonus</t>
  </si>
  <si>
    <t>MaxHealthBonus</t>
  </si>
  <si>
    <t>MaxHealth</t>
  </si>
  <si>
    <t>HealthRecoveryPerSecond</t>
  </si>
  <si>
    <t>MaxLife</t>
  </si>
  <si>
    <t>Mana</t>
  </si>
  <si>
    <t>BaseMana</t>
  </si>
  <si>
    <t>BaseManaBonus</t>
  </si>
  <si>
    <t>BaseManaPercentileBonus</t>
  </si>
  <si>
    <t>MaxManaPercentileBonus</t>
  </si>
  <si>
    <t>MaxManaBonus</t>
  </si>
  <si>
    <t>MaxMana</t>
  </si>
  <si>
    <t>MaxManaBase</t>
  </si>
  <si>
    <t>ManaRecoveryPerSecond</t>
  </si>
  <si>
    <t>ElectricDamageAmplification</t>
  </si>
  <si>
    <t>PercentPiercingDamageReduction</t>
  </si>
  <si>
    <t>Raises the character's chance to hit in Melee combat by (leveled bonus)%.</t>
  </si>
  <si>
    <t>Raises the Ranged Skill of the character by (leveled bonus).</t>
  </si>
  <si>
    <t>Surrounds the character with a shell of magical energy, adding (leveled bonus) to Armor.</t>
  </si>
  <si>
    <t>Increases the range of this Weapon by (leveled bonus).</t>
  </si>
  <si>
    <t>Adds (leveled bonus) to Armor.</t>
  </si>
  <si>
    <t>Boosts the character's physical power, adding (leveled bonus) to Strength.</t>
  </si>
  <si>
    <t>Increases wielders Melee damage versus Undead by +(leveled bonus) points.</t>
  </si>
  <si>
    <t>Raises the Max Melee damage of the character by (leveled bonus).</t>
  </si>
  <si>
    <t>Raises the character's chance to hit in Ranged combat by (leveled bonus)%.</t>
  </si>
  <si>
    <t>+5% Chance to Freeze and</t>
  </si>
  <si>
    <t>Adds 56 to 99 Cold Damage</t>
  </si>
  <si>
    <t>+3% Chance to Freeze and</t>
  </si>
  <si>
    <t>Adds 45 to 76 Cold Damage</t>
  </si>
  <si>
    <t>+10% Chance to Freeze and</t>
  </si>
  <si>
    <t>Adds 47 to 82 Cold Damage</t>
  </si>
  <si>
    <t>Adds 39 to 65 Cold Damage</t>
  </si>
  <si>
    <t>Adds 29 to 50 Cold Damage</t>
  </si>
  <si>
    <t>Adds 24 to 39 Cold Damage</t>
  </si>
  <si>
    <t>Adds 62 to Health</t>
  </si>
  <si>
    <t>Adds 7 to Max Combat Magic Damage</t>
  </si>
  <si>
    <t>+4% Chance to Hit Enemy with a Ranged Weapon</t>
  </si>
  <si>
    <t>Adds 22 to 40 Cold Damage</t>
  </si>
  <si>
    <t>+7% Chance to Freeze and</t>
  </si>
  <si>
    <t>Adds 18 to 32 Cold Damage</t>
  </si>
  <si>
    <t>Adds 34 to Mana</t>
  </si>
  <si>
    <t>6% of Damage Reflected to Enemy</t>
  </si>
  <si>
    <t>Adds 17 to 30 Cold Damage</t>
  </si>
  <si>
    <t>+11% Chance to Hit Enemy with a Melee Weapon</t>
  </si>
  <si>
    <t>Adds 33 to Health</t>
  </si>
  <si>
    <t>Adds 45 to Mana</t>
  </si>
  <si>
    <t>+8% Chance to Hit Enemy with a Melee Weapon</t>
  </si>
  <si>
    <t>Adds 22 to Health</t>
  </si>
  <si>
    <t>Adds 52 to Mana</t>
  </si>
  <si>
    <t>Adds 46 to Mana</t>
  </si>
  <si>
    <t>+6% Chance to Hit Enemy with a Ranged Weapon</t>
  </si>
  <si>
    <t>Adds 17 to Mana</t>
  </si>
  <si>
    <t>+7% Chance to Hit Enemy with a Melee Weapon</t>
  </si>
  <si>
    <t>Subtracts 2 from Strength</t>
  </si>
  <si>
    <t>Adds 22 to Mana</t>
  </si>
  <si>
    <t>Adds 13 to Health</t>
  </si>
  <si>
    <t>Adds 26 to Health</t>
  </si>
  <si>
    <t>Adds 6 to 11 Cold Damage</t>
  </si>
  <si>
    <t>Adds 6 to 9 Cold Damage</t>
  </si>
  <si>
    <t>Adds 24 to Mana</t>
  </si>
  <si>
    <t>3 Mana Stolen Per Hit</t>
  </si>
  <si>
    <t>Subtracts 1 from Dexterity</t>
  </si>
  <si>
    <t>Adds 14 to Mana</t>
  </si>
  <si>
    <t>2 Mana Stolen Per Hit</t>
  </si>
  <si>
    <t>Melee Damage Reduced by 2%</t>
  </si>
  <si>
    <t>Adds 2 to 5 Cold Damage</t>
  </si>
  <si>
    <t>Adds 2 to 4 Cold Damage</t>
  </si>
  <si>
    <t>Adds 3 to 7 Piercing Damage</t>
  </si>
  <si>
    <t>Subtracts 12 from Mana</t>
  </si>
  <si>
    <t>+5% Chance to Cast Fireshot on Taking Damage</t>
  </si>
  <si>
    <t>+6% Chance to Cast Zap on Taking Damage</t>
  </si>
  <si>
    <t>1% of Damage Reflected to Enemy</t>
  </si>
  <si>
    <t>Adds 11 to Health</t>
  </si>
  <si>
    <t>+25% Chance to Poison and</t>
  </si>
  <si>
    <t>Adds 2 to 5 Poison Damage</t>
  </si>
  <si>
    <t>Raises the character's chance to hit in Ranged Combat by (leveled bonus)%.</t>
  </si>
  <si>
    <t>SummoningSpellCostReduction</t>
  </si>
  <si>
    <t>LightningSpellCostReduction</t>
  </si>
  <si>
    <t>HealingSpellCostReduction</t>
  </si>
  <si>
    <t>ChanceToFreeze</t>
  </si>
  <si>
    <t>ColdDamageMinDamageMod</t>
  </si>
  <si>
    <t>ColdDamageMaxDamageMod</t>
  </si>
  <si>
    <t>FireDamageMinDamageMod</t>
  </si>
  <si>
    <t>FireDamageMaxDamageMod</t>
  </si>
  <si>
    <t>ChanceToCastNovaStrikeOnHit</t>
  </si>
  <si>
    <t>ChanceToCastFirebombOnHit</t>
  </si>
  <si>
    <t>ChanceToCastStarburstOnHit</t>
  </si>
  <si>
    <t>ChanceToCastLightrayOnHit</t>
  </si>
  <si>
    <t>ChanceToCastLightningblastOnHit</t>
  </si>
  <si>
    <t>ChanceToCastMultisparkOnHit</t>
  </si>
  <si>
    <t>ChanceToCastFireballOnHit</t>
  </si>
  <si>
    <t>ChanceToCastLightningOnHit</t>
  </si>
  <si>
    <t>ChanceToCastFireskullOnHit</t>
  </si>
  <si>
    <t>ChanceToCastFirespraylOnHit</t>
  </si>
  <si>
    <t>ChanceToCastSparkOnHit</t>
  </si>
  <si>
    <t>ChanceToCastFireshotOnHit</t>
  </si>
  <si>
    <t>ChanceToCastZapOnHit</t>
  </si>
  <si>
    <t>WeaponRangeBoostMod</t>
  </si>
  <si>
    <t>IncreaseMeleeDamageVersusUndead</t>
  </si>
  <si>
    <t>AttributeObject</t>
  </si>
  <si>
    <t>Melee, Ranged</t>
  </si>
  <si>
    <t>/+virulent</t>
  </si>
  <si>
    <t>/+gaseous</t>
  </si>
  <si>
    <t>/+stunning</t>
  </si>
  <si>
    <t>/+misting</t>
  </si>
  <si>
    <t>/+poisonous</t>
  </si>
  <si>
    <t>/+stupefying</t>
  </si>
  <si>
    <t>/+spraying</t>
  </si>
  <si>
    <t>/+paralyzing</t>
  </si>
  <si>
    <t>/+diseased</t>
  </si>
  <si>
    <t>/+vaporizing</t>
  </si>
  <si>
    <t>/+stoning</t>
  </si>
  <si>
    <t>/+toxic</t>
  </si>
  <si>
    <t>/+dissolving</t>
  </si>
  <si>
    <t>/+petrifying</t>
  </si>
  <si>
    <t>/+mephitic</t>
  </si>
  <si>
    <t>Monumental</t>
  </si>
  <si>
    <t>of Sparks</t>
  </si>
  <si>
    <t>Adds 5 to 7 Damage</t>
  </si>
  <si>
    <t>of Lightning Defense</t>
  </si>
  <si>
    <t>Category</t>
  </si>
  <si>
    <t>Per Hit</t>
  </si>
  <si>
    <t>Damage</t>
  </si>
  <si>
    <t>Elemental Damage</t>
  </si>
  <si>
    <t>Status Damage</t>
  </si>
  <si>
    <t>Cast On Hit</t>
  </si>
  <si>
    <t xml:space="preserve">Miscellaneous </t>
  </si>
  <si>
    <t>MaxHealthPercentileBonus</t>
  </si>
  <si>
    <t>EXP</t>
  </si>
  <si>
    <t>Level</t>
  </si>
  <si>
    <t>Attribute Set</t>
  </si>
  <si>
    <t>UberLevel</t>
  </si>
  <si>
    <t>StrengthExperience</t>
  </si>
  <si>
    <t>DexterityExperience</t>
  </si>
  <si>
    <t>IntelligenceExperience</t>
  </si>
  <si>
    <t>MeleeExperience</t>
  </si>
  <si>
    <t>RangedExperience</t>
  </si>
  <si>
    <t>CombatMagicExperience</t>
  </si>
  <si>
    <t>NatureMagicExperience</t>
  </si>
  <si>
    <t>UberExperience</t>
  </si>
  <si>
    <t>Property</t>
  </si>
  <si>
    <t>OnRep Function</t>
  </si>
  <si>
    <t>OnRep Implementation</t>
  </si>
  <si>
    <t>Faction Damage Modifier</t>
  </si>
  <si>
    <t>Experience</t>
  </si>
  <si>
    <t>DungeonSiegeManaAttributeSet</t>
  </si>
  <si>
    <t>DungeonSiegeCastOnHitAttributeSet</t>
  </si>
  <si>
    <t>DungeonSiegeExperienceAttributeSet</t>
  </si>
  <si>
    <t>DungeonSiegeFactionAttributeSet</t>
  </si>
  <si>
    <t>DungeonSiegePerHitAttributeSet</t>
  </si>
  <si>
    <t>DungeonSiegeDamageAttributeSet</t>
  </si>
  <si>
    <t>DungeonSiegeMagicAttributeSet</t>
  </si>
  <si>
    <t>DungeonSiegeStatusEffectAttributeSet</t>
  </si>
  <si>
    <t>DungeonSiegeElementalAttributeSet</t>
  </si>
  <si>
    <t>DungeonSiegeMiscellaneousAttributeSet</t>
  </si>
  <si>
    <t>Experience|Class</t>
  </si>
  <si>
    <t>DungeonSiegeDefenseAttributeSet</t>
  </si>
  <si>
    <t>DungeonSiegeHealthAttributeSet</t>
  </si>
  <si>
    <t>OwnerClass</t>
  </si>
  <si>
    <t>Grip</t>
  </si>
  <si>
    <t>MinDamage</t>
  </si>
  <si>
    <t>MaxDamage</t>
  </si>
  <si>
    <t>Speed</t>
  </si>
  <si>
    <t>Range</t>
  </si>
  <si>
    <t>PContentMax</t>
  </si>
  <si>
    <t>PContentMin</t>
  </si>
  <si>
    <t>IsPContentAllowed</t>
  </si>
  <si>
    <t>ActiveIcon</t>
  </si>
  <si>
    <t>Model</t>
  </si>
  <si>
    <t>DisplayName</t>
  </si>
  <si>
    <t>Barbed Sword (base)</t>
  </si>
  <si>
    <t>Blade (base)</t>
  </si>
  <si>
    <t>Blade (o_avg)</t>
  </si>
  <si>
    <t>Blunt Full Gladius</t>
  </si>
  <si>
    <t>Bone Cutter (base)</t>
  </si>
  <si>
    <t>Bone Cutter (c_mag)</t>
  </si>
  <si>
    <t>Bone Cutter (c_str)</t>
  </si>
  <si>
    <t>Cascade Sword (base)</t>
  </si>
  <si>
    <t>Cracked Full Blade</t>
  </si>
  <si>
    <t>Crude Gladius</t>
  </si>
  <si>
    <t>Cruel Blade (base)</t>
  </si>
  <si>
    <t>Crusted Gladius</t>
  </si>
  <si>
    <t>Damaged Great Sword</t>
  </si>
  <si>
    <t>Dented Great Sword</t>
  </si>
  <si>
    <t>Diamond Sword (base)</t>
  </si>
  <si>
    <t>Dragon Wing (base)</t>
  </si>
  <si>
    <t>Droog Sword</t>
  </si>
  <si>
    <t>Dull Blade</t>
  </si>
  <si>
    <t>Edged Sword (base)</t>
  </si>
  <si>
    <t>Elegant Sword (base)</t>
  </si>
  <si>
    <t>Falchion (c_fin)</t>
  </si>
  <si>
    <t>Falchion (c_mag)</t>
  </si>
  <si>
    <t>Falchion (c_str)</t>
  </si>
  <si>
    <t>Finger Chopper (base)</t>
  </si>
  <si>
    <t>Full Blade (base)</t>
  </si>
  <si>
    <t>Full Blade (c_fin)</t>
  </si>
  <si>
    <t>Full Blade (o_avg)</t>
  </si>
  <si>
    <t>Full Blade (o_fin)</t>
  </si>
  <si>
    <t>Full Gladius (base)</t>
  </si>
  <si>
    <t>Full Gladius (o_avg)</t>
  </si>
  <si>
    <t>Full Gladius (o_fin)</t>
  </si>
  <si>
    <t>Gladius (base)</t>
  </si>
  <si>
    <t>Gladius (c_fin)</t>
  </si>
  <si>
    <t>Great Steel (base)</t>
  </si>
  <si>
    <t>Great Steel (c_fin)</t>
  </si>
  <si>
    <t>Great Steel (c_mag)</t>
  </si>
  <si>
    <t>Great Steel (c_str)</t>
  </si>
  <si>
    <t>Great Steel (o_avg)</t>
  </si>
  <si>
    <t>Great Steel (o_fin)</t>
  </si>
  <si>
    <t>Great Steel (o_mag)</t>
  </si>
  <si>
    <t>Great Steel (o_str)</t>
  </si>
  <si>
    <t>Great Sword (base)</t>
  </si>
  <si>
    <t>Great Sword (c_fin)</t>
  </si>
  <si>
    <t>Great Sword (c_mag)</t>
  </si>
  <si>
    <t>Great Sword (c_str)</t>
  </si>
  <si>
    <t>Great Sword (o_avg)</t>
  </si>
  <si>
    <t>Gut Masher (base)</t>
  </si>
  <si>
    <t>Gut Masher (c_mag)</t>
  </si>
  <si>
    <t>Gut Masher (c_str)</t>
  </si>
  <si>
    <t>Head Splitter (base)</t>
  </si>
  <si>
    <t>Head Splitter (c_fin)</t>
  </si>
  <si>
    <t>Head Splitter (c_mag)</t>
  </si>
  <si>
    <t>Head Splitter (c_str)</t>
  </si>
  <si>
    <t>Head Splitter (o_fin)</t>
  </si>
  <si>
    <t>Head Splitter (o_mag)</t>
  </si>
  <si>
    <t>Head Splitter (o_str)</t>
  </si>
  <si>
    <t>Ice Sword</t>
  </si>
  <si>
    <t>Jagged Sword (base)</t>
  </si>
  <si>
    <t>Jewel Sword (base)</t>
  </si>
  <si>
    <t>Leg Cleaver (base)</t>
  </si>
  <si>
    <t>Leg Cleaver (c_fin)</t>
  </si>
  <si>
    <t>Leg Cleaver (c_mag)</t>
  </si>
  <si>
    <t>Leg Cleaver (o_str)</t>
  </si>
  <si>
    <t>Lethal Sword (base)</t>
  </si>
  <si>
    <t>Lethal Sword (c_mag)</t>
  </si>
  <si>
    <t>Lethal Sword (o_fin)</t>
  </si>
  <si>
    <t>Long Sword (base)</t>
  </si>
  <si>
    <t>Long Sword (c_fin)</t>
  </si>
  <si>
    <t>Long Sword (c_mag)</t>
  </si>
  <si>
    <t>Long Sword (c_str)</t>
  </si>
  <si>
    <t>Long Sword (o_avg)</t>
  </si>
  <si>
    <t>Masher (base)</t>
  </si>
  <si>
    <t>Masher (c_fin)</t>
  </si>
  <si>
    <t>Masher (c_mag)</t>
  </si>
  <si>
    <t>Masher (o_fin)</t>
  </si>
  <si>
    <t>Massive Sword (base)</t>
  </si>
  <si>
    <t>Onyx Sword (base)</t>
  </si>
  <si>
    <t>Pain Gladius (base)</t>
  </si>
  <si>
    <t>Phoenix Sword (base)</t>
  </si>
  <si>
    <t>Pitted Long Sword</t>
  </si>
  <si>
    <t>Pitted Short Steel</t>
  </si>
  <si>
    <t>Scimitar (c_fin)</t>
  </si>
  <si>
    <t>Scimitar (c_mag)</t>
  </si>
  <si>
    <t>Scimitar (c_str)</t>
  </si>
  <si>
    <t>Seck Elite Sword</t>
  </si>
  <si>
    <t>Seck Sword</t>
  </si>
  <si>
    <t>Serrated Sword (base)</t>
  </si>
  <si>
    <t>Short Impaler (base)</t>
  </si>
  <si>
    <t>Short Impaler (o_avg)</t>
  </si>
  <si>
    <t>Short Impaler (o_fin)</t>
  </si>
  <si>
    <t>Short Steel (base)</t>
  </si>
  <si>
    <t>Short Steel (c_fin)</t>
  </si>
  <si>
    <t>Short Steel (o_avg)</t>
  </si>
  <si>
    <t>Short Steel (o_fin)</t>
  </si>
  <si>
    <t>Short Sword (base)</t>
  </si>
  <si>
    <t>Short Sword (c_fin)</t>
  </si>
  <si>
    <t>Short Sword (c_mag)</t>
  </si>
  <si>
    <t>Short Sword (c_str)</t>
  </si>
  <si>
    <t>Short Sword (o_avg)</t>
  </si>
  <si>
    <t>Short Sword (o_fin)</t>
  </si>
  <si>
    <t>Sickle Sword (base)</t>
  </si>
  <si>
    <t>Snake Sword (base)</t>
  </si>
  <si>
    <t>Split Sword (base)</t>
  </si>
  <si>
    <t>Starburst Sword (base)</t>
  </si>
  <si>
    <t>Steel Death (base)</t>
  </si>
  <si>
    <t>Steel Death (c_str)</t>
  </si>
  <si>
    <t>Steel Death (o_str)</t>
  </si>
  <si>
    <t>Steel (base)</t>
  </si>
  <si>
    <t>Steel (c_fin)</t>
  </si>
  <si>
    <t>Steel (c_mag)</t>
  </si>
  <si>
    <t>Steel (c_str)</t>
  </si>
  <si>
    <t>Steel (o_avg)</t>
  </si>
  <si>
    <t>Steel (o_fin)</t>
  </si>
  <si>
    <t>Steel (o_mag)</t>
  </si>
  <si>
    <t>Steel (o_str)</t>
  </si>
  <si>
    <t>Sword Breaker (base)</t>
  </si>
  <si>
    <t>Tarnished Gladius</t>
  </si>
  <si>
    <t>Trog Great Sword (base)</t>
  </si>
  <si>
    <t>Twisted Sword (base)</t>
  </si>
  <si>
    <t>Union Sword (base)</t>
  </si>
  <si>
    <t>Vicious Blade (base)</t>
  </si>
  <si>
    <t>Worn Great Steel</t>
  </si>
  <si>
    <t>2H</t>
  </si>
  <si>
    <t>1H</t>
  </si>
  <si>
    <t>QualityName</t>
  </si>
  <si>
    <t>base</t>
  </si>
  <si>
    <t>o_avg</t>
  </si>
  <si>
    <t>c_mag</t>
  </si>
  <si>
    <t>c_str</t>
  </si>
  <si>
    <t>c_fin</t>
  </si>
  <si>
    <t>o_fin</t>
  </si>
  <si>
    <t>o_mag</t>
  </si>
  <si>
    <t>o_str</t>
  </si>
  <si>
    <t>Slower</t>
  </si>
  <si>
    <t>Fast</t>
  </si>
  <si>
    <t>unique</t>
  </si>
  <si>
    <t>b_gui_ig_i_w_swd_078</t>
  </si>
  <si>
    <t>b_gui_ig_i_ic_swd_007</t>
  </si>
  <si>
    <t>Barbed Sword</t>
  </si>
  <si>
    <t>Blade</t>
  </si>
  <si>
    <t>Bone Cutter</t>
  </si>
  <si>
    <t>Cascade Sword</t>
  </si>
  <si>
    <t>Cruel Blade</t>
  </si>
  <si>
    <t>Diamond Sword</t>
  </si>
  <si>
    <t>Dragon Wing</t>
  </si>
  <si>
    <t>Edged Sword</t>
  </si>
  <si>
    <t>Elegant Sword</t>
  </si>
  <si>
    <t>Falchion</t>
  </si>
  <si>
    <t>Finger Chopper</t>
  </si>
  <si>
    <t>Full Blade</t>
  </si>
  <si>
    <t>Full Gladius</t>
  </si>
  <si>
    <t>Gladius</t>
  </si>
  <si>
    <t>Great Steel</t>
  </si>
  <si>
    <t>Great Sword</t>
  </si>
  <si>
    <t>Gut Masher</t>
  </si>
  <si>
    <t>Head Splitter</t>
  </si>
  <si>
    <t>Jagged Sword</t>
  </si>
  <si>
    <t>Jewel Sword</t>
  </si>
  <si>
    <t>Leg Cleaver</t>
  </si>
  <si>
    <t>Lethal Sword</t>
  </si>
  <si>
    <t>Long Sword</t>
  </si>
  <si>
    <t>Masher</t>
  </si>
  <si>
    <t>Massive Sword</t>
  </si>
  <si>
    <t>Onyx Sword</t>
  </si>
  <si>
    <t>Pain Gladius</t>
  </si>
  <si>
    <t>Phoenix Sword</t>
  </si>
  <si>
    <t>Scimitar</t>
  </si>
  <si>
    <t>Serrated Sword</t>
  </si>
  <si>
    <t>Short Impaler</t>
  </si>
  <si>
    <t>Short Steel</t>
  </si>
  <si>
    <t>Short Sword</t>
  </si>
  <si>
    <t>Sickle Sword</t>
  </si>
  <si>
    <t>Snake Sword</t>
  </si>
  <si>
    <t>Split Sword</t>
  </si>
  <si>
    <t>Starburst Sword</t>
  </si>
  <si>
    <t>Steel Death</t>
  </si>
  <si>
    <t>Steel</t>
  </si>
  <si>
    <t>Sword Breaker</t>
  </si>
  <si>
    <t>Trog Great Sword</t>
  </si>
  <si>
    <t>Twisted Sword</t>
  </si>
  <si>
    <t>Union Sword</t>
  </si>
  <si>
    <t>Vicious Blade</t>
  </si>
  <si>
    <t>b_gui_ig_i_ic_swd_001</t>
  </si>
  <si>
    <t>b_gui_ig_i_w_swd_102</t>
  </si>
  <si>
    <t>b_gui_ig_i_ic_swd_002</t>
  </si>
  <si>
    <t>b_gui_ig_i_w_swd_007</t>
  </si>
  <si>
    <t>ss_g_c_bl_1h_avg</t>
  </si>
  <si>
    <t>sd_un_big_2h_d_barbed</t>
  </si>
  <si>
    <t>sd_g_c_gl_1h_low</t>
  </si>
  <si>
    <t>b_gui_ig_i_w_swd_003</t>
  </si>
  <si>
    <t>rare</t>
  </si>
  <si>
    <t>b_gui_ig_i_w_swd_125</t>
  </si>
  <si>
    <t>b_gui_ig_i_w_swd_127</t>
  </si>
  <si>
    <t>b_gui_ig_i_w_swd_126</t>
  </si>
  <si>
    <t>b_gui_ig_i_ic_swd_003</t>
  </si>
  <si>
    <t>b_gui_ig_i_ic_swd_004</t>
  </si>
  <si>
    <t>b_gui_ig_i_ic_swd_005</t>
  </si>
  <si>
    <t>sd_ra_g_c_fa_1h_fin</t>
  </si>
  <si>
    <t>sd_un_big_1h_g_flame</t>
  </si>
  <si>
    <t>b_gui_ig_i_w_swd_071</t>
  </si>
  <si>
    <t>sd_g_c_bl_1h_low</t>
  </si>
  <si>
    <t>b_gui_ig_i_w_swd_009</t>
  </si>
  <si>
    <t>b_gui_ig_i_w_swd_001</t>
  </si>
  <si>
    <t>ss_un_gl_rusk</t>
  </si>
  <si>
    <t>b_gui_ig_i_w_swd_111</t>
  </si>
  <si>
    <t>sd_ra_g_c_bl_1h_fin</t>
  </si>
  <si>
    <t>ss_g_c_gl_1h_low</t>
  </si>
  <si>
    <t>sd_g_c_sd_2h_fun</t>
  </si>
  <si>
    <t>b_gui_ig_i_w_swd_023</t>
  </si>
  <si>
    <t>sd_g_c_sd_2h_low</t>
  </si>
  <si>
    <t>b_gui_ig_i_w_swd_021</t>
  </si>
  <si>
    <t>sd_un_g_2h_zap</t>
  </si>
  <si>
    <t>b_gui_ig_i_ic_swd_008</t>
  </si>
  <si>
    <t>b_gui_ig_i_w_swd_089</t>
  </si>
  <si>
    <t>sd_un_g_1h_wing</t>
  </si>
  <si>
    <t>b_gui_ig_i_ic_swd_011</t>
  </si>
  <si>
    <t>b_gui_ig_i_w_swd_086</t>
  </si>
  <si>
    <t>sd_un_droog_1h_avg</t>
  </si>
  <si>
    <t>b_gui_ig_i_w_swd_100</t>
  </si>
  <si>
    <t>ss_g_c_bl_1h_fun</t>
  </si>
  <si>
    <t>b_gui_ig_i_w_swd_006</t>
  </si>
  <si>
    <t>sd_un_g_1h_angle</t>
  </si>
  <si>
    <t>b_gui_ig_i_w_swd_079</t>
  </si>
  <si>
    <t>sd_un_g_2h_angle</t>
  </si>
  <si>
    <t>b_gui_ig_i_w_swd_080</t>
  </si>
  <si>
    <t>sd_g_c_fa_1h_avg</t>
  </si>
  <si>
    <t>b_gui_ig_i_w_swd_059</t>
  </si>
  <si>
    <t>b_gui_ig_i_w_swd_061</t>
  </si>
  <si>
    <t>b_gui_ig_i_w_swd_060</t>
  </si>
  <si>
    <t>b_gui_ig_i_w_swd_058</t>
  </si>
  <si>
    <t>b_gui_ig_i_w_swd_110</t>
  </si>
  <si>
    <t>b_gui_ig_i_w_swd_014</t>
  </si>
  <si>
    <t>sd_g_c_bl_1h_avg</t>
  </si>
  <si>
    <t>b_gui_ig_i_w_swd_098</t>
  </si>
  <si>
    <t>b_gui_ig_i_w_swd_019</t>
  </si>
  <si>
    <t>b_gui_ig_i_w_swd_029</t>
  </si>
  <si>
    <t>sd_g_c_gl_1h_avg</t>
  </si>
  <si>
    <t>b_gui_ig_i_w_swd_012</t>
  </si>
  <si>
    <t>b_gui_ig_i_w_swd_018</t>
  </si>
  <si>
    <t>b_gui_ig_i_w_swd_026</t>
  </si>
  <si>
    <t>ss_g_c_gl_1h_avg</t>
  </si>
  <si>
    <t>b_gui_ig_i_w_swd_004</t>
  </si>
  <si>
    <t>b_gui_ig_i_w_swd_005</t>
  </si>
  <si>
    <t>sd_g_c_st_2h_avg</t>
  </si>
  <si>
    <t>b_gui_ig_i_w_swd_034</t>
  </si>
  <si>
    <t>b_gui_ig_i_w_swd_040</t>
  </si>
  <si>
    <t>sd_ra_g_o_gl_1h_avg</t>
  </si>
  <si>
    <t>b_gui_ig_i_w_swd_046</t>
  </si>
  <si>
    <t>b_gui_ig_i_w_swd_050</t>
  </si>
  <si>
    <t>b_gui_ig_i_w_swd_042</t>
  </si>
  <si>
    <t>b_gui_ig_i_w_swd_052</t>
  </si>
  <si>
    <t>b_gui_ig_i_w_swd_054</t>
  </si>
  <si>
    <t>b_gui_ig_i_w_swd_048</t>
  </si>
  <si>
    <t>b_gui_ig_i_w_swd_035</t>
  </si>
  <si>
    <t>b_gui_ig_i_w_swd_041</t>
  </si>
  <si>
    <t>sd_g_c_sd_2h_avg</t>
  </si>
  <si>
    <t>b_gui_ig_i_w_swd_043</t>
  </si>
  <si>
    <t>b_gui_ig_i_w_swd_047</t>
  </si>
  <si>
    <t>b_gui_ig_i_w_swd_051</t>
  </si>
  <si>
    <t>sd_ra_g_c_sc_1h_fin</t>
  </si>
  <si>
    <t>b_gui_ig_i_ic_swd_006</t>
  </si>
  <si>
    <t>b_gui_ig_i_w_swd_122</t>
  </si>
  <si>
    <t>b_gui_ig_i_w_swd_124</t>
  </si>
  <si>
    <t>b_gui_ig_i_w_swd_123</t>
  </si>
  <si>
    <t>sd_ra_g_o_sd_1h_avg</t>
  </si>
  <si>
    <t>b_gui_ig_i_w_swd_115</t>
  </si>
  <si>
    <t>b_gui_ig_i_w_swd_116</t>
  </si>
  <si>
    <t>b_gui_ig_i_w_swd_120</t>
  </si>
  <si>
    <t>b_gui_ig_i_w_swd_118</t>
  </si>
  <si>
    <t>b_gui_ig_i_w_swd_117</t>
  </si>
  <si>
    <t>b_gui_ig_i_w_swd_121</t>
  </si>
  <si>
    <t>b_gui_ig_i_w_swd_119</t>
  </si>
  <si>
    <t>b_gui_ig_i_w_swd_068</t>
  </si>
  <si>
    <t>sd_un_ice_avg</t>
  </si>
  <si>
    <t>sd_un_big_1h_d_jagged</t>
  </si>
  <si>
    <t>b_gui_ig_i_w_swd_074</t>
  </si>
  <si>
    <t>b_gui_ig_i_w_swd_069</t>
  </si>
  <si>
    <t>sd_un_g_c_sd_1h_mag</t>
  </si>
  <si>
    <t>sd_ra_g_o_st_2h_avg</t>
  </si>
  <si>
    <t>b_gui_ig_i_w_swd_129</t>
  </si>
  <si>
    <t>b_gui_ig_i_w_swd_128</t>
  </si>
  <si>
    <t>b_gui_ig_i_w_swd_131</t>
  </si>
  <si>
    <t>b_gui_ig_i_w_swd_130</t>
  </si>
  <si>
    <t>sd_ra_g_c_sd_2h_fin</t>
  </si>
  <si>
    <t>b_gui_ig_i_w_swd_133</t>
  </si>
  <si>
    <t>b_gui_ig_i_w_swd_134</t>
  </si>
  <si>
    <t>ss_ra_g_o_sd_1h_avg</t>
  </si>
  <si>
    <t>sd_un_big_1h_d_square</t>
  </si>
  <si>
    <t>sd_un_big_2h_g_eye</t>
  </si>
  <si>
    <t>ss_ra_g_c_gl_1h_fin</t>
  </si>
  <si>
    <t>b_gui_ig_i_w_swd_101</t>
  </si>
  <si>
    <t>sd_un_g_1h_phoenix</t>
  </si>
  <si>
    <t>b_gui_ig_i_w_swd_088</t>
  </si>
  <si>
    <t>sd_g_c_sd_1h_fun</t>
  </si>
  <si>
    <t>ss_g_c_st_1h_fun</t>
  </si>
  <si>
    <t>b_gui_ig_i_w_swd_008</t>
  </si>
  <si>
    <t>sd_g_c_sc_1h_avg</t>
  </si>
  <si>
    <t>sd_g_c_st_2h_fun</t>
  </si>
  <si>
    <t>sd_ra_g_o_bl_1h_avg</t>
  </si>
  <si>
    <t>b_gui_ig_i_w_swd_022</t>
  </si>
  <si>
    <t>sd_un_g_2h_ribbon</t>
  </si>
  <si>
    <t>sd_un_g_1h_twirl</t>
  </si>
  <si>
    <t>b_gui_ig_i_w_swd_090</t>
  </si>
  <si>
    <t>sd_g_c_sd_2h_fun_trog</t>
  </si>
  <si>
    <t>ss_g_c_gl_1h_fun</t>
  </si>
  <si>
    <t>b_gui_ig_i_w_swd_002</t>
  </si>
  <si>
    <t>sd_un_big_1h_g_breaker</t>
  </si>
  <si>
    <t>b_gui_ig_i_w_swd_084</t>
  </si>
  <si>
    <t>sd_g_c_st_1h_avg</t>
  </si>
  <si>
    <t>sd_ra_g_o_st_1h_fin</t>
  </si>
  <si>
    <t>sd_un_big_1h_g_ornate</t>
  </si>
  <si>
    <t>sd_un_big_2h_g_split</t>
  </si>
  <si>
    <t>sd_un_big_2h_g_fork</t>
  </si>
  <si>
    <t>sd_un_big_1h_g_cleaver</t>
  </si>
  <si>
    <t>ss_g_c_sd_1h_avg</t>
  </si>
  <si>
    <t>ss_g_c_st_1h_avg</t>
  </si>
  <si>
    <t>ss_ra_g_c_st_1h_fin</t>
  </si>
  <si>
    <t>sd_un_big_2h_d_serrated</t>
  </si>
  <si>
    <t>sd_un_seck_1h_avg</t>
  </si>
  <si>
    <t>sd_un_seck_1h_fin</t>
  </si>
  <si>
    <t>magic</t>
  </si>
  <si>
    <t>Cudgel</t>
  </si>
  <si>
    <t>Rock Club</t>
  </si>
  <si>
    <t>Bone Club</t>
  </si>
  <si>
    <t>Spiked Club</t>
  </si>
  <si>
    <t>Chair Leg</t>
  </si>
  <si>
    <t>Branch</t>
  </si>
  <si>
    <t>Swanny's Club</t>
  </si>
  <si>
    <t>Massive Club</t>
  </si>
  <si>
    <t>Horrid Club</t>
  </si>
  <si>
    <t>Troll Club</t>
  </si>
  <si>
    <t>Tree Club</t>
  </si>
  <si>
    <t>Rocky Club</t>
  </si>
  <si>
    <t>Swamp Club</t>
  </si>
  <si>
    <t>cb_g_c_r_1h_avg</t>
  </si>
  <si>
    <t>cb_g_c_r_1h_avg:o_avg</t>
  </si>
  <si>
    <t>cb_g_c_r_1h_avg:o_fin</t>
  </si>
  <si>
    <t>cb_g_c_r_1h_fun</t>
  </si>
  <si>
    <t>cb_g_c_r_1h_low</t>
  </si>
  <si>
    <t>cb_g_d_r_1h_avg</t>
  </si>
  <si>
    <t>cb_g_d_r_1h_fun</t>
  </si>
  <si>
    <t>cb_g_d_r_1h_low</t>
  </si>
  <si>
    <t>cb_un_1h_swanny</t>
  </si>
  <si>
    <t>cb_un_2h_cyclops</t>
  </si>
  <si>
    <t>cb_un_2h_horrid</t>
  </si>
  <si>
    <t>cb_un_2h_troll</t>
  </si>
  <si>
    <t>cb_un_2h_troll_forest</t>
  </si>
  <si>
    <t>cb_un_2h_troll_rock</t>
  </si>
  <si>
    <t>cb_un_2h_troll_swamp</t>
  </si>
  <si>
    <t>Cudgel (c_fin)</t>
  </si>
  <si>
    <t>Cudgel (o_avg)</t>
  </si>
  <si>
    <t>Cudgel (o_fin)</t>
  </si>
  <si>
    <t>m_w_clb_007</t>
  </si>
  <si>
    <t>m_w_clb_006</t>
  </si>
  <si>
    <t>m_w_swd_046</t>
  </si>
  <si>
    <t>m_w_swd_014</t>
  </si>
  <si>
    <t>m_w_swd_011</t>
  </si>
  <si>
    <t>m_w_swd_031</t>
  </si>
  <si>
    <t>m_w_swd_035</t>
  </si>
  <si>
    <t>m_w_swd_029</t>
  </si>
  <si>
    <t>m_w_swd_039</t>
  </si>
  <si>
    <t>m_w_swd_013</t>
  </si>
  <si>
    <t>m_w_swd_012</t>
  </si>
  <si>
    <t>m_w_swd_020</t>
  </si>
  <si>
    <t>m_w_swd_017</t>
  </si>
  <si>
    <t>m_w_swd_056</t>
  </si>
  <si>
    <t>m_w_swd_053</t>
  </si>
  <si>
    <t>m_w_swd_059</t>
  </si>
  <si>
    <t>m_w_swd_047</t>
  </si>
  <si>
    <t>m_w_swd_048</t>
  </si>
  <si>
    <t>m_w_swd_027</t>
  </si>
  <si>
    <t>m_w_swd_026</t>
  </si>
  <si>
    <t>m_w_swd_032</t>
  </si>
  <si>
    <t>m_w_swd_036</t>
  </si>
  <si>
    <t>m_w_swd_034</t>
  </si>
  <si>
    <t>m_w_swd_019</t>
  </si>
  <si>
    <t>m_w_swd_016</t>
  </si>
  <si>
    <t>m_w_swd_018</t>
  </si>
  <si>
    <t>m_w_swd_023</t>
  </si>
  <si>
    <t>m_w_swd_003</t>
  </si>
  <si>
    <t>m_w_swd_044</t>
  </si>
  <si>
    <t>m_w_swd_038</t>
  </si>
  <si>
    <t>m_w_swd_015</t>
  </si>
  <si>
    <t>m_w_swd_021</t>
  </si>
  <si>
    <t>m_w_swd_040</t>
  </si>
  <si>
    <t>m_w_swd_054</t>
  </si>
  <si>
    <t>m_w_swd_055</t>
  </si>
  <si>
    <t>m_w_swd_033</t>
  </si>
  <si>
    <t>m_w_swd_049</t>
  </si>
  <si>
    <t>m_w_swd_042</t>
  </si>
  <si>
    <t>m_w_swd_050</t>
  </si>
  <si>
    <t>m_w_swd_045</t>
  </si>
  <si>
    <t>m_w_swd_041</t>
  </si>
  <si>
    <t>m_w_swd_043</t>
  </si>
  <si>
    <t>m_w_swd_022</t>
  </si>
  <si>
    <t>m_w_swd_051</t>
  </si>
  <si>
    <t>m_w_swd_057</t>
  </si>
  <si>
    <t>m_w_swd_052</t>
  </si>
  <si>
    <t>b_gui_ig_i_w_clb_007</t>
  </si>
  <si>
    <t>ss_g_c_bl_1h_avg:o_avg</t>
  </si>
  <si>
    <t>sd_ra_g_c_fa_1h_fin:c_mag</t>
  </si>
  <si>
    <t>sd_ra_g_c_fa_1h_fin:c_str</t>
  </si>
  <si>
    <t>sd_g_c_fa_1h_avg:c_fin</t>
  </si>
  <si>
    <t>sd_g_c_fa_1h_avg:c_mag</t>
  </si>
  <si>
    <t>sd_g_c_fa_1h_avg:c_str</t>
  </si>
  <si>
    <t>sd_g_c_bl_1h_avg:c_fin</t>
  </si>
  <si>
    <t>sd_g_c_bl_1h_avg:o_avg</t>
  </si>
  <si>
    <t>sd_g_c_bl_1h_avg:o_fin</t>
  </si>
  <si>
    <t>sd_g_c_gl_1h_avg:o_avg</t>
  </si>
  <si>
    <t>sd_g_c_gl_1h_avg:o_fin</t>
  </si>
  <si>
    <t>ss_g_c_gl_1h_avg:c_fin</t>
  </si>
  <si>
    <t>sd_g_c_st_2h_avg:c_fin</t>
  </si>
  <si>
    <t>sd_g_c_st_2h_avg:c_mag</t>
  </si>
  <si>
    <t>sd_g_c_st_2h_avg:c_str</t>
  </si>
  <si>
    <t>sd_g_c_st_2h_avg:o_avg</t>
  </si>
  <si>
    <t>sd_g_c_st_2h_avg:o_fin</t>
  </si>
  <si>
    <t>sd_g_c_st_2h_avg:o_mag</t>
  </si>
  <si>
    <t>sd_g_c_st_2h_avg:o_str</t>
  </si>
  <si>
    <t>sd_g_c_sd_2h_avg:c_fin</t>
  </si>
  <si>
    <t>sd_g_c_sd_2h_avg:c_mag</t>
  </si>
  <si>
    <t>sd_g_c_sd_2h_avg:c_str</t>
  </si>
  <si>
    <t>sd_g_c_sd_2h_avg:o_avg</t>
  </si>
  <si>
    <t>sd_ra_g_c_sc_1h_fin:c_mag</t>
  </si>
  <si>
    <t>sd_ra_g_c_sc_1h_fin:c_str</t>
  </si>
  <si>
    <t>sd_ra_g_o_sd_1h_avg:c_fin</t>
  </si>
  <si>
    <t>sd_ra_g_o_sd_1h_avg:c_mag</t>
  </si>
  <si>
    <t>sd_ra_g_o_sd_1h_avg:c_str</t>
  </si>
  <si>
    <t>sd_ra_g_o_sd_1h_avg:o_fin</t>
  </si>
  <si>
    <t>sd_ra_g_o_sd_1h_avg:o_mag</t>
  </si>
  <si>
    <t>sd_ra_g_o_sd_1h_avg:o_str</t>
  </si>
  <si>
    <t>sd_ra_g_o_st_2h_avg:c_fin</t>
  </si>
  <si>
    <t>sd_ra_g_o_st_2h_avg:c_mag</t>
  </si>
  <si>
    <t>sd_ra_g_o_st_2h_avg:o_str</t>
  </si>
  <si>
    <t>sd_ra_g_c_sd_2h_fin:c_mag</t>
  </si>
  <si>
    <t>sd_ra_g_c_sd_2h_fin:o_fin</t>
  </si>
  <si>
    <t>sd_ra_g_o_sd_1h_avg:o_avg</t>
  </si>
  <si>
    <t>ss_ra_g_o_sd_1h_avg:c_fin</t>
  </si>
  <si>
    <t>ss_ra_g_o_sd_1h_avg:c_mag</t>
  </si>
  <si>
    <t>ss_ra_g_o_sd_1h_avg:o_fin</t>
  </si>
  <si>
    <t>sd_g_c_sc_1h_avg:c_fin</t>
  </si>
  <si>
    <t>sd_g_c_sc_1h_avg:c_mag</t>
  </si>
  <si>
    <t>sd_g_c_sc_1h_avg:c_str</t>
  </si>
  <si>
    <t>ss_ra_g_c_st_1h_fin:o_avg</t>
  </si>
  <si>
    <t>ss_ra_g_c_st_1h_fin:o_fin</t>
  </si>
  <si>
    <t>ss_g_c_st_1h_avg:c_fin</t>
  </si>
  <si>
    <t>ss_g_c_st_1h_avg:o_avg</t>
  </si>
  <si>
    <t>ss_g_c_st_1h_avg:o_fin</t>
  </si>
  <si>
    <t>ss_g_c_sd_1h_avg:c_fin</t>
  </si>
  <si>
    <t>ss_g_c_sd_1h_avg:c_mag</t>
  </si>
  <si>
    <t>ss_g_c_sd_1h_avg:c_str</t>
  </si>
  <si>
    <t>ss_g_c_sd_1h_avg:o_avg</t>
  </si>
  <si>
    <t>ss_g_c_sd_1h_avg:o_fin</t>
  </si>
  <si>
    <t>sd_ra_g_o_st_1h_fin:c_str</t>
  </si>
  <si>
    <t>sd_ra_g_o_st_1h_fin:o_str</t>
  </si>
  <si>
    <t>sd_g_c_st_1h_avg:c_fin</t>
  </si>
  <si>
    <t>sd_g_c_st_1h_avg:c_mag</t>
  </si>
  <si>
    <t>sd_g_c_st_1h_avg:c_str</t>
  </si>
  <si>
    <t>sd_g_c_st_1h_avg:o_avg</t>
  </si>
  <si>
    <t>sd_g_c_st_1h_avg:o_fin</t>
  </si>
  <si>
    <t>sd_g_c_st_1h_avg:o_mag</t>
  </si>
  <si>
    <t>sd_g_c_st_1h_avg:o_str</t>
  </si>
  <si>
    <t>cb_g_c_r_1h_avg:c_fin</t>
  </si>
  <si>
    <t>b_gui_ig_i_ic_clb_001</t>
  </si>
  <si>
    <t>b_gui_ig_i_w_clb_004</t>
  </si>
  <si>
    <t>b_gui_ig_i_w_clb_010</t>
  </si>
  <si>
    <t>b_gui_ig_i_w_clb_011</t>
  </si>
  <si>
    <t>m_w_clb_011</t>
  </si>
  <si>
    <t>m_w_clb_010</t>
  </si>
  <si>
    <t>m_w_clb_002</t>
  </si>
  <si>
    <t>b_gui_ig_i_w_clb_008</t>
  </si>
  <si>
    <t>m_w_clb_008</t>
  </si>
  <si>
    <t>b_gui_ig_i_w_clb_001</t>
  </si>
  <si>
    <t>m_w_clb_001</t>
  </si>
  <si>
    <t>b_gui_ig_i_w_clb_002</t>
  </si>
  <si>
    <t>m_w_clb_004</t>
  </si>
  <si>
    <t>m_w_clb_003</t>
  </si>
  <si>
    <t>b_gui_ig_i_w_clb_003</t>
  </si>
  <si>
    <t>b_gui_ig_i_w_clb_005</t>
  </si>
  <si>
    <t>m_w_clb_005</t>
  </si>
  <si>
    <t>b_gui_ig_i_w_clb_012</t>
  </si>
  <si>
    <t>m_w_clb_012</t>
  </si>
  <si>
    <t>m_w_clb_009</t>
  </si>
  <si>
    <t>b_gui_ig_i_w_clb_009</t>
  </si>
  <si>
    <t>b_gui_ig_i_w_clb_006</t>
  </si>
  <si>
    <t>Hammer</t>
  </si>
  <si>
    <t>Common Hammer</t>
  </si>
  <si>
    <t>Worn Hammer</t>
  </si>
  <si>
    <t>Mallet</t>
  </si>
  <si>
    <t>Damaged Mallet</t>
  </si>
  <si>
    <t>Crude Mallet</t>
  </si>
  <si>
    <t>Maul</t>
  </si>
  <si>
    <t>Sledgehammer</t>
  </si>
  <si>
    <t>Head Hammer</t>
  </si>
  <si>
    <t>Wound Mallet</t>
  </si>
  <si>
    <t>Head Ram</t>
  </si>
  <si>
    <t>hm_g_c_1h1m_avg</t>
  </si>
  <si>
    <t>hm_g_c_1h1m_avg:c_fin</t>
  </si>
  <si>
    <t>hm_g_c_1h1m_avg:c_mag</t>
  </si>
  <si>
    <t>hm_g_c_1h1m_avg:c_str</t>
  </si>
  <si>
    <t>hm_g_c_1h1m_avg:o_avg</t>
  </si>
  <si>
    <t>hm_g_c_1h1m_avg:o_fin</t>
  </si>
  <si>
    <t>hm_g_c_1h1m_avg:o_mag</t>
  </si>
  <si>
    <t>hm_g_c_1h1m_avg:o_str</t>
  </si>
  <si>
    <t>hm_g_c_1h1m_fun</t>
  </si>
  <si>
    <t>hm_g_c_1h1m_low</t>
  </si>
  <si>
    <t>hm_g_c_2h1m_avg</t>
  </si>
  <si>
    <t>hm_g_c_2h1m_avg:c_fin</t>
  </si>
  <si>
    <t>hm_g_c_2h1m_avg:c_mag</t>
  </si>
  <si>
    <t>hm_g_c_2h1m_avg:c_str</t>
  </si>
  <si>
    <t>hm_g_c_2h1m_avg:o_avg</t>
  </si>
  <si>
    <t>hm_g_c_2h1m_avg:o_fin</t>
  </si>
  <si>
    <t>hm_g_c_2h1m_avg:o_mag</t>
  </si>
  <si>
    <t>hm_g_c_2h1m_avg:o_str</t>
  </si>
  <si>
    <t>hm_g_c_2h1m_fun</t>
  </si>
  <si>
    <t>hm_g_c_2h1m_low</t>
  </si>
  <si>
    <t>hm_g_c_2h2m_avg</t>
  </si>
  <si>
    <t>hm_g_c_2h2m_avg:c_fin</t>
  </si>
  <si>
    <t>hm_g_c_2h2m_avg:c_mag</t>
  </si>
  <si>
    <t>hm_g_c_2h2m_avg:c_str</t>
  </si>
  <si>
    <t>hm_g_c_2h2m_avg:o_mag</t>
  </si>
  <si>
    <t>hm_g_c_2h2m_avg:o_str</t>
  </si>
  <si>
    <t>hm_g_c_2h2m_fun</t>
  </si>
  <si>
    <t>hm_ra_g_c_1h1m_fin</t>
  </si>
  <si>
    <t>hm_ra_g_c_1h1m_fin:c_mag</t>
  </si>
  <si>
    <t>hm_ra_g_c_1h1m_fin:c_str</t>
  </si>
  <si>
    <t>hm_ra_g_c_1h1m_fin:o_mag</t>
  </si>
  <si>
    <t>hm_ra_g_c_2h1m_fin</t>
  </si>
  <si>
    <t>hm_ra_g_c_2h1m_fin:c_mag</t>
  </si>
  <si>
    <t>hm_ra_g_c_2h1m_fin:c_str</t>
  </si>
  <si>
    <t>hm_ra_g_c_2h1m_fin:o_str</t>
  </si>
  <si>
    <t>hm_ra_g_c_2h2m_fin</t>
  </si>
  <si>
    <t>hm_ra_g_c_2h2m_fin:c_mag</t>
  </si>
  <si>
    <t>b_gui_ig_i_ic_hmr_001</t>
  </si>
  <si>
    <t>b_gui_ig_i_ic_hmr_002</t>
  </si>
  <si>
    <t>b_gui_ig_i_ic_hmr_003</t>
  </si>
  <si>
    <t>m_w_hmr_009</t>
  </si>
  <si>
    <t>b_gui_ig_i_w_hmr_014</t>
  </si>
  <si>
    <t>b_gui_ig_i_w_hmr_015</t>
  </si>
  <si>
    <t>m_w_hmr_011</t>
  </si>
  <si>
    <t>m_w_hmr_010</t>
  </si>
  <si>
    <t>b_gui_ig_i_w_hmr_028</t>
  </si>
  <si>
    <t>b_gui_ig_i_w_hmr_029</t>
  </si>
  <si>
    <t>b_gui_ig_i_w_hmr_027</t>
  </si>
  <si>
    <t>b_gui_ig_i_w_hmr_026</t>
  </si>
  <si>
    <t>b_gui_ig_i_w_hmr_016</t>
  </si>
  <si>
    <t>b_gui_ig_i_w_hmr_017</t>
  </si>
  <si>
    <t>m_w_hmr_008</t>
  </si>
  <si>
    <t>b_gui_ig_i_w_hmr_013</t>
  </si>
  <si>
    <t>m_w_hmr_012</t>
  </si>
  <si>
    <t>b_gui_ig_i_w_hmr_020</t>
  </si>
  <si>
    <t>b_gui_ig_i_w_hmr_021</t>
  </si>
  <si>
    <t>b_gui_ig_i_w_hmr_023</t>
  </si>
  <si>
    <t>m_w_hmr_013</t>
  </si>
  <si>
    <t>m_w_hmr_015</t>
  </si>
  <si>
    <t>b_gui_ig_i_w_hmr_035</t>
  </si>
  <si>
    <t>b_gui_ig_i_w_hmr_036</t>
  </si>
  <si>
    <t>b_gui_ig_i_w_hmr_034</t>
  </si>
  <si>
    <t>b_gui_ig_i_w_hmr_032</t>
  </si>
  <si>
    <t>b_gui_ig_i_w_hmr_022</t>
  </si>
  <si>
    <t>m_w_hmr_014</t>
  </si>
  <si>
    <t>b_gui_ig_i_w_hmr_018</t>
  </si>
  <si>
    <t>b_gui_ig_i_w_hmr_019</t>
  </si>
  <si>
    <t>m_w_hmr_016</t>
  </si>
  <si>
    <t>b_gui_ig_i_w_hmr_038</t>
  </si>
  <si>
    <t>b_gui_ig_i_w_hmr_039</t>
  </si>
  <si>
    <t>b_gui_ig_i_w_hmr_042</t>
  </si>
  <si>
    <t>b_gui_ig_i_w_hmr_040</t>
  </si>
  <si>
    <t>b_gui_ig_i_w_hmr_044</t>
  </si>
  <si>
    <t>b_gui_ig_i_w_hmr_043</t>
  </si>
  <si>
    <t>m_w_hmr_020</t>
  </si>
  <si>
    <t>m_w_hmr_021</t>
  </si>
  <si>
    <t>m_w_hmr_017</t>
  </si>
  <si>
    <t>m_w_hmr_019</t>
  </si>
  <si>
    <t>b_gui_ig_i_w_hmr_037</t>
  </si>
  <si>
    <t>b_gui_ig_i_w_hmr_045</t>
  </si>
  <si>
    <t>b_gui_ig_i_w_hmr_046</t>
  </si>
  <si>
    <t>b_gui_ig_i_w_hmr_047</t>
  </si>
  <si>
    <t>b_gui_ig_i_w_hmr_048</t>
  </si>
  <si>
    <t>b_gui_ig_i_w_hmr_051</t>
  </si>
  <si>
    <t>b_gui_ig_i_w_hmr_049</t>
  </si>
  <si>
    <t>b_gui_ig_i_w_hmr_050</t>
  </si>
  <si>
    <t>b_gui_ig_i_w_hmr_052</t>
  </si>
  <si>
    <t>b_gui_ig_i_w_hmr_054</t>
  </si>
  <si>
    <t>Wing Mace</t>
  </si>
  <si>
    <t>Horned Mace</t>
  </si>
  <si>
    <t>Flanged Mace</t>
  </si>
  <si>
    <t>Worn Flanged Mace</t>
  </si>
  <si>
    <t>Bent Flanged Mace</t>
  </si>
  <si>
    <t>Mace</t>
  </si>
  <si>
    <t>Dented Mace</t>
  </si>
  <si>
    <t>Chipped Mace</t>
  </si>
  <si>
    <t>Spiked Mace</t>
  </si>
  <si>
    <t>Rusted Spiked Mace</t>
  </si>
  <si>
    <t>Dull Spiked Mace</t>
  </si>
  <si>
    <t>Mincemeat</t>
  </si>
  <si>
    <t>Squasher</t>
  </si>
  <si>
    <t>Slaughter Rod</t>
  </si>
  <si>
    <t>Icicle Mace</t>
  </si>
  <si>
    <t>Regalia Scepter</t>
  </si>
  <si>
    <t>Lion Scepter</t>
  </si>
  <si>
    <t>Crystal Scepter</t>
  </si>
  <si>
    <t>Dragon Scepter</t>
  </si>
  <si>
    <t>Regal Scepter</t>
  </si>
  <si>
    <t>Eye Scepter</t>
  </si>
  <si>
    <t>Crown Scepter</t>
  </si>
  <si>
    <t>Bell Scepter</t>
  </si>
  <si>
    <t>Water Scepter</t>
  </si>
  <si>
    <t>Cane Scepter</t>
  </si>
  <si>
    <t>Iron Scepter</t>
  </si>
  <si>
    <t>Tangled Scepter</t>
  </si>
  <si>
    <t>Masked Scepter</t>
  </si>
  <si>
    <t>Web Scepter</t>
  </si>
  <si>
    <t>mc_d_c_f_1h_str</t>
  </si>
  <si>
    <t>mc_d_c_s_1h_mag</t>
  </si>
  <si>
    <t>mc_g_c_f_1h_avg</t>
  </si>
  <si>
    <t>mc_g_c_f_1h_avg:c_fin</t>
  </si>
  <si>
    <t>mc_g_c_f_1h_avg:c_mag</t>
  </si>
  <si>
    <t>mc_g_c_f_1h_avg:c_str</t>
  </si>
  <si>
    <t>mc_g_c_f_1h_avg:o_avg</t>
  </si>
  <si>
    <t>mc_g_c_f_1h_avg:o_fin</t>
  </si>
  <si>
    <t>mc_g_c_f_1h_avg:o_mag</t>
  </si>
  <si>
    <t>mc_g_c_f_1h_avg:o_str</t>
  </si>
  <si>
    <t>mc_g_c_f_1h_fun</t>
  </si>
  <si>
    <t>mc_g_c_f_1h_low</t>
  </si>
  <si>
    <t>mc_g_c_m_1h_avg</t>
  </si>
  <si>
    <t>mc_g_c_m_1h_avg:c_fin</t>
  </si>
  <si>
    <t>mc_g_c_m_1h_avg:c_mag</t>
  </si>
  <si>
    <t>mc_g_c_m_1h_avg:c_str</t>
  </si>
  <si>
    <t>mc_g_c_m_1h_avg:o_avg</t>
  </si>
  <si>
    <t>mc_g_c_m_1h_avg:o_fin</t>
  </si>
  <si>
    <t>mc_g_c_m_1h_avg:o_mag</t>
  </si>
  <si>
    <t>mc_g_c_m_1h_avg:o_str</t>
  </si>
  <si>
    <t>mc_g_c_m_1h_fun</t>
  </si>
  <si>
    <t>mc_g_c_m_1h_low</t>
  </si>
  <si>
    <t>mc_g_c_s_1h_avg</t>
  </si>
  <si>
    <t>mc_g_c_s_1h_avg:c_fin</t>
  </si>
  <si>
    <t>mc_g_c_s_1h_avg:c_mag</t>
  </si>
  <si>
    <t>mc_g_c_s_1h_avg:c_str</t>
  </si>
  <si>
    <t>mc_g_c_s_1h_avg:o_avg</t>
  </si>
  <si>
    <t>mc_g_c_s_1h_avg:o_fin</t>
  </si>
  <si>
    <t>mc_g_c_s_1h_avg:o_mag</t>
  </si>
  <si>
    <t>mc_g_c_s_1h_avg:o_str</t>
  </si>
  <si>
    <t>mc_g_c_s_1h_fun</t>
  </si>
  <si>
    <t>mc_g_c_s_1h_low</t>
  </si>
  <si>
    <t>mc_ra_g_c_f_1h_fin</t>
  </si>
  <si>
    <t>mc_ra_g_c_f_1h_fin:c_mag</t>
  </si>
  <si>
    <t>mc_ra_g_c_f_1h_fin:c_str</t>
  </si>
  <si>
    <t>mc_ra_g_c_f_1h_fin:o_avg</t>
  </si>
  <si>
    <t>mc_ra_g_c_f_1h_fin:o_fin</t>
  </si>
  <si>
    <t>mc_ra_g_c_f_1h_fin:o_mag</t>
  </si>
  <si>
    <t>mc_ra_g_c_m_1h_fin</t>
  </si>
  <si>
    <t>mc_ra_g_c_m_1h_fin:c_mag</t>
  </si>
  <si>
    <t>mc_ra_g_c_m_1h_fin:c_str</t>
  </si>
  <si>
    <t>mc_ra_g_c_m_1h_fin:o_avg</t>
  </si>
  <si>
    <t>mc_ra_g_c_m_1h_fin:o_fin</t>
  </si>
  <si>
    <t>mc_ra_g_c_m_1h_fin:o_str</t>
  </si>
  <si>
    <t>mc_ra_g_c_s_1h_fin</t>
  </si>
  <si>
    <t>mc_ra_g_c_s_1h_fin:c_str</t>
  </si>
  <si>
    <t>mc_ra_g_c_s_1h_fin:o_avg</t>
  </si>
  <si>
    <t>mc_ra_g_c_s_1h_fin:o_fin</t>
  </si>
  <si>
    <t>mc_ra_g_c_s_1h_fin:o_mag</t>
  </si>
  <si>
    <t>mc_ra_g_c_s_1h_fin:o_str</t>
  </si>
  <si>
    <t>mc_sc_g_c_f_1h_fin</t>
  </si>
  <si>
    <t>mc_sc_g_c_m_1h_fin</t>
  </si>
  <si>
    <t>mc_sc_g_c_m_1h_str</t>
  </si>
  <si>
    <t>mc_sc_g_c_s_1h_fin</t>
  </si>
  <si>
    <t>mc_sc_g_o_f_1h_fin</t>
  </si>
  <si>
    <t>mc_sc_g_o_m_1h_avg</t>
  </si>
  <si>
    <t>mc_sc_g_o_m_1h_fin</t>
  </si>
  <si>
    <t>mc_sc_g_o_m_1h_str</t>
  </si>
  <si>
    <t>mc_sc_un_bells</t>
  </si>
  <si>
    <t>mc_sc_un_dolphin</t>
  </si>
  <si>
    <t>mc_sc_un_egypt</t>
  </si>
  <si>
    <t>mc_sc_un_hand</t>
  </si>
  <si>
    <t>mc_sc_un_horns</t>
  </si>
  <si>
    <t>mc_sc_un_jester</t>
  </si>
  <si>
    <t>mc_sc_un_spider</t>
  </si>
  <si>
    <t>b_gui_ig_i_ic_mce_001</t>
  </si>
  <si>
    <t>m_w_mce_060</t>
  </si>
  <si>
    <t>b_gui_ig_i_ic_mce_002</t>
  </si>
  <si>
    <t>b_gui_ig_i_w_mce_060</t>
  </si>
  <si>
    <t>b_gui_ig_i_ic_mce_003</t>
  </si>
  <si>
    <t>b_gui_ig_i_w_mce_057</t>
  </si>
  <si>
    <t>m_w_mce_057</t>
  </si>
  <si>
    <t>m_w_mce_046</t>
  </si>
  <si>
    <t>m_w_mce_049</t>
  </si>
  <si>
    <t>m_w_mce_050</t>
  </si>
  <si>
    <t>m_w_mce_047</t>
  </si>
  <si>
    <t>m_w_mce_066</t>
  </si>
  <si>
    <t>m_w_mce_067</t>
  </si>
  <si>
    <t>m_w_mce_069</t>
  </si>
  <si>
    <t>m_w_mce_068</t>
  </si>
  <si>
    <t>b_gui_ig_i_w_mce_068</t>
  </si>
  <si>
    <t>b_gui_ig_i_w_mce_069</t>
  </si>
  <si>
    <t>b_gui_ig_i_ic_mce_005</t>
  </si>
  <si>
    <t>b_gui_ig_i_w_mce_046</t>
  </si>
  <si>
    <t>b_gui_ig_i_w_mce_049</t>
  </si>
  <si>
    <t>b_gui_ig_i_w_mce_050</t>
  </si>
  <si>
    <t>b_gui_ig_i_w_mce_047</t>
  </si>
  <si>
    <t>b_gui_ig_i_w_mce_066</t>
  </si>
  <si>
    <t>b_gui_ig_i_w_mce_067</t>
  </si>
  <si>
    <t>b_gui_ig_i_w_mce_048</t>
  </si>
  <si>
    <t>b_gui_ig_i_w_mce_008</t>
  </si>
  <si>
    <t>temp_mc_g_c_f_1h_avg</t>
  </si>
  <si>
    <t>Inferior Flanged Mace</t>
  </si>
  <si>
    <t>b_gui_ig_i_w_mce_045</t>
  </si>
  <si>
    <t>m_w_mce_045</t>
  </si>
  <si>
    <t>m_w_mce_048</t>
  </si>
  <si>
    <t>b_gui_ig_i_w_mce_040</t>
  </si>
  <si>
    <t>m_w_mce_040</t>
  </si>
  <si>
    <t>b_gui_ig_i_w_mce_043</t>
  </si>
  <si>
    <t>b_gui_ig_i_w_mce_044</t>
  </si>
  <si>
    <t>m_w_mce_043</t>
  </si>
  <si>
    <t>m_w_mce_044</t>
  </si>
  <si>
    <t>b_gui_ig_i_w_mce_041</t>
  </si>
  <si>
    <t>b_gui_ig_i_ic_mce_004</t>
  </si>
  <si>
    <t>b_gui_ig_i_w_mce_062</t>
  </si>
  <si>
    <t>m_w_mce_062</t>
  </si>
  <si>
    <t>m_w_mce_041</t>
  </si>
  <si>
    <t>m_w_mce_063</t>
  </si>
  <si>
    <t>m_w_mce_065</t>
  </si>
  <si>
    <t>m_w_mce_064</t>
  </si>
  <si>
    <t>b_gui_ig_i_w_mce_064</t>
  </si>
  <si>
    <t>b_gui_ig_i_w_mce_065</t>
  </si>
  <si>
    <t>b_gui_ig_i_w_mce_063</t>
  </si>
  <si>
    <t>m_w_mce_042</t>
  </si>
  <si>
    <t>m_w_mce_039</t>
  </si>
  <si>
    <t>b_gui_ig_i_w_mce_042</t>
  </si>
  <si>
    <t>b_gui_ig_i_w_mce_039</t>
  </si>
  <si>
    <t>b_gui_ig_i_w_mce_053</t>
  </si>
  <si>
    <t>m_w_mce_052</t>
  </si>
  <si>
    <t>m_w_mce_053</t>
  </si>
  <si>
    <t>m_w_mce_055</t>
  </si>
  <si>
    <t>m_w_mce_054</t>
  </si>
  <si>
    <t>m_w_mce_070</t>
  </si>
  <si>
    <t>m_w_mce_071</t>
  </si>
  <si>
    <t>m_w_mce_073</t>
  </si>
  <si>
    <t>m_w_mce_072</t>
  </si>
  <si>
    <t>b_gui_ig_i_w_mce_072</t>
  </si>
  <si>
    <t>b_gui_ig_i_w_mce_073</t>
  </si>
  <si>
    <t>b_gui_ig_i_w_mce_071</t>
  </si>
  <si>
    <t>b_gui_ig_i_w_mce_070</t>
  </si>
  <si>
    <t>b_gui_ig_i_w_mce_055</t>
  </si>
  <si>
    <t>b_gui_ig_i_w_mce_056</t>
  </si>
  <si>
    <t>b_gui_ig_i_w_mce_054</t>
  </si>
  <si>
    <t>b_gui_ig_i_ic_mce_006</t>
  </si>
  <si>
    <t>m_w_mce_051</t>
  </si>
  <si>
    <t>m_w_mce_037</t>
  </si>
  <si>
    <t>m_w_mce_028</t>
  </si>
  <si>
    <t>m_w_mce_038</t>
  </si>
  <si>
    <t>m_w_mce_036</t>
  </si>
  <si>
    <t>m_w_mce_029</t>
  </si>
  <si>
    <t>m_w_mce_033</t>
  </si>
  <si>
    <t>m_w_mce_035</t>
  </si>
  <si>
    <t>m_w_mce_058</t>
  </si>
  <si>
    <t>m_w_mce_027</t>
  </si>
  <si>
    <t>m_w_mce_030</t>
  </si>
  <si>
    <t>m_w_mce_032</t>
  </si>
  <si>
    <t>m_w_mce_061</t>
  </si>
  <si>
    <t>m_w_mce_031</t>
  </si>
  <si>
    <t>m_w_mce_059</t>
  </si>
  <si>
    <t>m_w_mce_008</t>
  </si>
  <si>
    <t>b_gui_ig_i_ic_msc_002</t>
  </si>
  <si>
    <t>b_gui_ig_i_w_mce_059</t>
  </si>
  <si>
    <t>b_gui_ig_i_ic_msc_003</t>
  </si>
  <si>
    <t>b_gui_ig_i_w_mce_052</t>
  </si>
  <si>
    <t>b_gui_ig_i_w_mce_051</t>
  </si>
  <si>
    <t>b_gui_ig_i_w_mce_080</t>
  </si>
  <si>
    <t>b_gui_ig_i_w_mce_084</t>
  </si>
  <si>
    <t>b_gui_ig_i_w_mce_083</t>
  </si>
  <si>
    <t>b_gui_ig_i_w_mce_081</t>
  </si>
  <si>
    <t>b_gui_ig_i_w_mce_082</t>
  </si>
  <si>
    <t>b_gui_ig_i_w_mce_085</t>
  </si>
  <si>
    <t>b_gui_ig_i_w_mce_078</t>
  </si>
  <si>
    <t>b_gui_ig_i_w_mce_079</t>
  </si>
  <si>
    <t>b_gui_ig_i_w_mce_077</t>
  </si>
  <si>
    <t>b_gui_ig_i_w_mce_075</t>
  </si>
  <si>
    <t>b_gui_ig_i_w_mce_076</t>
  </si>
  <si>
    <t>b_gui_ig_i_w_mce_086</t>
  </si>
  <si>
    <t>b_gui_ig_i_w_mce_089</t>
  </si>
  <si>
    <t>b_gui_ig_i_w_mce_087</t>
  </si>
  <si>
    <t>b_gui_ig_i_w_mce_088</t>
  </si>
  <si>
    <t>b_gui_ig_i_w_mce_091</t>
  </si>
  <si>
    <t>b_gui_ig_i_w_mce_090</t>
  </si>
  <si>
    <t>b_gui_ig_i_w_mce_037</t>
  </si>
  <si>
    <t>b_gui_ig_i_w_mce_028</t>
  </si>
  <si>
    <t>b_gui_ig_i_w_mce_038</t>
  </si>
  <si>
    <t>b_gui_ig_i_w_mce_036</t>
  </si>
  <si>
    <t>b_gui_ig_i_w_mce_029</t>
  </si>
  <si>
    <t>b_gui_ig_i_w_mce_033</t>
  </si>
  <si>
    <t>b_gui_ig_i_w_mce_035</t>
  </si>
  <si>
    <t>b_gui_ig_i_w_mce_034</t>
  </si>
  <si>
    <t>b_gui_ig_i_w_mce_058</t>
  </si>
  <si>
    <t>b_gui_ig_i_w_mce_027</t>
  </si>
  <si>
    <t>b_gui_ig_i_w_mce_030</t>
  </si>
  <si>
    <t>b_gui_ig_i_w_mce_032</t>
  </si>
  <si>
    <t>b_gui_ig_i_w_mce_061</t>
  </si>
  <si>
    <t>b_gui_ig_i_w_mce_031</t>
  </si>
  <si>
    <t>Banded Gauntlets</t>
  </si>
  <si>
    <t>Boiled Leather Gauntlets</t>
  </si>
  <si>
    <t>Brigandine Gauntlets</t>
  </si>
  <si>
    <t>Full Plate Gauntlets</t>
  </si>
  <si>
    <t>Scale Gauntlets</t>
  </si>
  <si>
    <t>Boiled Leather Gloves</t>
  </si>
  <si>
    <t>Brigandine Gloves</t>
  </si>
  <si>
    <t>Chain Gloves</t>
  </si>
  <si>
    <t>Leather Gloves</t>
  </si>
  <si>
    <t>Scale Gloves</t>
  </si>
  <si>
    <t>Studded Leather Gloves</t>
  </si>
  <si>
    <t>Solar Gauntlets</t>
  </si>
  <si>
    <t>Zenith Gauntlets</t>
  </si>
  <si>
    <t>Spectral Gauntlets</t>
  </si>
  <si>
    <t>Chief Gauntlets</t>
  </si>
  <si>
    <t>Terrestrial Gauntlets</t>
  </si>
  <si>
    <t>Marshal Gloves</t>
  </si>
  <si>
    <t>Lunar Gloves</t>
  </si>
  <si>
    <t>Sultan Gloves</t>
  </si>
  <si>
    <t>Punisher Gloves</t>
  </si>
  <si>
    <t>Rock Scale Gloves</t>
  </si>
  <si>
    <t>Secure Gloves</t>
  </si>
  <si>
    <t>Black Widow Gauntlets</t>
  </si>
  <si>
    <t>Woodland Gloves</t>
  </si>
  <si>
    <t>Crystal Gauntlets</t>
  </si>
  <si>
    <t>Molten Gloves</t>
  </si>
  <si>
    <t>Serpentine Gauntlets</t>
  </si>
  <si>
    <t>gl_ga_ba_f_g_c_avg</t>
  </si>
  <si>
    <t>gl_ga_ba_f_g_c_avg:c_fin</t>
  </si>
  <si>
    <t>gl_ga_ba_f_g_c_avg:c_mag</t>
  </si>
  <si>
    <t>gl_ga_ba_f_g_c_avg:c_str</t>
  </si>
  <si>
    <t>gl_ga_ba_f_g_c_avg:o_avg</t>
  </si>
  <si>
    <t>gl_ga_ba_f_g_c_avg:o_fin</t>
  </si>
  <si>
    <t>gl_ga_ba_f_g_c_avg:o_mag</t>
  </si>
  <si>
    <t>gl_ga_ba_f_g_c_avg:o_str</t>
  </si>
  <si>
    <t>gl_ga_bl_f_g_c_avg</t>
  </si>
  <si>
    <t>gl_ga_bl_f_g_c_avg:c_fin</t>
  </si>
  <si>
    <t>gl_ga_bl_f_g_c_avg:c_mag</t>
  </si>
  <si>
    <t>gl_ga_bl_f_g_c_avg:c_str</t>
  </si>
  <si>
    <t>gl_ga_bl_f_g_c_avg:o_avg</t>
  </si>
  <si>
    <t>gl_ga_bl_f_g_c_avg:o_fin</t>
  </si>
  <si>
    <t>gl_ga_bl_f_g_c_avg:o_mag</t>
  </si>
  <si>
    <t>gl_ga_bl_f_g_c_avg:o_str</t>
  </si>
  <si>
    <t>gl_ga_br_f_g_c_avg</t>
  </si>
  <si>
    <t>gl_ga_br_f_g_c_avg:c_fin</t>
  </si>
  <si>
    <t>gl_ga_br_f_g_c_avg:c_mag</t>
  </si>
  <si>
    <t>gl_ga_br_f_g_c_avg:c_str</t>
  </si>
  <si>
    <t>gl_ga_br_f_g_c_avg:o_avg</t>
  </si>
  <si>
    <t>gl_ga_br_f_g_c_avg:o_fin</t>
  </si>
  <si>
    <t>gl_ga_br_f_g_c_avg:o_mag</t>
  </si>
  <si>
    <t>gl_ga_br_f_g_c_avg:o_str</t>
  </si>
  <si>
    <t>gl_ga_fp_f_g_c_avg</t>
  </si>
  <si>
    <t>gl_ga_fp_f_g_c_avg:c_fin</t>
  </si>
  <si>
    <t>gl_ga_fp_f_g_c_avg:c_mag</t>
  </si>
  <si>
    <t>gl_ga_fp_f_g_c_avg:c_str</t>
  </si>
  <si>
    <t>gl_ga_fp_f_g_c_avg:o_avg</t>
  </si>
  <si>
    <t>gl_ga_fp_f_g_c_avg:o_fin</t>
  </si>
  <si>
    <t>gl_ga_fp_f_g_c_avg:o_mag</t>
  </si>
  <si>
    <t>gl_ga_fp_f_g_c_avg:o_str</t>
  </si>
  <si>
    <t>gl_ga_sc_f_g_c_avg</t>
  </si>
  <si>
    <t>gl_ga_sc_f_g_c_avg:c_fin</t>
  </si>
  <si>
    <t>gl_ga_sc_f_g_c_avg:c_mag</t>
  </si>
  <si>
    <t>gl_ga_sc_f_g_c_avg:c_str</t>
  </si>
  <si>
    <t>gl_ga_sc_f_g_c_avg:o_avg</t>
  </si>
  <si>
    <t>gl_ga_sc_f_g_c_avg:o_fin</t>
  </si>
  <si>
    <t>gl_ga_sc_f_g_c_avg:o_mag</t>
  </si>
  <si>
    <t>gl_ga_sc_f_g_c_avg:o_str</t>
  </si>
  <si>
    <t>gl_gl_bl_f_g_c_avg</t>
  </si>
  <si>
    <t>gl_gl_bl_f_g_c_avg:c_fin</t>
  </si>
  <si>
    <t>gl_gl_bl_f_g_c_avg:c_mag</t>
  </si>
  <si>
    <t>gl_gl_bl_f_g_c_avg:c_str</t>
  </si>
  <si>
    <t>gl_gl_bl_f_g_c_avg:o_avg</t>
  </si>
  <si>
    <t>gl_gl_bl_f_g_c_avg:o_fin</t>
  </si>
  <si>
    <t>gl_gl_bl_f_g_c_avg:o_mag</t>
  </si>
  <si>
    <t>gl_gl_bl_f_g_c_avg:o_str</t>
  </si>
  <si>
    <t>gl_gl_br_f_g_c_avg</t>
  </si>
  <si>
    <t>gl_gl_br_f_g_c_avg:c_fin</t>
  </si>
  <si>
    <t>gl_gl_br_f_g_c_avg:c_mag</t>
  </si>
  <si>
    <t>gl_gl_br_f_g_c_avg:c_str</t>
  </si>
  <si>
    <t>gl_gl_br_f_g_c_avg:o_avg</t>
  </si>
  <si>
    <t>gl_gl_br_f_g_c_avg:o_fin</t>
  </si>
  <si>
    <t>gl_gl_br_f_g_c_avg:o_mag</t>
  </si>
  <si>
    <t>gl_gl_br_f_g_c_avg:o_str</t>
  </si>
  <si>
    <t>gl_gl_ch_f_g_c_avg</t>
  </si>
  <si>
    <t>gl_gl_ch_f_g_c_avg:c_fin</t>
  </si>
  <si>
    <t>gl_gl_ch_f_g_c_avg:c_mag</t>
  </si>
  <si>
    <t>gl_gl_ch_f_g_c_avg:c_str</t>
  </si>
  <si>
    <t>gl_gl_ch_f_g_c_avg:o_avg</t>
  </si>
  <si>
    <t>gl_gl_ch_f_g_c_avg:o_fin</t>
  </si>
  <si>
    <t>gl_gl_ch_f_g_c_avg:o_mag</t>
  </si>
  <si>
    <t>gl_gl_ch_f_g_c_avg:o_str</t>
  </si>
  <si>
    <t>gl_gl_le_f_g_c_avg</t>
  </si>
  <si>
    <t>gl_gl_le_f_g_c_avg:c_fin</t>
  </si>
  <si>
    <t>gl_gl_le_f_g_c_avg:c_mag</t>
  </si>
  <si>
    <t>gl_gl_le_f_g_c_avg:c_str</t>
  </si>
  <si>
    <t>gl_gl_le_f_g_c_avg:o_avg</t>
  </si>
  <si>
    <t>gl_gl_le_f_g_c_avg:o_fin</t>
  </si>
  <si>
    <t>gl_gl_le_f_g_c_avg:o_mag</t>
  </si>
  <si>
    <t>gl_gl_le_f_g_c_avg:o_str</t>
  </si>
  <si>
    <t>gl_gl_sc_f_g_c_avg</t>
  </si>
  <si>
    <t>gl_gl_sc_f_g_c_avg:c_fin</t>
  </si>
  <si>
    <t>gl_gl_sc_f_g_c_avg:c_mag</t>
  </si>
  <si>
    <t>gl_gl_sc_f_g_c_avg:c_str</t>
  </si>
  <si>
    <t>gl_gl_sc_f_g_c_avg:o_avg</t>
  </si>
  <si>
    <t>gl_gl_sc_f_g_c_avg:o_fin</t>
  </si>
  <si>
    <t>gl_gl_sc_f_g_c_avg:o_mag</t>
  </si>
  <si>
    <t>gl_gl_sc_f_g_c_avg:o_str</t>
  </si>
  <si>
    <t>gl_gl_sl_f_g_c_avg</t>
  </si>
  <si>
    <t>gl_gl_sl_f_g_c_avg:c_fin</t>
  </si>
  <si>
    <t>gl_gl_sl_f_g_c_avg:c_mag</t>
  </si>
  <si>
    <t>gl_gl_sl_f_g_c_avg:c_str</t>
  </si>
  <si>
    <t>gl_gl_sl_f_g_c_avg:o_avg</t>
  </si>
  <si>
    <t>gl_gl_sl_f_g_c_avg:o_fin</t>
  </si>
  <si>
    <t>gl_gl_sl_f_g_c_avg:o_mag</t>
  </si>
  <si>
    <t>gl_gl_sl_f_g_c_avg:o_str</t>
  </si>
  <si>
    <t>gl_ra_ga_ba_f_g_c_fin</t>
  </si>
  <si>
    <t>gl_ra_ga_ba_f_g_c_fin:c_mag</t>
  </si>
  <si>
    <t>gl_ra_ga_ba_f_g_c_fin:c_str</t>
  </si>
  <si>
    <t>gl_ra_ga_ba_f_g_c_fin:o_fin</t>
  </si>
  <si>
    <t>gl_ra_ga_ba_f_g_c_fin:o_str</t>
  </si>
  <si>
    <t>gl_ra_ga_bl_f_g_c_fin</t>
  </si>
  <si>
    <t>gl_ra_ga_bl_f_g_c_fin:o_fin</t>
  </si>
  <si>
    <t>gl_ra_ga_br_f_g_c_fin</t>
  </si>
  <si>
    <t>gl_ra_ga_br_f_g_c_fin:o_fin</t>
  </si>
  <si>
    <t>gl_ra_ga_br_f_g_c_fin:o_mag</t>
  </si>
  <si>
    <t>gl_ra_ga_fp_f_g_o_avg</t>
  </si>
  <si>
    <t>gl_ra_ga_fp_f_g_o_avg:c_fin</t>
  </si>
  <si>
    <t>gl_ra_ga_fp_f_g_o_avg:c_str</t>
  </si>
  <si>
    <t>gl_ra_ga_fp_f_g_o_avg:o_fin</t>
  </si>
  <si>
    <t>gl_ra_ga_fp_f_g_o_avg:o_str</t>
  </si>
  <si>
    <t>gl_ra_ga_sc_f_g_c_fin</t>
  </si>
  <si>
    <t>gl_ra_ga_sc_f_g_c_fin:o_fin</t>
  </si>
  <si>
    <t>gl_ra_gl_bl_f_g_c_fin</t>
  </si>
  <si>
    <t>gl_ra_gl_bl_f_g_c_fin:o_fin</t>
  </si>
  <si>
    <t>gl_ra_gl_br_f_g_c_fin</t>
  </si>
  <si>
    <t>gl_ra_gl_br_f_g_c_fin:o_fin</t>
  </si>
  <si>
    <t>gl_ra_gl_br_f_g_c_fin:o_mag</t>
  </si>
  <si>
    <t>gl_ra_gl_br_f_g_c_fin:o_str</t>
  </si>
  <si>
    <t>gl_ra_gl_ch_f_g_c_fin</t>
  </si>
  <si>
    <t>gl_ra_gl_ch_f_g_c_fin:c_mag</t>
  </si>
  <si>
    <t>gl_ra_gl_ch_f_g_c_fin:c_str</t>
  </si>
  <si>
    <t>gl_ra_gl_ch_f_g_c_fin:o_fin</t>
  </si>
  <si>
    <t>gl_ra_gl_ch_f_g_c_fin:o_str</t>
  </si>
  <si>
    <t>gl_ra_gl_le_f_g_c_fin</t>
  </si>
  <si>
    <t>gl_ra_gl_le_f_g_c_fin:o_fin</t>
  </si>
  <si>
    <t>gl_ra_gl_sc_f_g_c_fin</t>
  </si>
  <si>
    <t>gl_ra_gl_sc_f_g_c_fin:o_fin</t>
  </si>
  <si>
    <t>gl_ra_gl_sc_f_g_c_fin:o_str</t>
  </si>
  <si>
    <t>gl_ra_gl_sl_f_g_c_fin</t>
  </si>
  <si>
    <t>gl_ra_gl_sl_f_g_c_fin:o_fin</t>
  </si>
  <si>
    <t>gl_un_gl_br_f_spider</t>
  </si>
  <si>
    <t>gl_un_gl_ch_r_green</t>
  </si>
  <si>
    <t>gl_un_gl_pl_f_crystal</t>
  </si>
  <si>
    <t>gl_un_gl_ro_m_molten</t>
  </si>
  <si>
    <t>gl_un_gl_sc_f_dragon</t>
  </si>
  <si>
    <t>b_gui_ig_i_a_gntl_011</t>
  </si>
  <si>
    <t>b_gui_ig_i_a_gntl_086</t>
  </si>
  <si>
    <t>b_gui_ig_i_a_gntl_100</t>
  </si>
  <si>
    <t>b_gui_ig_i_a_gntl_101</t>
  </si>
  <si>
    <t>b_gui_ig_i_a_gntl_102</t>
  </si>
  <si>
    <t>b_gui_ig_i_a_gntl_103</t>
  </si>
  <si>
    <t>b_gui_ig_i_a_gntl_104</t>
  </si>
  <si>
    <t>b_gui_ig_i_a_gntl_105</t>
  </si>
  <si>
    <t>b_gui_ig_i_a_gntl_106</t>
  </si>
  <si>
    <t>b_gui_ig_i_a_gntl_107</t>
  </si>
  <si>
    <t>b_gui_ig_i_a_gntl_108</t>
  </si>
  <si>
    <t>b_gui_ig_i_a_gntl_109</t>
  </si>
  <si>
    <t>b_gui_ig_i_a_gntl_110</t>
  </si>
  <si>
    <t>b_gui_ig_i_a_gntl_111</t>
  </si>
  <si>
    <t>b_gui_ig_i_a_gntl_112</t>
  </si>
  <si>
    <t>b_gui_ig_i_a_gntl_113</t>
  </si>
  <si>
    <t>b_gui_ig_i_a_gntl_114</t>
  </si>
  <si>
    <t>b_gui_ig_i_a_gntl_115</t>
  </si>
  <si>
    <t>b_gui_ig_i_a_gntl_116</t>
  </si>
  <si>
    <t>b_gui_ig_i_a_gntl_117</t>
  </si>
  <si>
    <t>b_gui_ig_i_a_gntl_118</t>
  </si>
  <si>
    <t>b_gui_ig_i_a_gntl_119</t>
  </si>
  <si>
    <t>b_gui_ig_i_a_gntl_120</t>
  </si>
  <si>
    <t>b_gui_ig_i_a_gntl_121</t>
  </si>
  <si>
    <t>b_gui_ig_i_a_gntl_122</t>
  </si>
  <si>
    <t>b_gui_ig_i_a_gntl_123</t>
  </si>
  <si>
    <t>b_gui_ig_i_a_gntl_124</t>
  </si>
  <si>
    <t>b_gui_ig_i_a_gntl_125</t>
  </si>
  <si>
    <t>b_gui_ig_i_a_gntl_088</t>
  </si>
  <si>
    <t>b_gui_ig_i_a_gntl_087</t>
  </si>
  <si>
    <t>b_gui_ig_i_a_gntl_089</t>
  </si>
  <si>
    <t>b_gui_ig_i_a_gntl_090</t>
  </si>
  <si>
    <t>b_gui_ig_i_a_gntl_092</t>
  </si>
  <si>
    <t>b_gui_ig_i_a_gntl_091</t>
  </si>
  <si>
    <t>b_gui_ig_i_a_gntl_024</t>
  </si>
  <si>
    <t>b_gui_ig_i_a_gntl_025</t>
  </si>
  <si>
    <t>b_gui_ig_i_a_gntl_027</t>
  </si>
  <si>
    <t>b_gui_ig_i_a_gntl_026</t>
  </si>
  <si>
    <t>b_gui_ig_i_a_gntl_028</t>
  </si>
  <si>
    <t>b_gui_ig_i_a_gntl_029</t>
  </si>
  <si>
    <t>b_gui_ig_i_a_gntl_031</t>
  </si>
  <si>
    <t>b_gui_ig_i_a_gntl_030</t>
  </si>
  <si>
    <t>b_gui_ig_i_a_gntl_009</t>
  </si>
  <si>
    <t>b_gui_ig_i_a_gntl_079</t>
  </si>
  <si>
    <t>b_gui_ig_i_a_gntl_081</t>
  </si>
  <si>
    <t>b_gui_ig_i_a_gntl_080</t>
  </si>
  <si>
    <t>b_gui_ig_i_a_gntl_082</t>
  </si>
  <si>
    <t>b_gui_ig_i_a_gntl_083</t>
  </si>
  <si>
    <t>b_gui_ig_i_a_gntl_085</t>
  </si>
  <si>
    <t>b_gui_ig_i_a_gntl_084</t>
  </si>
  <si>
    <t>b_gui_ig_i_a_gntl_005</t>
  </si>
  <si>
    <t>b_gui_ig_i_a_gntl_055</t>
  </si>
  <si>
    <t>b_gui_ig_i_a_gntl_057</t>
  </si>
  <si>
    <t>b_gui_ig_i_a_gntl_056</t>
  </si>
  <si>
    <t>b_gui_ig_i_a_gntl_010</t>
  </si>
  <si>
    <t>b_gui_ig_i_a_gntl_048</t>
  </si>
  <si>
    <t>b_gui_ig_i_a_gntl_050</t>
  </si>
  <si>
    <t>b_gui_ig_i_a_gntl_049</t>
  </si>
  <si>
    <t>b_gui_ig_i_a_gntl_051</t>
  </si>
  <si>
    <t>b_gui_ig_i_a_gntl_052</t>
  </si>
  <si>
    <t>b_gui_ig_i_a_gntl_054</t>
  </si>
  <si>
    <t>b_gui_ig_i_a_gntl_053</t>
  </si>
  <si>
    <t>b_gui_ig_i_a_gntl_016</t>
  </si>
  <si>
    <t>b_gui_ig_i_a_gntl_017</t>
  </si>
  <si>
    <t>b_gui_ig_i_a_gntl_019</t>
  </si>
  <si>
    <t>b_gui_ig_i_a_gntl_018</t>
  </si>
  <si>
    <t>b_gui_ig_i_a_gntl_020</t>
  </si>
  <si>
    <t>b_gui_ig_i_a_gntl_021</t>
  </si>
  <si>
    <t>b_gui_ig_i_a_gntl_023</t>
  </si>
  <si>
    <t>b_gui_ig_i_a_gntl_022</t>
  </si>
  <si>
    <t>b_gui_ig_i_a_gntl_008</t>
  </si>
  <si>
    <t>b_gui_ig_i_a_gntl_065</t>
  </si>
  <si>
    <t>b_gui_ig_i_a_gntl_067</t>
  </si>
  <si>
    <t>b_gui_ig_i_a_gntl_066</t>
  </si>
  <si>
    <t>b_gui_ig_i_a_gntl_068</t>
  </si>
  <si>
    <t>b_gui_ig_i_a_gntl_069</t>
  </si>
  <si>
    <t>b_gui_ig_i_a_gntl_071</t>
  </si>
  <si>
    <t>b_gui_ig_i_a_gntl_070</t>
  </si>
  <si>
    <t>b_gui_ig_i_a_gntl_003</t>
  </si>
  <si>
    <t>b_gui_ig_i_a_gntl_041</t>
  </si>
  <si>
    <t>b_gui_ig_i_a_gntl_043</t>
  </si>
  <si>
    <t>b_gui_ig_i_a_gntl_042</t>
  </si>
  <si>
    <t>b_gui_ig_i_a_gntl_044</t>
  </si>
  <si>
    <t>b_gui_ig_i_a_gntl_045</t>
  </si>
  <si>
    <t>b_gui_ig_i_a_gntl_047</t>
  </si>
  <si>
    <t>b_gui_ig_i_a_gntl_046</t>
  </si>
  <si>
    <t>b_gui_ig_i_a_gntl_012</t>
  </si>
  <si>
    <t>b_gui_ig_i_a_gntl_034</t>
  </si>
  <si>
    <t>b_gui_ig_i_a_gntl_036</t>
  </si>
  <si>
    <t>b_gui_ig_i_a_gntl_035</t>
  </si>
  <si>
    <t>b_gui_ig_i_a_gntl_037</t>
  </si>
  <si>
    <t>b_gui_ig_i_a_gntl_038</t>
  </si>
  <si>
    <t>b_gui_ig_i_a_gntl_040</t>
  </si>
  <si>
    <t>b_gui_ig_i_a_gntl_039</t>
  </si>
  <si>
    <t>b_gui_ig_i_a_gntl_004</t>
  </si>
  <si>
    <t>b_gui_ig_i_a_gntl_072</t>
  </si>
  <si>
    <t>b_gui_ig_i_a_gntl_074</t>
  </si>
  <si>
    <t>b_gui_ig_i_a_gntl_073</t>
  </si>
  <si>
    <t>b_gui_ig_i_a_gntl_075</t>
  </si>
  <si>
    <t>b_gui_ig_i_a_gntl_076</t>
  </si>
  <si>
    <t>b_gui_ig_i_a_gntl_078</t>
  </si>
  <si>
    <t>b_gui_ig_i_a_gntl_077</t>
  </si>
  <si>
    <t>b_gui_ig_i_a_gntl_002</t>
  </si>
  <si>
    <t>b_gui_ig_i_a_gntl_058</t>
  </si>
  <si>
    <t>b_gui_ig_i_a_gntl_060</t>
  </si>
  <si>
    <t>b_gui_ig_i_a_gntl_059</t>
  </si>
  <si>
    <t>b_gui_ig_i_a_gntl_061</t>
  </si>
  <si>
    <t>b_gui_ig_i_a_gntl_062</t>
  </si>
  <si>
    <t>b_gui_ig_i_a_gntl_063</t>
  </si>
  <si>
    <t>b_gui_ig_i_a_gntl_064</t>
  </si>
  <si>
    <t>b_gui_ig_i_a_gntl_127</t>
  </si>
  <si>
    <t>b_gui_ig_i_a_gntl_126</t>
  </si>
  <si>
    <t>b_gui_ig_i_a_gntl_129</t>
  </si>
  <si>
    <t>b_gui_ig_i_a_gntl_128</t>
  </si>
  <si>
    <t>b_gui_ig_i_a_gntl_131</t>
  </si>
  <si>
    <t>b_gui_ig_i_a_gntl_130</t>
  </si>
  <si>
    <t>b_gui_ig_i_a_gntl_132</t>
  </si>
  <si>
    <t>b_gui_ig_i_a_gntl_098</t>
  </si>
  <si>
    <t>b_gui_ig_i_a_gntl_099</t>
  </si>
  <si>
    <t>b_gui_ig_i_a_gntl_096</t>
  </si>
  <si>
    <t>b_gui_ig_i_a_gntl_094</t>
  </si>
  <si>
    <t>b_gui_ig_i_a_gntl_095</t>
  </si>
  <si>
    <t>b_gui_ig_i_a_gntl_093</t>
  </si>
  <si>
    <t>b_gui_ig_i_a_gntl_097</t>
  </si>
  <si>
    <t>SoundWave'/Game/DungeonSiege/Sound/Effects/s_e_gui_put_down_gloves.s_e_gui_put_down_gloves'</t>
  </si>
  <si>
    <t>086</t>
  </si>
  <si>
    <t>088</t>
  </si>
  <si>
    <t>087</t>
  </si>
  <si>
    <t>089</t>
  </si>
  <si>
    <t>090</t>
  </si>
  <si>
    <t>092</t>
  </si>
  <si>
    <t>091</t>
  </si>
  <si>
    <t>07</t>
  </si>
  <si>
    <t>079</t>
  </si>
  <si>
    <t>081</t>
  </si>
  <si>
    <t>080</t>
  </si>
  <si>
    <t>082</t>
  </si>
  <si>
    <t>083</t>
  </si>
  <si>
    <t>085</t>
  </si>
  <si>
    <t>084</t>
  </si>
  <si>
    <t>057</t>
  </si>
  <si>
    <t>065</t>
  </si>
  <si>
    <t>067</t>
  </si>
  <si>
    <t>066</t>
  </si>
  <si>
    <t>068</t>
  </si>
  <si>
    <t>069</t>
  </si>
  <si>
    <t>071</t>
  </si>
  <si>
    <t>070</t>
  </si>
  <si>
    <t>072</t>
  </si>
  <si>
    <t>074</t>
  </si>
  <si>
    <t>073</t>
  </si>
  <si>
    <t>075</t>
  </si>
  <si>
    <t>058</t>
  </si>
  <si>
    <t>060</t>
  </si>
  <si>
    <t>59</t>
  </si>
  <si>
    <t>061</t>
  </si>
  <si>
    <t>062</t>
  </si>
  <si>
    <t>064</t>
  </si>
  <si>
    <t>063</t>
  </si>
  <si>
    <t>096</t>
  </si>
  <si>
    <t>094</t>
  </si>
  <si>
    <t>095</t>
  </si>
  <si>
    <t>093</t>
  </si>
  <si>
    <t>097</t>
  </si>
  <si>
    <t>type1</t>
  </si>
  <si>
    <t>Brigandine Boots</t>
  </si>
  <si>
    <t>Chain Boots</t>
  </si>
  <si>
    <t>Leather Boots</t>
  </si>
  <si>
    <t>Healthy Boots</t>
  </si>
  <si>
    <t>Satin Boots</t>
  </si>
  <si>
    <t>Light Boots</t>
  </si>
  <si>
    <t>Scale Boots</t>
  </si>
  <si>
    <t>Studded Leather Boots</t>
  </si>
  <si>
    <t>Banded Greaves</t>
  </si>
  <si>
    <t>Boiled Leather Greaves</t>
  </si>
  <si>
    <t>Full Plate Greaves</t>
  </si>
  <si>
    <t>Sporting Boots</t>
  </si>
  <si>
    <t>Kicker Boots</t>
  </si>
  <si>
    <t>Ready Boots</t>
  </si>
  <si>
    <t>Blade Boots</t>
  </si>
  <si>
    <t>Rock Pelt Boots</t>
  </si>
  <si>
    <t>Pain Greaves</t>
  </si>
  <si>
    <t>Hunter Greaves</t>
  </si>
  <si>
    <t>Steel Greaves</t>
  </si>
  <si>
    <t>Bone Boots</t>
  </si>
  <si>
    <t>Black Widow Greaves</t>
  </si>
  <si>
    <t>Woodland Boots</t>
  </si>
  <si>
    <t>Crystal Boots</t>
  </si>
  <si>
    <t>Molten Boots</t>
  </si>
  <si>
    <t>Serpentine Boots</t>
  </si>
  <si>
    <t>Olaf's Boots</t>
  </si>
  <si>
    <t>bo_bo_br_f_g_c_avg</t>
  </si>
  <si>
    <t>bo_bo_br_f_g_c_avg:c_fin</t>
  </si>
  <si>
    <t>bo_bo_br_f_g_c_avg:c_mag</t>
  </si>
  <si>
    <t>bo_bo_br_f_g_c_avg:c_str</t>
  </si>
  <si>
    <t>bo_bo_br_f_g_c_avg:o_avg</t>
  </si>
  <si>
    <t>bo_bo_br_f_g_c_avg:o_fin</t>
  </si>
  <si>
    <t>bo_bo_br_f_g_c_avg:o_mag</t>
  </si>
  <si>
    <t>bo_bo_br_f_g_c_avg:o_str</t>
  </si>
  <si>
    <t>bo_bo_ch_f_g_c_avg</t>
  </si>
  <si>
    <t>bo_bo_ch_f_g_c_avg:c_fin</t>
  </si>
  <si>
    <t>bo_bo_ch_f_g_c_avg:c_mag</t>
  </si>
  <si>
    <t>bo_bo_ch_f_g_c_avg:c_str</t>
  </si>
  <si>
    <t>bo_bo_ch_f_g_c_avg:o_avg</t>
  </si>
  <si>
    <t>bo_bo_ch_f_g_c_avg:o_fin</t>
  </si>
  <si>
    <t>bo_bo_ch_f_g_c_avg:o_mag</t>
  </si>
  <si>
    <t>bo_bo_ch_f_g_c_avg:o_str</t>
  </si>
  <si>
    <t>bo_bo_le_f_g_c_avg</t>
  </si>
  <si>
    <t>bo_bo_le_f_g_c_avg:c_fin</t>
  </si>
  <si>
    <t>bo_bo_le_f_g_c_avg:c_mag</t>
  </si>
  <si>
    <t>bo_bo_le_f_g_c_avg:c_str</t>
  </si>
  <si>
    <t>bo_bo_le_f_g_c_avg:o_avg</t>
  </si>
  <si>
    <t>bo_bo_le_f_g_c_avg:o_fin</t>
  </si>
  <si>
    <t>bo_bo_le_f_g_c_avg:o_mag</t>
  </si>
  <si>
    <t>bo_bo_le_f_g_c_avg:o_str</t>
  </si>
  <si>
    <t>bo_bo_le_f_g_c_healthy</t>
  </si>
  <si>
    <t>bo_bo_le_f_g_c_satin</t>
  </si>
  <si>
    <t>bo_bo_le_light</t>
  </si>
  <si>
    <t>bo_bo_sc_f_g_c_avg</t>
  </si>
  <si>
    <t>bo_bo_sc_f_g_c_avg:c_fin</t>
  </si>
  <si>
    <t>bo_bo_sc_f_g_c_avg:c_mag</t>
  </si>
  <si>
    <t>bo_bo_sc_f_g_c_avg:c_str</t>
  </si>
  <si>
    <t>bo_bo_sc_f_g_c_avg:o_avg</t>
  </si>
  <si>
    <t>bo_bo_sc_f_g_c_avg:o_fin</t>
  </si>
  <si>
    <t>bo_bo_sc_f_g_c_avg:o_mag</t>
  </si>
  <si>
    <t>bo_bo_sc_f_g_c_avg:o_str</t>
  </si>
  <si>
    <t>bo_bo_sl_f_g_c_avg</t>
  </si>
  <si>
    <t>bo_bo_sl_f_g_c_avg:c_fin</t>
  </si>
  <si>
    <t>bo_bo_sl_f_g_c_avg:c_mag</t>
  </si>
  <si>
    <t>bo_bo_sl_f_g_c_avg:c_str</t>
  </si>
  <si>
    <t>bo_bo_sl_f_g_c_avg:o_avg</t>
  </si>
  <si>
    <t>bo_bo_sl_f_g_c_avg:o_fin</t>
  </si>
  <si>
    <t>bo_bo_sl_f_g_c_avg:o_mag</t>
  </si>
  <si>
    <t>bo_bo_sl_f_g_c_avg:o_str</t>
  </si>
  <si>
    <t>bo_gr_ba_f_g_c_avg</t>
  </si>
  <si>
    <t>bo_gr_ba_f_g_c_avg:c_fin</t>
  </si>
  <si>
    <t>bo_gr_ba_f_g_c_avg:c_mag</t>
  </si>
  <si>
    <t>bo_gr_ba_f_g_c_avg:c_str</t>
  </si>
  <si>
    <t>bo_gr_ba_f_g_c_avg:o_avg</t>
  </si>
  <si>
    <t>bo_gr_ba_f_g_c_avg:o_fin</t>
  </si>
  <si>
    <t>bo_gr_ba_f_g_c_avg:o_mag</t>
  </si>
  <si>
    <t>bo_gr_ba_f_g_c_avg:o_str</t>
  </si>
  <si>
    <t>bo_gr_bl_f_g_c_avg</t>
  </si>
  <si>
    <t>bo_gr_bl_f_g_c_avg:c_fin</t>
  </si>
  <si>
    <t>bo_gr_bl_f_g_c_avg:c_mag</t>
  </si>
  <si>
    <t>bo_gr_bl_f_g_c_avg:c_str</t>
  </si>
  <si>
    <t>bo_gr_bl_f_g_c_avg:o_avg</t>
  </si>
  <si>
    <t>bo_gr_bl_f_g_c_avg:o_fin</t>
  </si>
  <si>
    <t>bo_gr_bl_f_g_c_avg:o_mag</t>
  </si>
  <si>
    <t>bo_gr_bl_f_g_c_avg:o_str</t>
  </si>
  <si>
    <t>bo_gr_fp_f_g_c_avg</t>
  </si>
  <si>
    <t>bo_gr_fp_f_g_c_avg:c_fin</t>
  </si>
  <si>
    <t>bo_gr_fp_f_g_c_avg:c_mag</t>
  </si>
  <si>
    <t>bo_gr_fp_f_g_c_avg:c_str</t>
  </si>
  <si>
    <t>bo_gr_fp_f_g_c_avg:o_avg</t>
  </si>
  <si>
    <t>bo_gr_fp_f_g_c_avg:o_fin</t>
  </si>
  <si>
    <t>bo_gr_fp_f_g_c_avg:o_mag</t>
  </si>
  <si>
    <t>bo_gr_fp_f_g_c_avg:o_str</t>
  </si>
  <si>
    <t>bo_ra_bo_br_f_g_c_fin</t>
  </si>
  <si>
    <t>bo_ra_bo_br_f_g_c_fin:c_mag</t>
  </si>
  <si>
    <t>bo_ra_bo_br_f_g_c_fin:o_fin</t>
  </si>
  <si>
    <t>bo_ra_bo_ch_f_g_c_fin</t>
  </si>
  <si>
    <t>bo_ra_bo_ch_f_g_c_fin:c_mag</t>
  </si>
  <si>
    <t>bo_ra_bo_ch_f_g_c_fin:o_fin</t>
  </si>
  <si>
    <t>bo_ra_bo_ch_f_g_c_fin:o_str</t>
  </si>
  <si>
    <t>bo_ra_bo_le_f_g_c_fin</t>
  </si>
  <si>
    <t>bo_ra_bo_le_f_g_c_fin:o_fin</t>
  </si>
  <si>
    <t>bo_ra_bo_sc_f_g_c_fin</t>
  </si>
  <si>
    <t>bo_ra_bo_sc_f_g_c_fin:o_fin</t>
  </si>
  <si>
    <t>bo_ra_bo_sc_f_g_c_fin:o_mag</t>
  </si>
  <si>
    <t>bo_ra_bo_sl_f_g_c_fin</t>
  </si>
  <si>
    <t>bo_ra_bo_sl_f_g_c_fin:o_fin</t>
  </si>
  <si>
    <t>bo_ra_bo_sl_f_g_c_fin:o_str</t>
  </si>
  <si>
    <t>bo_ra_gr_ba_f_g_c_fin</t>
  </si>
  <si>
    <t>bo_ra_gr_ba_f_g_c_fin:o_fin</t>
  </si>
  <si>
    <t>bo_ra_gr_ba_f_g_c_fin:o_mag</t>
  </si>
  <si>
    <t>bo_ra_gr_bl_f_g_c_fin</t>
  </si>
  <si>
    <t>bo_ra_gr_bl_f_g_c_fin:c_mag</t>
  </si>
  <si>
    <t>bo_ra_gr_bl_f_g_c_fin:o_fin</t>
  </si>
  <si>
    <t>bo_ra_gr_bl_f_g_c_fin:o_str</t>
  </si>
  <si>
    <t>bo_ra_gr_fp_f_g_c_fin</t>
  </si>
  <si>
    <t>bo_ra_gr_fp_f_g_c_fin:c_str</t>
  </si>
  <si>
    <t>bo_ra_gr_fp_f_g_c_fin:o_fin</t>
  </si>
  <si>
    <t>bo_ra_gr_fp_f_g_c_fin:o_str</t>
  </si>
  <si>
    <t>bo_un_bo_br_f_bone</t>
  </si>
  <si>
    <t>bo_un_bo_br_f_spider</t>
  </si>
  <si>
    <t>bo_un_bo_ch_r_green</t>
  </si>
  <si>
    <t>bo_un_bo_pl_f_crytstal</t>
  </si>
  <si>
    <t>bo_un_bo_ro_m_molten</t>
  </si>
  <si>
    <t>bo_un_bo_sc_f_dragon</t>
  </si>
  <si>
    <t>bo_un_bo_sl_f_barbarian</t>
  </si>
  <si>
    <t>b_gui_ig_i_a_boot_004</t>
  </si>
  <si>
    <t>57</t>
  </si>
  <si>
    <t>58</t>
  </si>
  <si>
    <t>059</t>
  </si>
  <si>
    <t>b_gui_ig_i_a_boot_070</t>
  </si>
  <si>
    <t>b_gui_ig_i_a_boot_047</t>
  </si>
  <si>
    <t>b_gui_ig_i_a_boot_049</t>
  </si>
  <si>
    <t>b_gui_ig_i_a_boot_048</t>
  </si>
  <si>
    <t>b_gui_ig_i_a_boot_050</t>
  </si>
  <si>
    <t>b_gui_ig_i_a_boot_051</t>
  </si>
  <si>
    <t>b_gui_ig_i_a_boot_053</t>
  </si>
  <si>
    <t>b_gui_ig_i_a_boot_052</t>
  </si>
  <si>
    <t>b_gui_ig_i_a_boot_006</t>
  </si>
  <si>
    <t>b_gui_ig_i_a_boot_026</t>
  </si>
  <si>
    <t>b_gui_ig_i_a_boot_028</t>
  </si>
  <si>
    <t>b_gui_ig_i_a_boot_027</t>
  </si>
  <si>
    <t>b_gui_ig_i_a_boot_029</t>
  </si>
  <si>
    <t>b_gui_ig_i_a_boot_030</t>
  </si>
  <si>
    <t>b_gui_ig_i_a_boot_031</t>
  </si>
  <si>
    <t>b_gui_ig_i_a_boot_001</t>
  </si>
  <si>
    <t>b_gui_ig_i_a_boot_040</t>
  </si>
  <si>
    <t>b_gui_ig_i_a_boot_042</t>
  </si>
  <si>
    <t>b_gui_ig_i_a_boot_041</t>
  </si>
  <si>
    <t>b_gui_ig_i_a_boot_043</t>
  </si>
  <si>
    <t>b_gui_ig_i_a_boot_044</t>
  </si>
  <si>
    <t>b_gui_ig_i_a_boot_046</t>
  </si>
  <si>
    <t>b_gui_ig_i_a_boot_045</t>
  </si>
  <si>
    <t>b_gui_ig_i_a_boot_068</t>
  </si>
  <si>
    <t>b_gui_ig_i_a_boot_005</t>
  </si>
  <si>
    <t>b_gui_ig_i_a_boot_054</t>
  </si>
  <si>
    <t>b_gui_ig_i_a_boot_056</t>
  </si>
  <si>
    <t>b_gui_ig_i_a_boot_055</t>
  </si>
  <si>
    <t>b_gui_ig_i_a_boot_057</t>
  </si>
  <si>
    <t>b_gui_ig_i_a_boot_015</t>
  </si>
  <si>
    <t>b_gui_ig_i_a_boot_060</t>
  </si>
  <si>
    <t>b_gui_ig_i_a_boot_059</t>
  </si>
  <si>
    <t>b_gui_ig_i_a_boot_010</t>
  </si>
  <si>
    <t>b_gui_ig_i_a_boot_011</t>
  </si>
  <si>
    <t>b_gui_ig_i_a_boot_013</t>
  </si>
  <si>
    <t>b_gui_ig_i_a_boot_012</t>
  </si>
  <si>
    <t>b_gui_ig_i_a_boot_014</t>
  </si>
  <si>
    <t>b_gui_ig_i_a_boot_017</t>
  </si>
  <si>
    <t>b_gui_ig_i_a_boot_016</t>
  </si>
  <si>
    <t>b_gui_ig_i_a_boot_008</t>
  </si>
  <si>
    <t>b_gui_ig_i_a_boot_061</t>
  </si>
  <si>
    <t>b_gui_ig_i_a_boot_063</t>
  </si>
  <si>
    <t>b_gui_ig_i_a_boot_062</t>
  </si>
  <si>
    <t>b_gui_ig_i_a_boot_064</t>
  </si>
  <si>
    <t>b_gui_ig_i_a_boot_065</t>
  </si>
  <si>
    <t>b_gui_ig_i_a_boot_67</t>
  </si>
  <si>
    <t>b_gui_ig_i_a_boot_066</t>
  </si>
  <si>
    <t>b_gui_ig_i_a_boot_018</t>
  </si>
  <si>
    <t>b_gui_ig_i_a_boot_019</t>
  </si>
  <si>
    <t>b_gui_ig_i_a_boot_021</t>
  </si>
  <si>
    <t>b_gui_ig_i_a_boot_020</t>
  </si>
  <si>
    <t>b_gui_ig_i_a_boot_022</t>
  </si>
  <si>
    <t>b_gui_ig_i_a_boot_023</t>
  </si>
  <si>
    <t>b_gui_ig_i_a_boot_025</t>
  </si>
  <si>
    <t>b_gui_ig_i_a_boot_024</t>
  </si>
  <si>
    <t>b_gui_ig_i_a_boot_009</t>
  </si>
  <si>
    <t>b_gui_ig_i_a_boot_033</t>
  </si>
  <si>
    <t>b_gui_ig_i_a_boot_035</t>
  </si>
  <si>
    <t>b_gui_ig_i_a_boot_034</t>
  </si>
  <si>
    <t>b_gui_ig_i_a_boot_036</t>
  </si>
  <si>
    <t>b_gui_ig_i_a_boot_037</t>
  </si>
  <si>
    <t>b_gui_ig_i_a_boot_039</t>
  </si>
  <si>
    <t>b_gui_ig_i_a_boot_038</t>
  </si>
  <si>
    <t>b_gui_ig_i_a_boot_081</t>
  </si>
  <si>
    <t>b_gui_ig_i_a_boot_083</t>
  </si>
  <si>
    <t>b_gui_ig_i_a_boot_082</t>
  </si>
  <si>
    <t>b_gui_ig_i_a_boot_087</t>
  </si>
  <si>
    <t>b_gui_ig_i_a_boot_090</t>
  </si>
  <si>
    <t>b_gui_ig_i_a_boot_088</t>
  </si>
  <si>
    <t>b_gui_ig_i_a_boot_089</t>
  </si>
  <si>
    <t>b_gui_ig_i_a_boot_076</t>
  </si>
  <si>
    <t>b_gui_ig_i_a_boot_077</t>
  </si>
  <si>
    <t>b_gui_ig_i_a_boot_084</t>
  </si>
  <si>
    <t>b_gui_ig_i_a_boot_085</t>
  </si>
  <si>
    <t>b_gui_ig_i_a_boot_086</t>
  </si>
  <si>
    <t>b_gui_ig_i_a_boot_078</t>
  </si>
  <si>
    <t>b_gui_ig_i_a_boot_079</t>
  </si>
  <si>
    <t>b_gui_ig_i_a_boot_080</t>
  </si>
  <si>
    <t>b_gui_ig_i_a_boot_095</t>
  </si>
  <si>
    <t>b_gui_ig_i_a_boot_096</t>
  </si>
  <si>
    <t>b_gui_ig_i_a_boot_097</t>
  </si>
  <si>
    <t>b_gui_ig_i_a_boot_091</t>
  </si>
  <si>
    <t>b_gui_ig_i_a_boot_094</t>
  </si>
  <si>
    <t>b_gui_ig_i_a_boot_092</t>
  </si>
  <si>
    <t>b_gui_ig_i_a_boot_093</t>
  </si>
  <si>
    <t>b_gui_ig_i_a_boot_098</t>
  </si>
  <si>
    <t>b_gui_ig_i_a_boot_100</t>
  </si>
  <si>
    <t>b_gui_ig_i_a_boot_099</t>
  </si>
  <si>
    <t>b_gui_ig_i_a_boot_101</t>
  </si>
  <si>
    <t>b_gui_ig_i_a_boot_073</t>
  </si>
  <si>
    <t>b_gui_ig_i_a_boot_074</t>
  </si>
  <si>
    <t>b_gui_ig_i_a_boot_071</t>
  </si>
  <si>
    <t>b_gui_ig_i_a_boot_072</t>
  </si>
  <si>
    <t>b_gui_ig_i_a_boot_069</t>
  </si>
  <si>
    <t>b_gui_ig_i_a_boot_075</t>
  </si>
  <si>
    <t>SoundWave'/Game/DungeonSiege/Sound/Effects/s_e_gui_put_down_boots.s_e_gui_put_down_boots'</t>
  </si>
  <si>
    <t>he_ca_le_avg</t>
  </si>
  <si>
    <t>he_ca_pl_avg</t>
  </si>
  <si>
    <t>he_ca_pl_blue</t>
  </si>
  <si>
    <t>he_ca_pl_blue_02</t>
  </si>
  <si>
    <t>he_ca_pl_cap</t>
  </si>
  <si>
    <t>he_ca_pl_cap_brown</t>
  </si>
  <si>
    <t>he_ca_pl_dome</t>
  </si>
  <si>
    <t>he_ca_pl_fin</t>
  </si>
  <si>
    <t>he_ca_pl_mag</t>
  </si>
  <si>
    <t>he_ca_pl_ornage</t>
  </si>
  <si>
    <t>he_ca_ro_felt_01</t>
  </si>
  <si>
    <t>he_ca_ro_felt_02</t>
  </si>
  <si>
    <t>he_ca_ro_felt_03</t>
  </si>
  <si>
    <t>he_ca_ro_felt_04</t>
  </si>
  <si>
    <t>he_ca_ro_flat_01</t>
  </si>
  <si>
    <t>he_ca_ro_flat_02</t>
  </si>
  <si>
    <t>he_ca_ro_flat_03</t>
  </si>
  <si>
    <t>he_ca_ro_flat_04</t>
  </si>
  <si>
    <t>he_ca_ro_gemblue</t>
  </si>
  <si>
    <t>he_ca_ro_green</t>
  </si>
  <si>
    <t>he_ca_ro_slope_01</t>
  </si>
  <si>
    <t>he_ca_ro_slope_02</t>
  </si>
  <si>
    <t>he_ca_ro_slope_03</t>
  </si>
  <si>
    <t>he_ca_ro_slope_04</t>
  </si>
  <si>
    <t>he_ca_ro_thin_01</t>
  </si>
  <si>
    <t>he_ca_ro_thin_02</t>
  </si>
  <si>
    <t>he_ca_ro_thin_03</t>
  </si>
  <si>
    <t>he_ca_ro_thin_04</t>
  </si>
  <si>
    <t>he_ca_ro_turban_01</t>
  </si>
  <si>
    <t>he_ca_ro_turban_02</t>
  </si>
  <si>
    <t>he_ca_ro_turban_03</t>
  </si>
  <si>
    <t>he_ca_ro_turban_04</t>
  </si>
  <si>
    <t>he_ca_ro_wizard_01</t>
  </si>
  <si>
    <t>he_ca_ro_wizard_02</t>
  </si>
  <si>
    <t>he_ca_ro_wizard_03</t>
  </si>
  <si>
    <t>he_ca_ro_wizard_04</t>
  </si>
  <si>
    <t>he_ca_ro_wizard_05</t>
  </si>
  <si>
    <t>he_ca_ro_wizard_06</t>
  </si>
  <si>
    <t>he_ca_ro_wizard_07</t>
  </si>
  <si>
    <t>he_ca_ro_wooly_01</t>
  </si>
  <si>
    <t>he_ca_ro_wooly_02</t>
  </si>
  <si>
    <t>he_ca_ro_wooly_03</t>
  </si>
  <si>
    <t>he_ca_ro_wooly_04</t>
  </si>
  <si>
    <t>he_ca_ro_woven_01</t>
  </si>
  <si>
    <t>he_ca_ro_woven_02</t>
  </si>
  <si>
    <t>he_ca_ro_woven_03</t>
  </si>
  <si>
    <t>he_ca_ro_woven_04</t>
  </si>
  <si>
    <t>he_ca_sl_avg</t>
  </si>
  <si>
    <t>he_fu_bronze</t>
  </si>
  <si>
    <t>he_fu_bronze_02</t>
  </si>
  <si>
    <t>he_fu_pl_desert</t>
  </si>
  <si>
    <t>he_fu_pl_grate</t>
  </si>
  <si>
    <t>he_fu_pl_horn_avg</t>
  </si>
  <si>
    <t>he_fu_pl_horn_fin</t>
  </si>
  <si>
    <t>he_fu_pl_horn_fin_02</t>
  </si>
  <si>
    <t>he_fu_pl_horn_fin_03</t>
  </si>
  <si>
    <t>he_fu_pl_horn_mag</t>
  </si>
  <si>
    <t>he_fu_pl_horn_mag_02</t>
  </si>
  <si>
    <t>he_fu_pl_knight</t>
  </si>
  <si>
    <t>he_fu_pl_knight_02</t>
  </si>
  <si>
    <t>he_fu_pl_knight_fin</t>
  </si>
  <si>
    <t>he_fu_pl_knight_fin_02</t>
  </si>
  <si>
    <t>he_fu_pl_knight_fin_03</t>
  </si>
  <si>
    <t>he_fu_pl_knight_str</t>
  </si>
  <si>
    <t>he_fu_pl_knight_str_02</t>
  </si>
  <si>
    <t>he_fu_pl_smallwings</t>
  </si>
  <si>
    <t>he_fu_pl_smallwings_02</t>
  </si>
  <si>
    <t>he_fu_pl_smallwings_kavaren</t>
  </si>
  <si>
    <t>he_fu_pl_spike</t>
  </si>
  <si>
    <t>he_fu_pl_str</t>
  </si>
  <si>
    <t>he_op_bigwings</t>
  </si>
  <si>
    <t>he_op_bigwings_02</t>
  </si>
  <si>
    <t>he_op_pl_avg</t>
  </si>
  <si>
    <t>he_op_pl_cone</t>
  </si>
  <si>
    <t>he_op_pl_eyes</t>
  </si>
  <si>
    <t>he_op_pl_roman</t>
  </si>
  <si>
    <t>he_op_pl_roman_02</t>
  </si>
  <si>
    <t>he_op_pl_santa</t>
  </si>
  <si>
    <t>he_op_pl_santa_02</t>
  </si>
  <si>
    <t>he_ra_ca_le_avg</t>
  </si>
  <si>
    <t>he_ra_ca_pl_avg</t>
  </si>
  <si>
    <t>he_ra_ca_pl_cap</t>
  </si>
  <si>
    <t>he_ra_ca_pl_dome</t>
  </si>
  <si>
    <t>he_ra_ca_ro_felt_01</t>
  </si>
  <si>
    <t>he_ra_ca_ro_flat_02</t>
  </si>
  <si>
    <t>he_ra_ca_ro_slope_04</t>
  </si>
  <si>
    <t>he_ra_ca_ro_thin_04</t>
  </si>
  <si>
    <t>he_ra_ca_ro_wizard_03</t>
  </si>
  <si>
    <t>he_ra_ca_ro_wizard_04</t>
  </si>
  <si>
    <t>he_ra_ca_ro_wizard_06</t>
  </si>
  <si>
    <t>he_ra_ca_ro_wooly_02</t>
  </si>
  <si>
    <t>he_ra_ca_ro_wooly_04</t>
  </si>
  <si>
    <t>he_ra_ca_ro_woven_03</t>
  </si>
  <si>
    <t>he_ra_ca_sl_avg</t>
  </si>
  <si>
    <t>he_ra_fu_pl_desert</t>
  </si>
  <si>
    <t>he_ra_fu_pl_horn_fin</t>
  </si>
  <si>
    <t>he_ra_fu_pl_horn_mag</t>
  </si>
  <si>
    <t>he_ra_fu_pl_knight</t>
  </si>
  <si>
    <t>he_ra_fu_pl_knight_fin</t>
  </si>
  <si>
    <t>he_ra_fu_pl_knight_fin_02</t>
  </si>
  <si>
    <t>he_ra_fu_pl_knight_str</t>
  </si>
  <si>
    <t>he_ra_fu_pl_spike</t>
  </si>
  <si>
    <t>he_ra_fu_pl_str</t>
  </si>
  <si>
    <t>he_ra_op_bigwings</t>
  </si>
  <si>
    <t>he_ra_op_pl_avg</t>
  </si>
  <si>
    <t>he_ra_op_pl_cone</t>
  </si>
  <si>
    <t>he_ra_op_pl_roman</t>
  </si>
  <si>
    <t>he_ra_un_fu_pl_skull</t>
  </si>
  <si>
    <t>he_ra_vi_pl_knight</t>
  </si>
  <si>
    <t>he_un_ca_barbarian</t>
  </si>
  <si>
    <t>he_un_ca_cowskull</t>
  </si>
  <si>
    <t>he_un_ca_brim</t>
  </si>
  <si>
    <t>he_un_ca_moon</t>
  </si>
  <si>
    <t>he_un_ca_pl_guard_archer</t>
  </si>
  <si>
    <t>he_un_ca_ro_warlock</t>
  </si>
  <si>
    <t>he_un_ca_tallcrown</t>
  </si>
  <si>
    <t>he_un_fu_crystal</t>
  </si>
  <si>
    <t>he_un_fu_eyebrows</t>
  </si>
  <si>
    <t>he_un_fu_pl_fish</t>
  </si>
  <si>
    <t>he_un_fu_pl_fish_02</t>
  </si>
  <si>
    <t>he_un_fu_pl_skull</t>
  </si>
  <si>
    <t>he_un_mask_bone</t>
  </si>
  <si>
    <t>he_un_op_pl_guard_captain</t>
  </si>
  <si>
    <t>he_un_op_pl_guard_fighter</t>
  </si>
  <si>
    <t>he_un_spider</t>
  </si>
  <si>
    <t>he_un_vi_dragon</t>
  </si>
  <si>
    <t>he_un_vi_moto</t>
  </si>
  <si>
    <t>he_vi_pl_knight</t>
  </si>
  <si>
    <t>Leather Cap</t>
  </si>
  <si>
    <t>Steel Cap</t>
  </si>
  <si>
    <t>Iron Helm</t>
  </si>
  <si>
    <t>Onyx Helm</t>
  </si>
  <si>
    <t>Plate Cap</t>
  </si>
  <si>
    <t>Earthen Helm</t>
  </si>
  <si>
    <t>Dome Cap</t>
  </si>
  <si>
    <t>Ridge Helm</t>
  </si>
  <si>
    <t>Brow Cap</t>
  </si>
  <si>
    <t>Solar Cap</t>
  </si>
  <si>
    <t>Felt Cap</t>
  </si>
  <si>
    <t>Flat Cap</t>
  </si>
  <si>
    <t>Gem Cap</t>
  </si>
  <si>
    <t>Fabric Cap</t>
  </si>
  <si>
    <t>Peak Cap</t>
  </si>
  <si>
    <t>Thin Cap</t>
  </si>
  <si>
    <t>Coiled Cap</t>
  </si>
  <si>
    <t>Wizard Cap</t>
  </si>
  <si>
    <t>Wooly Cap</t>
  </si>
  <si>
    <t>Thicket Helm</t>
  </si>
  <si>
    <t>Woven Cap</t>
  </si>
  <si>
    <t>Studded Cap</t>
  </si>
  <si>
    <t>Bronze Helm</t>
  </si>
  <si>
    <t>Centaur Helm</t>
  </si>
  <si>
    <t>Desert Helm</t>
  </si>
  <si>
    <t>Slotted Helm</t>
  </si>
  <si>
    <t>Horned Helm</t>
  </si>
  <si>
    <t>Bull Helm</t>
  </si>
  <si>
    <t>Brute Helm</t>
  </si>
  <si>
    <t>Black Helm</t>
  </si>
  <si>
    <t>Regal Helm</t>
  </si>
  <si>
    <t>Raven Helm</t>
  </si>
  <si>
    <t>Great Helm</t>
  </si>
  <si>
    <t>Blaster Helm</t>
  </si>
  <si>
    <t>Knight Helm</t>
  </si>
  <si>
    <t>Karlat's Magic Helm</t>
  </si>
  <si>
    <t>Sightless Helm</t>
  </si>
  <si>
    <t>War Helm</t>
  </si>
  <si>
    <t>Bluster Helm</t>
  </si>
  <si>
    <t>Hawk Helm</t>
  </si>
  <si>
    <t>Guardian Helm</t>
  </si>
  <si>
    <t>Utraean Helm</t>
  </si>
  <si>
    <t>Spiked Helm</t>
  </si>
  <si>
    <t>Heavy Helm</t>
  </si>
  <si>
    <t>Soaring Helm</t>
  </si>
  <si>
    <t>Winged Helm</t>
  </si>
  <si>
    <t>Sentry Helm</t>
  </si>
  <si>
    <t>Tusk Helm</t>
  </si>
  <si>
    <t>Face Helm</t>
  </si>
  <si>
    <t>Parade Helm</t>
  </si>
  <si>
    <t>Sovereign Helm</t>
  </si>
  <si>
    <t>Crimson Helm</t>
  </si>
  <si>
    <t>Dashing Helm</t>
  </si>
  <si>
    <t>Pauper Cap</t>
  </si>
  <si>
    <t>Snug Cap</t>
  </si>
  <si>
    <t>Wanderer Cap</t>
  </si>
  <si>
    <t>Sheen Cap</t>
  </si>
  <si>
    <t>Rustic Cap</t>
  </si>
  <si>
    <t>Pressed Cap</t>
  </si>
  <si>
    <t>Cerebral Cap</t>
  </si>
  <si>
    <t>Scratchy Cap</t>
  </si>
  <si>
    <t>Knowledge Cap</t>
  </si>
  <si>
    <t>Warmth Cap</t>
  </si>
  <si>
    <t>Loom Cap</t>
  </si>
  <si>
    <t>Traveling Cap</t>
  </si>
  <si>
    <t>Seething Helm</t>
  </si>
  <si>
    <t>Gore Helm</t>
  </si>
  <si>
    <t>Conqueror Helm</t>
  </si>
  <si>
    <t>Echo Helm</t>
  </si>
  <si>
    <t>Bloody Helm</t>
  </si>
  <si>
    <t>Menacing Helm</t>
  </si>
  <si>
    <t>Prickly Helm</t>
  </si>
  <si>
    <t>Bolted Helm</t>
  </si>
  <si>
    <t>Spirited Helm</t>
  </si>
  <si>
    <t>Jaw Helm</t>
  </si>
  <si>
    <t>Stature Helm</t>
  </si>
  <si>
    <t>Whiplash Helm</t>
  </si>
  <si>
    <t>Disturbed Helm</t>
  </si>
  <si>
    <t>Burdened Helm</t>
  </si>
  <si>
    <t>Olaf's Helmet</t>
  </si>
  <si>
    <t>Bovine Helm</t>
  </si>
  <si>
    <t>Brimmed Hat</t>
  </si>
  <si>
    <t>Luna Cap</t>
  </si>
  <si>
    <t>Archer Helm</t>
  </si>
  <si>
    <t>Warlock Hat</t>
  </si>
  <si>
    <t>Imperial Helm</t>
  </si>
  <si>
    <t>Crystal Helm</t>
  </si>
  <si>
    <t>Eye Helm</t>
  </si>
  <si>
    <t>Fish Helm</t>
  </si>
  <si>
    <t>Dragonfly Helm</t>
  </si>
  <si>
    <t>Carnage Helm</t>
  </si>
  <si>
    <t>Bone Helm</t>
  </si>
  <si>
    <t>Captain Helm</t>
  </si>
  <si>
    <t>Guard Helm</t>
  </si>
  <si>
    <t>Black Widow Helmet</t>
  </si>
  <si>
    <t>Serpentine Helmet</t>
  </si>
  <si>
    <t>Challenger Helm</t>
  </si>
  <si>
    <t>2</t>
  </si>
  <si>
    <t>12</t>
  </si>
  <si>
    <t>20</t>
  </si>
  <si>
    <t>11</t>
  </si>
  <si>
    <t>19</t>
  </si>
  <si>
    <t>27</t>
  </si>
  <si>
    <t>7</t>
  </si>
  <si>
    <t>15</t>
  </si>
  <si>
    <t>10</t>
  </si>
  <si>
    <t>18</t>
  </si>
  <si>
    <t>5</t>
  </si>
  <si>
    <t>14</t>
  </si>
  <si>
    <t>22</t>
  </si>
  <si>
    <t>17</t>
  </si>
  <si>
    <t>24</t>
  </si>
  <si>
    <t>3</t>
  </si>
  <si>
    <t>1</t>
  </si>
  <si>
    <t>4</t>
  </si>
  <si>
    <t>13</t>
  </si>
  <si>
    <t>23</t>
  </si>
  <si>
    <t>16</t>
  </si>
  <si>
    <t>25</t>
  </si>
  <si>
    <t>6</t>
  </si>
  <si>
    <t>8</t>
  </si>
  <si>
    <t>9</t>
  </si>
  <si>
    <t>31</t>
  </si>
  <si>
    <t>36</t>
  </si>
  <si>
    <t>39</t>
  </si>
  <si>
    <t>43</t>
  </si>
  <si>
    <t>35</t>
  </si>
  <si>
    <t>40</t>
  </si>
  <si>
    <t>44</t>
  </si>
  <si>
    <t>47</t>
  </si>
  <si>
    <t>45</t>
  </si>
  <si>
    <t>48</t>
  </si>
  <si>
    <t>49</t>
  </si>
  <si>
    <t>51</t>
  </si>
  <si>
    <t>50</t>
  </si>
  <si>
    <t>55</t>
  </si>
  <si>
    <t>56</t>
  </si>
  <si>
    <t>38</t>
  </si>
  <si>
    <t>42</t>
  </si>
  <si>
    <t>52</t>
  </si>
  <si>
    <t>41</t>
  </si>
  <si>
    <t>37</t>
  </si>
  <si>
    <t>26</t>
  </si>
  <si>
    <t>32</t>
  </si>
  <si>
    <t>29</t>
  </si>
  <si>
    <t>30</t>
  </si>
  <si>
    <t>46</t>
  </si>
  <si>
    <t>53</t>
  </si>
  <si>
    <t>type6</t>
  </si>
  <si>
    <t>type4</t>
  </si>
  <si>
    <t>type14</t>
  </si>
  <si>
    <t>b_gui_ig_i_a_hlmt_006</t>
  </si>
  <si>
    <t>b_gui_ig_i_a_hlmt_116</t>
  </si>
  <si>
    <t>b_gui_ig_i_a_hlmt_004</t>
  </si>
  <si>
    <t>b_gui_ig_i_a_hlmt_014</t>
  </si>
  <si>
    <t>b_gui_ig_i_a_hlmt_089</t>
  </si>
  <si>
    <t>b_gui_ig_i_a_hlmt_028</t>
  </si>
  <si>
    <t>type28</t>
  </si>
  <si>
    <t>b_gui_ig_i_a_hlmt_045</t>
  </si>
  <si>
    <t>type19</t>
  </si>
  <si>
    <t>b_gui_ig_i_a_hlmt_019</t>
  </si>
  <si>
    <t>b_gui_ig_i_a_hlmt_013</t>
  </si>
  <si>
    <t>type13</t>
  </si>
  <si>
    <t>b_gui_ig_i_a_hlmt_009</t>
  </si>
  <si>
    <t>type9</t>
  </si>
  <si>
    <t>b_gui_ig_i_a_hlmt_012</t>
  </si>
  <si>
    <t>type12</t>
  </si>
  <si>
    <t>b_gui_ig_i_a_hlmt_038</t>
  </si>
  <si>
    <t>type38</t>
  </si>
  <si>
    <t>b_gui_ig_i_a_hlmt_075</t>
  </si>
  <si>
    <t>b_gui_ig_i_a_hlmt_076</t>
  </si>
  <si>
    <t>b_gui_ig_i_a_hlmt_077</t>
  </si>
  <si>
    <t>b_gui_ig_i_a_hlmt_016</t>
  </si>
  <si>
    <t>type16</t>
  </si>
  <si>
    <t>b_gui_ig_i_a_hlmt_066</t>
  </si>
  <si>
    <t>b_gui_ig_i_a_hlmt_067</t>
  </si>
  <si>
    <t>b_gui_ig_i_a_hlmt_068</t>
  </si>
  <si>
    <t>b_gui_ig_i_a_hlmt_037</t>
  </si>
  <si>
    <t>type37</t>
  </si>
  <si>
    <t>b_gui_ig_i_a_hlmt_035</t>
  </si>
  <si>
    <t>type35</t>
  </si>
  <si>
    <t>b_gui_ig_i_a_hlmt_078</t>
  </si>
  <si>
    <t>b_gui_ig_i_a_hlmt_079</t>
  </si>
  <si>
    <t>b_gui_ig_i_a_hlmt_080</t>
  </si>
  <si>
    <t>b_gui_ig_i_a_hlmt_008</t>
  </si>
  <si>
    <t>type8</t>
  </si>
  <si>
    <t>b_gui_ig_i_a_hlmt_060</t>
  </si>
  <si>
    <t>b_gui_ig_i_a_hlmt_061</t>
  </si>
  <si>
    <t>b_gui_ig_i_a_hlmt_062</t>
  </si>
  <si>
    <t>b_gui_ig_i_a_hlmt_063</t>
  </si>
  <si>
    <t>b_gui_ig_i_a_hlmt_064</t>
  </si>
  <si>
    <t>b_gui_ig_i_a_hlmt_065</t>
  </si>
  <si>
    <t>b_gui_ig_i_a_hlmt_010</t>
  </si>
  <si>
    <t>type10</t>
  </si>
  <si>
    <t>b_gui_ig_i_a_hlmt_055</t>
  </si>
  <si>
    <t>b_gui_ig_i_a_hlmt_056</t>
  </si>
  <si>
    <t>b_gui_ig_i_a_hlmt_057</t>
  </si>
  <si>
    <t>b_gui_ig_i_a_hlmt_058</t>
  </si>
  <si>
    <t>b_gui_ig_i_a_hlmt_059</t>
  </si>
  <si>
    <t>b_gui_ig_i_a_hlmt_095</t>
  </si>
  <si>
    <t>b_gui_ig_i_a_hlmt_036</t>
  </si>
  <si>
    <t>type36</t>
  </si>
  <si>
    <t>b_gui_ig_i_a_hlmt_072</t>
  </si>
  <si>
    <t>b_gui_ig_i_a_hlmt_073</t>
  </si>
  <si>
    <t>b_gui_ig_i_a_hlmt_074</t>
  </si>
  <si>
    <t>b_gui_ig_i_a_hlmt_015</t>
  </si>
  <si>
    <t>type15</t>
  </si>
  <si>
    <t>b_gui_ig_i_a_hlmt_069</t>
  </si>
  <si>
    <t>b_gui_ig_i_a_hlmt_070</t>
  </si>
  <si>
    <t>b_gui_ig_i_a_hlmt_071</t>
  </si>
  <si>
    <t>b_gui_ig_i_a_hlmt_011</t>
  </si>
  <si>
    <t>b_gui_ig_i_a_hlmt_024</t>
  </si>
  <si>
    <t>type24</t>
  </si>
  <si>
    <t>b_gui_ig_i_a_hlmt_091</t>
  </si>
  <si>
    <t>b_gui_ig_i_a_hlmt_025</t>
  </si>
  <si>
    <t>type25</t>
  </si>
  <si>
    <t>b_gui_ig_i_a_hlmt_039</t>
  </si>
  <si>
    <t>type39</t>
  </si>
  <si>
    <t>b_gui_ig_i_a_hlmt_005</t>
  </si>
  <si>
    <t>type5</t>
  </si>
  <si>
    <t>b_gui_ig_i_a_hlmt_040</t>
  </si>
  <si>
    <t>type40</t>
  </si>
  <si>
    <t>b_gui_ig_i_a_hlmt_084</t>
  </si>
  <si>
    <t>b_gui_ig_i_a_hlmt_085</t>
  </si>
  <si>
    <t>b_gui_ig_i_a_hlmt_027</t>
  </si>
  <si>
    <t>type27</t>
  </si>
  <si>
    <t>b_gui_ig_i_a_hlmt_088</t>
  </si>
  <si>
    <t>b_gui_ig_i_a_hlmt_003</t>
  </si>
  <si>
    <t>type3</t>
  </si>
  <si>
    <t>b_gui_ig_i_a_hlmt_093</t>
  </si>
  <si>
    <t>b_gui_ig_i_a_hlmt_021</t>
  </si>
  <si>
    <t>type21</t>
  </si>
  <si>
    <t>b_gui_ig_i_a_hlmt_081</t>
  </si>
  <si>
    <t>b_gui_ig_i_a_hlmt_082</t>
  </si>
  <si>
    <t>b_gui_ig_i_a_hlmt_018</t>
  </si>
  <si>
    <t>type18</t>
  </si>
  <si>
    <t>b_gui_ig_i_a_hlmt_087</t>
  </si>
  <si>
    <t>b_gui_ig_i_a_hlmt_033</t>
  </si>
  <si>
    <t>type33</t>
  </si>
  <si>
    <t>b_gui_ig_i_a_hlmt_094</t>
  </si>
  <si>
    <t>b_gui_ig_i_a_hlmt_044</t>
  </si>
  <si>
    <t>b_gui_ig_i_a_hlmt_001</t>
  </si>
  <si>
    <t>b_gui_ig_i_a_hlmt_043</t>
  </si>
  <si>
    <t>type43</t>
  </si>
  <si>
    <t>b_gui_ig_i_a_hlmt_086</t>
  </si>
  <si>
    <t>b_gui_ig_i_a_hlmt_002</t>
  </si>
  <si>
    <t>type2</t>
  </si>
  <si>
    <t>b_gui_ig_i_a_hlmt_030</t>
  </si>
  <si>
    <t>type30</t>
  </si>
  <si>
    <t>b_gui_ig_i_a_hlmt_020</t>
  </si>
  <si>
    <t>type20</t>
  </si>
  <si>
    <t>b_gui_ig_i_a_hlmt_029</t>
  </si>
  <si>
    <t>type29</t>
  </si>
  <si>
    <t>b_gui_ig_i_a_hlmt_92</t>
  </si>
  <si>
    <t>0</t>
  </si>
  <si>
    <t>b_gui_ig_i_a_hlmt_034</t>
  </si>
  <si>
    <t>type34</t>
  </si>
  <si>
    <t>b_gui_ig_i_a_hlmt_083</t>
  </si>
  <si>
    <t>b_gui_ig_i_a_hlmt_103</t>
  </si>
  <si>
    <t>b_gui_ig_i_a_hlmt_107</t>
  </si>
  <si>
    <t>b_gui_ig_i_a_hlmt_106</t>
  </si>
  <si>
    <t>b_gui_ig_i_a_hlmt_105</t>
  </si>
  <si>
    <t>b_gui_ig_i_a_hlmt_099</t>
  </si>
  <si>
    <t>b_gui_ig_i_a_hlmt_123</t>
  </si>
  <si>
    <t>b_gui_ig_i_a_hlmt_096</t>
  </si>
  <si>
    <t>b_gui_ig_i_a_hlmt_102</t>
  </si>
  <si>
    <t>b_gui_ig_i_a_hlmt_097</t>
  </si>
  <si>
    <t>b_gui_ig_i_a_hlmt_098</t>
  </si>
  <si>
    <t>b_gui_ig_i_a_hlmt_100</t>
  </si>
  <si>
    <t>b_gui_ig_i_a_hlmt_101</t>
  </si>
  <si>
    <t>b_gui_ig_i_a_hlmt_122</t>
  </si>
  <si>
    <t>b_gui_ig_i_a_hlmt_104</t>
  </si>
  <si>
    <t>b_gui_ig_i_a_hlmt_113</t>
  </si>
  <si>
    <t>b_gui_ig_i_a_hlmt_118</t>
  </si>
  <si>
    <t>b_gui_ig_i_a_hlmt_121</t>
  </si>
  <si>
    <t>b_gui_ig_i_a_hlmt_114</t>
  </si>
  <si>
    <t>b_gui_ig_i_a_hlmt_119</t>
  </si>
  <si>
    <t>b_gui_ig_i_a_hlmt_120</t>
  </si>
  <si>
    <t>b_gui_ig_i_a_hlmt_117</t>
  </si>
  <si>
    <t>b_gui_ig_i_a_hlmt_115</t>
  </si>
  <si>
    <t>b_gui_ig_i_a_hlmt_111</t>
  </si>
  <si>
    <t>b_gui_ig_i_a_hlmt_108</t>
  </si>
  <si>
    <t>b_gui_ig_i_a_hlmt_109</t>
  </si>
  <si>
    <t>b_gui_ig_i_a_hlmt_110</t>
  </si>
  <si>
    <t>b_gui_ig_i_a_hlmt_124</t>
  </si>
  <si>
    <t>type22</t>
  </si>
  <si>
    <t>b_gui_ig_i_a_hlmt_112</t>
  </si>
  <si>
    <t>type7</t>
  </si>
  <si>
    <t>b_gui_ig_i_a_hlmt_047</t>
  </si>
  <si>
    <t>type45</t>
  </si>
  <si>
    <t>b_gui_ig_i_a_hlmt_017</t>
  </si>
  <si>
    <t>type17</t>
  </si>
  <si>
    <t>b_gui_ig_i_a_hlmt_032</t>
  </si>
  <si>
    <t>type32</t>
  </si>
  <si>
    <t>b_gui_ig_i_a_hlmt_026</t>
  </si>
  <si>
    <t>type26</t>
  </si>
  <si>
    <t>b_gui_ig_i_a_hlmt_052</t>
  </si>
  <si>
    <t>b_gui_ig_i_a_hlmt_125</t>
  </si>
  <si>
    <t>type50</t>
  </si>
  <si>
    <t>b_gui_ig_i_a_hlmt_031</t>
  </si>
  <si>
    <t>type31</t>
  </si>
  <si>
    <t>b_gui_ig_i_a_hlmt_048</t>
  </si>
  <si>
    <t>type46</t>
  </si>
  <si>
    <t>b_gui_ig_i_a_hlmt_023</t>
  </si>
  <si>
    <t>type23</t>
  </si>
  <si>
    <t>b_gui_ig_i_a_hlmt_042</t>
  </si>
  <si>
    <t>type42</t>
  </si>
  <si>
    <t>b_gui_ig_i_a_hlmt_090</t>
  </si>
  <si>
    <t>b_gui_ig_i_a_hlmt_022</t>
  </si>
  <si>
    <t>b_gui_ig_i_a_hlmt_049</t>
  </si>
  <si>
    <t>type47</t>
  </si>
  <si>
    <t>b_gui_ig_i_a_hlmt_054</t>
  </si>
  <si>
    <t>b_gui_ig_i_a_hlmt_053</t>
  </si>
  <si>
    <t>b_gui_ig_i_a_hlmt_050</t>
  </si>
  <si>
    <t>type48</t>
  </si>
  <si>
    <t>b_gui_ig_i_a_hlmt_051</t>
  </si>
  <si>
    <t>type49</t>
  </si>
  <si>
    <t>b_gui_ig_i_a_hlmt_041</t>
  </si>
  <si>
    <t>type41</t>
  </si>
  <si>
    <t>b_gui_ig_i_a_hlmt_007</t>
  </si>
  <si>
    <t>SoundWave'/Game/DungeonSiege/Sound/Effects/s_e_gui_put_down_helmet.s_e_gui_put_down_helmet'</t>
  </si>
  <si>
    <t>Metal Buckler</t>
  </si>
  <si>
    <t>34</t>
  </si>
  <si>
    <t>21</t>
  </si>
  <si>
    <t>33</t>
  </si>
  <si>
    <t>Rusted Metal Buckler</t>
  </si>
  <si>
    <t>Practice Shield</t>
  </si>
  <si>
    <t>Practice Kite Shield</t>
  </si>
  <si>
    <t>Stamp Shield</t>
  </si>
  <si>
    <t>Decrepit Shield</t>
  </si>
  <si>
    <t>Rivet Buckler</t>
  </si>
  <si>
    <t>Serrated Shield</t>
  </si>
  <si>
    <t>75</t>
  </si>
  <si>
    <t>Strapped Shield</t>
  </si>
  <si>
    <t>Wreath Shield</t>
  </si>
  <si>
    <t>Tortoise Shield</t>
  </si>
  <si>
    <t>Spine Shield</t>
  </si>
  <si>
    <t>Crimson Shield</t>
  </si>
  <si>
    <t>Disc Shield</t>
  </si>
  <si>
    <t>77</t>
  </si>
  <si>
    <t>54</t>
  </si>
  <si>
    <t>Frost Shield</t>
  </si>
  <si>
    <t>Quad Shield</t>
  </si>
  <si>
    <t>87</t>
  </si>
  <si>
    <t>Shell Shield</t>
  </si>
  <si>
    <t>73</t>
  </si>
  <si>
    <t>Etched Shield</t>
  </si>
  <si>
    <t>28</t>
  </si>
  <si>
    <t>Strike Shield</t>
  </si>
  <si>
    <t>Braced Shield</t>
  </si>
  <si>
    <t>Pelt Shield</t>
  </si>
  <si>
    <t>Ordained Shield</t>
  </si>
  <si>
    <t>Forged Shield</t>
  </si>
  <si>
    <t>76</t>
  </si>
  <si>
    <t>67</t>
  </si>
  <si>
    <t>86</t>
  </si>
  <si>
    <t>Clobber Shield</t>
  </si>
  <si>
    <t>65</t>
  </si>
  <si>
    <t>89</t>
  </si>
  <si>
    <t>61</t>
  </si>
  <si>
    <t>Forthright Shield</t>
  </si>
  <si>
    <t>69</t>
  </si>
  <si>
    <t>Impact Shield</t>
  </si>
  <si>
    <t>Clipper Shield</t>
  </si>
  <si>
    <t>Savior Shield</t>
  </si>
  <si>
    <t>104</t>
  </si>
  <si>
    <t>64</t>
  </si>
  <si>
    <t>97</t>
  </si>
  <si>
    <t>Haze Shield</t>
  </si>
  <si>
    <t>Mystic Kite Shield</t>
  </si>
  <si>
    <t>102</t>
  </si>
  <si>
    <t>68</t>
  </si>
  <si>
    <t>Slat Shield</t>
  </si>
  <si>
    <t>Stock Shield</t>
  </si>
  <si>
    <t>Ice Shield</t>
  </si>
  <si>
    <t>Mold Shield</t>
  </si>
  <si>
    <t>62</t>
  </si>
  <si>
    <t>Parade Shield</t>
  </si>
  <si>
    <t>85</t>
  </si>
  <si>
    <t>Vesicle Shield</t>
  </si>
  <si>
    <t>Horn Shield</t>
  </si>
  <si>
    <t>Ram Shield</t>
  </si>
  <si>
    <t>Dermal Shield</t>
  </si>
  <si>
    <t>Guardian Shield</t>
  </si>
  <si>
    <t>91</t>
  </si>
  <si>
    <t>Maw Shield</t>
  </si>
  <si>
    <t>Subioum Shield</t>
  </si>
  <si>
    <t>94</t>
  </si>
  <si>
    <t>63</t>
  </si>
  <si>
    <t>Aurora Shield</t>
  </si>
  <si>
    <t>Canker Shield</t>
  </si>
  <si>
    <t>Chitin Shield</t>
  </si>
  <si>
    <t>Fury Shield</t>
  </si>
  <si>
    <t>82</t>
  </si>
  <si>
    <t>Spirit Shield</t>
  </si>
  <si>
    <t>Turtle Shield</t>
  </si>
  <si>
    <t>79</t>
  </si>
  <si>
    <t>Beast Shield</t>
  </si>
  <si>
    <t>96</t>
  </si>
  <si>
    <t>Crown Shield</t>
  </si>
  <si>
    <t>98</t>
  </si>
  <si>
    <t>66</t>
  </si>
  <si>
    <t>Heater Shield</t>
  </si>
  <si>
    <t>Large Kite Shield</t>
  </si>
  <si>
    <t>74</t>
  </si>
  <si>
    <t>84</t>
  </si>
  <si>
    <t>Kite Shield</t>
  </si>
  <si>
    <t>Wooden Shield</t>
  </si>
  <si>
    <t>Page Shield</t>
  </si>
  <si>
    <t>Wooden Buckler</t>
  </si>
  <si>
    <t>Elm Buckler</t>
  </si>
  <si>
    <t>Small Shield</t>
  </si>
  <si>
    <t>Krohar's Buckler</t>
  </si>
  <si>
    <t>Old Wooden Shield</t>
  </si>
  <si>
    <t>Painted Shield</t>
  </si>
  <si>
    <t>Tongs</t>
  </si>
  <si>
    <t>sh_m_g_c_r_s_avg</t>
  </si>
  <si>
    <t>sh_m_g_c_r_s_avg:c_mag</t>
  </si>
  <si>
    <t>sh_m_g_c_r_s_avg:c_str</t>
  </si>
  <si>
    <t>sh_m_g_c_r_s_avg:o_avg</t>
  </si>
  <si>
    <t>sh_m_g_c_r_s_avg:o_fin</t>
  </si>
  <si>
    <t>sh_m_g_c_r_s_avg:o_mag</t>
  </si>
  <si>
    <t>sh_m_g_c_r_s_avg:o_str</t>
  </si>
  <si>
    <t>sh_m_g_c_r_s_low</t>
  </si>
  <si>
    <t>sh_ra_m_c_h_s_practice</t>
  </si>
  <si>
    <t>sh_ra_m_c_k_m_practice</t>
  </si>
  <si>
    <t>sh_ra_m_c_r_l_stamp</t>
  </si>
  <si>
    <t>sh_ra_m_c_r_m_decrepit</t>
  </si>
  <si>
    <t>sh_ra_m_c_r_m_rivet</t>
  </si>
  <si>
    <t>sh_ra_m_c_r_m_serrated</t>
  </si>
  <si>
    <t>sh_ra_m_c_r_m_strapped</t>
  </si>
  <si>
    <t>sh_ra_m_c_r_m_wreath</t>
  </si>
  <si>
    <t>sh_ra_m_g_o_r_s_fin</t>
  </si>
  <si>
    <t>sh_ra_m_g_o_r_s_fin:o_str</t>
  </si>
  <si>
    <t>sh_ra_m_o_h_s_spine</t>
  </si>
  <si>
    <t>sh_ra_m_o_r_m_cinder</t>
  </si>
  <si>
    <t>sh_ra_m_o_r_m_disc</t>
  </si>
  <si>
    <t>sh_ra_m_o_r_m_frost</t>
  </si>
  <si>
    <t>sh_ra_m_o_r_m_quad</t>
  </si>
  <si>
    <t>sh_ra_m_o_r_m_shell</t>
  </si>
  <si>
    <t>sh_ra_m_o_r_s_etched</t>
  </si>
  <si>
    <t>sh_ra_w_c_c_m_strike</t>
  </si>
  <si>
    <t>sh_ra_w_c_k_m_braced</t>
  </si>
  <si>
    <t>sh_ra_w_c_k_s_pelt</t>
  </si>
  <si>
    <t>sh_ra_w_g_c_h_m_fin</t>
  </si>
  <si>
    <t>sh_ra_w_g_c_h_m_fin:c_str</t>
  </si>
  <si>
    <t>sh_ra_w_g_c_h_m_fin:o_fin</t>
  </si>
  <si>
    <t>sh_ra_w_g_c_k_l_fin</t>
  </si>
  <si>
    <t>sh_ra_w_g_c_k_l_fin:c_str</t>
  </si>
  <si>
    <t>sh_ra_w_g_c_k_l_fin:o_fin</t>
  </si>
  <si>
    <t>sh_ra_w_g_c_k_l_fin:o_str</t>
  </si>
  <si>
    <t>sh_ra_w_g_c_k_m_fin</t>
  </si>
  <si>
    <t>sh_ra_w_g_c_k_m_fin:c_mag</t>
  </si>
  <si>
    <t>sh_ra_w_g_c_k_m_fin:c_str</t>
  </si>
  <si>
    <t>sh_ra_w_g_c_k_m_fin:o_mag</t>
  </si>
  <si>
    <t>sh_ra_w_g_c_k_m_fin:o_str</t>
  </si>
  <si>
    <t>sh_ra_w_g_c_r_m_fin</t>
  </si>
  <si>
    <t>sh_ra_w_g_c_r_m_fin:o_fin</t>
  </si>
  <si>
    <t>sh_ra_w_g_c_r_m_fin:o_mag</t>
  </si>
  <si>
    <t>sh_ra_w_g_c_r_m_fin:o_str</t>
  </si>
  <si>
    <t>sh_ra_w_g_c_r_s_fin</t>
  </si>
  <si>
    <t>sh_ra_w_g_c_r_s_fin:o_fin</t>
  </si>
  <si>
    <t>sh_ra_w_g_o_k_m_fin</t>
  </si>
  <si>
    <t>sh_ra_w_g_o_t_l_avg</t>
  </si>
  <si>
    <t>sh_ra_w_g_o_t_l_avg:c_fin</t>
  </si>
  <si>
    <t>sh_ra_w_g_o_t_l_avg:c_mag</t>
  </si>
  <si>
    <t>sh_ra_w_g_o_t_l_avg:c_str</t>
  </si>
  <si>
    <t>sh_ra_w_g_o_t_l_avg:o_fin</t>
  </si>
  <si>
    <t>sh_ra_w_g_o_t_l_avg:o_str</t>
  </si>
  <si>
    <t>sh_ra_w_o_k_m_haze</t>
  </si>
  <si>
    <t>sh_u_g_c_k_l_avg</t>
  </si>
  <si>
    <t>sh_u_g_c_r_m_avg</t>
  </si>
  <si>
    <t>sh_u_g_c_r_s_avg</t>
  </si>
  <si>
    <t>sh_un_kite_ice</t>
  </si>
  <si>
    <t>sh_un_m_c_h_m_mold</t>
  </si>
  <si>
    <t>sh_un_m_o_c_m_parade</t>
  </si>
  <si>
    <t>sh_un_m_o_c_m_vesicle</t>
  </si>
  <si>
    <t>sh_un_m_o_h_s_horn</t>
  </si>
  <si>
    <t>sh_un_m_o_h_s_ram</t>
  </si>
  <si>
    <t>sh_un_m_o_k_m_dermal</t>
  </si>
  <si>
    <t>sh_un_m_o_k_m_guardian</t>
  </si>
  <si>
    <t>sh_un_m_o_k_m_maw</t>
  </si>
  <si>
    <t>sh_un_m_o_k_m_sumbioum</t>
  </si>
  <si>
    <t>sh_un_m_o_r_m_aurora</t>
  </si>
  <si>
    <t>sh_un_m_o_r_m_canker</t>
  </si>
  <si>
    <t>sh_un_m_o_r_m_chitin</t>
  </si>
  <si>
    <t>sh_un_m_o_r_m_fury</t>
  </si>
  <si>
    <t>sh_un_m_o_r_m_spirit</t>
  </si>
  <si>
    <t>sh_un_m_o_r_m_turtle</t>
  </si>
  <si>
    <t>sh_un_w_o_h_m_beast</t>
  </si>
  <si>
    <t>sh_un_w_o_k_m_crown</t>
  </si>
  <si>
    <t>sh_w_g_c_h_m_avg</t>
  </si>
  <si>
    <t>sh_w_g_c_h_m_avg:c_mag</t>
  </si>
  <si>
    <t>sh_w_g_c_h_m_avg:c_str</t>
  </si>
  <si>
    <t>sh_w_g_c_h_m_avg:o_avg</t>
  </si>
  <si>
    <t>sh_w_g_c_h_m_avg:o_mag</t>
  </si>
  <si>
    <t>sh_w_g_c_h_m_avg:o_str</t>
  </si>
  <si>
    <t>sh_w_g_c_k_l_avg</t>
  </si>
  <si>
    <t>sh_w_g_c_k_l_avg:c_fin</t>
  </si>
  <si>
    <t>sh_w_g_c_k_l_avg:c_str</t>
  </si>
  <si>
    <t>sh_w_g_c_k_l_avg:o_avg</t>
  </si>
  <si>
    <t>sh_w_g_c_k_l_avg:o_str</t>
  </si>
  <si>
    <t>sh_w_g_c_k_m_avg</t>
  </si>
  <si>
    <t>sh_w_g_c_k_m_avg:c_fin</t>
  </si>
  <si>
    <t>sh_w_g_c_k_m_avg:c_mag</t>
  </si>
  <si>
    <t>sh_w_g_c_k_m_avg:c_str</t>
  </si>
  <si>
    <t>sh_w_g_c_k_m_avg:o_avg</t>
  </si>
  <si>
    <t>sh_w_g_c_k_m_avg:o_mag</t>
  </si>
  <si>
    <t>sh_w_g_c_k_m_avg:o_str</t>
  </si>
  <si>
    <t>sh_w_g_c_r_m_avg</t>
  </si>
  <si>
    <t>sh_w_g_c_r_m_avg:c_mag</t>
  </si>
  <si>
    <t>sh_w_g_c_r_m_avg:c_str</t>
  </si>
  <si>
    <t>sh_w_g_c_r_m_avg:o_avg</t>
  </si>
  <si>
    <t>sh_w_g_c_r_m_avg:o_fin</t>
  </si>
  <si>
    <t>sh_w_g_c_r_m_avg:o_mag</t>
  </si>
  <si>
    <t>sh_w_g_c_r_m_avg:o_str</t>
  </si>
  <si>
    <t>sh_w_g_c_r_m_fun</t>
  </si>
  <si>
    <t>sh_w_g_c_r_s_avg</t>
  </si>
  <si>
    <t>sh_w_g_c_r_s_avg:c_fin</t>
  </si>
  <si>
    <t>sh_w_g_c_r_s_avg:c_mag</t>
  </si>
  <si>
    <t>sh_w_g_c_r_s_avg:c_str</t>
  </si>
  <si>
    <t>sh_w_g_c_r_s_avg:o_avg</t>
  </si>
  <si>
    <t>sh_w_g_c_r_s_avg:o_fin</t>
  </si>
  <si>
    <t>sh_w_g_c_r_s_avg:o_mag</t>
  </si>
  <si>
    <t>sh_w_g_c_r_s_avg:o_str</t>
  </si>
  <si>
    <t>sh_w_g_c_r_s_elm</t>
  </si>
  <si>
    <t>sh_w_g_c_r_s_fun</t>
  </si>
  <si>
    <t>sh_w_g_c_r_s_krohar</t>
  </si>
  <si>
    <t>sh_w_g_c_s_m_fun</t>
  </si>
  <si>
    <t>sh_z_g_c_r_m_avg</t>
  </si>
  <si>
    <t>tongs</t>
  </si>
  <si>
    <t xml:space="preserve"> Chance to Block Melee</t>
  </si>
  <si>
    <t>Chance to Block Ranged</t>
  </si>
  <si>
    <t>Texture</t>
  </si>
  <si>
    <t>b_a_shd_078</t>
  </si>
  <si>
    <t>b_gui_ig_i_a_shd_078</t>
  </si>
  <si>
    <t>m_a_shd_19</t>
  </si>
  <si>
    <t>b_gui_ig_i_a_shd_122</t>
  </si>
  <si>
    <t>b_gui_ig_i_a_shd_121</t>
  </si>
  <si>
    <t>b_gui_ig_i_a_shd_123</t>
  </si>
  <si>
    <t>b_gui_ig_i_a_shd_124</t>
  </si>
  <si>
    <t>b_gui_ig_i_a_shd_126</t>
  </si>
  <si>
    <t>b_gui_ig_i_a_shd_125</t>
  </si>
  <si>
    <t>m_a_shd_23</t>
  </si>
  <si>
    <t>b_a_shd_122</t>
  </si>
  <si>
    <t>b_a_shd_121</t>
  </si>
  <si>
    <t>b_a_shd_123</t>
  </si>
  <si>
    <t>b_a_shd_124</t>
  </si>
  <si>
    <t>b_a_shd_126</t>
  </si>
  <si>
    <t>b_a_shd_125</t>
  </si>
  <si>
    <t>m_a_shd_10</t>
  </si>
  <si>
    <t>b_a_shd_072</t>
  </si>
  <si>
    <t>b_gui_ig_i_a_shd_072</t>
  </si>
  <si>
    <t>m_a_shd_04</t>
  </si>
  <si>
    <t>b_a_shd_024</t>
  </si>
  <si>
    <t>b_gui_ig_i_a_shd_024</t>
  </si>
  <si>
    <t>b_gui_ig_i_a_shd_058</t>
  </si>
  <si>
    <t>b_a_shd_058</t>
  </si>
  <si>
    <t>m_a_shd_13</t>
  </si>
  <si>
    <t>b_gui_ig_i_a_shd_076</t>
  </si>
  <si>
    <t>b_a_shd_076</t>
  </si>
  <si>
    <t>m_a_shd_17</t>
  </si>
  <si>
    <t>b_gui_ig_i_a_shd_015</t>
  </si>
  <si>
    <t>b_a_shd_015</t>
  </si>
  <si>
    <t>b_gui_ig_i_a_shd_020</t>
  </si>
  <si>
    <t>b_a_shd_020</t>
  </si>
  <si>
    <t>m_a_shd_02</t>
  </si>
  <si>
    <t>b_gui_ig_i_a_shd_030</t>
  </si>
  <si>
    <t>b_a_shd_030</t>
  </si>
  <si>
    <t>m_a_shd_05</t>
  </si>
  <si>
    <t>b_gui_ig_i_a_shd_069</t>
  </si>
  <si>
    <t>b_a_shd_069</t>
  </si>
  <si>
    <t>b_gui_ig_i_a_shd_051</t>
  </si>
  <si>
    <t>b_a_shd_051</t>
  </si>
  <si>
    <t>m_a_shd_12</t>
  </si>
  <si>
    <t>b_gui_ig_i_a_shd_152</t>
  </si>
  <si>
    <t>b_gui_ig_i_a_shd_003</t>
  </si>
  <si>
    <t>b_a_shd_003</t>
  </si>
  <si>
    <t>b_gui_ig_i_a_shd_043</t>
  </si>
  <si>
    <t>b_a_shd_043</t>
  </si>
  <si>
    <t>m_a_shd_18</t>
  </si>
  <si>
    <t>b_gui_ig_i_a_shd_004</t>
  </si>
  <si>
    <t>b_a_shd_004</t>
  </si>
  <si>
    <t>b_gui_ig_i_a_shd_044</t>
  </si>
  <si>
    <t>b_a_shd_044</t>
  </si>
  <si>
    <t>b_gui_ig_i_a_shd_028</t>
  </si>
  <si>
    <t>b_a_shd_028</t>
  </si>
  <si>
    <t>b_gui_ig_i_a_shd_065</t>
  </si>
  <si>
    <t>b_a_shd_068</t>
  </si>
  <si>
    <t>b_gui_ig_i_a_shd_031</t>
  </si>
  <si>
    <t>b_a_shd_031</t>
  </si>
  <si>
    <t>m_a_shd_06</t>
  </si>
  <si>
    <t>b_gui_ig_i_a_shd_054</t>
  </si>
  <si>
    <t>b_a_shd_054</t>
  </si>
  <si>
    <t>b_gui_ig_i_a_shd_017</t>
  </si>
  <si>
    <t>b_a_shd_017</t>
  </si>
  <si>
    <t>m_a_shd_01</t>
  </si>
  <si>
    <t>b_gui_ig_i_a_shd_102</t>
  </si>
  <si>
    <t>b_a_shd_102</t>
  </si>
  <si>
    <t>m_a_shd_24</t>
  </si>
  <si>
    <t>b_gui_ig_i_a_shd_133</t>
  </si>
  <si>
    <t>b_gui_ig_i_a_shd_135</t>
  </si>
  <si>
    <t>b_a_shd_104</t>
  </si>
  <si>
    <t>m_a_shd_25</t>
  </si>
  <si>
    <t>b_gui_ig_i_a_shd_134</t>
  </si>
  <si>
    <t>b_a_shd_106</t>
  </si>
  <si>
    <t>b_gui_ig_i_a_shd_141</t>
  </si>
  <si>
    <t>b_a_shd_117</t>
  </si>
  <si>
    <t>m_a_shd_27</t>
  </si>
  <si>
    <t>b_gui_ig_i_a_shd_143</t>
  </si>
  <si>
    <t>b_a_shd_118</t>
  </si>
  <si>
    <t>b_gui_ig_i_a_shd_142</t>
  </si>
  <si>
    <t>b_a_shd_119</t>
  </si>
  <si>
    <t>b_gui_ig_i_a_shd_144</t>
  </si>
  <si>
    <t>b_a_shd_120</t>
  </si>
  <si>
    <t>b_gui_ig_i_a_shd_136</t>
  </si>
  <si>
    <t>b_a_shd_110</t>
  </si>
  <si>
    <t>m_a_shd_26</t>
  </si>
  <si>
    <t>b_gui_ig_i_a_shd_140</t>
  </si>
  <si>
    <t>b_a_shd_112</t>
  </si>
  <si>
    <t>b_gui_ig_i_a_shd_138</t>
  </si>
  <si>
    <t>b_a_shd_111</t>
  </si>
  <si>
    <t>b_gui_ig_i_a_shd_115</t>
  </si>
  <si>
    <t>b_a_shd_115</t>
  </si>
  <si>
    <t>b_gui_ig_i_a_shd_139</t>
  </si>
  <si>
    <t>b_a_shd_114</t>
  </si>
  <si>
    <t>b_gui_ig_i_a_shd_129</t>
  </si>
  <si>
    <t>b_a_shd_081</t>
  </si>
  <si>
    <t>m_a_shd_20</t>
  </si>
  <si>
    <t>b_gui_ig_i_a_shd_130</t>
  </si>
  <si>
    <t>b_a_shd_100</t>
  </si>
  <si>
    <t>b_gui_ig_i_a_shd_132</t>
  </si>
  <si>
    <t>b_gui_ig_i_a_shd_131</t>
  </si>
  <si>
    <t>b_a_shd_101</t>
  </si>
  <si>
    <t>b_gui_ig_i_a_shd_127</t>
  </si>
  <si>
    <t>b_a_shd_090</t>
  </si>
  <si>
    <t>b_gui_ig_i_a_shd_128</t>
  </si>
  <si>
    <t>b_a_shd_094</t>
  </si>
  <si>
    <t>b_gui_ig_i_a_shd_137</t>
  </si>
  <si>
    <t>b_gui_ig_i_a_shd_146</t>
  </si>
  <si>
    <t>b_a_shd_116</t>
  </si>
  <si>
    <t>b_gui_ig_i_a_shd_145</t>
  </si>
  <si>
    <t>b_gui_ig_i_a_shd_149</t>
  </si>
  <si>
    <t>b_gui_ig_i_a_shd_120</t>
  </si>
  <si>
    <t>b_gui_ig_i_a_shd_150</t>
  </si>
  <si>
    <t>b_gui_ig_i_a_shd_147</t>
  </si>
  <si>
    <t>b_gui_ig_i_a_shd_148</t>
  </si>
  <si>
    <t>b_gui_ig_i_a_shd_087</t>
  </si>
  <si>
    <t>b_a_shd_087</t>
  </si>
  <si>
    <t>b_gui_ig_i_a_shd_084</t>
  </si>
  <si>
    <t>b_a_shd_084</t>
  </si>
  <si>
    <t>b_gui_ig_i_a_shd_080</t>
  </si>
  <si>
    <t>b_a_shd_080</t>
  </si>
  <si>
    <t>b_gui_ig_i_a_shd_079</t>
  </si>
  <si>
    <t>b_a_shd_079</t>
  </si>
  <si>
    <t>b_gui_ig_i_a_shd_075</t>
  </si>
  <si>
    <t>b_i_glb_ice</t>
  </si>
  <si>
    <t>m_a_shd_16</t>
  </si>
  <si>
    <t>b_gui_ig_i_a_shd_022</t>
  </si>
  <si>
    <t>b_a_shd_022</t>
  </si>
  <si>
    <t>m_a_shd_03</t>
  </si>
  <si>
    <t>b_gui_ig_i_a_shd_008</t>
  </si>
  <si>
    <t>b_a_shd_008</t>
  </si>
  <si>
    <t>b_gui_ig_i_a_shd_032</t>
  </si>
  <si>
    <t>b_a_shd_032</t>
  </si>
  <si>
    <t>b_gui_ig_i_a_shd_023</t>
  </si>
  <si>
    <t>b_a_shd_023</t>
  </si>
  <si>
    <t>b_gui_ig_i_a_shd_025</t>
  </si>
  <si>
    <t>b_a_shd_025</t>
  </si>
  <si>
    <t>b_gui_ig_i_a_shd_037</t>
  </si>
  <si>
    <t>b_a_shd_037</t>
  </si>
  <si>
    <t>m_a_shd_09</t>
  </si>
  <si>
    <t>b_gui_ig_i_a_shd_011</t>
  </si>
  <si>
    <t>b_a_shd_011</t>
  </si>
  <si>
    <t>b_gui_ig_i_a_shd_038</t>
  </si>
  <si>
    <t>b_a_shd_038</t>
  </si>
  <si>
    <t>b_gui_ig_i_a_shd_039</t>
  </si>
  <si>
    <t>b_a_shd_039</t>
  </si>
  <si>
    <t>b_gui_ig_i_a_shd_070</t>
  </si>
  <si>
    <t>b_a_shd_070</t>
  </si>
  <si>
    <t>b_gui_ig_i_a_shd_071</t>
  </si>
  <si>
    <t>b_a_shd_071</t>
  </si>
  <si>
    <t>b_gui_ig_i_a_shd_041</t>
  </si>
  <si>
    <t>b_a_shd_041</t>
  </si>
  <si>
    <t>b_gui_ig_i_a_shd_073</t>
  </si>
  <si>
    <t>b_a_shd_073</t>
  </si>
  <si>
    <t>b_gui_ig_i_a_shd_029</t>
  </si>
  <si>
    <t>b_a_shd_029</t>
  </si>
  <si>
    <t>b_gui_ig_i_a_shd_021</t>
  </si>
  <si>
    <t>b_a_shd_021</t>
  </si>
  <si>
    <t>b_gui_ig_i_a_shd_005</t>
  </si>
  <si>
    <t>b_a_shd_005</t>
  </si>
  <si>
    <t>b_gui_ig_i_a_shd_088</t>
  </si>
  <si>
    <t>b_a_shd_088</t>
  </si>
  <si>
    <t>m_a_shd_22</t>
  </si>
  <si>
    <t>b_gui_ig_i_a_shd_103</t>
  </si>
  <si>
    <t>b_a_shd_103</t>
  </si>
  <si>
    <t>b_gui_ig_i_a_shd_105</t>
  </si>
  <si>
    <t>b_a_shd_105</t>
  </si>
  <si>
    <t>b_gui_ig_i_a_shd_104</t>
  </si>
  <si>
    <t>b_gui_ig_i_a_shd_106</t>
  </si>
  <si>
    <t>b_gui_ig_i_a_shd_108</t>
  </si>
  <si>
    <t>b_a_shd_108</t>
  </si>
  <si>
    <t>b_gui_ig_i_a_shd_107</t>
  </si>
  <si>
    <t>b_a_shd_107</t>
  </si>
  <si>
    <t>b_gui_ig_i_a_shd_116</t>
  </si>
  <si>
    <t>b_gui_ig_i_a_shd_117</t>
  </si>
  <si>
    <t>b_gui_ig_i_a_shd_118</t>
  </si>
  <si>
    <t>b_gui_ig_i_a_shd_119</t>
  </si>
  <si>
    <t>b_gui_ig_i_a_shd_109</t>
  </si>
  <si>
    <t>b_a_shd_109</t>
  </si>
  <si>
    <t>b_gui_ig_i_a_shd_110</t>
  </si>
  <si>
    <t>b_gui_ig_i_a_shd_112</t>
  </si>
  <si>
    <t>b_gui_ig_i_a_shd_111</t>
  </si>
  <si>
    <t>b_gui_ig_i_a_shd_113</t>
  </si>
  <si>
    <t>b_a_shd_113</t>
  </si>
  <si>
    <t>b_gui_ig_i_a_shd_114</t>
  </si>
  <si>
    <t>b_gui_ig_i_a_shd_081</t>
  </si>
  <si>
    <t>b_gui_ig_i_a_shd_098</t>
  </si>
  <si>
    <t>b_a_shd_098</t>
  </si>
  <si>
    <t>b_gui_ig_i_a_shd_097</t>
  </si>
  <si>
    <t>b_a_shd_097</t>
  </si>
  <si>
    <t>b_gui_ig_i_a_shd_099</t>
  </si>
  <si>
    <t>b_a_shd_099</t>
  </si>
  <si>
    <t>b_gui_ig_i_a_shd_100</t>
  </si>
  <si>
    <t>b_gui_ig_i_a_shd_101</t>
  </si>
  <si>
    <t>b_gui_ig_i_a_shd_027</t>
  </si>
  <si>
    <t>b_a_shd_027</t>
  </si>
  <si>
    <t>b_gui_ig_i_a_shd_089</t>
  </si>
  <si>
    <t>b_a_shd_089</t>
  </si>
  <si>
    <t>b_gui_ig_i_a_shd_090</t>
  </si>
  <si>
    <t>b_a_shd_092</t>
  </si>
  <si>
    <t>b_gui_ig_i_a_shd_092</t>
  </si>
  <si>
    <t>b_gui_ig_i_a_shd_091</t>
  </si>
  <si>
    <t>b_a_shd_091</t>
  </si>
  <si>
    <t>b_gui_ig_i_a_shd_093</t>
  </si>
  <si>
    <t>b_a_shd_093</t>
  </si>
  <si>
    <t>b_gui_ig_i_a_shd_094</t>
  </si>
  <si>
    <t>b_gui_ig_i_a_shd_096</t>
  </si>
  <si>
    <t>b_a_shd_096</t>
  </si>
  <si>
    <t>b_gui_ig_i_a_shd_095</t>
  </si>
  <si>
    <t>b_a_shd_095</t>
  </si>
  <si>
    <t>b_gui_ig_i_a_shd_064</t>
  </si>
  <si>
    <t>b_a_shd_064</t>
  </si>
  <si>
    <t>m_a_shd_15</t>
  </si>
  <si>
    <t>b_gui_ig_i_a_shd_077</t>
  </si>
  <si>
    <t>b_a_shd_077</t>
  </si>
  <si>
    <t>b_gui_ig_i_a_shd_010</t>
  </si>
  <si>
    <t>b_a_shd_010</t>
  </si>
  <si>
    <t>m_a_shd_08</t>
  </si>
  <si>
    <t>b_gui_ig_i_a_shd_082</t>
  </si>
  <si>
    <t>b_a_shd_082</t>
  </si>
  <si>
    <t>m_w_misc_tongs</t>
  </si>
  <si>
    <t>b_gui_ig_i_w_msc_006</t>
  </si>
  <si>
    <t>InventoryIconRef</t>
  </si>
  <si>
    <t>ActiveIconRef</t>
  </si>
  <si>
    <t>ModelRef</t>
  </si>
  <si>
    <t>Hammer (c_fin)</t>
  </si>
  <si>
    <t>Hammer (c_mag)</t>
  </si>
  <si>
    <t>Hammer (c_str)</t>
  </si>
  <si>
    <t>Hammer (o_avg)</t>
  </si>
  <si>
    <t>Hammer (o_fin)</t>
  </si>
  <si>
    <t>Hammer (o_mag)</t>
  </si>
  <si>
    <t>Hammer (o_str)</t>
  </si>
  <si>
    <t>Mallet (c_fin)</t>
  </si>
  <si>
    <t>Mallet (c_mag)</t>
  </si>
  <si>
    <t>Mallet (c_str)</t>
  </si>
  <si>
    <t>Mallet (o_avg)</t>
  </si>
  <si>
    <t>Mallet (o_fin)</t>
  </si>
  <si>
    <t>Mallet (o_mag)</t>
  </si>
  <si>
    <t>Mallet (o_str)</t>
  </si>
  <si>
    <t>Maul (c_fin)</t>
  </si>
  <si>
    <t>Maul (c_mag)</t>
  </si>
  <si>
    <t>Maul (c_str)</t>
  </si>
  <si>
    <t>Maul (o_mag)</t>
  </si>
  <si>
    <t>Maul (o_str)</t>
  </si>
  <si>
    <t>Head Hammer (c_mag)</t>
  </si>
  <si>
    <t>Head Hammer (c_str)</t>
  </si>
  <si>
    <t>Head Hammer (o_mag)</t>
  </si>
  <si>
    <t>Wound Mallet (c_mag)</t>
  </si>
  <si>
    <t>Wound Mallet (c_str)</t>
  </si>
  <si>
    <t>Wound Mallet (o_str)</t>
  </si>
  <si>
    <t>Head Ram (c_mag)</t>
  </si>
  <si>
    <t>Flanged Mace (c_fin)</t>
  </si>
  <si>
    <t>Flanged Mace (c_mag)</t>
  </si>
  <si>
    <t>Flanged Mace (c_str)</t>
  </si>
  <si>
    <t>Flanged Mace (o_avg)</t>
  </si>
  <si>
    <t>Flanged Mace (o_fin)</t>
  </si>
  <si>
    <t>Flanged Mace (o_mag)</t>
  </si>
  <si>
    <t>Flanged Mace (o_str)</t>
  </si>
  <si>
    <t>Mace (c_fin)</t>
  </si>
  <si>
    <t>Mace (c_mag)</t>
  </si>
  <si>
    <t>Mace (c_str)</t>
  </si>
  <si>
    <t>Mace (o_avg)</t>
  </si>
  <si>
    <t>Mace (o_fin)</t>
  </si>
  <si>
    <t>Mace (o_mag)</t>
  </si>
  <si>
    <t>Mace (o_str)</t>
  </si>
  <si>
    <t>Spiked Mace (c_fin)</t>
  </si>
  <si>
    <t>Spiked Mace (c_mag)</t>
  </si>
  <si>
    <t>Spiked Mace (c_str)</t>
  </si>
  <si>
    <t>Spiked Mace (o_avg)</t>
  </si>
  <si>
    <t>Spiked Mace (o_fin)</t>
  </si>
  <si>
    <t>Spiked Mace (o_mag)</t>
  </si>
  <si>
    <t>Spiked Mace (o_str)</t>
  </si>
  <si>
    <t>Mincemeat (c_mag)</t>
  </si>
  <si>
    <t>Mincemeat (c_str)</t>
  </si>
  <si>
    <t>Mincemeat (o_avg)</t>
  </si>
  <si>
    <t>Mincemeat (o_fin)</t>
  </si>
  <si>
    <t>Mincemeat (o_mag)</t>
  </si>
  <si>
    <t>Squasher (c_mag)</t>
  </si>
  <si>
    <t>Squasher (c_str)</t>
  </si>
  <si>
    <t>Squasher (o_avg)</t>
  </si>
  <si>
    <t>Squasher (o_fin)</t>
  </si>
  <si>
    <t>Squasher (o_str)</t>
  </si>
  <si>
    <t>Slaughter Rod (c_str)</t>
  </si>
  <si>
    <t>Slaughter Rod (o_avg)</t>
  </si>
  <si>
    <t>Slaughter Rod (o_fin)</t>
  </si>
  <si>
    <t>Slaughter Rod (o_mag)</t>
  </si>
  <si>
    <t>Slaughter Rod (o_str)</t>
  </si>
  <si>
    <t>b_gui_ig_i_w_hmr_012</t>
  </si>
  <si>
    <t>b_gui_ig_i_w_swd_017</t>
  </si>
  <si>
    <t>b_gui_ig_i_w_swd_025</t>
  </si>
  <si>
    <t>b_gui_ig_i_w_swd_037</t>
  </si>
  <si>
    <t>b_gui_ig_i_w_swd_031</t>
  </si>
  <si>
    <t>b_gui_ig_i_w_swd_028</t>
  </si>
  <si>
    <t>b_gui_ig_i_w_swd_107</t>
  </si>
  <si>
    <t>b_gui_ig_i_w_swd_106</t>
  </si>
  <si>
    <t>b_gui_ig_i_w_swd_109</t>
  </si>
  <si>
    <t>b_gui_ig_i_w_swd_108</t>
  </si>
  <si>
    <t>b_gui_ig_i_w_swd_072</t>
  </si>
  <si>
    <t>b_gui_ig_i_w_swd_087</t>
  </si>
  <si>
    <t>b_gui_ig_i_w_swd_064</t>
  </si>
  <si>
    <t>b_gui_ig_i_w_swd_065</t>
  </si>
  <si>
    <t>b_gui_ig_i_w_swd_067</t>
  </si>
  <si>
    <t>b_gui_ig_i_w_swd_066</t>
  </si>
  <si>
    <t>b_gui_ig_i_w_swd_081</t>
  </si>
  <si>
    <t>b_gui_ig_i_ic_swd_009</t>
  </si>
  <si>
    <t>b_gui_ig_i_w_swd_082</t>
  </si>
  <si>
    <t>b_gui_ig_i_w_swd_076</t>
  </si>
  <si>
    <t>b_gui_ig_i_ic_swd_010</t>
  </si>
  <si>
    <t>b_gui_ig_i_w_swd_103</t>
  </si>
  <si>
    <t>b_gui_ig_i_w_swd_104</t>
  </si>
  <si>
    <t>b_gui_ig_i_w_swd_105</t>
  </si>
  <si>
    <t>b_gui_ig_i_w_swd_010</t>
  </si>
  <si>
    <t>b_gui_ig_i_w_swd_092</t>
  </si>
  <si>
    <t>b_gui_ig_i_w_swd_093</t>
  </si>
  <si>
    <t>b_gui_ig_i_w_swd_094</t>
  </si>
  <si>
    <t>b_gui_ig_i_w_swd_011</t>
  </si>
  <si>
    <t>b_gui_ig_i_w_swd_095</t>
  </si>
  <si>
    <t>b_gui_ig_i_w_swd_024</t>
  </si>
  <si>
    <t>b_gui_ig_i_w_swd_016</t>
  </si>
  <si>
    <t>b_gui_ig_i_w_swd_096</t>
  </si>
  <si>
    <t>b_gui_ig_i_w_swd_097</t>
  </si>
  <si>
    <t>b_gui_ig_i_w_swd_083</t>
  </si>
  <si>
    <t>b_gui_ig_i_w_swd_077</t>
  </si>
  <si>
    <t>b_gui_ig_i_w_swd_075</t>
  </si>
  <si>
    <t>b_gui_ig_i_w_swd_073</t>
  </si>
  <si>
    <t>b_gui_ig_i_w_swd_112</t>
  </si>
  <si>
    <t>b_gui_ig_i_w_swd_113</t>
  </si>
  <si>
    <t>b_gui_ig_i_w_swd_114</t>
  </si>
  <si>
    <t>b_gui_ig_i_w_swd_015</t>
  </si>
  <si>
    <t>b_gui_ig_i_w_swd_020</t>
  </si>
  <si>
    <t>b_gui_ig_i_w_swd_036</t>
  </si>
  <si>
    <t>b_gui_ig_i_w_swd_030</t>
  </si>
  <si>
    <t>b_gui_ig_i_w_swd_027</t>
  </si>
  <si>
    <t>b_gui_ig_i_w_swd_032</t>
  </si>
  <si>
    <t>b_gui_ig_i_w_swd_038</t>
  </si>
  <si>
    <t>Hoe</t>
  </si>
  <si>
    <t>Pitchfork</t>
  </si>
  <si>
    <t>Dull Pitchfork</t>
  </si>
  <si>
    <t>Rake</t>
  </si>
  <si>
    <t>Shovel</t>
  </si>
  <si>
    <t>Bladed Staff</t>
  </si>
  <si>
    <t>Bladed Staff (c_fin)</t>
  </si>
  <si>
    <t>Bladed Staff (c_mag)</t>
  </si>
  <si>
    <t>Bladed Staff (c_str)</t>
  </si>
  <si>
    <t>Bladed Staff (o_avg)</t>
  </si>
  <si>
    <t>Bladed Staff (o_fin)</t>
  </si>
  <si>
    <t>Bladed Staff (o_mag)</t>
  </si>
  <si>
    <t>Bladed Staff (o_str)</t>
  </si>
  <si>
    <t>Gnarled Staff</t>
  </si>
  <si>
    <t>Notched Staff</t>
  </si>
  <si>
    <t>Staff (c_fin)</t>
  </si>
  <si>
    <t>Staff (c_mag)</t>
  </si>
  <si>
    <t>Staff (c_str)</t>
  </si>
  <si>
    <t>Staff (o_avg)</t>
  </si>
  <si>
    <t>Staff (o_fin)</t>
  </si>
  <si>
    <t>Staff (o_mag)</t>
  </si>
  <si>
    <t>Staff (o_str)</t>
  </si>
  <si>
    <t>Crooked Staff</t>
  </si>
  <si>
    <t>Splintered Staff</t>
  </si>
  <si>
    <t>Steel Staff</t>
  </si>
  <si>
    <t>Steel Staff (c_fin)</t>
  </si>
  <si>
    <t>Steel Staff (c_mag)</t>
  </si>
  <si>
    <t>Steel Staff (c_str)</t>
  </si>
  <si>
    <t>Steel Staff (o_avg)</t>
  </si>
  <si>
    <t>Steel Staff (o_fin)</t>
  </si>
  <si>
    <t>Steel Staff (o_mag)</t>
  </si>
  <si>
    <t>Steel Staff (o_str)</t>
  </si>
  <si>
    <t>Bent Staff</t>
  </si>
  <si>
    <t>Warped Staff</t>
  </si>
  <si>
    <t>Walking Stick</t>
  </si>
  <si>
    <t>Knife Staff</t>
  </si>
  <si>
    <t>Edge Staff</t>
  </si>
  <si>
    <t>Yearling Staff</t>
  </si>
  <si>
    <t>Weathered Staff</t>
  </si>
  <si>
    <t>Eastern Staff</t>
  </si>
  <si>
    <t>Charred Staff</t>
  </si>
  <si>
    <t>Destroyer</t>
  </si>
  <si>
    <t>Destroyer (c_mag)</t>
  </si>
  <si>
    <t>Destroyer (c_str)</t>
  </si>
  <si>
    <t>Destroyer (o_avg)</t>
  </si>
  <si>
    <t>Destroyer (o_fin)</t>
  </si>
  <si>
    <t>Destroyer (o_mag)</t>
  </si>
  <si>
    <t>Destroyer (o_str)</t>
  </si>
  <si>
    <t>Leg Breaker</t>
  </si>
  <si>
    <t>Leg Breaker (c_mag)</t>
  </si>
  <si>
    <t>Leg Breaker (c_str)</t>
  </si>
  <si>
    <t>Leg Breaker (o_avg)</t>
  </si>
  <si>
    <t>Leg Breaker (o_fin)</t>
  </si>
  <si>
    <t>Leg Breaker (o_mag)</t>
  </si>
  <si>
    <t>Leg Breaker (o_str)</t>
  </si>
  <si>
    <t>Cruel Staff</t>
  </si>
  <si>
    <t>Cruel Staff (c_mag)</t>
  </si>
  <si>
    <t>Cruel Staff (c_str)</t>
  </si>
  <si>
    <t>Cruel Staff (o_fin)</t>
  </si>
  <si>
    <t>Cruel Staff (o_mag)</t>
  </si>
  <si>
    <t>Cruel Staff (o_str)</t>
  </si>
  <si>
    <t>Puller Staff</t>
  </si>
  <si>
    <t>Axe Staff</t>
  </si>
  <si>
    <t>Hooked Staff</t>
  </si>
  <si>
    <t>Wing Staff</t>
  </si>
  <si>
    <t>Hand Staff</t>
  </si>
  <si>
    <t>Ice Staff</t>
  </si>
  <si>
    <t>Mace Staff</t>
  </si>
  <si>
    <t>Merik's Staff</t>
  </si>
  <si>
    <t>Sharp Staff</t>
  </si>
  <si>
    <t>Pudgel Staff</t>
  </si>
  <si>
    <t>Reaper</t>
  </si>
  <si>
    <t>Gom's Staff</t>
  </si>
  <si>
    <t>Seck Mage Staff</t>
  </si>
  <si>
    <t>Skull Staff</t>
  </si>
  <si>
    <t>Tiger Staff</t>
  </si>
  <si>
    <t>Pointed Staff</t>
  </si>
  <si>
    <t>Sickle Staff</t>
  </si>
  <si>
    <t>Twirled Staff</t>
  </si>
  <si>
    <t>m_w_misc_hoe</t>
  </si>
  <si>
    <t>hoe</t>
  </si>
  <si>
    <t>b_gui_ig_i_w_msc_017</t>
  </si>
  <si>
    <t>b_gui_ig_i_ic_ms_ho</t>
  </si>
  <si>
    <t>m_w_misc_pitchfork</t>
  </si>
  <si>
    <t>pitchfork</t>
  </si>
  <si>
    <t>pitchfork_dull</t>
  </si>
  <si>
    <t>b_gui_ig_i_w_msc_005</t>
  </si>
  <si>
    <t>b_gui_ig_i_ic_stf_001</t>
  </si>
  <si>
    <t>m_w_misc_rake</t>
  </si>
  <si>
    <t>rake</t>
  </si>
  <si>
    <t>b_gui_ig_i_w_msc_004</t>
  </si>
  <si>
    <t>b_gui_ig_i_ic_msc_006</t>
  </si>
  <si>
    <t>m_w_misc_shovel</t>
  </si>
  <si>
    <t>shovel</t>
  </si>
  <si>
    <t>b_gui_ig_i_w_msc_002</t>
  </si>
  <si>
    <t>b_gui_ig_i_ic_msc_005</t>
  </si>
  <si>
    <t>m_w_stf_075</t>
  </si>
  <si>
    <t>st_g_c_b_avg</t>
  </si>
  <si>
    <t>b_gui_ig_i_w_stf_116</t>
  </si>
  <si>
    <t>b_gui_ig_i_ic_stf_003</t>
  </si>
  <si>
    <t>m_w_stf_076</t>
  </si>
  <si>
    <t>st_g_c_b_avg:c_fin</t>
  </si>
  <si>
    <t>b_gui_ig_i_w_stf_117</t>
  </si>
  <si>
    <t>m_w_stf_078</t>
  </si>
  <si>
    <t>st_g_c_b_avg:c_mag</t>
  </si>
  <si>
    <t>b_gui_ig_i_w_stf_119</t>
  </si>
  <si>
    <t>m_w_stf_077</t>
  </si>
  <si>
    <t>st_g_c_b_avg:c_str</t>
  </si>
  <si>
    <t>b_gui_ig_i_w_stf_118</t>
  </si>
  <si>
    <t>m_w_stf_081</t>
  </si>
  <si>
    <t>st_g_c_b_avg:o_avg</t>
  </si>
  <si>
    <t>b_gui_ig_i_w_stf_122</t>
  </si>
  <si>
    <t>b_gui_ig_i_ic_stf_006</t>
  </si>
  <si>
    <t>m_w_stf_082</t>
  </si>
  <si>
    <t>st_g_c_b_avg:o_fin</t>
  </si>
  <si>
    <t>b_gui_ig_i_w_stf_123</t>
  </si>
  <si>
    <t>m_w_stf_084</t>
  </si>
  <si>
    <t>st_g_c_b_avg:o_mag</t>
  </si>
  <si>
    <t>b_gui_ig_i_w_stf_125</t>
  </si>
  <si>
    <t>m_w_stf_083</t>
  </si>
  <si>
    <t>st_g_c_b_avg:o_str</t>
  </si>
  <si>
    <t>b_gui_ig_i_w_stf_124</t>
  </si>
  <si>
    <t>m_w_stf_074</t>
  </si>
  <si>
    <t>st_g_c_b_fun</t>
  </si>
  <si>
    <t>b_gui_ig_i_w_stf_115</t>
  </si>
  <si>
    <t>m_w_stf_073</t>
  </si>
  <si>
    <t>st_g_c_b_low</t>
  </si>
  <si>
    <t>b_gui_ig_i_w_stf_114</t>
  </si>
  <si>
    <t>m_w_stf_063</t>
  </si>
  <si>
    <t>st_g_c_r_avg</t>
  </si>
  <si>
    <t>b_gui_ig_i_w_stf_104</t>
  </si>
  <si>
    <t>m_w_stf_064</t>
  </si>
  <si>
    <t>st_g_c_r_avg:c_fin</t>
  </si>
  <si>
    <t>b_gui_ig_i_w_stf_105</t>
  </si>
  <si>
    <t>m_w_stf_066</t>
  </si>
  <si>
    <t>st_g_c_r_avg:c_mag</t>
  </si>
  <si>
    <t>b_gui_ig_i_w_stf_107</t>
  </si>
  <si>
    <t>m_w_stf_065</t>
  </si>
  <si>
    <t>st_g_c_r_avg:c_str</t>
  </si>
  <si>
    <t>b_gui_ig_i_w_stf_106</t>
  </si>
  <si>
    <t>m_w_stf_069</t>
  </si>
  <si>
    <t>st_g_c_r_avg:o_avg</t>
  </si>
  <si>
    <t>b_gui_ig_i_w_stf_110</t>
  </si>
  <si>
    <t>b_gui_ig_i_ic_stf_004</t>
  </si>
  <si>
    <t>m_w_stf_070</t>
  </si>
  <si>
    <t>st_g_c_r_avg:o_fin</t>
  </si>
  <si>
    <t>b_gui_ig_i_w_stf_111</t>
  </si>
  <si>
    <t>m_w_stf_072</t>
  </si>
  <si>
    <t>st_g_c_r_avg:o_mag</t>
  </si>
  <si>
    <t>b_gui_ig_i_w_stf_113</t>
  </si>
  <si>
    <t>m_w_stf_071</t>
  </si>
  <si>
    <t>st_g_c_r_avg:o_str</t>
  </si>
  <si>
    <t>b_gui_ig_i_w_stf_112</t>
  </si>
  <si>
    <t>m_w_stf_062</t>
  </si>
  <si>
    <t>st_g_c_r_fun</t>
  </si>
  <si>
    <t>b_gui_ig_i_w_stf_103</t>
  </si>
  <si>
    <t>m_w_stf_061</t>
  </si>
  <si>
    <t>st_g_c_r_low</t>
  </si>
  <si>
    <t>b_gui_ig_i_w_stf_102</t>
  </si>
  <si>
    <t>m_w_stf_049</t>
  </si>
  <si>
    <t>st_g_c_s_avg</t>
  </si>
  <si>
    <t>b_gui_ig_i_w_stf_090</t>
  </si>
  <si>
    <t>b_gui_ig_i_ic_stf_002</t>
  </si>
  <si>
    <t>m_w_stf_050</t>
  </si>
  <si>
    <t>st_g_c_s_avg:c_fin</t>
  </si>
  <si>
    <t>b_gui_ig_i_w_stf_091</t>
  </si>
  <si>
    <t>m_w_stf_052</t>
  </si>
  <si>
    <t>st_g_c_s_avg:c_mag</t>
  </si>
  <si>
    <t>b_gui_ig_i_w_stf_093</t>
  </si>
  <si>
    <t>m_w_stf_051</t>
  </si>
  <si>
    <t>st_g_c_s_avg:c_str</t>
  </si>
  <si>
    <t>b_gui_ig_i_w_stf_092</t>
  </si>
  <si>
    <t>m_w_stf_053</t>
  </si>
  <si>
    <t>st_g_c_s_avg:o_avg</t>
  </si>
  <si>
    <t>b_gui_ig_i_w_stf_094</t>
  </si>
  <si>
    <t>b_gui_ig_i_ic_stf_005</t>
  </si>
  <si>
    <t>m_w_stf_054</t>
  </si>
  <si>
    <t>st_g_c_s_avg:o_fin</t>
  </si>
  <si>
    <t>b_gui_ig_i_w_stf_095</t>
  </si>
  <si>
    <t>m_w_stf_056</t>
  </si>
  <si>
    <t>st_g_c_s_avg:o_mag</t>
  </si>
  <si>
    <t>b_gui_ig_i_w_stf_097</t>
  </si>
  <si>
    <t>m_w_stf_055</t>
  </si>
  <si>
    <t>st_g_c_s_avg:o_str</t>
  </si>
  <si>
    <t>b_gui_ig_i_w_stf_096</t>
  </si>
  <si>
    <t>m_w_stf_058</t>
  </si>
  <si>
    <t>st_g_c_s_fun</t>
  </si>
  <si>
    <t>b_gui_ig_i_w_stf_099</t>
  </si>
  <si>
    <t>m_w_stf_057</t>
  </si>
  <si>
    <t>st_g_c_s_low</t>
  </si>
  <si>
    <t>b_gui_ig_i_w_stf_098</t>
  </si>
  <si>
    <t>m_w_stf_017</t>
  </si>
  <si>
    <t>st_g_d_r_avg</t>
  </si>
  <si>
    <t>b_gui_ig_i_w_stf_035</t>
  </si>
  <si>
    <t>m_w_stf_080</t>
  </si>
  <si>
    <t>st_g_o_b_fun</t>
  </si>
  <si>
    <t>b_gui_ig_i_w_stf_121</t>
  </si>
  <si>
    <t>m_w_stf_079</t>
  </si>
  <si>
    <t>st_g_o_b_low</t>
  </si>
  <si>
    <t>b_gui_ig_i_w_stf_120</t>
  </si>
  <si>
    <t>m_w_stf_068</t>
  </si>
  <si>
    <t>st_g_o_r_fun</t>
  </si>
  <si>
    <t>b_gui_ig_i_w_stf_109</t>
  </si>
  <si>
    <t>m_w_stf_067</t>
  </si>
  <si>
    <t>st_g_o_r_low</t>
  </si>
  <si>
    <t>b_gui_ig_i_w_stf_108</t>
  </si>
  <si>
    <t>m_w_stf_060</t>
  </si>
  <si>
    <t>st_g_o_s_fun</t>
  </si>
  <si>
    <t>b_gui_ig_i_w_stf_101</t>
  </si>
  <si>
    <t>m_w_stf_059</t>
  </si>
  <si>
    <t>st_g_o_s_low</t>
  </si>
  <si>
    <t>b_gui_ig_i_w_stf_100</t>
  </si>
  <si>
    <t>st_ra_g_c_b_fin</t>
  </si>
  <si>
    <t>b_gui_ig_i_w_stf_139</t>
  </si>
  <si>
    <t>st_ra_g_c_b_fin:c_mag</t>
  </si>
  <si>
    <t>b_gui_ig_i_w_stf_143</t>
  </si>
  <si>
    <t>st_ra_g_c_b_fin:c_str</t>
  </si>
  <si>
    <t>b_gui_ig_i_w_stf_142</t>
  </si>
  <si>
    <t>st_ra_g_c_b_fin:o_avg</t>
  </si>
  <si>
    <t>b_gui_ig_i_w_stf_140</t>
  </si>
  <si>
    <t>st_ra_g_c_b_fin:o_fin</t>
  </si>
  <si>
    <t>b_gui_ig_i_w_stf_141</t>
  </si>
  <si>
    <t>st_ra_g_c_b_fin:o_mag</t>
  </si>
  <si>
    <t>b_gui_ig_i_w_stf_145</t>
  </si>
  <si>
    <t>st_ra_g_c_b_fin:o_str</t>
  </si>
  <si>
    <t>b_gui_ig_i_w_stf_144</t>
  </si>
  <si>
    <t>st_ra_g_c_s_fin</t>
  </si>
  <si>
    <t>b_gui_ig_i_w_stf_132</t>
  </si>
  <si>
    <t>st_ra_g_c_s_fin:c_mag</t>
  </si>
  <si>
    <t>b_gui_ig_i_w_stf_137</t>
  </si>
  <si>
    <t>st_ra_g_c_s_fin:c_str</t>
  </si>
  <si>
    <t>b_gui_ig_i_w_stf_135</t>
  </si>
  <si>
    <t>st_ra_g_c_s_fin:o_avg</t>
  </si>
  <si>
    <t>b_gui_ig_i_w_stf_133</t>
  </si>
  <si>
    <t>st_ra_g_c_s_fin:o_fin</t>
  </si>
  <si>
    <t>b_gui_ig_i_w_stf_134</t>
  </si>
  <si>
    <t>st_ra_g_c_s_fin:o_mag</t>
  </si>
  <si>
    <t>b_gui_ig_i_w_stf_138</t>
  </si>
  <si>
    <t>st_ra_g_c_s_fin:o_str</t>
  </si>
  <si>
    <t>b_gui_ig_i_w_stf_136</t>
  </si>
  <si>
    <t>st_ra_g_o_r_avg</t>
  </si>
  <si>
    <t>b_gui_ig_i_w_stf_126</t>
  </si>
  <si>
    <t>st_ra_g_o_r_avg:c_mag</t>
  </si>
  <si>
    <t>b_gui_ig_i_w_stf_130</t>
  </si>
  <si>
    <t>st_ra_g_o_r_avg:c_str</t>
  </si>
  <si>
    <t>b_gui_ig_i_w_stf_128</t>
  </si>
  <si>
    <t>st_ra_g_o_r_avg:o_fin</t>
  </si>
  <si>
    <t>b_gui_ig_i_w_stf_127</t>
  </si>
  <si>
    <t>st_ra_g_o_r_avg:o_mag</t>
  </si>
  <si>
    <t>b_gui_ig_i_w_stf_131</t>
  </si>
  <si>
    <t>st_ra_g_o_r_avg:o_str</t>
  </si>
  <si>
    <t>b_gui_ig_i_w_stf_129</t>
  </si>
  <si>
    <t>st_ra_g_o_r_puller</t>
  </si>
  <si>
    <t>m_w_stf_038</t>
  </si>
  <si>
    <t>st_un_axe_str</t>
  </si>
  <si>
    <t>b_gui_ig_i_w_stf_078</t>
  </si>
  <si>
    <t>b_gui_ig_i_ic_stf_007</t>
  </si>
  <si>
    <t>m_w_stf_046</t>
  </si>
  <si>
    <t>st_un_b_glaive</t>
  </si>
  <si>
    <t>b_gui_ig_i_w_stf_087</t>
  </si>
  <si>
    <t>m_w_stf_043</t>
  </si>
  <si>
    <t>st_un_b_hook</t>
  </si>
  <si>
    <t>b_gui_ig_i_w_stf_084</t>
  </si>
  <si>
    <t>st_un_b_wing</t>
  </si>
  <si>
    <t>b_gui_ig_i_w_stf_083</t>
  </si>
  <si>
    <t>m_w_stf_041</t>
  </si>
  <si>
    <t>st_un_hand</t>
  </si>
  <si>
    <t>b_gui_ig_i_w_stf_081</t>
  </si>
  <si>
    <t>m_w_stf_013</t>
  </si>
  <si>
    <t>st_un_ice_c_d_b_avg</t>
  </si>
  <si>
    <t>b_gui_ig_i_w_stf_013</t>
  </si>
  <si>
    <t>m_w_stf_044</t>
  </si>
  <si>
    <t>st_un_mc_s</t>
  </si>
  <si>
    <t>b_gui_ig_i_w_stf_085</t>
  </si>
  <si>
    <t>m_w_stf_014</t>
  </si>
  <si>
    <t>st_un_merik</t>
  </si>
  <si>
    <t>b_gui_ig_i_w_stf_014</t>
  </si>
  <si>
    <t>m_w_stf_048</t>
  </si>
  <si>
    <t>st_un_pointy</t>
  </si>
  <si>
    <t>b_gui_ig_i_w_stf_089</t>
  </si>
  <si>
    <t>m_w_stf_039</t>
  </si>
  <si>
    <t>st_un_pudgel</t>
  </si>
  <si>
    <t>b_gui_ig_i_w_stf_079</t>
  </si>
  <si>
    <t>m_w_stf_035</t>
  </si>
  <si>
    <t>st_un_reaper</t>
  </si>
  <si>
    <t>b_gui_ig_i_w_stf_082</t>
  </si>
  <si>
    <t>m_w_stf_037</t>
  </si>
  <si>
    <t>st_un_seck_gom</t>
  </si>
  <si>
    <t>b_gui_ig_i_w_stf_077</t>
  </si>
  <si>
    <t>m_w_stf_036</t>
  </si>
  <si>
    <t>st_un_seck_mage</t>
  </si>
  <si>
    <t>b_gui_ig_i_w_stf_076</t>
  </si>
  <si>
    <t>m_w_stf_040</t>
  </si>
  <si>
    <t>st_un_skull</t>
  </si>
  <si>
    <t>b_gui_ig_i_w_stf_080</t>
  </si>
  <si>
    <t>m_w_stf_047</t>
  </si>
  <si>
    <t>st_un_tiger</t>
  </si>
  <si>
    <t>b_gui_ig_i_w_stf_088</t>
  </si>
  <si>
    <t>m_w_stf_042</t>
  </si>
  <si>
    <t>st_un_toothpick</t>
  </si>
  <si>
    <t>m_w_stf_012</t>
  </si>
  <si>
    <t>st_un_toreck</t>
  </si>
  <si>
    <t>b_gui_ig_i_w_stf_010</t>
  </si>
  <si>
    <t>m_w_stf_045</t>
  </si>
  <si>
    <t>st_un_twirl</t>
  </si>
  <si>
    <t>b_gui_ig_i_w_stf_086</t>
  </si>
  <si>
    <t>Long Backed Bow</t>
  </si>
  <si>
    <t>m_w_bow_028</t>
  </si>
  <si>
    <t>bw_g_c_c_l_4_avg</t>
  </si>
  <si>
    <t>b_gui_ig_i_w_bow_080</t>
  </si>
  <si>
    <t>b_gui_ig_i_ic_bow_002</t>
  </si>
  <si>
    <t>Long Backed Bow (c_fin)</t>
  </si>
  <si>
    <t>bw_g_c_c_l_4_avg:c_fin</t>
  </si>
  <si>
    <t>b_gui_ig_i_w_bow_081</t>
  </si>
  <si>
    <t>Long Backed Bow (c_mag)</t>
  </si>
  <si>
    <t>m_w_bow_037</t>
  </si>
  <si>
    <t>bw_g_c_c_l_4_avg:c_mag</t>
  </si>
  <si>
    <t>b_gui_ig_i_w_bow_083</t>
  </si>
  <si>
    <t>Long Backed Bow (c_str)</t>
  </si>
  <si>
    <t>m_w_bow_023</t>
  </si>
  <si>
    <t>bw_g_c_c_l_4_avg:c_str</t>
  </si>
  <si>
    <t>b_gui_ig_i_w_bow_082</t>
  </si>
  <si>
    <t>Long Backed Bow (o_fin)</t>
  </si>
  <si>
    <t>bw_g_c_c_l_4_avg:o_fin</t>
  </si>
  <si>
    <t>b_gui_ig_i_w_bow_084</t>
  </si>
  <si>
    <t>b_gui_ig_i_ic_bow_004</t>
  </si>
  <si>
    <t>Long Backed Bow (o_mag)</t>
  </si>
  <si>
    <t>m_w_bow_031</t>
  </si>
  <si>
    <t>bw_g_c_c_l_4_avg:o_mag</t>
  </si>
  <si>
    <t>b_gui_ig_i_w_bow_086</t>
  </si>
  <si>
    <t>Long Backed Bow (o_str)</t>
  </si>
  <si>
    <t>bw_g_c_c_l_4_avg:o_str</t>
  </si>
  <si>
    <t>b_gui_ig_i_w_bow_085</t>
  </si>
  <si>
    <t>Long Recurve</t>
  </si>
  <si>
    <t>bw_g_c_c_l_r_avg</t>
  </si>
  <si>
    <t>b_gui_ig_i_w_bow_072</t>
  </si>
  <si>
    <t>Long Recurve (c_mag)</t>
  </si>
  <si>
    <t>bw_g_c_c_l_r_avg:c_mag</t>
  </si>
  <si>
    <t>b_gui_ig_i_w_bow_074</t>
  </si>
  <si>
    <t>Long Recurve (c_str)</t>
  </si>
  <si>
    <t>bw_g_c_c_l_r_avg:c_str</t>
  </si>
  <si>
    <t>b_gui_ig_i_w_bow_073</t>
  </si>
  <si>
    <t>Long Recurve (o_avg)</t>
  </si>
  <si>
    <t>bw_g_c_c_l_r_avg:o_avg</t>
  </si>
  <si>
    <t>b_gui_ig_i_w_bow_075</t>
  </si>
  <si>
    <t>Long Recurve (o_fin)</t>
  </si>
  <si>
    <t>m_w_bow_008</t>
  </si>
  <si>
    <t>bw_g_c_c_l_r_avg:o_fin</t>
  </si>
  <si>
    <t>b_gui_ig_i_w_bow_076</t>
  </si>
  <si>
    <t>Long Recurve (o_mag)</t>
  </si>
  <si>
    <t>m_w_bow_033</t>
  </si>
  <si>
    <t>bw_g_c_c_l_r_avg:o_mag</t>
  </si>
  <si>
    <t>b_gui_ig_i_w_bow_078</t>
  </si>
  <si>
    <t>Long Recurve (o_str)</t>
  </si>
  <si>
    <t>bw_g_c_c_l_r_avg:o_str</t>
  </si>
  <si>
    <t>b_gui_ig_i_w_bow_077</t>
  </si>
  <si>
    <t>Battle Bow</t>
  </si>
  <si>
    <t>m_w_bow_021</t>
  </si>
  <si>
    <t>bw_g_c_c_m_4_avg</t>
  </si>
  <si>
    <t>b_gui_ig_i_w_bow_016</t>
  </si>
  <si>
    <t>b_gui_ig_i_ic_bow_001</t>
  </si>
  <si>
    <t>Battle Bow (c_fin)</t>
  </si>
  <si>
    <t>bw_g_c_c_m_4_avg:c_fin</t>
  </si>
  <si>
    <t>b_gui_ig_i_w_bow_024</t>
  </si>
  <si>
    <t>Battle Bow (c_mag)</t>
  </si>
  <si>
    <t>m_w_bow_032</t>
  </si>
  <si>
    <t>bw_g_c_c_m_4_avg:c_mag</t>
  </si>
  <si>
    <t>b_gui_ig_i_w_bow_043</t>
  </si>
  <si>
    <t>Battle Bow (c_str)</t>
  </si>
  <si>
    <t>bw_g_c_c_m_4_avg:c_str</t>
  </si>
  <si>
    <t>b_gui_ig_i_w_bow_034</t>
  </si>
  <si>
    <t>Battle Bow (o_avg)</t>
  </si>
  <si>
    <t>m_w_bow_024</t>
  </si>
  <si>
    <t>bw_g_c_c_m_4_avg:o_avg</t>
  </si>
  <si>
    <t>b_gui_ig_i_w_bow_019</t>
  </si>
  <si>
    <t>b_gui_ig_i_ic_bow_003</t>
  </si>
  <si>
    <t>Battle Bow (o_fin)</t>
  </si>
  <si>
    <t>bw_g_c_c_m_4_avg:o_fin</t>
  </si>
  <si>
    <t>b_gui_ig_i_w_bow_029</t>
  </si>
  <si>
    <t>Battle Bow (o_mag)</t>
  </si>
  <si>
    <t>m_w_bow_034</t>
  </si>
  <si>
    <t>bw_g_c_c_m_4_avg:o_mag</t>
  </si>
  <si>
    <t>b_gui_ig_i_w_bow_050</t>
  </si>
  <si>
    <t>Battle Bow (o_str)</t>
  </si>
  <si>
    <t>bw_g_c_c_m_4_avg:o_str</t>
  </si>
  <si>
    <t>b_gui_ig_i_w_bow_039</t>
  </si>
  <si>
    <t>Flimsy Battle Bow</t>
  </si>
  <si>
    <t>bw_g_c_c_m_4_fun</t>
  </si>
  <si>
    <t>b_gui_ig_i_w_bow_009</t>
  </si>
  <si>
    <t>Worn Battle Bow</t>
  </si>
  <si>
    <t>bw_g_c_c_m_4_low</t>
  </si>
  <si>
    <t>b_gui_ig_i_w_bow_004</t>
  </si>
  <si>
    <t>Backed Bow</t>
  </si>
  <si>
    <t>bw_g_c_c_m_r_avg</t>
  </si>
  <si>
    <t>b_gui_ig_i_w_bow_015</t>
  </si>
  <si>
    <t>Backed Bow (c_fin)</t>
  </si>
  <si>
    <t>bw_g_c_c_m_r_avg:c_fin</t>
  </si>
  <si>
    <t>b_gui_ig_i_w_bow_023</t>
  </si>
  <si>
    <t>Backed Bow (c_mag)</t>
  </si>
  <si>
    <t>bw_g_c_c_m_r_avg:c_mag</t>
  </si>
  <si>
    <t>b_gui_ig_i_w_bow_042</t>
  </si>
  <si>
    <t>Backed Bow (c_str)</t>
  </si>
  <si>
    <t>bw_g_c_c_m_r_avg:c_str</t>
  </si>
  <si>
    <t>b_gui_ig_i_w_bow_033</t>
  </si>
  <si>
    <t>Backed Bow (o_avg)</t>
  </si>
  <si>
    <t>bw_g_c_c_m_r_avg:o_avg</t>
  </si>
  <si>
    <t>b_gui_ig_i_w_bow_069</t>
  </si>
  <si>
    <t>Backed Bow (o_mag)</t>
  </si>
  <si>
    <t>bw_g_c_c_m_r_avg:o_mag</t>
  </si>
  <si>
    <t>b_gui_ig_i_w_bow_071</t>
  </si>
  <si>
    <t>Backed Bow (o_str)</t>
  </si>
  <si>
    <t>m_w_bow_025</t>
  </si>
  <si>
    <t>bw_g_c_c_m_r_avg:o_str</t>
  </si>
  <si>
    <t>b_gui_ig_i_w_bow_070</t>
  </si>
  <si>
    <t>Frail Backed Bow</t>
  </si>
  <si>
    <t>bw_g_c_c_m_r_fun</t>
  </si>
  <si>
    <t>b_gui_ig_i_w_bow_008</t>
  </si>
  <si>
    <t>Crooked Backed Bow</t>
  </si>
  <si>
    <t>m_w_bow_020</t>
  </si>
  <si>
    <t>bw_g_c_c_m_r_low</t>
  </si>
  <si>
    <t>b_gui_ig_i_w_bow_003</t>
  </si>
  <si>
    <t>Short Backed Bow</t>
  </si>
  <si>
    <t>m_w_bow_027</t>
  </si>
  <si>
    <t>bw_g_c_c_s_4_avg</t>
  </si>
  <si>
    <t>b_gui_ig_i_w_bow_018</t>
  </si>
  <si>
    <t>Short Backed Bow (o_avg)</t>
  </si>
  <si>
    <t>bw_g_c_c_s_4_avg:o_avg</t>
  </si>
  <si>
    <t>Long Bow</t>
  </si>
  <si>
    <t>bw_g_c_s_l_c_avg</t>
  </si>
  <si>
    <t>b_gui_ig_i_w_bow_014</t>
  </si>
  <si>
    <t>Long Bow (c_fin)</t>
  </si>
  <si>
    <t>bw_g_c_s_l_c_avg:c_fin</t>
  </si>
  <si>
    <t>b_gui_ig_i_w_bow_022</t>
  </si>
  <si>
    <t>Long Bow (c_mag)</t>
  </si>
  <si>
    <t>bw_g_c_s_l_c_avg:c_mag</t>
  </si>
  <si>
    <t>b_gui_ig_i_w_bow_041</t>
  </si>
  <si>
    <t>Long Bow (c_str)</t>
  </si>
  <si>
    <t>m_w_bow_012</t>
  </si>
  <si>
    <t>bw_g_c_s_l_c_avg:c_str</t>
  </si>
  <si>
    <t>b_gui_ig_i_w_bow_061</t>
  </si>
  <si>
    <t>Long Bow (o_avg)</t>
  </si>
  <si>
    <t>bw_g_c_s_l_c_avg:o_avg</t>
  </si>
  <si>
    <t>b_gui_ig_i_w_bow_060</t>
  </si>
  <si>
    <t>Long Bow (o_mag)</t>
  </si>
  <si>
    <t>bw_g_c_s_l_c_avg:o_mag</t>
  </si>
  <si>
    <t>b_gui_ig_i_w_bow_046</t>
  </si>
  <si>
    <t>Battered Long Bow</t>
  </si>
  <si>
    <t>bw_g_c_s_l_c_fun</t>
  </si>
  <si>
    <t>b_gui_ig_i_w_bow_007</t>
  </si>
  <si>
    <t>Frayed Long Bow</t>
  </si>
  <si>
    <t>bw_g_c_s_l_c_low</t>
  </si>
  <si>
    <t>b_gui_ig_i_w_bow_002</t>
  </si>
  <si>
    <t>m_w_bow_011</t>
  </si>
  <si>
    <t>bw_g_c_s_m_c_avg</t>
  </si>
  <si>
    <t>b_gui_ig_i_w_bow_013</t>
  </si>
  <si>
    <t>Bow (c_fin)</t>
  </si>
  <si>
    <t>bw_g_c_s_m_c_avg:c_fin</t>
  </si>
  <si>
    <t>b_gui_ig_i_w_bow_058</t>
  </si>
  <si>
    <t>Bow (c_mag)</t>
  </si>
  <si>
    <t>bw_g_c_s_m_c_avg:c_mag</t>
  </si>
  <si>
    <t>b_gui_ig_i_w_bow_040</t>
  </si>
  <si>
    <t>Bow (c_str)</t>
  </si>
  <si>
    <t>bw_g_c_s_m_c_avg:c_str</t>
  </si>
  <si>
    <t>b_gui_ig_i_w_bow_059</t>
  </si>
  <si>
    <t>Bow (o_avg)</t>
  </si>
  <si>
    <t>bw_g_c_s_m_c_avg:o_avg</t>
  </si>
  <si>
    <t>b_gui_ig_i_w_bow_057</t>
  </si>
  <si>
    <t>Bow (o_mag)</t>
  </si>
  <si>
    <t>bw_g_c_s_m_c_avg:o_mag</t>
  </si>
  <si>
    <t>b_gui_ig_i_w_bow_045</t>
  </si>
  <si>
    <t>Weathered Bow</t>
  </si>
  <si>
    <t>m_w_bow_022</t>
  </si>
  <si>
    <t>bw_g_c_s_m_c_fun</t>
  </si>
  <si>
    <t>b_gui_ig_i_w_bow_006</t>
  </si>
  <si>
    <t>Brittle Bow</t>
  </si>
  <si>
    <t>bw_g_c_s_m_c_low</t>
  </si>
  <si>
    <t>b_gui_ig_i_w_bow_001</t>
  </si>
  <si>
    <t>Recurve Bow</t>
  </si>
  <si>
    <t>m_w_bow_002</t>
  </si>
  <si>
    <t>bw_g_c_s_m_r_avg</t>
  </si>
  <si>
    <t>b_gui_ig_i_w_bow_065</t>
  </si>
  <si>
    <t>Recurve Bow (c_fin)</t>
  </si>
  <si>
    <t>m_w_bow_014</t>
  </si>
  <si>
    <t>bw_g_c_s_m_r_avg:c_fin</t>
  </si>
  <si>
    <t>b_gui_ig_i_w_bow_066</t>
  </si>
  <si>
    <t>Recurve Bow (c_mag)</t>
  </si>
  <si>
    <t>bw_g_c_s_m_r_avg:c_mag</t>
  </si>
  <si>
    <t>b_gui_ig_i_w_bow_068</t>
  </si>
  <si>
    <t>Recurve Bow (c_str)</t>
  </si>
  <si>
    <t>m_w_bow_006</t>
  </si>
  <si>
    <t>bw_g_c_s_m_r_avg:c_str</t>
  </si>
  <si>
    <t>b_gui_ig_i_w_bow_067</t>
  </si>
  <si>
    <t>Recurve Bow (o_avg)</t>
  </si>
  <si>
    <t>bw_g_c_s_m_r_avg:o_avg</t>
  </si>
  <si>
    <t>b_gui_ig_i_w_bow_017</t>
  </si>
  <si>
    <t>Short Bow</t>
  </si>
  <si>
    <t>m_w_bow_026</t>
  </si>
  <si>
    <t>bw_g_c_s_s_c_avg</t>
  </si>
  <si>
    <t>b_gui_ig_i_w_bow_012</t>
  </si>
  <si>
    <t>Short Bow (c_fin)</t>
  </si>
  <si>
    <t>m_w_bow_029</t>
  </si>
  <si>
    <t>bw_g_c_s_s_c_avg:c_fin</t>
  </si>
  <si>
    <t>b_gui_ig_i_w_bow_020</t>
  </si>
  <si>
    <t>Short Bow (c_str)</t>
  </si>
  <si>
    <t>m_w_bow_030</t>
  </si>
  <si>
    <t>bw_g_c_s_s_c_avg:c_str</t>
  </si>
  <si>
    <t>b_gui_ig_i_w_bow_030</t>
  </si>
  <si>
    <t>Short Bow (o_avg)</t>
  </si>
  <si>
    <t>m_w_bow_010</t>
  </si>
  <si>
    <t>bw_g_c_s_s_c_avg:o_avg</t>
  </si>
  <si>
    <t>b_gui_ig_i_w_bow_056</t>
  </si>
  <si>
    <t>Short Bow (o_fin)</t>
  </si>
  <si>
    <t>bw_g_c_s_s_c_avg:o_fin</t>
  </si>
  <si>
    <t>b_gui_ig_i_w_bow_025</t>
  </si>
  <si>
    <t>Short Bow (o_mag)</t>
  </si>
  <si>
    <t>m_w_bow_015</t>
  </si>
  <si>
    <t>bw_g_c_s_s_c_avg:o_mag</t>
  </si>
  <si>
    <t>b_gui_ig_i_w_bow_044</t>
  </si>
  <si>
    <t>Short Bow (o_str)</t>
  </si>
  <si>
    <t>bw_g_c_s_s_c_avg:o_str</t>
  </si>
  <si>
    <t>b_gui_ig_i_w_bow_035</t>
  </si>
  <si>
    <t>Short Recurve</t>
  </si>
  <si>
    <t>m_w_bow_013</t>
  </si>
  <si>
    <t>bw_g_c_s_s_r_avg</t>
  </si>
  <si>
    <t>b_gui_ig_i_w_bow_062</t>
  </si>
  <si>
    <t>Short Recurve (c_mag)</t>
  </si>
  <si>
    <t>bw_g_c_s_s_r_avg:c_mag</t>
  </si>
  <si>
    <t>b_gui_ig_i_w_bow_063</t>
  </si>
  <si>
    <t>Short Recurve (o_avg)</t>
  </si>
  <si>
    <t>bw_g_c_s_s_r_avg:o_avg</t>
  </si>
  <si>
    <t>b_gui_ig_i_w_bow_064</t>
  </si>
  <si>
    <t>Peasant Long Bow</t>
  </si>
  <si>
    <t>m_w_bow_017</t>
  </si>
  <si>
    <t>bw_g_d_s_l_c_avg</t>
  </si>
  <si>
    <t>b_gui_ig_i_w_bow_052</t>
  </si>
  <si>
    <t>Peasant Short Bow</t>
  </si>
  <si>
    <t>m_w_bow_001</t>
  </si>
  <si>
    <t>bw_g_d_s_s_c_avg</t>
  </si>
  <si>
    <t>b_gui_ig_i_w_bow_051</t>
  </si>
  <si>
    <t>Weakened Battle Bow</t>
  </si>
  <si>
    <t>bw_g_o_c_m_4_fun</t>
  </si>
  <si>
    <t>b_gui_ig_i_w_bow_011</t>
  </si>
  <si>
    <t>Shabby Battle Bow</t>
  </si>
  <si>
    <t>bw_g_o_c_m_4_low</t>
  </si>
  <si>
    <t>b_gui_ig_i_w_bow_005</t>
  </si>
  <si>
    <t>Shardan Bow</t>
  </si>
  <si>
    <t>bw_g_o_c_s_4_fun</t>
  </si>
  <si>
    <t>b_gui_ig_i_w_bow_010</t>
  </si>
  <si>
    <t>Long Butcher Bow</t>
  </si>
  <si>
    <t>bw_ra_g_c_c_l_4_avg</t>
  </si>
  <si>
    <t>b_gui_ig_i_w_bow_132</t>
  </si>
  <si>
    <t>b_gui_ig_i_w_bow_133</t>
  </si>
  <si>
    <t>b_gui_ig_i_w_bow_134</t>
  </si>
  <si>
    <t>b_gui_ig_i_w_bow_135</t>
  </si>
  <si>
    <t>Lethal Recurve</t>
  </si>
  <si>
    <t>bw_ra_g_c_c_l_r_avg</t>
  </si>
  <si>
    <t>b_gui_ig_i_w_bow_120</t>
  </si>
  <si>
    <t>Lethal Recurve (c_mag)</t>
  </si>
  <si>
    <t>bw_ra_g_c_c_l_r_avg:c_mag</t>
  </si>
  <si>
    <t>b_gui_ig_i_w_bow_122</t>
  </si>
  <si>
    <t>Lethal Recurve (c_str)</t>
  </si>
  <si>
    <t>bw_ra_g_c_c_l_r_avg:c_str</t>
  </si>
  <si>
    <t>b_gui_ig_i_w_bow_121</t>
  </si>
  <si>
    <t>Lethal Recurve (o_avg)</t>
  </si>
  <si>
    <t>bw_ra_g_c_c_l_r_avg:o_avg</t>
  </si>
  <si>
    <t>b_gui_ig_i_w_bow_123</t>
  </si>
  <si>
    <t>Lethal Recurve (o_fin)</t>
  </si>
  <si>
    <t>bw_ra_g_c_c_l_r_avg:o_fin</t>
  </si>
  <si>
    <t>b_gui_ig_i_w_bow_124</t>
  </si>
  <si>
    <t>Lethal Recurve (o_mag)</t>
  </si>
  <si>
    <t>bw_ra_g_c_c_l_r_avg:o_mag</t>
  </si>
  <si>
    <t>Lethal Recurve (o_str)</t>
  </si>
  <si>
    <t>bw_ra_g_c_c_l_r_avg:o_str</t>
  </si>
  <si>
    <t>b_gui_ig_i_w_bow_125</t>
  </si>
  <si>
    <t>Savage Bow</t>
  </si>
  <si>
    <t>bw_ra_g_c_c_m_4_fin</t>
  </si>
  <si>
    <t>b_gui_ig_i_w_bow_128</t>
  </si>
  <si>
    <t>Savage Bow (c_mag)</t>
  </si>
  <si>
    <t>bw_ra_g_c_c_m_4_fin:c_mag</t>
  </si>
  <si>
    <t>b_gui_ig_i_w_bow_131</t>
  </si>
  <si>
    <t>Savage Bow (c_str)</t>
  </si>
  <si>
    <t>bw_ra_g_c_c_m_4_fin:c_str</t>
  </si>
  <si>
    <t>b_gui_ig_i_w_bow_130</t>
  </si>
  <si>
    <t>Savage Bow (o_avg)</t>
  </si>
  <si>
    <t>bw_ra_g_c_c_m_4_fin:o_avg</t>
  </si>
  <si>
    <t>b_gui_ig_i_w_bow_129</t>
  </si>
  <si>
    <t>Basher Bow</t>
  </si>
  <si>
    <t>bw_ra_g_c_c_m_r_avg</t>
  </si>
  <si>
    <t>b_gui_ig_i_w_bow_114</t>
  </si>
  <si>
    <t>Basher Bow (c_fin)</t>
  </si>
  <si>
    <t>bw_ra_g_c_c_m_r_avg:c_fin</t>
  </si>
  <si>
    <t>b_gui_ig_i_w_bow_115</t>
  </si>
  <si>
    <t>Basher Bow (c_mag)</t>
  </si>
  <si>
    <t>bw_ra_g_c_c_m_r_avg:c_mag</t>
  </si>
  <si>
    <t>b_gui_ig_i_w_bow_119</t>
  </si>
  <si>
    <t>Basher Bow (c_str)</t>
  </si>
  <si>
    <t>bw_ra_g_c_c_m_r_avg:c_str</t>
  </si>
  <si>
    <t>Basher Bow (o_avg)</t>
  </si>
  <si>
    <t>bw_ra_g_c_c_m_r_avg:o_avg</t>
  </si>
  <si>
    <t>b_gui_ig_i_w_bow_116</t>
  </si>
  <si>
    <t>Basher Bow (o_mag)</t>
  </si>
  <si>
    <t>bw_ra_g_c_c_m_r_avg:o_mag</t>
  </si>
  <si>
    <t>b_gui_ig_i_w_bow_118</t>
  </si>
  <si>
    <t>Basher Bow (o_str)</t>
  </si>
  <si>
    <t>bw_ra_g_c_c_m_r_avg:o_str</t>
  </si>
  <si>
    <t>b_gui_ig_i_w_bow_117</t>
  </si>
  <si>
    <t>Short Bleeder Bow</t>
  </si>
  <si>
    <t>bw_ra_g_c_c_s_4_avg</t>
  </si>
  <si>
    <t>b_gui_ig_i_w_bow_079</t>
  </si>
  <si>
    <t>Short Bleeder Bow (o_mag)</t>
  </si>
  <si>
    <t>bw_ra_g_c_c_s_4_avg:o_mag</t>
  </si>
  <si>
    <t>b_gui_ig_i_w_bow_127</t>
  </si>
  <si>
    <t>Short Bleeder Bow (o_str)</t>
  </si>
  <si>
    <t>bw_ra_g_c_c_s_4_avg:o_str</t>
  </si>
  <si>
    <t>b_gui_ig_i_w_bow_126</t>
  </si>
  <si>
    <t>Beast Bow</t>
  </si>
  <si>
    <t>bw_ra_g_c_s_l_c_avg</t>
  </si>
  <si>
    <t>b_gui_ig_i_w_bow_104</t>
  </si>
  <si>
    <t>Beast Bow (o_avg)</t>
  </si>
  <si>
    <t>bw_ra_g_c_s_l_c_avg:o_avg</t>
  </si>
  <si>
    <t>b_gui_ig_i_w_bow_105</t>
  </si>
  <si>
    <t>Shatter Bow</t>
  </si>
  <si>
    <t>bw_ra_g_c_s_m_c_fin</t>
  </si>
  <si>
    <t>b_gui_ig_i_w_bow_099</t>
  </si>
  <si>
    <t>Shatter Bow (c_str)</t>
  </si>
  <si>
    <t>bw_ra_g_c_s_m_c_fin:c_str</t>
  </si>
  <si>
    <t>b_gui_ig_i_w_bow_102</t>
  </si>
  <si>
    <t>Shatter Bow (o_avg)</t>
  </si>
  <si>
    <t>bw_ra_g_c_s_m_c_fin:o_avg</t>
  </si>
  <si>
    <t>b_gui_ig_i_w_bow_100</t>
  </si>
  <si>
    <t>Shatter Bow (o_fin)</t>
  </si>
  <si>
    <t>bw_ra_g_c_s_m_c_fin:o_fin</t>
  </si>
  <si>
    <t>b_gui_ig_i_w_bow_101</t>
  </si>
  <si>
    <t>Shatter Bow (o_mag)</t>
  </si>
  <si>
    <t>bw_ra_g_c_s_m_c_fin:o_mag</t>
  </si>
  <si>
    <t>b_gui_ig_i_w_bow_103</t>
  </si>
  <si>
    <t>Puncture Bow</t>
  </si>
  <si>
    <t>bw_ra_g_c_s_m_r_fin</t>
  </si>
  <si>
    <t>b_gui_ig_i_w_bow_110</t>
  </si>
  <si>
    <t>Puncture Bow (c_mag)</t>
  </si>
  <si>
    <t>bw_ra_g_c_s_m_r_fin:c_mag</t>
  </si>
  <si>
    <t>b_gui_ig_i_w_bow_112</t>
  </si>
  <si>
    <t>Puncture Bow (o_mag)</t>
  </si>
  <si>
    <t>bw_ra_g_c_s_m_r_fin:o_mag</t>
  </si>
  <si>
    <t>b_gui_ig_i_w_bow_113</t>
  </si>
  <si>
    <t>Puncture Bow (o_str)</t>
  </si>
  <si>
    <t>bw_ra_g_c_s_m_r_fin:o_str</t>
  </si>
  <si>
    <t>b_gui_ig_i_w_bow_111</t>
  </si>
  <si>
    <t>Fatal Bow</t>
  </si>
  <si>
    <t>bw_ra_g_c_s_s_c_fin</t>
  </si>
  <si>
    <t>b_gui_ig_i_w_bow_094</t>
  </si>
  <si>
    <t>Fatal Bow (o_avg)</t>
  </si>
  <si>
    <t>bw_ra_g_c_s_s_c_fin:o_avg</t>
  </si>
  <si>
    <t>b_gui_ig_i_w_bow_095</t>
  </si>
  <si>
    <t>Fatal Bow (o_fin)</t>
  </si>
  <si>
    <t>bw_ra_g_c_s_s_c_fin:o_fin</t>
  </si>
  <si>
    <t>b_gui_ig_i_w_bow_096</t>
  </si>
  <si>
    <t>Fatal Bow (o_mag)</t>
  </si>
  <si>
    <t>bw_ra_g_c_s_s_c_fin:o_mag</t>
  </si>
  <si>
    <t>b_gui_ig_i_w_bow_098</t>
  </si>
  <si>
    <t>Fatal Bow (o_str)</t>
  </si>
  <si>
    <t>bw_ra_g_c_s_s_c_fin:o_str</t>
  </si>
  <si>
    <t>b_gui_ig_i_w_bow_097</t>
  </si>
  <si>
    <t>Heart Stopper</t>
  </si>
  <si>
    <t>bw_ra_g_c_s_s_c_stopper</t>
  </si>
  <si>
    <t>Cruel Recurve</t>
  </si>
  <si>
    <t>bw_ra_g_o_s_s_r_avg</t>
  </si>
  <si>
    <t>b_gui_ig_i_w_bow_106</t>
  </si>
  <si>
    <t>Cruel Recurve (c_mag)</t>
  </si>
  <si>
    <t>bw_ra_g_o_s_s_r_avg:c_mag</t>
  </si>
  <si>
    <t>b_gui_ig_i_w_bow_109</t>
  </si>
  <si>
    <t>Cruel Recurve (o_fin)</t>
  </si>
  <si>
    <t>bw_ra_g_o_s_s_r_avg:o_fin</t>
  </si>
  <si>
    <t>b_gui_ig_i_w_bow_107</t>
  </si>
  <si>
    <t>Cruel Recurve (o_str)</t>
  </si>
  <si>
    <t>bw_ra_g_o_s_s_r_avg:o_str</t>
  </si>
  <si>
    <t>b_gui_ig_i_w_bow_108</t>
  </si>
  <si>
    <t>Droog Archer Bow</t>
  </si>
  <si>
    <t>m_w_bow_038</t>
  </si>
  <si>
    <t>bw_un_droog_avg</t>
  </si>
  <si>
    <t>b_gui_ig_i_w_bow_088</t>
  </si>
  <si>
    <t>Ice Bow</t>
  </si>
  <si>
    <t>m_w_bow_009</t>
  </si>
  <si>
    <t>bw_un_ice_c_m_s_r_avg</t>
  </si>
  <si>
    <t>b_gui_ig_i_w_bow_087</t>
  </si>
  <si>
    <t>Seck Bow</t>
  </si>
  <si>
    <t>m_w_bow_035</t>
  </si>
  <si>
    <t>bw_un_seck_avg</t>
  </si>
  <si>
    <t>b_gui_ig_i_w_bow_053</t>
  </si>
  <si>
    <t>Seck Elite Bow</t>
  </si>
  <si>
    <t>m_w_bow_036</t>
  </si>
  <si>
    <t>bw_un_seck_fin</t>
  </si>
  <si>
    <t>b_gui_ig_i_w_bow_054</t>
  </si>
  <si>
    <t>Seck Battle Bow</t>
  </si>
  <si>
    <t>bw_un_seck_str</t>
  </si>
  <si>
    <t>b_gui_ig_i_w_bow_055</t>
  </si>
  <si>
    <t>Dagger (base)</t>
  </si>
  <si>
    <t>Dagger</t>
  </si>
  <si>
    <t>m_w_dag_001</t>
  </si>
  <si>
    <t>dg_g_c_1h_avg</t>
  </si>
  <si>
    <t>b_gui_ig_i_w_dgr_003</t>
  </si>
  <si>
    <t>b_gui_ig_i_ic_dg_st</t>
  </si>
  <si>
    <t>Dagger (c_fin)</t>
  </si>
  <si>
    <t>dg_g_c_1h_avg:c_fin</t>
  </si>
  <si>
    <t>b_gui_ig_i_w_dgr_004</t>
  </si>
  <si>
    <t>Dagger (c_mag)</t>
  </si>
  <si>
    <t>dg_g_c_1h_avg:c_mag</t>
  </si>
  <si>
    <t>b_gui_ig_i_w_dgr_006</t>
  </si>
  <si>
    <t>Dagger (c_str)</t>
  </si>
  <si>
    <t>dg_g_c_1h_avg:c_str</t>
  </si>
  <si>
    <t>b_gui_ig_i_w_dgr_005</t>
  </si>
  <si>
    <t>Blunt Dagger</t>
  </si>
  <si>
    <t>dg_g_c_1h_fun</t>
  </si>
  <si>
    <t>b_gui_ig_i_w_dgr_001</t>
  </si>
  <si>
    <t>Rusty Dagger</t>
  </si>
  <si>
    <t>m_w_dag_002</t>
  </si>
  <si>
    <t>dg_g_c_1h_low</t>
  </si>
  <si>
    <t>b_gui_ig_i_w_dgr_002</t>
  </si>
  <si>
    <t>Knife</t>
  </si>
  <si>
    <t>m_w_dag_003</t>
  </si>
  <si>
    <t>dg_g_d_1h_fun</t>
  </si>
  <si>
    <t>b_gui_ig_i_w_dgr_007</t>
  </si>
  <si>
    <t>Assault Axe (base)</t>
  </si>
  <si>
    <t>Assault Axe</t>
  </si>
  <si>
    <t>Assault Axe (c_fin)</t>
  </si>
  <si>
    <t>Assault Axe (c_mag)</t>
  </si>
  <si>
    <t>Assault Axe (c_str)</t>
  </si>
  <si>
    <t>Assault Axe (o_avg)</t>
  </si>
  <si>
    <t>Assault Axe (o_fin)</t>
  </si>
  <si>
    <t>Assault Axe (o_mag)</t>
  </si>
  <si>
    <t>Assault Axe (o_str)</t>
  </si>
  <si>
    <t>Axe of Kill Kill Carnage (base)</t>
  </si>
  <si>
    <t>Axe of Kill Kill Carnage</t>
  </si>
  <si>
    <t>Battered Assault Axe</t>
  </si>
  <si>
    <t>Blunt Assault Axe</t>
  </si>
  <si>
    <t>Blunt Field Axe</t>
  </si>
  <si>
    <t>Blunt Full Axe</t>
  </si>
  <si>
    <t>Bone Axe</t>
  </si>
  <si>
    <t>Chip Axe (base)</t>
  </si>
  <si>
    <t>Chip Axe</t>
  </si>
  <si>
    <t>Chuck</t>
  </si>
  <si>
    <t>Cleft Axe (base)</t>
  </si>
  <si>
    <t>Cleft Axe</t>
  </si>
  <si>
    <t>Cutter (base)</t>
  </si>
  <si>
    <t>Cutter</t>
  </si>
  <si>
    <t>Drive Axe (base)</t>
  </si>
  <si>
    <t>Drive Axe</t>
  </si>
  <si>
    <t>Dull Field Axe</t>
  </si>
  <si>
    <t>Dull Full Axe</t>
  </si>
  <si>
    <t>Dull Wedge Axe</t>
  </si>
  <si>
    <t>Field Axe (base)</t>
  </si>
  <si>
    <t>Field Axe</t>
  </si>
  <si>
    <t>Field Axe (c_fin)</t>
  </si>
  <si>
    <t>Field Axe (c_mag)</t>
  </si>
  <si>
    <t>Field Axe (c_str)</t>
  </si>
  <si>
    <t>Field Axe (o_avg)</t>
  </si>
  <si>
    <t>Field Axe (o_fin)</t>
  </si>
  <si>
    <t>Field Axe (o_mag)</t>
  </si>
  <si>
    <t>Field Axe (o_str)</t>
  </si>
  <si>
    <t>Flesh Splitter (base)</t>
  </si>
  <si>
    <t>Flesh Splitter</t>
  </si>
  <si>
    <t>Flesh Splitter (c_mag)</t>
  </si>
  <si>
    <t>Flesh Splitter (c_str)</t>
  </si>
  <si>
    <t>Flesh Splitter (o_avg)</t>
  </si>
  <si>
    <t>Flesh Splitter (o_fin)</t>
  </si>
  <si>
    <t>Flesh Splitter (o_str)</t>
  </si>
  <si>
    <t>Forest Axe</t>
  </si>
  <si>
    <t>Full Axe (base)</t>
  </si>
  <si>
    <t>Full Axe</t>
  </si>
  <si>
    <t>Full Axe (c_fin)</t>
  </si>
  <si>
    <t>Full Axe (c_mag)</t>
  </si>
  <si>
    <t>Full Axe (c_str)</t>
  </si>
  <si>
    <t>Full Axe (o_avg)</t>
  </si>
  <si>
    <t>Full Axe (o_fin)</t>
  </si>
  <si>
    <t>Full Axe (o_mag)</t>
  </si>
  <si>
    <t>Full Axe (o_str)</t>
  </si>
  <si>
    <t>Gore Axe (base)</t>
  </si>
  <si>
    <t>Gore Axe</t>
  </si>
  <si>
    <t>Gore Axe (c_mag)</t>
  </si>
  <si>
    <t>Gore Axe (c_str)</t>
  </si>
  <si>
    <t>Gore Axe (o_fin)</t>
  </si>
  <si>
    <t>Gore Axe (o_str)</t>
  </si>
  <si>
    <t>Grimy Wedge Axe</t>
  </si>
  <si>
    <t>Gut Masher (o_fin)</t>
  </si>
  <si>
    <t>Gut Masher (o_str)</t>
  </si>
  <si>
    <t>Hack (base)</t>
  </si>
  <si>
    <t>Hack</t>
  </si>
  <si>
    <t>Hatchet</t>
  </si>
  <si>
    <t>Heft Axe (base)</t>
  </si>
  <si>
    <t>Heft Axe</t>
  </si>
  <si>
    <t>Lug Axe (base)</t>
  </si>
  <si>
    <t>Lug Axe</t>
  </si>
  <si>
    <t>Marred Field Axe</t>
  </si>
  <si>
    <t>Nicked Full Axe</t>
  </si>
  <si>
    <t>Ordus' Axe</t>
  </si>
  <si>
    <t>Pain Bringer (base)</t>
  </si>
  <si>
    <t>Pain Bringer</t>
  </si>
  <si>
    <t>Pain Bringer (o_fin)</t>
  </si>
  <si>
    <t>Pain Bringer (o_mag)</t>
  </si>
  <si>
    <t>Pain Bringer (o_str)</t>
  </si>
  <si>
    <t>Pickaxe</t>
  </si>
  <si>
    <t>Rusted Assault Axe</t>
  </si>
  <si>
    <t>Rusted Wedge Axe</t>
  </si>
  <si>
    <t>Scythe (base)</t>
  </si>
  <si>
    <t>Scythe</t>
  </si>
  <si>
    <t>Short Scythe</t>
  </si>
  <si>
    <t>Splitter (base)</t>
  </si>
  <si>
    <t>Splitter</t>
  </si>
  <si>
    <t>Strike Axe (base)</t>
  </si>
  <si>
    <t>Strike Axe</t>
  </si>
  <si>
    <t>Sweeping Scythe (base)</t>
  </si>
  <si>
    <t>Sweeping Scythe</t>
  </si>
  <si>
    <t>Swing Axe (base)</t>
  </si>
  <si>
    <t>Swing Axe</t>
  </si>
  <si>
    <t>Timber Axe</t>
  </si>
  <si>
    <t>Tofk Axe (base)</t>
  </si>
  <si>
    <t>Tofk Axe</t>
  </si>
  <si>
    <t>Warped Assault Axe</t>
  </si>
  <si>
    <t>Wedge Axe (base)</t>
  </si>
  <si>
    <t>Wedge Axe</t>
  </si>
  <si>
    <t>Wedge Axe (c_fin)</t>
  </si>
  <si>
    <t>Wedge Axe (c_mag)</t>
  </si>
  <si>
    <t>Wedge Axe (c_str)</t>
  </si>
  <si>
    <t>Wedge Axe (o_avg)</t>
  </si>
  <si>
    <t>Wedge Axe (o_fin)</t>
  </si>
  <si>
    <t>Wedge Axe (o_mag)</t>
  </si>
  <si>
    <t>Wedge Axe (o_str)</t>
  </si>
  <si>
    <t>Worn Field Axe</t>
  </si>
  <si>
    <t>Worn Full Axe</t>
  </si>
  <si>
    <t>Slowest</t>
  </si>
  <si>
    <t>ax_g_c_2h2b_avg</t>
  </si>
  <si>
    <t>ax_g_c_2h2b_avg:c_fin</t>
  </si>
  <si>
    <t>ax_g_c_2h2b_avg:c_mag</t>
  </si>
  <si>
    <t>ax_g_c_2h2b_avg:c_str</t>
  </si>
  <si>
    <t>ax_g_c_2h2b_avg:o_avg</t>
  </si>
  <si>
    <t>ax_g_c_2h2b_avg:o_fin</t>
  </si>
  <si>
    <t>ax_g_c_2h2b_avg:o_mag</t>
  </si>
  <si>
    <t>ax_g_c_2h2b_avg:o_str</t>
  </si>
  <si>
    <t>ax_carnage</t>
  </si>
  <si>
    <t>ax_g_o_2h2b_low</t>
  </si>
  <si>
    <t>ax_g_c_2h2b_fun</t>
  </si>
  <si>
    <t>ax_g_c_2h1b_fun</t>
  </si>
  <si>
    <t>ax_g_c_1h2b_fun</t>
  </si>
  <si>
    <t>ax_un_2h1b_darkblood</t>
  </si>
  <si>
    <t>ax_un_g_c_1h2b_str</t>
  </si>
  <si>
    <t>ax_d_d_1h1b_avg</t>
  </si>
  <si>
    <t>ax_d_c_2h2b_avg</t>
  </si>
  <si>
    <t>ax_d_d_2h1b_avg</t>
  </si>
  <si>
    <t>ax_d_d_2h2b_avg</t>
  </si>
  <si>
    <t>ax_g_o_2h1b_low</t>
  </si>
  <si>
    <t>ax_g_o_1h2b_fun</t>
  </si>
  <si>
    <t>ax_g_c_1h1b_fun</t>
  </si>
  <si>
    <t>ax_g_c_2h1b_avg</t>
  </si>
  <si>
    <t>ax_g_c_2h1b_avg:c_fin</t>
  </si>
  <si>
    <t>ax_g_c_2h1b_avg:c_mag</t>
  </si>
  <si>
    <t>ax_g_c_2h1b_avg:c_str</t>
  </si>
  <si>
    <t>ax_g_c_2h1b_avg:o_avg</t>
  </si>
  <si>
    <t>ax_g_c_2h1b_avg:o_fin</t>
  </si>
  <si>
    <t>ax_g_c_2h1b_avg:o_mag</t>
  </si>
  <si>
    <t>ax_g_c_2h1b_avg:o_str</t>
  </si>
  <si>
    <t>ax_ra_g_c_2h2b_fin</t>
  </si>
  <si>
    <t>ax_ra_g_c_2h2b_fin:c_mag</t>
  </si>
  <si>
    <t>ax_ra_g_c_2h2b_fin:c_str</t>
  </si>
  <si>
    <t>ax_ra_g_c_2h2b_fin:o_avg</t>
  </si>
  <si>
    <t>ax_ra_g_c_2h2b_fin:o_fin</t>
  </si>
  <si>
    <t>ax_ra_g_c_2h2b_fin:o_str</t>
  </si>
  <si>
    <t>ax_g_d_2h2b_avg</t>
  </si>
  <si>
    <t>ax_g_c_1h2b_avg</t>
  </si>
  <si>
    <t>ax_g_c_1h2b_avg:c_fin</t>
  </si>
  <si>
    <t>ax_g_c_1h2b_avg:c_mag</t>
  </si>
  <si>
    <t>ax_g_c_1h2b_avg:c_str</t>
  </si>
  <si>
    <t>ax_g_c_1h2b_avg:o_avg</t>
  </si>
  <si>
    <t>ax_g_c_1h2b_avg:o_fin</t>
  </si>
  <si>
    <t>ax_g_c_1h2b_avg:o_mag</t>
  </si>
  <si>
    <t>ax_g_c_1h2b_avg:o_str</t>
  </si>
  <si>
    <t>ax_ra_g_c_1h2b_fin</t>
  </si>
  <si>
    <t>ax_ra_g_c_1h2b_fin:c_mag</t>
  </si>
  <si>
    <t>ax_ra_g_c_1h2b_fin:c_str</t>
  </si>
  <si>
    <t>ax_ra_g_c_1h2b_fin:o_fin</t>
  </si>
  <si>
    <t>ax_ra_g_c_1h2b_fin:o_str</t>
  </si>
  <si>
    <t>ax_g_o_1h1b_fun</t>
  </si>
  <si>
    <t>ax_ra_g_c_2h1b_fin</t>
  </si>
  <si>
    <t>ax_ra_g_c_2h1b_fin:c_mag</t>
  </si>
  <si>
    <t>ax_ra_g_c_2h1b_fin:o_fin</t>
  </si>
  <si>
    <t>ax_ra_g_c_2h1b_fin:o_str</t>
  </si>
  <si>
    <t>ax_d_c_1h1b_avg</t>
  </si>
  <si>
    <t>ax_g_d_1h1b_avg</t>
  </si>
  <si>
    <t>ax_d_o_2h1b_avg</t>
  </si>
  <si>
    <t>ax_un_g_c_2h2b_str</t>
  </si>
  <si>
    <t>ax_g_o_2h1b_fun</t>
  </si>
  <si>
    <t>ax_g_o_1h2b_low</t>
  </si>
  <si>
    <t>ax_g_o_1h1b_low</t>
  </si>
  <si>
    <t>ax_ra_g_c_1h1b_fin</t>
  </si>
  <si>
    <t>ax_ra_g_c_1h1b_fin:o_fin</t>
  </si>
  <si>
    <t>ax_ra_g_c_1h1b_fin:o_mag</t>
  </si>
  <si>
    <t>ax_ra_g_c_1h1b_fin:o_str</t>
  </si>
  <si>
    <t>ax_g_c_2h2b_low</t>
  </si>
  <si>
    <t>ax_g_c_1h1b_low</t>
  </si>
  <si>
    <t>scythe_g_1h_avg</t>
  </si>
  <si>
    <t>scythe_g_1h_fun</t>
  </si>
  <si>
    <t>ax_d_o_1h1b_avg</t>
  </si>
  <si>
    <t>ax_un_g_c_1h1b_str</t>
  </si>
  <si>
    <t>scythe_g_1h_mag</t>
  </si>
  <si>
    <t>ax_g_d_2h1b_avg</t>
  </si>
  <si>
    <t>ax_d_c_2h1b_avg</t>
  </si>
  <si>
    <t>ax_g_o_2h2b_fun</t>
  </si>
  <si>
    <t>ax_g_c_1h1b_avg</t>
  </si>
  <si>
    <t>ax_g_c_1h1b_avg:c_fin</t>
  </si>
  <si>
    <t>ax_g_c_1h1b_avg:c_mag</t>
  </si>
  <si>
    <t>ax_g_c_1h1b_avg:c_str</t>
  </si>
  <si>
    <t>ax_g_c_1h1b_avg:o_avg</t>
  </si>
  <si>
    <t>ax_g_c_1h1b_avg:o_fin</t>
  </si>
  <si>
    <t>ax_g_c_1h1b_avg:o_mag</t>
  </si>
  <si>
    <t>ax_g_c_1h1b_avg:o_str</t>
  </si>
  <si>
    <t>ax_g_c_2h1b_low</t>
  </si>
  <si>
    <t>ax_g_c_1h2b_low</t>
  </si>
  <si>
    <t>m_w_axe_085</t>
  </si>
  <si>
    <t>m_w_axe_086</t>
  </si>
  <si>
    <t>m_w_axe_088</t>
  </si>
  <si>
    <t>b_gui_ig_i_w_axe_012</t>
  </si>
  <si>
    <t>b_gui_ig_i_ic_axe_004</t>
  </si>
  <si>
    <t>b_gui_ig_i_w_axe_179</t>
  </si>
  <si>
    <t>b_gui_ig_i_w_axe_</t>
  </si>
  <si>
    <t xml:space="preserve"> b_gui_ig_i_w_axe_180</t>
  </si>
  <si>
    <t>b_gui_ig_i_w_axe_182</t>
  </si>
  <si>
    <t>b_gui_ig_i_w_axe_181</t>
  </si>
  <si>
    <t>b_gui_ig_i_w_axe_185</t>
  </si>
  <si>
    <t>b_gui_ig_i_ic_axe_008</t>
  </si>
  <si>
    <t>b_gui_ig_i_w_axe_187</t>
  </si>
  <si>
    <t>b_gui_ig_i_w_axe_188</t>
  </si>
  <si>
    <t>b_gui_ig_i_w_axe_186</t>
  </si>
  <si>
    <t>b_gui_ig_i_w_axe_139</t>
  </si>
  <si>
    <t>b_gui_ig_i_w_axe_183</t>
  </si>
  <si>
    <t>b_gui_ig_i_w_axe_178</t>
  </si>
  <si>
    <t>b_gui_ig_i_ic_axe_003</t>
  </si>
  <si>
    <t>b_gui_ig_i_w_axe_166</t>
  </si>
  <si>
    <t>b_gui_ig_i_w_axe_154</t>
  </si>
  <si>
    <t>b_gui_ig_i_ic_axe_002</t>
  </si>
  <si>
    <t>b_gui_ig_i_w_axe_12</t>
  </si>
  <si>
    <t>b_gui_ig_i_ic_axe_001</t>
  </si>
  <si>
    <t>b_gui_ig_i_w_axe_138</t>
  </si>
  <si>
    <t>b_gui_ig_i_w_axe_089</t>
  </si>
  <si>
    <t>b_gui_ig_i_w_axe_094</t>
  </si>
  <si>
    <t>b_gui_ig_i_w_axe_90</t>
  </si>
  <si>
    <t>b_gui_ig_i_w_axe_91</t>
  </si>
  <si>
    <t>b_gui_ig_i_w_axe_171</t>
  </si>
  <si>
    <t>b_gui_ig_i_ic_axe_007</t>
  </si>
  <si>
    <t>b_gui_ig_i_w_axe_160</t>
  </si>
  <si>
    <t>b_gui_ig_i_ic_axe_006</t>
  </si>
  <si>
    <t>b_gui_ig_i_w_axe_142</t>
  </si>
  <si>
    <t>b_gui_ig_i_w_axe_167</t>
  </si>
  <si>
    <t>b_gui_ig_i_w_axe_168</t>
  </si>
  <si>
    <t>b_gui_ig_i_w_axe_170</t>
  </si>
  <si>
    <t>b_gui_ig_i_w_axe_169</t>
  </si>
  <si>
    <t>b_gui_ig_i_w_axe_173</t>
  </si>
  <si>
    <t>b_gui_ig_i_w_axe_174</t>
  </si>
  <si>
    <t>b_gui_ig_i_w_axe_176</t>
  </si>
  <si>
    <t>b_gui_ig_i_w_axe_175</t>
  </si>
  <si>
    <t>b_gui_ig_i_w_axe_202</t>
  </si>
  <si>
    <t>b_gui_ig_i_w_axe_207</t>
  </si>
  <si>
    <t>b_gui_ig_i_w_axe_205</t>
  </si>
  <si>
    <t>b_gui_ig_i_w_axe_203</t>
  </si>
  <si>
    <t>b_gui_ig_i_w_axe_204</t>
  </si>
  <si>
    <t>b_gui_ig_i_w_axe_206</t>
  </si>
  <si>
    <t>b_gui_ig_i_w_axe_037</t>
  </si>
  <si>
    <t>b_gui_ig_i_ic_ax_2h2b</t>
  </si>
  <si>
    <t>b_gui_ig_i_w_axe_155</t>
  </si>
  <si>
    <t>b_gui_ig_i_w_axe_156</t>
  </si>
  <si>
    <t>b_gui_ig_i_w_axe_158</t>
  </si>
  <si>
    <t>b_gui_ig_i_w_axe_157</t>
  </si>
  <si>
    <t>b_gui_ig_i_w_axe_161</t>
  </si>
  <si>
    <t>b_gui_ig_i_w_axe_162</t>
  </si>
  <si>
    <t>b_gui_ig_i_w_axe_164</t>
  </si>
  <si>
    <t>b_gui_ig_i_w_axe_163</t>
  </si>
  <si>
    <t>b_gui_ig_i_w_axe_193</t>
  </si>
  <si>
    <t>b_gui_ig_i_w_axe_197</t>
  </si>
  <si>
    <t>b_gui_ig_i_w_axe_196</t>
  </si>
  <si>
    <t>b_gui_ig_i_w_axe_194</t>
  </si>
  <si>
    <t>b_gui_ig_i_w_axe_195</t>
  </si>
  <si>
    <t>b_gui_ig_i_w_axe_148</t>
  </si>
  <si>
    <t>b_gui_ig_i_ic_axe_005</t>
  </si>
  <si>
    <t>b_gui_ig_i_w_axe_201</t>
  </si>
  <si>
    <t>b_gui_ig_i_w_axe_200</t>
  </si>
  <si>
    <t>b_gui_ig_i_w_axe_199</t>
  </si>
  <si>
    <t>b_gui_ig_i_w_axe_198</t>
  </si>
  <si>
    <t>b_gui_ig_i_w_axe_035</t>
  </si>
  <si>
    <t>b_gui_ig_i_w_axe_092</t>
  </si>
  <si>
    <t>b_gui_ig_i_ic_ax_1h1b</t>
  </si>
  <si>
    <t>b_gui_ig_i_w_axe_096</t>
  </si>
  <si>
    <t>b_gui_ig_i_w_axe_172</t>
  </si>
  <si>
    <t>b_gui_ig_i_w_axe_159</t>
  </si>
  <si>
    <t>b_gui_ig_i_w_axe_147</t>
  </si>
  <si>
    <t>b_gui_ig_i_w_axe_189</t>
  </si>
  <si>
    <t>b_gui_ig_i_w_axe_190</t>
  </si>
  <si>
    <t>b_gui_ig_i_w_axe_192</t>
  </si>
  <si>
    <t>b_gui_ig_i_w_axe_191</t>
  </si>
  <si>
    <t>m_w_misc_pickaxe</t>
  </si>
  <si>
    <t>b_gui_ig_i_w_axe_140</t>
  </si>
  <si>
    <t>b_gui_ig_i_w_axe_177</t>
  </si>
  <si>
    <t>m_w_misc_scythe-002</t>
  </si>
  <si>
    <t>b_gui_ig_i_w_msc_011</t>
  </si>
  <si>
    <t>m_w_misc_scythe-003</t>
  </si>
  <si>
    <t>b_gui_ig_i_w_axe_141</t>
  </si>
  <si>
    <t>b_gui_ig_i_w_axe_095</t>
  </si>
  <si>
    <t>b_gui_ig_i_w_axe_137</t>
  </si>
  <si>
    <t>m_w_misc_scythe-001</t>
  </si>
  <si>
    <t>b_gui_ig_i_w_axe_010</t>
  </si>
  <si>
    <t>b_gui_ig_i_w_axe_097</t>
  </si>
  <si>
    <t>b_gui_ig_i_w_axe_036</t>
  </si>
  <si>
    <t>b_gui_ig_i_ic_ax_2h1b</t>
  </si>
  <si>
    <t>b_gui_ig_i_w_axe_093</t>
  </si>
  <si>
    <t>b_gui_ig_i_w_axe_153</t>
  </si>
  <si>
    <t>b_gui_ig_i_w_axe_165</t>
  </si>
  <si>
    <t>b_gui_ig_i_w_axe_143</t>
  </si>
  <si>
    <t>b_gui_ig_i_w_axe_144</t>
  </si>
  <si>
    <t>b_gui_ig_i_w_axe_146</t>
  </si>
  <si>
    <t>b_gui_ig_i_w_axe_145</t>
  </si>
  <si>
    <t>b_gui_ig_i_w_axe_149</t>
  </si>
  <si>
    <t>b_gui_ig_i_w_axe_150</t>
  </si>
  <si>
    <t>b_gui_ig_i_w_axe_152</t>
  </si>
  <si>
    <t>b_gui_ig_i_w_axe_151</t>
  </si>
  <si>
    <t>m_w_axe_029</t>
  </si>
  <si>
    <t>m_w_axe_043</t>
  </si>
  <si>
    <t>m_w_axe_031</t>
  </si>
  <si>
    <t>m_w_axe_024</t>
  </si>
  <si>
    <t>m_w_axe_030</t>
  </si>
  <si>
    <t>m_w_axe_090</t>
  </si>
  <si>
    <t>m_w_axe_049</t>
  </si>
  <si>
    <t>m_w_axe_050</t>
  </si>
  <si>
    <t>m_w_axe_052</t>
  </si>
  <si>
    <t>m_w_axe_057</t>
  </si>
  <si>
    <t>m_w_axe_071</t>
  </si>
  <si>
    <t>m_w_axe_059</t>
  </si>
  <si>
    <t>m_w_axe_087</t>
  </si>
  <si>
    <t>m_w_axe_091</t>
  </si>
  <si>
    <t>m_w_axe_092</t>
  </si>
  <si>
    <t>m_w_axe_094</t>
  </si>
  <si>
    <t>m_w_axe_093</t>
  </si>
  <si>
    <t>m_w_axe_045</t>
  </si>
  <si>
    <t>m_w_axe_089</t>
  </si>
  <si>
    <t>m_w_axe_084</t>
  </si>
  <si>
    <t>m_w_axe_072</t>
  </si>
  <si>
    <t>m_w_axe_060</t>
  </si>
  <si>
    <t>m_w_axe_012</t>
  </si>
  <si>
    <t>m_w_axe_044</t>
  </si>
  <si>
    <t>m_w_axe_077</t>
  </si>
  <si>
    <t>m_w_axe_066</t>
  </si>
  <si>
    <t>m_w_axe_048</t>
  </si>
  <si>
    <t>m_w_axe_073</t>
  </si>
  <si>
    <t>m_w_axe_074</t>
  </si>
  <si>
    <t>m_w_axe_076</t>
  </si>
  <si>
    <t>m_w_axe_075</t>
  </si>
  <si>
    <t>m_w_axe_079</t>
  </si>
  <si>
    <t>m_w_axe_080</t>
  </si>
  <si>
    <t>m_w_axe_082</t>
  </si>
  <si>
    <t>m_w_axe_081</t>
  </si>
  <si>
    <t>m_w_axe_025</t>
  </si>
  <si>
    <t>m_w_axe_061</t>
  </si>
  <si>
    <t>m_w_axe_062</t>
  </si>
  <si>
    <t>m_w_axe_064</t>
  </si>
  <si>
    <t>m_w_axe_063</t>
  </si>
  <si>
    <t>m_w_axe_067</t>
  </si>
  <si>
    <t>m_w_axe_068</t>
  </si>
  <si>
    <t>m_w_axe_070</t>
  </si>
  <si>
    <t>m_w_axe_069</t>
  </si>
  <si>
    <t>m_w_axe_054</t>
  </si>
  <si>
    <t>m_w_axe_023</t>
  </si>
  <si>
    <t>m_w_axe_078</t>
  </si>
  <si>
    <t>m_w_axe_065</t>
  </si>
  <si>
    <t>m_w_axe_053</t>
  </si>
  <si>
    <t>m_w_axe_056</t>
  </si>
  <si>
    <t>m_w_axe_058</t>
  </si>
  <si>
    <t>m_w_axe_083</t>
  </si>
  <si>
    <t>m_w_axe_047</t>
  </si>
  <si>
    <t>m_w_axe_051</t>
  </si>
  <si>
    <t>m_w_axe_055</t>
  </si>
  <si>
    <t>WeaponMinDamage</t>
  </si>
  <si>
    <t>WeaponMaxDamage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</si>
</sst>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8"/>
      <color rgb="FFFFFFFF"/>
      <name val="Arial"/>
      <family val="2"/>
    </font>
    <font>
      <sz val="8"/>
      <color rgb="FFFFFFFF"/>
      <name val="Arial"/>
      <family val="2"/>
    </font>
    <font>
      <i/>
      <sz val="8"/>
      <color rgb="FFFFFFFF"/>
      <name val="Arial"/>
      <family val="2"/>
    </font>
    <font>
      <sz val="7"/>
      <color rgb="FFE6E6E6"/>
      <name val="Arial"/>
      <family val="2"/>
    </font>
    <font>
      <b/>
      <sz val="7"/>
      <color rgb="FFE6E6E6"/>
      <name val="Arial"/>
      <family val="2"/>
    </font>
    <font>
      <i/>
      <sz val="7"/>
      <color rgb="FFE6E6E6"/>
      <name val="Arial"/>
      <family val="2"/>
    </font>
    <font>
      <sz val="8"/>
      <name val="Calibri"/>
      <family val="2"/>
      <scheme val="minor"/>
    </font>
    <font>
      <sz val="9"/>
      <color rgb="FFE6E6E6"/>
      <name val="Arial"/>
      <family val="2"/>
    </font>
    <font>
      <sz val="8"/>
      <color rgb="FFE6E6E6"/>
      <name val="Arial"/>
      <family val="2"/>
    </font>
    <font>
      <i/>
      <sz val="8"/>
      <color rgb="FFE6E6E6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000000"/>
        <bgColor indexed="64"/>
      </patternFill>
    </fill>
    <fill>
      <patternFill patternType="solid">
        <fgColor rgb="FF112233"/>
        <bgColor indexed="64"/>
      </patternFill>
    </fill>
    <fill>
      <patternFill patternType="solid">
        <fgColor rgb="FF333344"/>
        <bgColor indexed="64"/>
      </patternFill>
    </fill>
    <fill>
      <patternFill patternType="solid">
        <fgColor rgb="FF665533"/>
        <bgColor indexed="64"/>
      </patternFill>
    </fill>
    <fill>
      <patternFill patternType="solid">
        <fgColor rgb="FF442211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34998626667073579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8C8C8C"/>
      </left>
      <right style="medium">
        <color rgb="FF8C8C8C"/>
      </right>
      <top style="medium">
        <color rgb="FF8C8C8C"/>
      </top>
      <bottom style="medium">
        <color rgb="FF8C8C8C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15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2" applyNumberFormat="0" applyAlignment="0" applyProtection="0"/>
    <xf numFmtId="0" fontId="12" fillId="19" borderId="5" applyNumberFormat="0" applyAlignment="0" applyProtection="0"/>
    <xf numFmtId="0" fontId="13" fillId="19" borderId="2" applyNumberFormat="0" applyAlignment="0" applyProtection="0"/>
    <xf numFmtId="0" fontId="14" fillId="0" borderId="6" applyNumberFormat="0" applyFill="0" applyAlignment="0" applyProtection="0"/>
    <xf numFmtId="0" fontId="15" fillId="2" borderId="7" applyNumberFormat="0" applyAlignment="0" applyProtection="0"/>
    <xf numFmtId="0" fontId="16" fillId="0" borderId="0" applyNumberFormat="0" applyFill="0" applyBorder="0" applyAlignment="0" applyProtection="0"/>
    <xf numFmtId="0" fontId="1" fillId="20" borderId="8" applyNumberFormat="0" applyFont="0" applyAlignment="0" applyProtection="0"/>
    <xf numFmtId="0" fontId="17" fillId="0" borderId="0" applyNumberFormat="0" applyFill="0" applyBorder="0" applyAlignment="0" applyProtection="0"/>
    <xf numFmtId="0" fontId="4" fillId="0" borderId="9" applyNumberFormat="0" applyFill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" fillId="23" borderId="0" applyNumberFormat="0" applyBorder="0" applyAlignment="0" applyProtection="0"/>
    <xf numFmtId="0" fontId="18" fillId="24" borderId="0" applyNumberFormat="0" applyBorder="0" applyAlignment="0" applyProtection="0"/>
    <xf numFmtId="0" fontId="1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8" fillId="31" borderId="0" applyNumberFormat="0" applyBorder="0" applyAlignment="0" applyProtection="0"/>
    <xf numFmtId="0" fontId="1" fillId="32" borderId="0" applyNumberFormat="0" applyBorder="0" applyAlignment="0" applyProtection="0"/>
  </cellStyleXfs>
  <cellXfs count="98">
    <xf numFmtId="0" fontId="0" fillId="0" borderId="0" xfId="0"/>
    <xf numFmtId="0" fontId="0" fillId="0" borderId="0" xfId="0" applyAlignment="1">
      <alignment horizontal="center"/>
    </xf>
    <xf numFmtId="0" fontId="3" fillId="0" borderId="1" xfId="2"/>
    <xf numFmtId="0" fontId="2" fillId="2" borderId="1" xfId="1" applyFill="1" applyBorder="1"/>
    <xf numFmtId="0" fontId="1" fillId="3" borderId="0" xfId="3"/>
    <xf numFmtId="0" fontId="1" fillId="4" borderId="0" xfId="4"/>
    <xf numFmtId="0" fontId="1" fillId="5" borderId="0" xfId="5"/>
    <xf numFmtId="0" fontId="1" fillId="7" borderId="0" xfId="7"/>
    <xf numFmtId="0" fontId="1" fillId="9" borderId="0" xfId="9"/>
    <xf numFmtId="0" fontId="1" fillId="12" borderId="0" xfId="12"/>
    <xf numFmtId="0" fontId="1" fillId="11" borderId="0" xfId="11"/>
    <xf numFmtId="0" fontId="1" fillId="10" borderId="0" xfId="10"/>
    <xf numFmtId="0" fontId="1" fillId="6" borderId="0" xfId="6"/>
    <xf numFmtId="0" fontId="1" fillId="8" borderId="0" xfId="8"/>
    <xf numFmtId="0" fontId="1" fillId="14" borderId="0" xfId="14"/>
    <xf numFmtId="0" fontId="1" fillId="13" borderId="0" xfId="13"/>
    <xf numFmtId="0" fontId="0" fillId="4" borderId="0" xfId="4" applyFont="1"/>
    <xf numFmtId="49" fontId="0" fillId="0" borderId="0" xfId="0" applyNumberFormat="1"/>
    <xf numFmtId="49" fontId="3" fillId="0" borderId="1" xfId="2" applyNumberFormat="1"/>
    <xf numFmtId="0" fontId="0" fillId="0" borderId="0" xfId="0" applyNumberFormat="1" applyAlignment="1">
      <alignment horizontal="center"/>
    </xf>
    <xf numFmtId="0" fontId="4" fillId="10" borderId="0" xfId="10" applyFont="1"/>
    <xf numFmtId="0" fontId="1" fillId="10" borderId="0" xfId="10" applyAlignment="1">
      <alignment horizontal="left"/>
    </xf>
    <xf numFmtId="0" fontId="0" fillId="0" borderId="0" xfId="0" applyAlignment="1">
      <alignment horizontal="left"/>
    </xf>
    <xf numFmtId="0" fontId="0" fillId="0" borderId="0" xfId="0"/>
    <xf numFmtId="0" fontId="21" fillId="34" borderId="10" xfId="0" applyFont="1" applyFill="1" applyBorder="1" applyAlignment="1">
      <alignment vertical="center" wrapText="1"/>
    </xf>
    <xf numFmtId="0" fontId="21" fillId="35" borderId="10" xfId="0" applyFont="1" applyFill="1" applyBorder="1" applyAlignment="1">
      <alignment vertical="center" wrapText="1"/>
    </xf>
    <xf numFmtId="0" fontId="21" fillId="34" borderId="11" xfId="0" applyFont="1" applyFill="1" applyBorder="1" applyAlignment="1">
      <alignment vertical="center" wrapText="1"/>
    </xf>
    <xf numFmtId="0" fontId="21" fillId="35" borderId="11" xfId="0" applyFont="1" applyFill="1" applyBorder="1" applyAlignment="1">
      <alignment vertical="center" wrapText="1"/>
    </xf>
    <xf numFmtId="0" fontId="21" fillId="36" borderId="11" xfId="0" applyFont="1" applyFill="1" applyBorder="1" applyAlignment="1">
      <alignment vertical="center" wrapText="1"/>
    </xf>
    <xf numFmtId="0" fontId="21" fillId="37" borderId="11" xfId="0" applyFont="1" applyFill="1" applyBorder="1" applyAlignment="1">
      <alignment vertical="center" wrapText="1"/>
    </xf>
    <xf numFmtId="0" fontId="20" fillId="33" borderId="10" xfId="0" applyFont="1" applyFill="1" applyBorder="1" applyAlignment="1">
      <alignment horizontal="center" vertical="center" wrapText="1"/>
    </xf>
    <xf numFmtId="0" fontId="22" fillId="34" borderId="10" xfId="0" applyFont="1" applyFill="1" applyBorder="1" applyAlignment="1">
      <alignment vertical="center" wrapText="1"/>
    </xf>
    <xf numFmtId="0" fontId="22" fillId="34" borderId="11" xfId="0" applyFont="1" applyFill="1" applyBorder="1" applyAlignment="1">
      <alignment vertical="center" wrapText="1"/>
    </xf>
    <xf numFmtId="0" fontId="22" fillId="35" borderId="11" xfId="0" applyFont="1" applyFill="1" applyBorder="1" applyAlignment="1">
      <alignment vertical="center" wrapText="1"/>
    </xf>
    <xf numFmtId="0" fontId="22" fillId="36" borderId="11" xfId="0" applyFont="1" applyFill="1" applyBorder="1" applyAlignment="1">
      <alignment vertical="center" wrapText="1"/>
    </xf>
    <xf numFmtId="0" fontId="22" fillId="37" borderId="11" xfId="0" applyFont="1" applyFill="1" applyBorder="1" applyAlignment="1">
      <alignment vertical="center" wrapText="1"/>
    </xf>
    <xf numFmtId="0" fontId="0" fillId="0" borderId="0" xfId="0" applyNumberFormat="1"/>
    <xf numFmtId="0" fontId="21" fillId="34" borderId="11" xfId="0" applyFont="1" applyFill="1" applyBorder="1" applyAlignment="1">
      <alignment horizontal="left" vertical="top"/>
    </xf>
    <xf numFmtId="0" fontId="21" fillId="35" borderId="11" xfId="0" applyFont="1" applyFill="1" applyBorder="1" applyAlignment="1">
      <alignment horizontal="left" vertical="top"/>
    </xf>
    <xf numFmtId="0" fontId="21" fillId="36" borderId="11" xfId="0" applyFont="1" applyFill="1" applyBorder="1" applyAlignment="1">
      <alignment horizontal="left" vertical="top"/>
    </xf>
    <xf numFmtId="0" fontId="21" fillId="37" borderId="11" xfId="0" applyFont="1" applyFill="1" applyBorder="1" applyAlignment="1">
      <alignment horizontal="left" vertical="top"/>
    </xf>
    <xf numFmtId="0" fontId="0" fillId="0" borderId="0" xfId="0" applyAlignment="1">
      <alignment vertical="center"/>
    </xf>
    <xf numFmtId="0" fontId="21" fillId="34" borderId="11" xfId="0" applyFont="1" applyFill="1" applyBorder="1" applyAlignment="1">
      <alignment horizontal="left" vertical="center"/>
    </xf>
    <xf numFmtId="0" fontId="21" fillId="34" borderId="11" xfId="0" applyFont="1" applyFill="1" applyBorder="1" applyAlignment="1">
      <alignment horizontal="center" vertical="center" wrapText="1"/>
    </xf>
    <xf numFmtId="0" fontId="21" fillId="34" borderId="10" xfId="0" applyFont="1" applyFill="1" applyBorder="1" applyAlignment="1">
      <alignment horizontal="center" vertical="center" wrapText="1"/>
    </xf>
    <xf numFmtId="0" fontId="21" fillId="35" borderId="11" xfId="0" applyFont="1" applyFill="1" applyBorder="1" applyAlignment="1">
      <alignment horizontal="center" vertical="center" wrapText="1"/>
    </xf>
    <xf numFmtId="0" fontId="21" fillId="36" borderId="11" xfId="0" applyFont="1" applyFill="1" applyBorder="1" applyAlignment="1">
      <alignment horizontal="center" vertical="center" wrapText="1"/>
    </xf>
    <xf numFmtId="0" fontId="21" fillId="37" borderId="11" xfId="0" applyFont="1" applyFill="1" applyBorder="1" applyAlignment="1">
      <alignment horizontal="center" vertical="center" wrapText="1"/>
    </xf>
    <xf numFmtId="0" fontId="20" fillId="33" borderId="10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21" fillId="35" borderId="11" xfId="0" applyFont="1" applyFill="1" applyBorder="1" applyAlignment="1">
      <alignment horizontal="left" vertical="center"/>
    </xf>
    <xf numFmtId="0" fontId="21" fillId="36" borderId="11" xfId="0" applyFont="1" applyFill="1" applyBorder="1" applyAlignment="1">
      <alignment horizontal="left" vertical="center"/>
    </xf>
    <xf numFmtId="0" fontId="21" fillId="37" borderId="11" xfId="0" applyFont="1" applyFill="1" applyBorder="1" applyAlignment="1">
      <alignment horizontal="left" vertical="center"/>
    </xf>
    <xf numFmtId="0" fontId="21" fillId="34" borderId="10" xfId="0" applyFont="1" applyFill="1" applyBorder="1" applyAlignment="1">
      <alignment horizontal="left" vertical="center"/>
    </xf>
    <xf numFmtId="0" fontId="22" fillId="34" borderId="11" xfId="0" applyFont="1" applyFill="1" applyBorder="1" applyAlignment="1">
      <alignment horizontal="center" vertical="center" wrapText="1"/>
    </xf>
    <xf numFmtId="0" fontId="22" fillId="34" borderId="10" xfId="0" applyFont="1" applyFill="1" applyBorder="1" applyAlignment="1">
      <alignment horizontal="center" vertical="center" wrapText="1"/>
    </xf>
    <xf numFmtId="0" fontId="22" fillId="35" borderId="11" xfId="0" applyFont="1" applyFill="1" applyBorder="1" applyAlignment="1">
      <alignment horizontal="center" vertical="center" wrapText="1"/>
    </xf>
    <xf numFmtId="0" fontId="22" fillId="36" borderId="11" xfId="0" applyFont="1" applyFill="1" applyBorder="1" applyAlignment="1">
      <alignment horizontal="center" vertical="center" wrapText="1"/>
    </xf>
    <xf numFmtId="0" fontId="22" fillId="37" borderId="11" xfId="0" applyFont="1" applyFill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1" fillId="35" borderId="10" xfId="0" applyFont="1" applyFill="1" applyBorder="1" applyAlignment="1">
      <alignment horizontal="center" vertical="center" wrapText="1"/>
    </xf>
    <xf numFmtId="0" fontId="21" fillId="36" borderId="10" xfId="0" applyFont="1" applyFill="1" applyBorder="1" applyAlignment="1">
      <alignment horizontal="center" vertical="center" wrapText="1"/>
    </xf>
    <xf numFmtId="0" fontId="21" fillId="37" borderId="10" xfId="0" applyFont="1" applyFill="1" applyBorder="1" applyAlignment="1">
      <alignment horizontal="center" vertical="center" wrapText="1"/>
    </xf>
    <xf numFmtId="0" fontId="22" fillId="35" borderId="10" xfId="0" applyFont="1" applyFill="1" applyBorder="1" applyAlignment="1">
      <alignment vertical="center" wrapText="1"/>
    </xf>
    <xf numFmtId="0" fontId="23" fillId="38" borderId="12" xfId="0" applyFont="1" applyFill="1" applyBorder="1" applyAlignment="1">
      <alignment vertical="center"/>
    </xf>
    <xf numFmtId="0" fontId="25" fillId="38" borderId="12" xfId="0" applyFont="1" applyFill="1" applyBorder="1" applyAlignment="1">
      <alignment vertical="center"/>
    </xf>
    <xf numFmtId="0" fontId="20" fillId="33" borderId="13" xfId="0" applyFont="1" applyFill="1" applyBorder="1" applyAlignment="1">
      <alignment horizontal="center" vertical="center" wrapText="1"/>
    </xf>
    <xf numFmtId="49" fontId="20" fillId="33" borderId="10" xfId="0" applyNumberFormat="1" applyFont="1" applyFill="1" applyBorder="1" applyAlignment="1">
      <alignment horizontal="center" vertical="center" wrapText="1"/>
    </xf>
    <xf numFmtId="0" fontId="23" fillId="38" borderId="12" xfId="0" applyFont="1" applyFill="1" applyBorder="1" applyAlignment="1">
      <alignment horizontal="center" vertical="center"/>
    </xf>
    <xf numFmtId="49" fontId="23" fillId="38" borderId="12" xfId="0" applyNumberFormat="1" applyFont="1" applyFill="1" applyBorder="1" applyAlignment="1">
      <alignment horizontal="center" vertical="center"/>
    </xf>
    <xf numFmtId="0" fontId="24" fillId="38" borderId="12" xfId="0" applyFont="1" applyFill="1" applyBorder="1" applyAlignment="1">
      <alignment horizontal="center" vertical="center"/>
    </xf>
    <xf numFmtId="0" fontId="25" fillId="38" borderId="12" xfId="0" applyFont="1" applyFill="1" applyBorder="1" applyAlignment="1">
      <alignment horizontal="center" vertical="center"/>
    </xf>
    <xf numFmtId="0" fontId="23" fillId="38" borderId="12" xfId="0" applyFont="1" applyFill="1" applyBorder="1" applyAlignment="1">
      <alignment horizontal="left" vertical="center"/>
    </xf>
    <xf numFmtId="0" fontId="22" fillId="36" borderId="10" xfId="0" applyFont="1" applyFill="1" applyBorder="1" applyAlignment="1">
      <alignment vertical="center" wrapText="1"/>
    </xf>
    <xf numFmtId="0" fontId="22" fillId="37" borderId="10" xfId="0" applyFont="1" applyFill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21" fillId="39" borderId="10" xfId="0" applyFont="1" applyFill="1" applyBorder="1" applyAlignment="1">
      <alignment horizontal="center" vertical="center" wrapText="1"/>
    </xf>
    <xf numFmtId="0" fontId="21" fillId="39" borderId="10" xfId="0" applyFont="1" applyFill="1" applyBorder="1" applyAlignment="1">
      <alignment vertical="center" wrapText="1"/>
    </xf>
    <xf numFmtId="0" fontId="22" fillId="39" borderId="10" xfId="0" applyFont="1" applyFill="1" applyBorder="1" applyAlignment="1">
      <alignment vertical="center" wrapText="1"/>
    </xf>
    <xf numFmtId="0" fontId="20" fillId="40" borderId="10" xfId="0" applyFont="1" applyFill="1" applyBorder="1" applyAlignment="1">
      <alignment horizontal="center" vertical="center" wrapText="1"/>
    </xf>
    <xf numFmtId="0" fontId="27" fillId="33" borderId="10" xfId="0" applyFont="1" applyFill="1" applyBorder="1" applyAlignment="1">
      <alignment horizontal="center" wrapText="1"/>
    </xf>
    <xf numFmtId="0" fontId="28" fillId="33" borderId="10" xfId="0" applyFont="1" applyFill="1" applyBorder="1" applyAlignment="1">
      <alignment vertical="center"/>
    </xf>
    <xf numFmtId="49" fontId="28" fillId="33" borderId="10" xfId="0" applyNumberFormat="1" applyFont="1" applyFill="1" applyBorder="1" applyAlignment="1">
      <alignment vertical="center"/>
    </xf>
    <xf numFmtId="0" fontId="0" fillId="0" borderId="0" xfId="0" applyAlignment="1">
      <alignment horizontal="center" wrapText="1"/>
    </xf>
    <xf numFmtId="0" fontId="28" fillId="33" borderId="10" xfId="0" applyFont="1" applyFill="1" applyBorder="1" applyAlignment="1">
      <alignment horizontal="center" vertical="center"/>
    </xf>
    <xf numFmtId="0" fontId="29" fillId="33" borderId="10" xfId="0" applyFont="1" applyFill="1" applyBorder="1" applyAlignment="1">
      <alignment horizontal="center" vertical="center"/>
    </xf>
    <xf numFmtId="49" fontId="28" fillId="33" borderId="10" xfId="0" applyNumberFormat="1" applyFont="1" applyFill="1" applyBorder="1" applyAlignment="1">
      <alignment horizontal="center" vertical="center"/>
    </xf>
    <xf numFmtId="49" fontId="23" fillId="38" borderId="12" xfId="0" applyNumberFormat="1" applyFont="1" applyFill="1" applyBorder="1" applyAlignment="1">
      <alignment vertical="center"/>
    </xf>
    <xf numFmtId="0" fontId="20" fillId="33" borderId="13" xfId="0" applyFont="1" applyFill="1" applyBorder="1" applyAlignment="1">
      <alignment horizontal="left" vertical="center" wrapText="1"/>
    </xf>
    <xf numFmtId="0" fontId="21" fillId="34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21" fillId="34" borderId="10" xfId="0" applyFont="1" applyFill="1" applyBorder="1" applyAlignment="1">
      <alignment horizontal="center" vertical="center" wrapText="1"/>
    </xf>
    <xf numFmtId="0" fontId="20" fillId="33" borderId="13" xfId="0" applyFont="1" applyFill="1" applyBorder="1" applyAlignment="1">
      <alignment horizontal="center" vertical="center" wrapText="1"/>
    </xf>
    <xf numFmtId="0" fontId="23" fillId="38" borderId="12" xfId="0" applyFont="1" applyFill="1" applyBorder="1" applyAlignment="1">
      <alignment horizontal="left" vertical="center"/>
    </xf>
    <xf numFmtId="0" fontId="21" fillId="34" borderId="10" xfId="0" applyFont="1" applyFill="1" applyBorder="1" applyAlignment="1">
      <alignment horizontal="center" vertical="center" wrapText="1"/>
    </xf>
    <xf numFmtId="0" fontId="23" fillId="38" borderId="12" xfId="0" applyFont="1" applyFill="1" applyBorder="1" applyAlignment="1">
      <alignment horizontal="center" vertical="center"/>
    </xf>
    <xf numFmtId="0" fontId="23" fillId="38" borderId="12" xfId="0" applyFont="1" applyFill="1" applyBorder="1" applyAlignment="1">
      <alignment horizontal="left" vertical="center"/>
    </xf>
  </cellXfs>
  <cellStyles count="42">
    <cellStyle name="20% - Accent1" xfId="3" builtinId="30" customBuiltin="1"/>
    <cellStyle name="20% - Accent2" xfId="32" builtinId="34" customBuiltin="1"/>
    <cellStyle name="20% - Accent3" xfId="34" builtinId="38" customBuiltin="1"/>
    <cellStyle name="20% - Accent4" xfId="10" builtinId="42" customBuiltin="1"/>
    <cellStyle name="20% - Accent5" xfId="37" builtinId="46" customBuiltin="1"/>
    <cellStyle name="20% - Accent6" xfId="41" builtinId="50" customBuiltin="1"/>
    <cellStyle name="40% - Accent1" xfId="4" builtinId="31" customBuiltin="1"/>
    <cellStyle name="40% - Accent2" xfId="6" builtinId="35" customBuiltin="1"/>
    <cellStyle name="40% - Accent3" xfId="8" builtinId="39" customBuiltin="1"/>
    <cellStyle name="40% - Accent4" xfId="11" builtinId="43" customBuiltin="1"/>
    <cellStyle name="40% - Accent5" xfId="38" builtinId="47" customBuiltin="1"/>
    <cellStyle name="40% - Accent6" xfId="13" builtinId="51" customBuiltin="1"/>
    <cellStyle name="60% - Accent1" xfId="5" builtinId="32" customBuiltin="1"/>
    <cellStyle name="60% - Accent2" xfId="7" builtinId="36" customBuiltin="1"/>
    <cellStyle name="60% - Accent3" xfId="9" builtinId="40" customBuiltin="1"/>
    <cellStyle name="60% - Accent4" xfId="12" builtinId="44" customBuiltin="1"/>
    <cellStyle name="60% - Accent5" xfId="39" builtinId="48" customBuiltin="1"/>
    <cellStyle name="60% - Accent6" xfId="14" builtinId="52" customBuiltin="1"/>
    <cellStyle name="Accent1" xfId="30" builtinId="29" customBuiltin="1"/>
    <cellStyle name="Accent2" xfId="31" builtinId="33" customBuiltin="1"/>
    <cellStyle name="Accent3" xfId="33" builtinId="37" customBuiltin="1"/>
    <cellStyle name="Accent4" xfId="35" builtinId="41" customBuiltin="1"/>
    <cellStyle name="Accent5" xfId="36" builtinId="45" customBuiltin="1"/>
    <cellStyle name="Accent6" xfId="40" builtinId="49" customBuiltin="1"/>
    <cellStyle name="Bad" xfId="19" builtinId="27" customBuiltin="1"/>
    <cellStyle name="Calculation" xfId="23" builtinId="22" customBuiltin="1"/>
    <cellStyle name="Check Cell" xfId="25" builtinId="23" customBuiltin="1"/>
    <cellStyle name="Explanatory Text" xfId="28" builtinId="53" customBuiltin="1"/>
    <cellStyle name="Good" xfId="18" builtinId="26" customBuiltin="1"/>
    <cellStyle name="Heading 1" xfId="2" builtinId="16" customBuiltin="1"/>
    <cellStyle name="Heading 2" xfId="15" builtinId="17" customBuiltin="1"/>
    <cellStyle name="Heading 3" xfId="16" builtinId="18" customBuiltin="1"/>
    <cellStyle name="Heading 4" xfId="17" builtinId="19" customBuiltin="1"/>
    <cellStyle name="Input" xfId="21" builtinId="20" customBuiltin="1"/>
    <cellStyle name="Linked Cell" xfId="24" builtinId="24" customBuiltin="1"/>
    <cellStyle name="Neutral" xfId="20" builtinId="28" customBuiltin="1"/>
    <cellStyle name="Normal" xfId="0" builtinId="0"/>
    <cellStyle name="Note" xfId="27" builtinId="10" customBuiltin="1"/>
    <cellStyle name="Output" xfId="22" builtinId="21" customBuiltin="1"/>
    <cellStyle name="Title" xfId="1" builtinId="15" customBuiltin="1"/>
    <cellStyle name="Total" xfId="29" builtinId="25" customBuiltin="1"/>
    <cellStyle name="Warning Text" xfId="2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28575</xdr:rowOff>
        </xdr:from>
        <xdr:to>
          <xdr:col>0</xdr:col>
          <xdr:colOff>838200</xdr:colOff>
          <xdr:row>0</xdr:row>
          <xdr:rowOff>314325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2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28575</xdr:rowOff>
        </xdr:from>
        <xdr:to>
          <xdr:col>0</xdr:col>
          <xdr:colOff>838200</xdr:colOff>
          <xdr:row>0</xdr:row>
          <xdr:rowOff>314325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3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28575</xdr:rowOff>
        </xdr:from>
        <xdr:to>
          <xdr:col>0</xdr:col>
          <xdr:colOff>838200</xdr:colOff>
          <xdr:row>0</xdr:row>
          <xdr:rowOff>314325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04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28575</xdr:rowOff>
        </xdr:from>
        <xdr:to>
          <xdr:col>0</xdr:col>
          <xdr:colOff>838200</xdr:colOff>
          <xdr:row>0</xdr:row>
          <xdr:rowOff>314325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5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9525</xdr:rowOff>
        </xdr:from>
        <xdr:to>
          <xdr:col>0</xdr:col>
          <xdr:colOff>981075</xdr:colOff>
          <xdr:row>0</xdr:row>
          <xdr:rowOff>295275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6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28575</xdr:rowOff>
        </xdr:from>
        <xdr:to>
          <xdr:col>0</xdr:col>
          <xdr:colOff>838200</xdr:colOff>
          <xdr:row>0</xdr:row>
          <xdr:rowOff>314325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7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0</xdr:col>
          <xdr:colOff>1000125</xdr:colOff>
          <xdr:row>0</xdr:row>
          <xdr:rowOff>285750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8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28575</xdr:rowOff>
        </xdr:from>
        <xdr:to>
          <xdr:col>0</xdr:col>
          <xdr:colOff>838200</xdr:colOff>
          <xdr:row>0</xdr:row>
          <xdr:rowOff>314325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9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0</xdr:col>
          <xdr:colOff>1085850</xdr:colOff>
          <xdr:row>0</xdr:row>
          <xdr:rowOff>285750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0</xdr:col>
          <xdr:colOff>600075</xdr:colOff>
          <xdr:row>0</xdr:row>
          <xdr:rowOff>390525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1085850</xdr:colOff>
          <xdr:row>1</xdr:row>
          <xdr:rowOff>285750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1085850</xdr:colOff>
          <xdr:row>0</xdr:row>
          <xdr:rowOff>285750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D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0</xdr:col>
          <xdr:colOff>1009650</xdr:colOff>
          <xdr:row>0</xdr:row>
          <xdr:rowOff>409575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E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47625</xdr:rowOff>
        </xdr:from>
        <xdr:to>
          <xdr:col>0</xdr:col>
          <xdr:colOff>933450</xdr:colOff>
          <xdr:row>0</xdr:row>
          <xdr:rowOff>285750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F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47625</xdr:rowOff>
        </xdr:from>
        <xdr:to>
          <xdr:col>0</xdr:col>
          <xdr:colOff>1009650</xdr:colOff>
          <xdr:row>0</xdr:row>
          <xdr:rowOff>285750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1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47625</xdr:rowOff>
        </xdr:from>
        <xdr:to>
          <xdr:col>0</xdr:col>
          <xdr:colOff>885825</xdr:colOff>
          <xdr:row>0</xdr:row>
          <xdr:rowOff>323850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47625</xdr:rowOff>
        </xdr:from>
        <xdr:to>
          <xdr:col>0</xdr:col>
          <xdr:colOff>838200</xdr:colOff>
          <xdr:row>0</xdr:row>
          <xdr:rowOff>285750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5724525</xdr:colOff>
          <xdr:row>0</xdr:row>
          <xdr:rowOff>76200</xdr:rowOff>
        </xdr:from>
        <xdr:to>
          <xdr:col>3</xdr:col>
          <xdr:colOff>7000875</xdr:colOff>
          <xdr:row>0</xdr:row>
          <xdr:rowOff>323850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SetStyle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1</xdr:row>
          <xdr:rowOff>104775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0</xdr:col>
          <xdr:colOff>1133475</xdr:colOff>
          <xdr:row>0</xdr:row>
          <xdr:rowOff>400050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14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133350</xdr:colOff>
          <xdr:row>0</xdr:row>
          <xdr:rowOff>66675</xdr:rowOff>
        </xdr:from>
        <xdr:to>
          <xdr:col>12</xdr:col>
          <xdr:colOff>190500</xdr:colOff>
          <xdr:row>1</xdr:row>
          <xdr:rowOff>104775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14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SetStyle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9525</xdr:rowOff>
        </xdr:from>
        <xdr:to>
          <xdr:col>0</xdr:col>
          <xdr:colOff>962025</xdr:colOff>
          <xdr:row>1</xdr:row>
          <xdr:rowOff>19050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7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1019175</xdr:colOff>
          <xdr:row>0</xdr:row>
          <xdr:rowOff>428625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9721A-75EE-4691-86FD-47FD5B490DCF}">
  <sheetPr codeName="Sheet1"/>
  <dimension ref="D1:X32"/>
  <sheetViews>
    <sheetView workbookViewId="0"/>
  </sheetViews>
  <sheetFormatPr defaultRowHeight="15" x14ac:dyDescent="0.25"/>
  <cols>
    <col min="18" max="18" width="11.42578125" customWidth="1"/>
    <col min="22" max="22" width="16.28515625" bestFit="1" customWidth="1"/>
    <col min="23" max="23" width="13.28515625" customWidth="1"/>
    <col min="24" max="24" width="12.5703125" bestFit="1" customWidth="1"/>
  </cols>
  <sheetData>
    <row r="1" spans="4:24" ht="20.25" thickBot="1" x14ac:dyDescent="0.35">
      <c r="V1" s="18" t="s">
        <v>398</v>
      </c>
      <c r="W1" s="18" t="s">
        <v>399</v>
      </c>
      <c r="X1" s="18" t="s">
        <v>400</v>
      </c>
    </row>
    <row r="2" spans="4:24" ht="15.75" thickTop="1" x14ac:dyDescent="0.25">
      <c r="I2" s="17"/>
      <c r="R2">
        <f>HEX2DEC($V$1)*U2+HEX2DEC($W$1)* T2 + S2* HEX2DEC($X$1)</f>
        <v>16777216</v>
      </c>
      <c r="S2">
        <v>0</v>
      </c>
      <c r="T2">
        <v>0</v>
      </c>
      <c r="U2">
        <v>1</v>
      </c>
      <c r="V2" s="6" t="s">
        <v>361</v>
      </c>
      <c r="W2" s="5" t="s">
        <v>366</v>
      </c>
      <c r="X2" s="4" t="s">
        <v>368</v>
      </c>
    </row>
    <row r="3" spans="4:24" x14ac:dyDescent="0.25">
      <c r="I3" s="17"/>
      <c r="R3">
        <f t="shared" ref="R3:R12" si="0">HEX2DEC($V$1)*U3+HEX2DEC($W$1)* T3 + S3* HEX2DEC($X$1)</f>
        <v>16842752</v>
      </c>
      <c r="S3">
        <v>1</v>
      </c>
      <c r="T3">
        <v>0</v>
      </c>
      <c r="U3">
        <v>1</v>
      </c>
      <c r="V3" s="6" t="s">
        <v>361</v>
      </c>
      <c r="W3" s="5" t="s">
        <v>366</v>
      </c>
      <c r="X3" s="4" t="s">
        <v>369</v>
      </c>
    </row>
    <row r="4" spans="4:24" x14ac:dyDescent="0.25">
      <c r="I4" s="17"/>
      <c r="R4">
        <f t="shared" si="0"/>
        <v>16908288</v>
      </c>
      <c r="S4">
        <v>2</v>
      </c>
      <c r="T4">
        <v>0</v>
      </c>
      <c r="U4">
        <v>1</v>
      </c>
      <c r="V4" s="6" t="s">
        <v>361</v>
      </c>
      <c r="W4" s="5" t="s">
        <v>366</v>
      </c>
      <c r="X4" s="4" t="s">
        <v>370</v>
      </c>
    </row>
    <row r="5" spans="4:24" x14ac:dyDescent="0.25">
      <c r="I5" s="17"/>
      <c r="R5">
        <f t="shared" si="0"/>
        <v>16973824</v>
      </c>
      <c r="S5">
        <v>3</v>
      </c>
      <c r="T5">
        <v>0</v>
      </c>
      <c r="U5">
        <v>1</v>
      </c>
      <c r="V5" s="6" t="s">
        <v>361</v>
      </c>
      <c r="W5" s="5" t="s">
        <v>366</v>
      </c>
      <c r="X5" s="4" t="s">
        <v>371</v>
      </c>
    </row>
    <row r="6" spans="4:24" x14ac:dyDescent="0.25">
      <c r="I6" s="17"/>
      <c r="R6">
        <f t="shared" si="0"/>
        <v>17825792</v>
      </c>
      <c r="T6">
        <v>1</v>
      </c>
      <c r="U6">
        <v>1</v>
      </c>
      <c r="V6" s="6" t="s">
        <v>361</v>
      </c>
      <c r="W6" s="5" t="s">
        <v>372</v>
      </c>
    </row>
    <row r="7" spans="4:24" x14ac:dyDescent="0.25">
      <c r="I7" s="17"/>
      <c r="R7">
        <f t="shared" si="0"/>
        <v>18874368</v>
      </c>
      <c r="T7">
        <v>2</v>
      </c>
      <c r="U7">
        <v>1</v>
      </c>
      <c r="V7" s="6" t="s">
        <v>361</v>
      </c>
      <c r="W7" s="5" t="s">
        <v>373</v>
      </c>
    </row>
    <row r="8" spans="4:24" x14ac:dyDescent="0.25">
      <c r="D8" s="17"/>
      <c r="E8" s="17"/>
      <c r="I8" s="17"/>
      <c r="R8">
        <f t="shared" si="0"/>
        <v>19922944</v>
      </c>
      <c r="T8">
        <v>3</v>
      </c>
      <c r="U8">
        <v>1</v>
      </c>
      <c r="V8" s="6" t="s">
        <v>361</v>
      </c>
      <c r="W8" s="5" t="s">
        <v>374</v>
      </c>
    </row>
    <row r="9" spans="4:24" x14ac:dyDescent="0.25">
      <c r="I9" s="17"/>
      <c r="R9">
        <f t="shared" si="0"/>
        <v>20971520</v>
      </c>
      <c r="T9">
        <v>4</v>
      </c>
      <c r="U9">
        <v>1</v>
      </c>
      <c r="V9" s="6" t="s">
        <v>361</v>
      </c>
      <c r="W9" s="16" t="s">
        <v>375</v>
      </c>
    </row>
    <row r="10" spans="4:24" x14ac:dyDescent="0.25">
      <c r="I10" s="17"/>
      <c r="R10">
        <f t="shared" si="0"/>
        <v>33554432</v>
      </c>
      <c r="T10">
        <v>0</v>
      </c>
      <c r="U10">
        <v>2</v>
      </c>
      <c r="V10" s="7" t="s">
        <v>362</v>
      </c>
      <c r="W10" s="12" t="s">
        <v>376</v>
      </c>
    </row>
    <row r="11" spans="4:24" x14ac:dyDescent="0.25">
      <c r="I11" s="17"/>
      <c r="R11">
        <f t="shared" si="0"/>
        <v>50331648</v>
      </c>
      <c r="T11">
        <v>0</v>
      </c>
      <c r="U11">
        <v>3</v>
      </c>
      <c r="V11" s="8" t="s">
        <v>363</v>
      </c>
      <c r="W11" s="13" t="s">
        <v>669</v>
      </c>
      <c r="X11" s="23"/>
    </row>
    <row r="12" spans="4:24" x14ac:dyDescent="0.25">
      <c r="I12" s="17"/>
      <c r="R12">
        <f t="shared" si="0"/>
        <v>51380224</v>
      </c>
      <c r="T12">
        <v>1</v>
      </c>
      <c r="U12">
        <v>3</v>
      </c>
      <c r="V12" s="6" t="s">
        <v>363</v>
      </c>
      <c r="W12" s="16" t="s">
        <v>670</v>
      </c>
      <c r="X12" s="23"/>
    </row>
    <row r="13" spans="4:24" x14ac:dyDescent="0.25">
      <c r="I13" s="17"/>
      <c r="R13">
        <f t="shared" ref="R13:R29" si="1">HEX2DEC($V$1)*U13+HEX2DEC($W$1)* T13 + S13* HEX2DEC($X$1)</f>
        <v>67108864</v>
      </c>
      <c r="T13">
        <v>0</v>
      </c>
      <c r="U13">
        <v>4</v>
      </c>
      <c r="V13" s="9" t="s">
        <v>364</v>
      </c>
      <c r="W13" s="10" t="s">
        <v>378</v>
      </c>
    </row>
    <row r="14" spans="4:24" x14ac:dyDescent="0.25">
      <c r="I14" s="17"/>
      <c r="R14">
        <f t="shared" si="1"/>
        <v>68157440</v>
      </c>
      <c r="T14">
        <v>1</v>
      </c>
      <c r="U14">
        <v>4</v>
      </c>
      <c r="V14" s="9" t="s">
        <v>364</v>
      </c>
      <c r="W14" s="10" t="s">
        <v>367</v>
      </c>
      <c r="X14" s="11" t="s">
        <v>379</v>
      </c>
    </row>
    <row r="15" spans="4:24" x14ac:dyDescent="0.25">
      <c r="I15" s="17"/>
      <c r="R15">
        <f t="shared" si="1"/>
        <v>69206016</v>
      </c>
      <c r="T15">
        <v>2</v>
      </c>
      <c r="U15">
        <v>4</v>
      </c>
      <c r="V15" s="9" t="s">
        <v>364</v>
      </c>
      <c r="W15" s="10" t="s">
        <v>367</v>
      </c>
      <c r="X15" s="11" t="s">
        <v>377</v>
      </c>
    </row>
    <row r="16" spans="4:24" x14ac:dyDescent="0.25">
      <c r="I16" s="17"/>
      <c r="R16">
        <f t="shared" si="1"/>
        <v>70254592</v>
      </c>
      <c r="T16">
        <v>3</v>
      </c>
      <c r="U16">
        <v>4</v>
      </c>
      <c r="V16" s="9" t="s">
        <v>364</v>
      </c>
      <c r="W16" s="10" t="s">
        <v>380</v>
      </c>
    </row>
    <row r="17" spans="9:23" x14ac:dyDescent="0.25">
      <c r="I17" s="17"/>
      <c r="R17">
        <f t="shared" si="1"/>
        <v>83886080</v>
      </c>
      <c r="T17">
        <v>0</v>
      </c>
      <c r="U17">
        <v>5</v>
      </c>
      <c r="V17" s="14" t="s">
        <v>365</v>
      </c>
      <c r="W17" s="15" t="s">
        <v>381</v>
      </c>
    </row>
    <row r="18" spans="9:23" x14ac:dyDescent="0.25">
      <c r="I18" s="17"/>
      <c r="R18">
        <f t="shared" si="1"/>
        <v>84934656</v>
      </c>
      <c r="T18">
        <v>1</v>
      </c>
      <c r="U18">
        <v>5</v>
      </c>
      <c r="V18" s="14" t="s">
        <v>365</v>
      </c>
      <c r="W18" s="15" t="s">
        <v>382</v>
      </c>
    </row>
    <row r="19" spans="9:23" x14ac:dyDescent="0.25">
      <c r="I19" s="17"/>
      <c r="R19">
        <f t="shared" si="1"/>
        <v>85983232</v>
      </c>
      <c r="T19">
        <v>2</v>
      </c>
      <c r="U19">
        <v>5</v>
      </c>
      <c r="V19" s="14" t="s">
        <v>365</v>
      </c>
      <c r="W19" s="15" t="s">
        <v>383</v>
      </c>
    </row>
    <row r="20" spans="9:23" x14ac:dyDescent="0.25">
      <c r="I20" s="17"/>
      <c r="R20">
        <f t="shared" si="1"/>
        <v>87031808</v>
      </c>
      <c r="T20">
        <v>3</v>
      </c>
      <c r="U20">
        <v>5</v>
      </c>
      <c r="V20" s="14" t="s">
        <v>365</v>
      </c>
      <c r="W20" s="15" t="s">
        <v>384</v>
      </c>
    </row>
    <row r="21" spans="9:23" x14ac:dyDescent="0.25">
      <c r="I21" s="17"/>
      <c r="R21">
        <f t="shared" si="1"/>
        <v>88080384</v>
      </c>
      <c r="T21">
        <v>4</v>
      </c>
      <c r="U21">
        <v>5</v>
      </c>
      <c r="V21" s="14" t="s">
        <v>365</v>
      </c>
      <c r="W21" s="15" t="s">
        <v>385</v>
      </c>
    </row>
    <row r="22" spans="9:23" x14ac:dyDescent="0.25">
      <c r="I22" s="17"/>
      <c r="R22">
        <f t="shared" si="1"/>
        <v>89128960</v>
      </c>
      <c r="T22">
        <v>5</v>
      </c>
      <c r="U22">
        <v>5</v>
      </c>
      <c r="V22" s="14" t="s">
        <v>365</v>
      </c>
      <c r="W22" s="15" t="s">
        <v>386</v>
      </c>
    </row>
    <row r="23" spans="9:23" x14ac:dyDescent="0.25">
      <c r="I23" s="17"/>
      <c r="R23">
        <f t="shared" si="1"/>
        <v>90177536</v>
      </c>
      <c r="T23">
        <v>6</v>
      </c>
      <c r="U23">
        <v>5</v>
      </c>
      <c r="V23" s="14" t="s">
        <v>365</v>
      </c>
      <c r="W23" s="15" t="s">
        <v>387</v>
      </c>
    </row>
    <row r="24" spans="9:23" x14ac:dyDescent="0.25">
      <c r="I24" s="17"/>
      <c r="R24">
        <f t="shared" si="1"/>
        <v>91226112</v>
      </c>
      <c r="T24">
        <v>7</v>
      </c>
      <c r="U24">
        <v>5</v>
      </c>
      <c r="V24" s="14" t="s">
        <v>365</v>
      </c>
      <c r="W24" s="15" t="s">
        <v>388</v>
      </c>
    </row>
    <row r="25" spans="9:23" x14ac:dyDescent="0.25">
      <c r="I25" s="17"/>
      <c r="R25">
        <f t="shared" si="1"/>
        <v>92274688</v>
      </c>
      <c r="T25">
        <v>8</v>
      </c>
      <c r="U25">
        <v>5</v>
      </c>
      <c r="V25" s="14" t="s">
        <v>365</v>
      </c>
      <c r="W25" s="15" t="s">
        <v>389</v>
      </c>
    </row>
    <row r="26" spans="9:23" x14ac:dyDescent="0.25">
      <c r="I26" s="17"/>
      <c r="R26">
        <f t="shared" si="1"/>
        <v>93323264</v>
      </c>
      <c r="T26">
        <v>9</v>
      </c>
      <c r="U26">
        <v>5</v>
      </c>
      <c r="V26" s="14" t="s">
        <v>365</v>
      </c>
      <c r="W26" s="15" t="s">
        <v>390</v>
      </c>
    </row>
    <row r="27" spans="9:23" x14ac:dyDescent="0.25">
      <c r="I27" s="17"/>
      <c r="R27">
        <f t="shared" si="1"/>
        <v>94371840</v>
      </c>
      <c r="T27">
        <v>10</v>
      </c>
      <c r="U27">
        <v>5</v>
      </c>
      <c r="V27" s="14" t="s">
        <v>365</v>
      </c>
      <c r="W27" s="15" t="s">
        <v>391</v>
      </c>
    </row>
    <row r="28" spans="9:23" x14ac:dyDescent="0.25">
      <c r="I28" s="17"/>
      <c r="R28" s="23">
        <f t="shared" si="1"/>
        <v>100663296</v>
      </c>
      <c r="T28">
        <v>0</v>
      </c>
      <c r="U28">
        <v>6</v>
      </c>
      <c r="V28" s="14" t="s">
        <v>673</v>
      </c>
      <c r="W28" s="15" t="s">
        <v>675</v>
      </c>
    </row>
    <row r="29" spans="9:23" x14ac:dyDescent="0.25">
      <c r="I29" s="17"/>
      <c r="R29">
        <f t="shared" si="1"/>
        <v>101711872</v>
      </c>
      <c r="T29">
        <v>1</v>
      </c>
      <c r="U29">
        <v>6</v>
      </c>
      <c r="V29" s="14" t="s">
        <v>673</v>
      </c>
      <c r="W29" s="15" t="s">
        <v>676</v>
      </c>
    </row>
    <row r="30" spans="9:23" x14ac:dyDescent="0.25">
      <c r="I30" s="17"/>
    </row>
    <row r="31" spans="9:23" x14ac:dyDescent="0.25">
      <c r="I31" s="17"/>
    </row>
    <row r="32" spans="9:23" x14ac:dyDescent="0.25">
      <c r="I32" s="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77525-46EC-49F5-A720-4B107DCC5E50}">
  <sheetPr codeName="Sheet2"/>
  <dimension ref="A1:G29"/>
  <sheetViews>
    <sheetView topLeftCell="A6" workbookViewId="0">
      <selection activeCell="F18" sqref="F18"/>
    </sheetView>
  </sheetViews>
  <sheetFormatPr defaultRowHeight="24.75" thickTop="1" thickBottom="1" outlineLevelRow="2" x14ac:dyDescent="0.4"/>
  <cols>
    <col min="1" max="1" width="28.140625" customWidth="1"/>
    <col min="2" max="2" width="17.5703125" bestFit="1" customWidth="1"/>
    <col min="3" max="3" width="60.42578125" style="3" bestFit="1" customWidth="1"/>
    <col min="4" max="4" width="21.140625" style="2" customWidth="1"/>
    <col min="5" max="5" width="16.28515625" bestFit="1" customWidth="1"/>
    <col min="6" max="6" width="13.28515625" customWidth="1"/>
    <col min="7" max="7" width="12.5703125" bestFit="1" customWidth="1"/>
    <col min="8" max="8" width="4.85546875" bestFit="1" customWidth="1"/>
    <col min="9" max="9" width="9.5703125" bestFit="1" customWidth="1"/>
  </cols>
  <sheetData>
    <row r="1" spans="1:7" ht="24" thickBot="1" x14ac:dyDescent="0.4">
      <c r="A1" t="s">
        <v>392</v>
      </c>
      <c r="B1" t="s">
        <v>393</v>
      </c>
      <c r="C1" s="3" t="s">
        <v>394</v>
      </c>
      <c r="E1" s="2" t="s">
        <v>395</v>
      </c>
      <c r="F1" s="2" t="s">
        <v>396</v>
      </c>
      <c r="G1" s="2" t="s">
        <v>397</v>
      </c>
    </row>
    <row r="2" spans="1:7" outlineLevel="2" thickTop="1" thickBot="1" x14ac:dyDescent="0.4">
      <c r="A2" s="19" t="str">
        <f>DEC2HEX(ItemTypes!R2)</f>
        <v>1000000</v>
      </c>
      <c r="B2" s="1">
        <f>ItemTypes!R2</f>
        <v>16777216</v>
      </c>
      <c r="C2" s="3" t="str">
        <f>CONCATENATE(DEC2BIN(MOD(QUOTIENT(B2,256^3),256),8),",",DEC2BIN(MOD(QUOTIENT(B2,256^2),256),8),",",DEC2BIN(MOD(QUOTIENT(B2,256^1),256),8),",",DEC2BIN(MOD(QUOTIENT(B2,256^0),256),8))</f>
        <v>00000001,00000000,00000000,00000000</v>
      </c>
      <c r="D2" s="2" t="s">
        <v>336</v>
      </c>
      <c r="E2" s="6" t="s">
        <v>361</v>
      </c>
      <c r="F2" s="5" t="s">
        <v>366</v>
      </c>
      <c r="G2" s="4" t="s">
        <v>368</v>
      </c>
    </row>
    <row r="3" spans="1:7" outlineLevel="2" thickTop="1" thickBot="1" x14ac:dyDescent="0.4">
      <c r="A3" s="19" t="str">
        <f>DEC2HEX(ItemTypes!R3)</f>
        <v>1010000</v>
      </c>
      <c r="B3" s="1">
        <f>ItemTypes!R3</f>
        <v>16842752</v>
      </c>
      <c r="C3" s="3" t="str">
        <f t="shared" ref="C3:C29" si="0">CONCATENATE(DEC2BIN(MOD(QUOTIENT(B3,256^3),256),8),",",DEC2BIN(MOD(QUOTIENT(B3,256^2),256),8),",",DEC2BIN(MOD(QUOTIENT(B3,256^1),256),8),",",DEC2BIN(MOD(QUOTIENT(B3,256^0),256),8))</f>
        <v>00000001,00000001,00000000,00000000</v>
      </c>
      <c r="D3" s="2" t="s">
        <v>337</v>
      </c>
      <c r="E3" s="6" t="s">
        <v>361</v>
      </c>
      <c r="F3" s="5" t="s">
        <v>366</v>
      </c>
      <c r="G3" s="4" t="s">
        <v>369</v>
      </c>
    </row>
    <row r="4" spans="1:7" outlineLevel="2" thickTop="1" thickBot="1" x14ac:dyDescent="0.4">
      <c r="A4" s="19" t="str">
        <f>DEC2HEX(ItemTypes!R4)</f>
        <v>1020000</v>
      </c>
      <c r="B4" s="1">
        <f>ItemTypes!R4</f>
        <v>16908288</v>
      </c>
      <c r="C4" s="3" t="str">
        <f t="shared" si="0"/>
        <v>00000001,00000010,00000000,00000000</v>
      </c>
      <c r="D4" s="2" t="s">
        <v>338</v>
      </c>
      <c r="E4" s="6" t="s">
        <v>361</v>
      </c>
      <c r="F4" s="5" t="s">
        <v>366</v>
      </c>
      <c r="G4" s="4" t="s">
        <v>370</v>
      </c>
    </row>
    <row r="5" spans="1:7" outlineLevel="2" thickTop="1" thickBot="1" x14ac:dyDescent="0.4">
      <c r="A5" s="19" t="str">
        <f>DEC2HEX(ItemTypes!R5)</f>
        <v>1030000</v>
      </c>
      <c r="B5" s="1">
        <f>ItemTypes!R5</f>
        <v>16973824</v>
      </c>
      <c r="C5" s="3" t="str">
        <f t="shared" si="0"/>
        <v>00000001,00000011,00000000,00000000</v>
      </c>
      <c r="D5" s="2" t="s">
        <v>339</v>
      </c>
      <c r="E5" s="6" t="s">
        <v>361</v>
      </c>
      <c r="F5" s="5" t="s">
        <v>366</v>
      </c>
      <c r="G5" s="4" t="s">
        <v>371</v>
      </c>
    </row>
    <row r="6" spans="1:7" outlineLevel="1" thickTop="1" thickBot="1" x14ac:dyDescent="0.4">
      <c r="A6" s="19" t="str">
        <f>DEC2HEX(ItemTypes!R6)</f>
        <v>1100000</v>
      </c>
      <c r="B6" s="1">
        <f>ItemTypes!R6</f>
        <v>17825792</v>
      </c>
      <c r="C6" s="3" t="str">
        <f t="shared" si="0"/>
        <v>00000001,00010000,00000000,00000000</v>
      </c>
      <c r="D6" s="2" t="s">
        <v>340</v>
      </c>
      <c r="E6" s="6" t="s">
        <v>361</v>
      </c>
      <c r="F6" s="5" t="s">
        <v>372</v>
      </c>
    </row>
    <row r="7" spans="1:7" outlineLevel="1" thickTop="1" thickBot="1" x14ac:dyDescent="0.4">
      <c r="A7" s="19" t="str">
        <f>DEC2HEX(ItemTypes!R7)</f>
        <v>1200000</v>
      </c>
      <c r="B7" s="1">
        <f>ItemTypes!R7</f>
        <v>18874368</v>
      </c>
      <c r="C7" s="3" t="str">
        <f t="shared" si="0"/>
        <v>00000001,00100000,00000000,00000000</v>
      </c>
      <c r="D7" s="2" t="s">
        <v>341</v>
      </c>
      <c r="E7" s="6" t="s">
        <v>361</v>
      </c>
      <c r="F7" s="5" t="s">
        <v>373</v>
      </c>
    </row>
    <row r="8" spans="1:7" outlineLevel="1" thickTop="1" thickBot="1" x14ac:dyDescent="0.4">
      <c r="A8" s="19" t="str">
        <f>DEC2HEX(ItemTypes!R8)</f>
        <v>1300000</v>
      </c>
      <c r="B8" s="1">
        <f>ItemTypes!R8</f>
        <v>19922944</v>
      </c>
      <c r="C8" s="3" t="str">
        <f t="shared" si="0"/>
        <v>00000001,00110000,00000000,00000000</v>
      </c>
      <c r="D8" s="2" t="s">
        <v>342</v>
      </c>
      <c r="E8" s="6" t="s">
        <v>361</v>
      </c>
      <c r="F8" s="5" t="s">
        <v>374</v>
      </c>
    </row>
    <row r="9" spans="1:7" outlineLevel="1" thickTop="1" thickBot="1" x14ac:dyDescent="0.4">
      <c r="A9" s="19" t="str">
        <f>DEC2HEX(ItemTypes!R9)</f>
        <v>1400000</v>
      </c>
      <c r="B9" s="1">
        <f>ItemTypes!R9</f>
        <v>20971520</v>
      </c>
      <c r="C9" s="3" t="str">
        <f t="shared" si="0"/>
        <v>00000001,01000000,00000000,00000000</v>
      </c>
      <c r="D9" s="2" t="s">
        <v>343</v>
      </c>
      <c r="E9" s="6" t="s">
        <v>361</v>
      </c>
      <c r="F9" s="16" t="s">
        <v>375</v>
      </c>
    </row>
    <row r="10" spans="1:7" thickTop="1" thickBot="1" x14ac:dyDescent="0.4">
      <c r="A10" s="19" t="str">
        <f>DEC2HEX(ItemTypes!R10)</f>
        <v>2000000</v>
      </c>
      <c r="B10" s="1">
        <f>ItemTypes!R10</f>
        <v>33554432</v>
      </c>
      <c r="C10" s="3" t="str">
        <f t="shared" si="0"/>
        <v>00000010,00000000,00000000,00000000</v>
      </c>
      <c r="D10" s="2" t="s">
        <v>344</v>
      </c>
      <c r="E10" s="7" t="s">
        <v>362</v>
      </c>
      <c r="F10" s="12" t="s">
        <v>376</v>
      </c>
    </row>
    <row r="11" spans="1:7" s="23" customFormat="1" thickTop="1" thickBot="1" x14ac:dyDescent="0.4">
      <c r="A11" s="19" t="str">
        <f>DEC2HEX(ItemTypes!R11)</f>
        <v>3000000</v>
      </c>
      <c r="B11" s="1">
        <f>ItemTypes!R11</f>
        <v>50331648</v>
      </c>
      <c r="C11" s="3" t="str">
        <f t="shared" si="0"/>
        <v>00000011,00000000,00000000,00000000</v>
      </c>
      <c r="D11" s="2" t="s">
        <v>345</v>
      </c>
      <c r="E11" s="7" t="s">
        <v>363</v>
      </c>
      <c r="F11" s="12" t="s">
        <v>669</v>
      </c>
    </row>
    <row r="12" spans="1:7" thickTop="1" thickBot="1" x14ac:dyDescent="0.4">
      <c r="A12" s="19" t="str">
        <f>DEC2HEX(ItemTypes!R12)</f>
        <v>3100000</v>
      </c>
      <c r="B12" s="1">
        <f>ItemTypes!R12</f>
        <v>51380224</v>
      </c>
      <c r="C12" s="3" t="str">
        <f t="shared" si="0"/>
        <v>00000011,00010000,00000000,00000000</v>
      </c>
      <c r="D12" s="2" t="s">
        <v>345</v>
      </c>
      <c r="E12" s="8" t="s">
        <v>363</v>
      </c>
      <c r="F12" s="13" t="s">
        <v>670</v>
      </c>
      <c r="G12" s="23"/>
    </row>
    <row r="13" spans="1:7" outlineLevel="1" thickTop="1" thickBot="1" x14ac:dyDescent="0.4">
      <c r="A13" s="19" t="str">
        <f>DEC2HEX(ItemTypes!R13)</f>
        <v>4000000</v>
      </c>
      <c r="B13" s="1">
        <f>ItemTypes!R13</f>
        <v>67108864</v>
      </c>
      <c r="C13" s="3" t="str">
        <f t="shared" si="0"/>
        <v>00000100,00000000,00000000,00000000</v>
      </c>
      <c r="D13" s="2" t="s">
        <v>346</v>
      </c>
      <c r="E13" s="9" t="s">
        <v>364</v>
      </c>
      <c r="F13" s="10" t="s">
        <v>378</v>
      </c>
    </row>
    <row r="14" spans="1:7" outlineLevel="2" thickTop="1" thickBot="1" x14ac:dyDescent="0.4">
      <c r="A14" s="19" t="str">
        <f>DEC2HEX(ItemTypes!R14)</f>
        <v>4100000</v>
      </c>
      <c r="B14" s="1">
        <f>ItemTypes!R14</f>
        <v>68157440</v>
      </c>
      <c r="C14" s="3" t="str">
        <f t="shared" si="0"/>
        <v>00000100,00010000,00000000,00000000</v>
      </c>
      <c r="D14" s="2" t="s">
        <v>347</v>
      </c>
      <c r="E14" s="9" t="s">
        <v>364</v>
      </c>
      <c r="F14" s="10" t="s">
        <v>367</v>
      </c>
      <c r="G14" s="11" t="s">
        <v>379</v>
      </c>
    </row>
    <row r="15" spans="1:7" outlineLevel="2" thickTop="1" thickBot="1" x14ac:dyDescent="0.4">
      <c r="A15" s="19" t="str">
        <f>DEC2HEX(ItemTypes!R15)</f>
        <v>4200000</v>
      </c>
      <c r="B15" s="1">
        <f>ItemTypes!R15</f>
        <v>69206016</v>
      </c>
      <c r="C15" s="3" t="str">
        <f t="shared" si="0"/>
        <v>00000100,00100000,00000000,00000000</v>
      </c>
      <c r="D15" s="2" t="s">
        <v>348</v>
      </c>
      <c r="E15" s="9" t="s">
        <v>364</v>
      </c>
      <c r="F15" s="10" t="s">
        <v>367</v>
      </c>
      <c r="G15" s="11" t="s">
        <v>377</v>
      </c>
    </row>
    <row r="16" spans="1:7" outlineLevel="1" thickTop="1" thickBot="1" x14ac:dyDescent="0.4">
      <c r="A16" s="19" t="str">
        <f>DEC2HEX(ItemTypes!R16)</f>
        <v>4300000</v>
      </c>
      <c r="B16" s="1">
        <f>ItemTypes!R16</f>
        <v>70254592</v>
      </c>
      <c r="C16" s="3" t="str">
        <f t="shared" si="0"/>
        <v>00000100,00110000,00000000,00000000</v>
      </c>
      <c r="D16" s="2" t="s">
        <v>349</v>
      </c>
      <c r="E16" s="9" t="s">
        <v>364</v>
      </c>
      <c r="F16" s="10" t="s">
        <v>380</v>
      </c>
    </row>
    <row r="17" spans="1:6" thickTop="1" thickBot="1" x14ac:dyDescent="0.4">
      <c r="A17" s="19" t="str">
        <f>DEC2HEX(ItemTypes!R17)</f>
        <v>5000000</v>
      </c>
      <c r="B17" s="1">
        <f>ItemTypes!R17</f>
        <v>83886080</v>
      </c>
      <c r="C17" s="3" t="str">
        <f t="shared" si="0"/>
        <v>00000101,00000000,00000000,00000000</v>
      </c>
      <c r="D17" s="2" t="s">
        <v>350</v>
      </c>
      <c r="E17" s="14" t="s">
        <v>365</v>
      </c>
      <c r="F17" s="15" t="s">
        <v>381</v>
      </c>
    </row>
    <row r="18" spans="1:6" outlineLevel="1" thickTop="1" thickBot="1" x14ac:dyDescent="0.4">
      <c r="A18" s="19" t="str">
        <f>DEC2HEX(ItemTypes!R18)</f>
        <v>5100000</v>
      </c>
      <c r="B18" s="1">
        <f>ItemTypes!R18</f>
        <v>84934656</v>
      </c>
      <c r="C18" s="3" t="str">
        <f t="shared" si="0"/>
        <v>00000101,00010000,00000000,00000000</v>
      </c>
      <c r="D18" s="2" t="s">
        <v>351</v>
      </c>
      <c r="E18" s="14" t="s">
        <v>365</v>
      </c>
      <c r="F18" s="15" t="s">
        <v>382</v>
      </c>
    </row>
    <row r="19" spans="1:6" outlineLevel="2" thickTop="1" thickBot="1" x14ac:dyDescent="0.4">
      <c r="A19" s="19" t="str">
        <f>DEC2HEX(ItemTypes!R19)</f>
        <v>5200000</v>
      </c>
      <c r="B19" s="1">
        <f>ItemTypes!R19</f>
        <v>85983232</v>
      </c>
      <c r="C19" s="3" t="str">
        <f t="shared" si="0"/>
        <v>00000101,00100000,00000000,00000000</v>
      </c>
      <c r="D19" s="2" t="s">
        <v>352</v>
      </c>
      <c r="E19" s="14" t="s">
        <v>365</v>
      </c>
      <c r="F19" s="15" t="s">
        <v>383</v>
      </c>
    </row>
    <row r="20" spans="1:6" outlineLevel="2" thickTop="1" thickBot="1" x14ac:dyDescent="0.4">
      <c r="A20" s="19" t="str">
        <f>DEC2HEX(ItemTypes!R20)</f>
        <v>5300000</v>
      </c>
      <c r="B20" s="1">
        <f>ItemTypes!R20</f>
        <v>87031808</v>
      </c>
      <c r="C20" s="3" t="str">
        <f t="shared" si="0"/>
        <v>00000101,00110000,00000000,00000000</v>
      </c>
      <c r="D20" s="2" t="s">
        <v>353</v>
      </c>
      <c r="E20" s="14" t="s">
        <v>365</v>
      </c>
      <c r="F20" s="15" t="s">
        <v>384</v>
      </c>
    </row>
    <row r="21" spans="1:6" outlineLevel="2" thickTop="1" thickBot="1" x14ac:dyDescent="0.4">
      <c r="A21" s="19" t="str">
        <f>DEC2HEX(ItemTypes!R21)</f>
        <v>5400000</v>
      </c>
      <c r="B21" s="1">
        <f>ItemTypes!R21</f>
        <v>88080384</v>
      </c>
      <c r="C21" s="3" t="str">
        <f t="shared" si="0"/>
        <v>00000101,01000000,00000000,00000000</v>
      </c>
      <c r="D21" s="2" t="s">
        <v>354</v>
      </c>
      <c r="E21" s="14" t="s">
        <v>365</v>
      </c>
      <c r="F21" s="15" t="s">
        <v>385</v>
      </c>
    </row>
    <row r="22" spans="1:6" outlineLevel="2" thickTop="1" thickBot="1" x14ac:dyDescent="0.4">
      <c r="A22" s="19" t="str">
        <f>DEC2HEX(ItemTypes!R22)</f>
        <v>5500000</v>
      </c>
      <c r="B22" s="1">
        <f>ItemTypes!R22</f>
        <v>89128960</v>
      </c>
      <c r="C22" s="3" t="str">
        <f t="shared" si="0"/>
        <v>00000101,01010000,00000000,00000000</v>
      </c>
      <c r="D22" s="2" t="s">
        <v>355</v>
      </c>
      <c r="E22" s="14" t="s">
        <v>365</v>
      </c>
      <c r="F22" s="15" t="s">
        <v>386</v>
      </c>
    </row>
    <row r="23" spans="1:6" outlineLevel="2" thickTop="1" thickBot="1" x14ac:dyDescent="0.4">
      <c r="A23" s="19" t="str">
        <f>DEC2HEX(ItemTypes!R23)</f>
        <v>5600000</v>
      </c>
      <c r="B23" s="1">
        <f>ItemTypes!R23</f>
        <v>90177536</v>
      </c>
      <c r="C23" s="3" t="str">
        <f t="shared" si="0"/>
        <v>00000101,01100000,00000000,00000000</v>
      </c>
      <c r="D23" s="2" t="s">
        <v>356</v>
      </c>
      <c r="E23" s="14" t="s">
        <v>365</v>
      </c>
      <c r="F23" s="15" t="s">
        <v>387</v>
      </c>
    </row>
    <row r="24" spans="1:6" outlineLevel="2" thickTop="1" thickBot="1" x14ac:dyDescent="0.4">
      <c r="A24" s="19" t="str">
        <f>DEC2HEX(ItemTypes!R24)</f>
        <v>5700000</v>
      </c>
      <c r="B24" s="1">
        <f>ItemTypes!R24</f>
        <v>91226112</v>
      </c>
      <c r="C24" s="3" t="str">
        <f t="shared" si="0"/>
        <v>00000101,01110000,00000000,00000000</v>
      </c>
      <c r="D24" s="2" t="s">
        <v>357</v>
      </c>
      <c r="E24" s="14" t="s">
        <v>365</v>
      </c>
      <c r="F24" s="15" t="s">
        <v>388</v>
      </c>
    </row>
    <row r="25" spans="1:6" outlineLevel="2" thickTop="1" thickBot="1" x14ac:dyDescent="0.4">
      <c r="A25" s="19" t="str">
        <f>DEC2HEX(ItemTypes!R25)</f>
        <v>5800000</v>
      </c>
      <c r="B25" s="1">
        <f>ItemTypes!R25</f>
        <v>92274688</v>
      </c>
      <c r="C25" s="3" t="str">
        <f t="shared" si="0"/>
        <v>00000101,10000000,00000000,00000000</v>
      </c>
      <c r="D25" s="2" t="s">
        <v>358</v>
      </c>
      <c r="E25" s="14" t="s">
        <v>365</v>
      </c>
      <c r="F25" s="15" t="s">
        <v>389</v>
      </c>
    </row>
    <row r="26" spans="1:6" outlineLevel="2" thickTop="1" thickBot="1" x14ac:dyDescent="0.4">
      <c r="A26" s="19" t="str">
        <f>DEC2HEX(ItemTypes!R26)</f>
        <v>5900000</v>
      </c>
      <c r="B26" s="1">
        <f>ItemTypes!R26</f>
        <v>93323264</v>
      </c>
      <c r="C26" s="3" t="str">
        <f t="shared" si="0"/>
        <v>00000101,10010000,00000000,00000000</v>
      </c>
      <c r="D26" s="2" t="s">
        <v>359</v>
      </c>
      <c r="E26" s="14" t="s">
        <v>365</v>
      </c>
      <c r="F26" s="15" t="s">
        <v>390</v>
      </c>
    </row>
    <row r="27" spans="1:6" outlineLevel="2" thickTop="1" thickBot="1" x14ac:dyDescent="0.4">
      <c r="A27" s="19" t="str">
        <f>DEC2HEX(ItemTypes!R27)</f>
        <v>5A00000</v>
      </c>
      <c r="B27" s="1">
        <f>ItemTypes!R27</f>
        <v>94371840</v>
      </c>
      <c r="C27" s="3" t="str">
        <f t="shared" si="0"/>
        <v>00000101,10100000,00000000,00000000</v>
      </c>
      <c r="D27" s="2" t="s">
        <v>360</v>
      </c>
      <c r="E27" s="14" t="s">
        <v>365</v>
      </c>
      <c r="F27" s="15" t="s">
        <v>391</v>
      </c>
    </row>
    <row r="28" spans="1:6" thickTop="1" thickBot="1" x14ac:dyDescent="0.4">
      <c r="A28" s="19" t="str">
        <f>DEC2HEX(ItemTypes!R28)</f>
        <v>6000000</v>
      </c>
      <c r="B28" s="1">
        <f>ItemTypes!R28</f>
        <v>100663296</v>
      </c>
      <c r="C28" s="3" t="str">
        <f t="shared" si="0"/>
        <v>00000110,00000000,00000000,00000000</v>
      </c>
      <c r="D28" s="2" t="s">
        <v>673</v>
      </c>
      <c r="E28" s="14" t="s">
        <v>674</v>
      </c>
      <c r="F28" s="15" t="s">
        <v>675</v>
      </c>
    </row>
    <row r="29" spans="1:6" thickTop="1" thickBot="1" x14ac:dyDescent="0.4">
      <c r="A29" s="19" t="str">
        <f>DEC2HEX(ItemTypes!R29)</f>
        <v>6100000</v>
      </c>
      <c r="B29" s="1">
        <f>ItemTypes!R29</f>
        <v>101711872</v>
      </c>
      <c r="C29" s="3" t="str">
        <f t="shared" si="0"/>
        <v>00000110,00010000,00000000,00000000</v>
      </c>
      <c r="D29" s="2" t="s">
        <v>673</v>
      </c>
      <c r="E29" s="14" t="s">
        <v>674</v>
      </c>
      <c r="F29" s="15" t="s">
        <v>676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C1AFF-D63C-47BF-85E0-F26F01403166}">
  <sheetPr codeName="Sheet21"/>
  <dimension ref="A1:AE89"/>
  <sheetViews>
    <sheetView zoomScale="190" zoomScaleNormal="190" workbookViewId="0">
      <selection activeCell="C2" sqref="C2:I9"/>
    </sheetView>
  </sheetViews>
  <sheetFormatPr defaultRowHeight="15" x14ac:dyDescent="0.25"/>
  <cols>
    <col min="1" max="1" width="14.85546875" style="1" customWidth="1"/>
    <col min="2" max="2" width="11.140625" style="1" customWidth="1"/>
    <col min="3" max="3" width="18.85546875" style="1" bestFit="1" customWidth="1"/>
    <col min="4" max="4" width="17" style="1" bestFit="1" customWidth="1"/>
    <col min="5" max="5" width="4.28515625" style="1" bestFit="1" customWidth="1"/>
    <col min="6" max="6" width="17.42578125" style="1" bestFit="1" customWidth="1"/>
    <col min="7" max="7" width="5.5703125" style="1" bestFit="1" customWidth="1"/>
    <col min="8" max="8" width="7" style="1" bestFit="1" customWidth="1"/>
    <col min="9" max="11" width="4.7109375" style="1" bestFit="1" customWidth="1"/>
    <col min="12" max="12" width="22.42578125" style="1" bestFit="1" customWidth="1"/>
    <col min="13" max="13" width="17.5703125" style="1" bestFit="1" customWidth="1"/>
    <col min="14" max="14" width="17.28515625" style="1" bestFit="1" customWidth="1"/>
    <col min="15" max="15" width="9.7109375" style="1" customWidth="1"/>
    <col min="16" max="16" width="6.28515625" style="1" bestFit="1" customWidth="1"/>
    <col min="17" max="18" width="8.42578125" style="1" bestFit="1" customWidth="1"/>
    <col min="19" max="19" width="9.140625" style="1"/>
    <col min="20" max="20" width="8.5703125" style="1" bestFit="1" customWidth="1"/>
    <col min="21" max="21" width="6" style="1" bestFit="1" customWidth="1"/>
    <col min="22" max="22" width="5.85546875" style="1" bestFit="1" customWidth="1"/>
    <col min="23" max="23" width="9" style="1" bestFit="1" customWidth="1"/>
    <col min="24" max="24" width="8.5703125" style="1" bestFit="1" customWidth="1"/>
    <col min="25" max="26" width="9.28515625" style="1" bestFit="1" customWidth="1"/>
    <col min="27" max="27" width="28" style="1" bestFit="1" customWidth="1"/>
    <col min="28" max="28" width="59" style="91" bestFit="1" customWidth="1"/>
    <col min="29" max="29" width="82.140625" style="91" bestFit="1" customWidth="1"/>
    <col min="30" max="30" width="75.5703125" style="91" bestFit="1" customWidth="1"/>
    <col min="31" max="31" width="81" style="91" bestFit="1" customWidth="1"/>
    <col min="32" max="16384" width="9.140625" style="1"/>
  </cols>
  <sheetData>
    <row r="1" spans="1:31" s="84" customFormat="1" ht="34.5" thickBot="1" x14ac:dyDescent="0.3">
      <c r="A1" s="30"/>
      <c r="B1" s="30" t="s">
        <v>28</v>
      </c>
      <c r="C1" s="30" t="s">
        <v>0</v>
      </c>
      <c r="D1" s="30" t="s">
        <v>3401</v>
      </c>
      <c r="E1" s="30" t="s">
        <v>3391</v>
      </c>
      <c r="F1" s="93" t="s">
        <v>3400</v>
      </c>
      <c r="G1" s="93" t="s">
        <v>3526</v>
      </c>
      <c r="H1" s="80" t="s">
        <v>2908</v>
      </c>
      <c r="I1" s="80" t="s">
        <v>2909</v>
      </c>
      <c r="J1" s="80" t="s">
        <v>2910</v>
      </c>
      <c r="K1" s="80" t="s">
        <v>2911</v>
      </c>
      <c r="L1" s="30" t="s">
        <v>2495</v>
      </c>
      <c r="M1" s="93" t="s">
        <v>406</v>
      </c>
      <c r="N1" s="93" t="s">
        <v>3399</v>
      </c>
      <c r="O1" s="93" t="s">
        <v>3398</v>
      </c>
      <c r="P1" s="93" t="s">
        <v>678</v>
      </c>
      <c r="Q1" s="93" t="s">
        <v>2502</v>
      </c>
      <c r="R1" s="93" t="s">
        <v>2501</v>
      </c>
      <c r="S1" s="30" t="s">
        <v>3392</v>
      </c>
      <c r="T1" s="30" t="s">
        <v>3393</v>
      </c>
      <c r="U1" s="30" t="s">
        <v>3394</v>
      </c>
      <c r="V1" s="30" t="s">
        <v>3395</v>
      </c>
      <c r="W1" s="30" t="s">
        <v>3397</v>
      </c>
      <c r="X1" s="30" t="s">
        <v>3396</v>
      </c>
      <c r="Y1" s="30" t="s">
        <v>2906</v>
      </c>
      <c r="Z1" s="30" t="s">
        <v>2907</v>
      </c>
      <c r="AA1" s="89" t="s">
        <v>335</v>
      </c>
      <c r="AB1" s="93" t="s">
        <v>334</v>
      </c>
      <c r="AC1" s="95" t="s">
        <v>5628</v>
      </c>
      <c r="AD1" s="95" t="s">
        <v>5629</v>
      </c>
      <c r="AE1" s="95" t="s">
        <v>5630</v>
      </c>
    </row>
    <row r="2" spans="1:31" ht="15.75" thickBot="1" x14ac:dyDescent="0.3">
      <c r="A2" s="95">
        <v>0</v>
      </c>
      <c r="B2" s="95">
        <f>A2+Items!B$18</f>
        <v>84934656</v>
      </c>
      <c r="C2" s="96" t="s">
        <v>6463</v>
      </c>
      <c r="D2" s="96" t="s">
        <v>6464</v>
      </c>
      <c r="E2" s="95" t="s">
        <v>3524</v>
      </c>
      <c r="F2" s="95" t="s">
        <v>6657</v>
      </c>
      <c r="G2" s="95"/>
      <c r="H2" s="95"/>
      <c r="I2" s="95"/>
      <c r="J2" s="95"/>
      <c r="K2" s="95"/>
      <c r="L2" s="96" t="s">
        <v>6571</v>
      </c>
      <c r="M2" s="96" t="s">
        <v>6662</v>
      </c>
      <c r="N2" s="96" t="s">
        <v>6661</v>
      </c>
      <c r="O2" s="95" t="str">
        <f t="shared" ref="O2:O45" si="0">IF(OR(I2=TRUE,J2=TRUE,K2=TRUE),"TRUE","FALSE")</f>
        <v>FALSE</v>
      </c>
      <c r="P2" s="95"/>
      <c r="Q2" s="96">
        <v>2</v>
      </c>
      <c r="R2" s="96">
        <v>3</v>
      </c>
      <c r="S2" s="96">
        <v>85</v>
      </c>
      <c r="T2" s="96">
        <v>115</v>
      </c>
      <c r="U2" s="96" t="s">
        <v>3535</v>
      </c>
      <c r="V2" s="96">
        <v>0.5</v>
      </c>
      <c r="W2" s="96">
        <v>0</v>
      </c>
      <c r="X2" s="96">
        <v>5</v>
      </c>
      <c r="Y2" s="96" t="s">
        <v>2384</v>
      </c>
      <c r="Z2" s="96">
        <v>27</v>
      </c>
      <c r="AA2" s="96" t="str">
        <f>CONCATENATE("DA_WPN_Axe_",SUBSTITUTE(SUBSTITUTE(SUBSTITUTE(C2," ",""),"(","_"),")",""))</f>
        <v>DA_WPN_Axe_AssaultAxe_base</v>
      </c>
      <c r="AB2" s="90" t="str">
        <f>"/Game/DungeonSiege/Items/Weapons/Axe/" &amp; AA2</f>
        <v>/Game/DungeonSiege/Items/Weapons/Axe/DA_WPN_Axe_AssaultAxe_base</v>
      </c>
      <c r="AC2" s="97" t="str">
        <f>CONCATENATE("Texture2D'/Game/DungeonSiege/art/bitmaps/gui/in_game/inventory/weapons/Axe/",M2,".",M2,"'")</f>
        <v>Texture2D'/Game/DungeonSiege/art/bitmaps/gui/in_game/inventory/weapons/Axe/b_gui_ig_i_w_axe_179.b_gui_ig_i_w_axe_179'</v>
      </c>
      <c r="AD2" s="97" t="str">
        <f t="shared" ref="AD2:AD37" si="1">CONCATENATE("Texture2D'/Game/DungeonSiege/art/bitmaps/gui/in_game/inventory/icons/",N2,".",N2,"'")</f>
        <v>Texture2D'/Game/DungeonSiege/art/bitmaps/gui/in_game/inventory/icons/b_gui_ig_i_ic_axe_004.b_gui_ig_i_ic_axe_004'</v>
      </c>
      <c r="AE2" s="97" t="str">
        <f>CONCATENATE("StaticMesh'/Game/DungeonSiege/art/meshes/weapons/Axe/",F2,"_AspMesh.",F2,"_AspMesh'")</f>
        <v>StaticMesh'/Game/DungeonSiege/art/meshes/weapons/Axe/m_w_axe_085_AspMesh.m_w_axe_085_AspMesh'</v>
      </c>
    </row>
    <row r="3" spans="1:31" ht="15.75" thickBot="1" x14ac:dyDescent="0.3">
      <c r="A3" s="95">
        <v>1</v>
      </c>
      <c r="B3" s="95">
        <f>A3+Items!B$18</f>
        <v>84934657</v>
      </c>
      <c r="C3" s="96" t="s">
        <v>6465</v>
      </c>
      <c r="D3" s="96" t="s">
        <v>6464</v>
      </c>
      <c r="E3" s="95" t="str">
        <f>IF(ISNUMBER(SEARCH("2h",L3)), "2H",IF(ISNUMBER(SEARCH("1h",L3)), "1H","" ))</f>
        <v>2H</v>
      </c>
      <c r="F3" s="95" t="s">
        <v>6658</v>
      </c>
      <c r="G3" s="95"/>
      <c r="H3" s="95"/>
      <c r="I3" s="95"/>
      <c r="J3" s="95"/>
      <c r="K3" s="95"/>
      <c r="L3" s="96" t="s">
        <v>6572</v>
      </c>
      <c r="M3" s="96" t="s">
        <v>6664</v>
      </c>
      <c r="N3" s="96" t="s">
        <v>6661</v>
      </c>
      <c r="O3" s="95" t="str">
        <f t="shared" si="0"/>
        <v>FALSE</v>
      </c>
      <c r="P3" s="95"/>
      <c r="Q3" s="96">
        <v>2</v>
      </c>
      <c r="R3" s="96">
        <v>3</v>
      </c>
      <c r="S3" s="96">
        <v>97</v>
      </c>
      <c r="T3" s="96">
        <v>131</v>
      </c>
      <c r="U3" s="96" t="s">
        <v>3535</v>
      </c>
      <c r="V3" s="96">
        <v>0.5</v>
      </c>
      <c r="W3" s="96">
        <v>3</v>
      </c>
      <c r="X3" s="96">
        <v>14</v>
      </c>
      <c r="Y3" s="96" t="s">
        <v>2384</v>
      </c>
      <c r="Z3" s="96">
        <v>30</v>
      </c>
      <c r="AA3" s="96" t="str">
        <f t="shared" ref="AA3:AA66" si="2">CONCATENATE("DA_WPN_Axe_",SUBSTITUTE(SUBSTITUTE(SUBSTITUTE(C3," ",""),"(","_"),")",""))</f>
        <v>DA_WPN_Axe_AssaultAxe_c_fin</v>
      </c>
      <c r="AB3" s="90" t="str">
        <f t="shared" ref="AB3:AB68" si="3">"/Game/DungeonSiege/Items/Weapons/Axe/" &amp; AA3</f>
        <v>/Game/DungeonSiege/Items/Weapons/Axe/DA_WPN_Axe_AssaultAxe_c_fin</v>
      </c>
      <c r="AC3" s="97" t="str">
        <f t="shared" ref="AC3:AC66" si="4">CONCATENATE("Texture2D'/Game/DungeonSiege/art/bitmaps/gui/in_game/inventory/weapons/Axe/",M3,".",M3,"'")</f>
        <v>Texture2D'/Game/DungeonSiege/art/bitmaps/gui/in_game/inventory/weapons/Axe/ b_gui_ig_i_w_axe_180. b_gui_ig_i_w_axe_180'</v>
      </c>
      <c r="AD3" s="97" t="str">
        <f t="shared" si="1"/>
        <v>Texture2D'/Game/DungeonSiege/art/bitmaps/gui/in_game/inventory/icons/b_gui_ig_i_ic_axe_004.b_gui_ig_i_ic_axe_004'</v>
      </c>
      <c r="AE3" s="97" t="str">
        <f t="shared" ref="AE3:AE66" si="5">CONCATENATE("StaticMesh'/Game/DungeonSiege/art/meshes/weapons/Axe/",F3,"_AspMesh.",F3,"_AspMesh'")</f>
        <v>StaticMesh'/Game/DungeonSiege/art/meshes/weapons/Axe/m_w_axe_086_AspMesh.m_w_axe_086_AspMesh'</v>
      </c>
    </row>
    <row r="4" spans="1:31" ht="15.75" thickBot="1" x14ac:dyDescent="0.3">
      <c r="A4" s="95">
        <v>2</v>
      </c>
      <c r="B4" s="95">
        <f>A4+Items!B$18</f>
        <v>84934658</v>
      </c>
      <c r="C4" s="96" t="s">
        <v>6466</v>
      </c>
      <c r="D4" s="96" t="s">
        <v>6464</v>
      </c>
      <c r="E4" s="95" t="str">
        <f t="shared" ref="E4:E67" si="6">IF(ISNUMBER(SEARCH("2h",L4)), "2H",IF(ISNUMBER(SEARCH("1h",L4)), "1H","" ))</f>
        <v>2H</v>
      </c>
      <c r="F4" s="95" t="s">
        <v>6659</v>
      </c>
      <c r="G4" s="95"/>
      <c r="H4" s="95"/>
      <c r="I4" s="95"/>
      <c r="J4" s="95"/>
      <c r="K4" s="95"/>
      <c r="L4" s="96" t="s">
        <v>6573</v>
      </c>
      <c r="M4" s="96" t="s">
        <v>6665</v>
      </c>
      <c r="N4" s="96" t="s">
        <v>6661</v>
      </c>
      <c r="O4" s="95" t="str">
        <f t="shared" si="0"/>
        <v>FALSE</v>
      </c>
      <c r="P4" s="95"/>
      <c r="Q4" s="96">
        <v>2</v>
      </c>
      <c r="R4" s="96">
        <v>3</v>
      </c>
      <c r="S4" s="96">
        <v>210</v>
      </c>
      <c r="T4" s="96">
        <v>284</v>
      </c>
      <c r="U4" s="96" t="s">
        <v>3535</v>
      </c>
      <c r="V4" s="96">
        <v>0.5</v>
      </c>
      <c r="W4" s="96">
        <v>39</v>
      </c>
      <c r="X4" s="96">
        <v>55</v>
      </c>
      <c r="Y4" s="96" t="s">
        <v>2384</v>
      </c>
      <c r="Z4" s="96">
        <v>55</v>
      </c>
      <c r="AA4" s="96" t="str">
        <f t="shared" si="2"/>
        <v>DA_WPN_Axe_AssaultAxe_c_mag</v>
      </c>
      <c r="AB4" s="90" t="str">
        <f t="shared" si="3"/>
        <v>/Game/DungeonSiege/Items/Weapons/Axe/DA_WPN_Axe_AssaultAxe_c_mag</v>
      </c>
      <c r="AC4" s="97" t="str">
        <f t="shared" si="4"/>
        <v>Texture2D'/Game/DungeonSiege/art/bitmaps/gui/in_game/inventory/weapons/Axe/b_gui_ig_i_w_axe_182.b_gui_ig_i_w_axe_182'</v>
      </c>
      <c r="AD4" s="97" t="str">
        <f t="shared" si="1"/>
        <v>Texture2D'/Game/DungeonSiege/art/bitmaps/gui/in_game/inventory/icons/b_gui_ig_i_ic_axe_004.b_gui_ig_i_ic_axe_004'</v>
      </c>
      <c r="AE4" s="97" t="str">
        <f t="shared" si="5"/>
        <v>StaticMesh'/Game/DungeonSiege/art/meshes/weapons/Axe/m_w_axe_088_AspMesh.m_w_axe_088_AspMesh'</v>
      </c>
    </row>
    <row r="5" spans="1:31" ht="15.75" thickBot="1" x14ac:dyDescent="0.3">
      <c r="A5" s="95">
        <v>3</v>
      </c>
      <c r="B5" s="95">
        <f>A5+Items!B$18</f>
        <v>84934659</v>
      </c>
      <c r="C5" s="96" t="s">
        <v>6467</v>
      </c>
      <c r="D5" s="96" t="s">
        <v>6464</v>
      </c>
      <c r="E5" s="95" t="str">
        <f t="shared" si="6"/>
        <v>2H</v>
      </c>
      <c r="F5" s="95" t="s">
        <v>6774</v>
      </c>
      <c r="G5" s="95"/>
      <c r="H5" s="95"/>
      <c r="I5" s="95"/>
      <c r="J5" s="95"/>
      <c r="K5" s="95"/>
      <c r="L5" s="96" t="s">
        <v>6574</v>
      </c>
      <c r="M5" s="96" t="s">
        <v>6666</v>
      </c>
      <c r="N5" s="96" t="s">
        <v>6661</v>
      </c>
      <c r="O5" s="95" t="str">
        <f t="shared" si="0"/>
        <v>FALSE</v>
      </c>
      <c r="P5" s="95"/>
      <c r="Q5" s="96">
        <v>2</v>
      </c>
      <c r="R5" s="96">
        <v>3</v>
      </c>
      <c r="S5" s="96">
        <v>155</v>
      </c>
      <c r="T5" s="96">
        <v>209</v>
      </c>
      <c r="U5" s="96" t="s">
        <v>3535</v>
      </c>
      <c r="V5" s="96">
        <v>0.5</v>
      </c>
      <c r="W5" s="96">
        <v>22</v>
      </c>
      <c r="X5" s="96">
        <v>39</v>
      </c>
      <c r="Y5" s="96" t="s">
        <v>2384</v>
      </c>
      <c r="Z5" s="96">
        <v>43</v>
      </c>
      <c r="AA5" s="96" t="str">
        <f t="shared" si="2"/>
        <v>DA_WPN_Axe_AssaultAxe_c_str</v>
      </c>
      <c r="AB5" s="90" t="str">
        <f t="shared" si="3"/>
        <v>/Game/DungeonSiege/Items/Weapons/Axe/DA_WPN_Axe_AssaultAxe_c_str</v>
      </c>
      <c r="AC5" s="97" t="str">
        <f t="shared" si="4"/>
        <v>Texture2D'/Game/DungeonSiege/art/bitmaps/gui/in_game/inventory/weapons/Axe/b_gui_ig_i_w_axe_181.b_gui_ig_i_w_axe_181'</v>
      </c>
      <c r="AD5" s="97" t="str">
        <f t="shared" si="1"/>
        <v>Texture2D'/Game/DungeonSiege/art/bitmaps/gui/in_game/inventory/icons/b_gui_ig_i_ic_axe_004.b_gui_ig_i_ic_axe_004'</v>
      </c>
      <c r="AE5" s="97" t="str">
        <f t="shared" si="5"/>
        <v>StaticMesh'/Game/DungeonSiege/art/meshes/weapons/Axe/m_w_axe_087_AspMesh.m_w_axe_087_AspMesh'</v>
      </c>
    </row>
    <row r="6" spans="1:31" ht="15.75" thickBot="1" x14ac:dyDescent="0.3">
      <c r="A6" s="95">
        <v>4</v>
      </c>
      <c r="B6" s="95">
        <f>A6+Items!B$18</f>
        <v>84934660</v>
      </c>
      <c r="C6" s="96" t="s">
        <v>6468</v>
      </c>
      <c r="D6" s="96" t="s">
        <v>6464</v>
      </c>
      <c r="E6" s="95" t="str">
        <f t="shared" si="6"/>
        <v>2H</v>
      </c>
      <c r="F6" s="95" t="s">
        <v>6775</v>
      </c>
      <c r="G6" s="95"/>
      <c r="H6" s="95"/>
      <c r="I6" s="95"/>
      <c r="J6" s="95"/>
      <c r="K6" s="95"/>
      <c r="L6" s="96" t="s">
        <v>6575</v>
      </c>
      <c r="M6" s="96" t="s">
        <v>6667</v>
      </c>
      <c r="N6" s="96" t="s">
        <v>6668</v>
      </c>
      <c r="O6" s="95" t="str">
        <f t="shared" si="0"/>
        <v>FALSE</v>
      </c>
      <c r="P6" s="95"/>
      <c r="Q6" s="96">
        <v>2</v>
      </c>
      <c r="R6" s="96">
        <v>3</v>
      </c>
      <c r="S6" s="96">
        <v>111</v>
      </c>
      <c r="T6" s="96">
        <v>151</v>
      </c>
      <c r="U6" s="96" t="s">
        <v>3535</v>
      </c>
      <c r="V6" s="96">
        <v>0.5</v>
      </c>
      <c r="W6" s="96">
        <v>8</v>
      </c>
      <c r="X6" s="96">
        <v>22</v>
      </c>
      <c r="Y6" s="96" t="s">
        <v>2384</v>
      </c>
      <c r="Z6" s="96">
        <v>33</v>
      </c>
      <c r="AA6" s="96" t="str">
        <f t="shared" si="2"/>
        <v>DA_WPN_Axe_AssaultAxe_o_avg</v>
      </c>
      <c r="AB6" s="90" t="str">
        <f t="shared" si="3"/>
        <v>/Game/DungeonSiege/Items/Weapons/Axe/DA_WPN_Axe_AssaultAxe_o_avg</v>
      </c>
      <c r="AC6" s="97" t="str">
        <f t="shared" si="4"/>
        <v>Texture2D'/Game/DungeonSiege/art/bitmaps/gui/in_game/inventory/weapons/Axe/b_gui_ig_i_w_axe_185.b_gui_ig_i_w_axe_185'</v>
      </c>
      <c r="AD6" s="97" t="str">
        <f t="shared" si="1"/>
        <v>Texture2D'/Game/DungeonSiege/art/bitmaps/gui/in_game/inventory/icons/b_gui_ig_i_ic_axe_008.b_gui_ig_i_ic_axe_008'</v>
      </c>
      <c r="AE6" s="97" t="str">
        <f t="shared" si="5"/>
        <v>StaticMesh'/Game/DungeonSiege/art/meshes/weapons/Axe/m_w_axe_091_AspMesh.m_w_axe_091_AspMesh'</v>
      </c>
    </row>
    <row r="7" spans="1:31" ht="15.75" thickBot="1" x14ac:dyDescent="0.3">
      <c r="A7" s="95">
        <v>5</v>
      </c>
      <c r="B7" s="95">
        <f>A7+Items!B$18</f>
        <v>84934661</v>
      </c>
      <c r="C7" s="96" t="s">
        <v>6469</v>
      </c>
      <c r="D7" s="96" t="s">
        <v>6464</v>
      </c>
      <c r="E7" s="95" t="str">
        <f t="shared" si="6"/>
        <v>2H</v>
      </c>
      <c r="F7" s="95" t="s">
        <v>6776</v>
      </c>
      <c r="G7" s="95"/>
      <c r="H7" s="95"/>
      <c r="I7" s="95"/>
      <c r="J7" s="95"/>
      <c r="K7" s="95"/>
      <c r="L7" s="96" t="s">
        <v>6576</v>
      </c>
      <c r="M7" s="96" t="s">
        <v>6671</v>
      </c>
      <c r="N7" s="96" t="s">
        <v>6668</v>
      </c>
      <c r="O7" s="95" t="str">
        <f t="shared" si="0"/>
        <v>FALSE</v>
      </c>
      <c r="P7" s="95"/>
      <c r="Q7" s="96">
        <v>2</v>
      </c>
      <c r="R7" s="96">
        <v>3</v>
      </c>
      <c r="S7" s="96">
        <v>132</v>
      </c>
      <c r="T7" s="96">
        <v>178</v>
      </c>
      <c r="U7" s="96" t="s">
        <v>3535</v>
      </c>
      <c r="V7" s="96">
        <v>0.5</v>
      </c>
      <c r="W7" s="96">
        <v>14</v>
      </c>
      <c r="X7" s="96">
        <v>31</v>
      </c>
      <c r="Y7" s="96" t="s">
        <v>2384</v>
      </c>
      <c r="Z7" s="96">
        <v>38</v>
      </c>
      <c r="AA7" s="96" t="str">
        <f t="shared" si="2"/>
        <v>DA_WPN_Axe_AssaultAxe_o_fin</v>
      </c>
      <c r="AB7" s="90" t="str">
        <f t="shared" si="3"/>
        <v>/Game/DungeonSiege/Items/Weapons/Axe/DA_WPN_Axe_AssaultAxe_o_fin</v>
      </c>
      <c r="AC7" s="97" t="str">
        <f t="shared" si="4"/>
        <v>Texture2D'/Game/DungeonSiege/art/bitmaps/gui/in_game/inventory/weapons/Axe/b_gui_ig_i_w_axe_186.b_gui_ig_i_w_axe_186'</v>
      </c>
      <c r="AD7" s="97" t="str">
        <f t="shared" si="1"/>
        <v>Texture2D'/Game/DungeonSiege/art/bitmaps/gui/in_game/inventory/icons/b_gui_ig_i_ic_axe_008.b_gui_ig_i_ic_axe_008'</v>
      </c>
      <c r="AE7" s="97" t="str">
        <f t="shared" si="5"/>
        <v>StaticMesh'/Game/DungeonSiege/art/meshes/weapons/Axe/m_w_axe_092_AspMesh.m_w_axe_092_AspMesh'</v>
      </c>
    </row>
    <row r="8" spans="1:31" ht="15.75" thickBot="1" x14ac:dyDescent="0.3">
      <c r="A8" s="95">
        <v>6</v>
      </c>
      <c r="B8" s="95">
        <f>A8+Items!B$18</f>
        <v>84934662</v>
      </c>
      <c r="C8" s="96" t="s">
        <v>6470</v>
      </c>
      <c r="D8" s="96" t="s">
        <v>6464</v>
      </c>
      <c r="E8" s="95" t="str">
        <f t="shared" si="6"/>
        <v>2H</v>
      </c>
      <c r="F8" s="95" t="s">
        <v>6777</v>
      </c>
      <c r="G8" s="95"/>
      <c r="H8" s="95"/>
      <c r="I8" s="95"/>
      <c r="J8" s="95"/>
      <c r="K8" s="95"/>
      <c r="L8" s="96" t="s">
        <v>6577</v>
      </c>
      <c r="M8" s="96" t="s">
        <v>6670</v>
      </c>
      <c r="N8" s="96" t="s">
        <v>6668</v>
      </c>
      <c r="O8" s="95" t="str">
        <f t="shared" si="0"/>
        <v>FALSE</v>
      </c>
      <c r="P8" s="95"/>
      <c r="Q8" s="96">
        <v>2</v>
      </c>
      <c r="R8" s="96">
        <v>3</v>
      </c>
      <c r="S8" s="96">
        <v>242</v>
      </c>
      <c r="T8" s="96">
        <v>328</v>
      </c>
      <c r="U8" s="96" t="s">
        <v>3535</v>
      </c>
      <c r="V8" s="96">
        <v>0.5</v>
      </c>
      <c r="W8" s="96">
        <v>47</v>
      </c>
      <c r="X8" s="96">
        <v>66</v>
      </c>
      <c r="Y8" s="96" t="s">
        <v>2384</v>
      </c>
      <c r="Z8" s="96">
        <v>62</v>
      </c>
      <c r="AA8" s="96" t="str">
        <f t="shared" si="2"/>
        <v>DA_WPN_Axe_AssaultAxe_o_mag</v>
      </c>
      <c r="AB8" s="90" t="str">
        <f t="shared" si="3"/>
        <v>/Game/DungeonSiege/Items/Weapons/Axe/DA_WPN_Axe_AssaultAxe_o_mag</v>
      </c>
      <c r="AC8" s="97" t="str">
        <f t="shared" si="4"/>
        <v>Texture2D'/Game/DungeonSiege/art/bitmaps/gui/in_game/inventory/weapons/Axe/b_gui_ig_i_w_axe_188.b_gui_ig_i_w_axe_188'</v>
      </c>
      <c r="AD8" s="97" t="str">
        <f t="shared" si="1"/>
        <v>Texture2D'/Game/DungeonSiege/art/bitmaps/gui/in_game/inventory/icons/b_gui_ig_i_ic_axe_008.b_gui_ig_i_ic_axe_008'</v>
      </c>
      <c r="AE8" s="97" t="str">
        <f t="shared" si="5"/>
        <v>StaticMesh'/Game/DungeonSiege/art/meshes/weapons/Axe/m_w_axe_094_AspMesh.m_w_axe_094_AspMesh'</v>
      </c>
    </row>
    <row r="9" spans="1:31" ht="15.75" thickBot="1" x14ac:dyDescent="0.3">
      <c r="A9" s="95">
        <v>7</v>
      </c>
      <c r="B9" s="95">
        <f>A9+Items!B$18</f>
        <v>84934663</v>
      </c>
      <c r="C9" s="96" t="s">
        <v>6471</v>
      </c>
      <c r="D9" s="96" t="s">
        <v>6464</v>
      </c>
      <c r="E9" s="95" t="str">
        <f t="shared" si="6"/>
        <v>2H</v>
      </c>
      <c r="F9" s="95" t="s">
        <v>6778</v>
      </c>
      <c r="G9" s="95"/>
      <c r="H9" s="95"/>
      <c r="I9" s="95"/>
      <c r="J9" s="95"/>
      <c r="K9" s="95"/>
      <c r="L9" s="96" t="s">
        <v>6578</v>
      </c>
      <c r="M9" s="96" t="s">
        <v>6669</v>
      </c>
      <c r="N9" s="96" t="s">
        <v>6668</v>
      </c>
      <c r="O9" s="95" t="str">
        <f t="shared" si="0"/>
        <v>FALSE</v>
      </c>
      <c r="P9" s="95"/>
      <c r="Q9" s="96">
        <v>2</v>
      </c>
      <c r="R9" s="96">
        <v>3</v>
      </c>
      <c r="S9" s="96">
        <v>181</v>
      </c>
      <c r="T9" s="96">
        <v>245</v>
      </c>
      <c r="U9" s="96" t="s">
        <v>3535</v>
      </c>
      <c r="V9" s="96">
        <v>0.5</v>
      </c>
      <c r="W9" s="96">
        <v>32</v>
      </c>
      <c r="X9" s="96">
        <v>47</v>
      </c>
      <c r="Y9" s="96" t="s">
        <v>2384</v>
      </c>
      <c r="Z9" s="96">
        <v>49</v>
      </c>
      <c r="AA9" s="96" t="str">
        <f t="shared" si="2"/>
        <v>DA_WPN_Axe_AssaultAxe_o_str</v>
      </c>
      <c r="AB9" s="90" t="str">
        <f t="shared" si="3"/>
        <v>/Game/DungeonSiege/Items/Weapons/Axe/DA_WPN_Axe_AssaultAxe_o_str</v>
      </c>
      <c r="AC9" s="97" t="str">
        <f t="shared" si="4"/>
        <v>Texture2D'/Game/DungeonSiege/art/bitmaps/gui/in_game/inventory/weapons/Axe/b_gui_ig_i_w_axe_187.b_gui_ig_i_w_axe_187'</v>
      </c>
      <c r="AD9" s="97" t="str">
        <f t="shared" si="1"/>
        <v>Texture2D'/Game/DungeonSiege/art/bitmaps/gui/in_game/inventory/icons/b_gui_ig_i_ic_axe_008.b_gui_ig_i_ic_axe_008'</v>
      </c>
      <c r="AE9" s="97" t="str">
        <f t="shared" si="5"/>
        <v>StaticMesh'/Game/DungeonSiege/art/meshes/weapons/Axe/m_w_axe_093_AspMesh.m_w_axe_093_AspMesh'</v>
      </c>
    </row>
    <row r="10" spans="1:31" ht="23.25" thickBot="1" x14ac:dyDescent="0.3">
      <c r="A10" s="95">
        <v>8</v>
      </c>
      <c r="B10" s="95">
        <f>A10+Items!B$18</f>
        <v>84934664</v>
      </c>
      <c r="C10" s="96" t="s">
        <v>6472</v>
      </c>
      <c r="D10" s="96" t="s">
        <v>6473</v>
      </c>
      <c r="E10" s="95" t="s">
        <v>3524</v>
      </c>
      <c r="F10" s="95" t="s">
        <v>6779</v>
      </c>
      <c r="G10" s="95"/>
      <c r="H10" s="95"/>
      <c r="I10" s="95"/>
      <c r="J10" s="95"/>
      <c r="K10" s="95"/>
      <c r="L10" s="96" t="s">
        <v>6579</v>
      </c>
      <c r="M10" s="96" t="s">
        <v>6672</v>
      </c>
      <c r="N10" s="96" t="s">
        <v>6668</v>
      </c>
      <c r="O10" s="95" t="str">
        <f t="shared" si="0"/>
        <v>FALSE</v>
      </c>
      <c r="P10" s="95"/>
      <c r="Q10" s="96">
        <v>2</v>
      </c>
      <c r="R10" s="96">
        <v>3</v>
      </c>
      <c r="S10" s="96">
        <v>342</v>
      </c>
      <c r="T10" s="96">
        <v>421</v>
      </c>
      <c r="U10" s="96" t="s">
        <v>3535</v>
      </c>
      <c r="V10" s="96">
        <v>0.5</v>
      </c>
      <c r="W10" s="96">
        <v>1</v>
      </c>
      <c r="X10" s="96">
        <v>100</v>
      </c>
      <c r="Y10" s="96" t="s">
        <v>2384</v>
      </c>
      <c r="Z10" s="96">
        <v>78</v>
      </c>
      <c r="AA10" s="96" t="str">
        <f t="shared" si="2"/>
        <v>DA_WPN_Axe_AxeofKillKillCarnage_base</v>
      </c>
      <c r="AB10" s="90" t="str">
        <f t="shared" si="3"/>
        <v>/Game/DungeonSiege/Items/Weapons/Axe/DA_WPN_Axe_AxeofKillKillCarnage_base</v>
      </c>
      <c r="AC10" s="97" t="str">
        <f t="shared" si="4"/>
        <v>Texture2D'/Game/DungeonSiege/art/bitmaps/gui/in_game/inventory/weapons/Axe/b_gui_ig_i_w_axe_139.b_gui_ig_i_w_axe_139'</v>
      </c>
      <c r="AD10" s="97" t="str">
        <f t="shared" si="1"/>
        <v>Texture2D'/Game/DungeonSiege/art/bitmaps/gui/in_game/inventory/icons/b_gui_ig_i_ic_axe_008.b_gui_ig_i_ic_axe_008'</v>
      </c>
      <c r="AE10" s="97" t="str">
        <f t="shared" si="5"/>
        <v>StaticMesh'/Game/DungeonSiege/art/meshes/weapons/Axe/m_w_axe_045_AspMesh.m_w_axe_045_AspMesh'</v>
      </c>
    </row>
    <row r="11" spans="1:31" ht="15.75" thickBot="1" x14ac:dyDescent="0.3">
      <c r="A11" s="95">
        <v>9</v>
      </c>
      <c r="B11" s="95">
        <f>A11+Items!B$18</f>
        <v>84934665</v>
      </c>
      <c r="C11" s="96" t="s">
        <v>6474</v>
      </c>
      <c r="D11" s="96" t="s">
        <v>6474</v>
      </c>
      <c r="E11" s="95" t="str">
        <f t="shared" si="6"/>
        <v>2H</v>
      </c>
      <c r="F11" s="95" t="s">
        <v>6780</v>
      </c>
      <c r="G11" s="95"/>
      <c r="H11" s="95"/>
      <c r="I11" s="95"/>
      <c r="J11" s="95"/>
      <c r="K11" s="95"/>
      <c r="L11" s="96" t="s">
        <v>6580</v>
      </c>
      <c r="M11" s="96" t="s">
        <v>6673</v>
      </c>
      <c r="N11" s="96" t="s">
        <v>6668</v>
      </c>
      <c r="O11" s="95" t="str">
        <f t="shared" si="0"/>
        <v>FALSE</v>
      </c>
      <c r="P11" s="95"/>
      <c r="Q11" s="96">
        <v>2</v>
      </c>
      <c r="R11" s="96">
        <v>3</v>
      </c>
      <c r="S11" s="96">
        <v>88</v>
      </c>
      <c r="T11" s="96">
        <v>118</v>
      </c>
      <c r="U11" s="96" t="s">
        <v>3535</v>
      </c>
      <c r="V11" s="96">
        <v>0.5</v>
      </c>
      <c r="W11" s="96">
        <v>0</v>
      </c>
      <c r="X11" s="96">
        <v>0</v>
      </c>
      <c r="Y11" s="96" t="s">
        <v>2384</v>
      </c>
      <c r="Z11" s="96">
        <v>28</v>
      </c>
      <c r="AA11" s="96" t="str">
        <f t="shared" si="2"/>
        <v>DA_WPN_Axe_BatteredAssaultAxe</v>
      </c>
      <c r="AB11" s="90" t="str">
        <f t="shared" si="3"/>
        <v>/Game/DungeonSiege/Items/Weapons/Axe/DA_WPN_Axe_BatteredAssaultAxe</v>
      </c>
      <c r="AC11" s="97" t="str">
        <f t="shared" si="4"/>
        <v>Texture2D'/Game/DungeonSiege/art/bitmaps/gui/in_game/inventory/weapons/Axe/b_gui_ig_i_w_axe_183.b_gui_ig_i_w_axe_183'</v>
      </c>
      <c r="AD11" s="97" t="str">
        <f t="shared" si="1"/>
        <v>Texture2D'/Game/DungeonSiege/art/bitmaps/gui/in_game/inventory/icons/b_gui_ig_i_ic_axe_008.b_gui_ig_i_ic_axe_008'</v>
      </c>
      <c r="AE11" s="97" t="str">
        <f t="shared" si="5"/>
        <v>StaticMesh'/Game/DungeonSiege/art/meshes/weapons/Axe/m_w_axe_089_AspMesh.m_w_axe_089_AspMesh'</v>
      </c>
    </row>
    <row r="12" spans="1:31" ht="15.75" thickBot="1" x14ac:dyDescent="0.3">
      <c r="A12" s="95">
        <v>10</v>
      </c>
      <c r="B12" s="95">
        <f>A12+Items!B$18</f>
        <v>84934666</v>
      </c>
      <c r="C12" s="96" t="s">
        <v>6475</v>
      </c>
      <c r="D12" s="96" t="s">
        <v>6475</v>
      </c>
      <c r="E12" s="95" t="str">
        <f t="shared" si="6"/>
        <v>2H</v>
      </c>
      <c r="F12" s="95" t="s">
        <v>6781</v>
      </c>
      <c r="G12" s="95"/>
      <c r="H12" s="95"/>
      <c r="I12" s="95"/>
      <c r="J12" s="95"/>
      <c r="K12" s="95"/>
      <c r="L12" s="96" t="s">
        <v>6581</v>
      </c>
      <c r="M12" s="96" t="s">
        <v>6674</v>
      </c>
      <c r="N12" s="96" t="s">
        <v>6661</v>
      </c>
      <c r="O12" s="95" t="str">
        <f t="shared" si="0"/>
        <v>FALSE</v>
      </c>
      <c r="P12" s="95"/>
      <c r="Q12" s="96">
        <v>2</v>
      </c>
      <c r="R12" s="96">
        <v>3</v>
      </c>
      <c r="S12" s="96">
        <v>82</v>
      </c>
      <c r="T12" s="96">
        <v>112</v>
      </c>
      <c r="U12" s="96" t="s">
        <v>3535</v>
      </c>
      <c r="V12" s="96">
        <v>0.5</v>
      </c>
      <c r="W12" s="96">
        <v>0</v>
      </c>
      <c r="X12" s="96">
        <v>0</v>
      </c>
      <c r="Y12" s="96" t="s">
        <v>2384</v>
      </c>
      <c r="Z12" s="96">
        <v>27</v>
      </c>
      <c r="AA12" s="96" t="str">
        <f t="shared" si="2"/>
        <v>DA_WPN_Axe_BluntAssaultAxe</v>
      </c>
      <c r="AB12" s="90" t="str">
        <f t="shared" si="3"/>
        <v>/Game/DungeonSiege/Items/Weapons/Axe/DA_WPN_Axe_BluntAssaultAxe</v>
      </c>
      <c r="AC12" s="97" t="str">
        <f t="shared" si="4"/>
        <v>Texture2D'/Game/DungeonSiege/art/bitmaps/gui/in_game/inventory/weapons/Axe/b_gui_ig_i_w_axe_178.b_gui_ig_i_w_axe_178'</v>
      </c>
      <c r="AD12" s="97" t="str">
        <f t="shared" si="1"/>
        <v>Texture2D'/Game/DungeonSiege/art/bitmaps/gui/in_game/inventory/icons/b_gui_ig_i_ic_axe_004.b_gui_ig_i_ic_axe_004'</v>
      </c>
      <c r="AE12" s="97" t="str">
        <f t="shared" si="5"/>
        <v>StaticMesh'/Game/DungeonSiege/art/meshes/weapons/Axe/m_w_axe_084_AspMesh.m_w_axe_084_AspMesh'</v>
      </c>
    </row>
    <row r="13" spans="1:31" ht="15.75" thickBot="1" x14ac:dyDescent="0.3">
      <c r="A13" s="95">
        <v>11</v>
      </c>
      <c r="B13" s="95">
        <f>A13+Items!B$18</f>
        <v>84934667</v>
      </c>
      <c r="C13" s="96" t="s">
        <v>6476</v>
      </c>
      <c r="D13" s="96" t="s">
        <v>6476</v>
      </c>
      <c r="E13" s="95" t="str">
        <f t="shared" si="6"/>
        <v>2H</v>
      </c>
      <c r="F13" s="95" t="s">
        <v>6782</v>
      </c>
      <c r="G13" s="95"/>
      <c r="H13" s="95"/>
      <c r="I13" s="95"/>
      <c r="J13" s="95"/>
      <c r="K13" s="95"/>
      <c r="L13" s="96" t="s">
        <v>6582</v>
      </c>
      <c r="M13" s="96" t="s">
        <v>6676</v>
      </c>
      <c r="N13" s="96" t="s">
        <v>6675</v>
      </c>
      <c r="O13" s="95" t="str">
        <f t="shared" si="0"/>
        <v>FALSE</v>
      </c>
      <c r="P13" s="95"/>
      <c r="Q13" s="96">
        <v>1</v>
      </c>
      <c r="R13" s="96">
        <v>3</v>
      </c>
      <c r="S13" s="96">
        <v>55</v>
      </c>
      <c r="T13" s="96">
        <v>69</v>
      </c>
      <c r="U13" s="96" t="s">
        <v>3535</v>
      </c>
      <c r="V13" s="96">
        <v>0.5</v>
      </c>
      <c r="W13" s="96">
        <v>0</v>
      </c>
      <c r="X13" s="96">
        <v>0</v>
      </c>
      <c r="Y13" s="96" t="s">
        <v>2384</v>
      </c>
      <c r="Z13" s="96">
        <v>20</v>
      </c>
      <c r="AA13" s="96" t="str">
        <f t="shared" si="2"/>
        <v>DA_WPN_Axe_BluntFieldAxe</v>
      </c>
      <c r="AB13" s="90" t="str">
        <f t="shared" si="3"/>
        <v>/Game/DungeonSiege/Items/Weapons/Axe/DA_WPN_Axe_BluntFieldAxe</v>
      </c>
      <c r="AC13" s="97" t="str">
        <f t="shared" si="4"/>
        <v>Texture2D'/Game/DungeonSiege/art/bitmaps/gui/in_game/inventory/weapons/Axe/b_gui_ig_i_w_axe_166.b_gui_ig_i_w_axe_166'</v>
      </c>
      <c r="AD13" s="97" t="str">
        <f t="shared" si="1"/>
        <v>Texture2D'/Game/DungeonSiege/art/bitmaps/gui/in_game/inventory/icons/b_gui_ig_i_ic_axe_003.b_gui_ig_i_ic_axe_003'</v>
      </c>
      <c r="AE13" s="97" t="str">
        <f t="shared" si="5"/>
        <v>StaticMesh'/Game/DungeonSiege/art/meshes/weapons/Axe/m_w_axe_072_AspMesh.m_w_axe_072_AspMesh'</v>
      </c>
    </row>
    <row r="14" spans="1:31" ht="15.75" thickBot="1" x14ac:dyDescent="0.3">
      <c r="A14" s="95">
        <v>12</v>
      </c>
      <c r="B14" s="95">
        <f>A14+Items!B$18</f>
        <v>84934668</v>
      </c>
      <c r="C14" s="96" t="s">
        <v>6477</v>
      </c>
      <c r="D14" s="96" t="s">
        <v>6477</v>
      </c>
      <c r="E14" s="95" t="str">
        <f t="shared" si="6"/>
        <v>1H</v>
      </c>
      <c r="F14" s="95" t="s">
        <v>6783</v>
      </c>
      <c r="G14" s="95"/>
      <c r="H14" s="95"/>
      <c r="I14" s="95"/>
      <c r="J14" s="95"/>
      <c r="K14" s="95"/>
      <c r="L14" s="96" t="s">
        <v>6583</v>
      </c>
      <c r="M14" s="96" t="s">
        <v>6677</v>
      </c>
      <c r="N14" s="96" t="s">
        <v>6678</v>
      </c>
      <c r="O14" s="95" t="str">
        <f t="shared" si="0"/>
        <v>FALSE</v>
      </c>
      <c r="P14" s="95"/>
      <c r="Q14" s="96">
        <v>1</v>
      </c>
      <c r="R14" s="96">
        <v>2</v>
      </c>
      <c r="S14" s="96">
        <v>25</v>
      </c>
      <c r="T14" s="96">
        <v>30</v>
      </c>
      <c r="U14" s="96" t="s">
        <v>3536</v>
      </c>
      <c r="V14" s="96">
        <v>0.5</v>
      </c>
      <c r="W14" s="96">
        <v>0</v>
      </c>
      <c r="X14" s="96">
        <v>0</v>
      </c>
      <c r="Y14" s="96" t="s">
        <v>2384</v>
      </c>
      <c r="Z14" s="96">
        <v>15</v>
      </c>
      <c r="AA14" s="96" t="str">
        <f t="shared" si="2"/>
        <v>DA_WPN_Axe_BluntFullAxe</v>
      </c>
      <c r="AB14" s="90" t="str">
        <f t="shared" si="3"/>
        <v>/Game/DungeonSiege/Items/Weapons/Axe/DA_WPN_Axe_BluntFullAxe</v>
      </c>
      <c r="AC14" s="97" t="str">
        <f t="shared" si="4"/>
        <v>Texture2D'/Game/DungeonSiege/art/bitmaps/gui/in_game/inventory/weapons/Axe/b_gui_ig_i_w_axe_154.b_gui_ig_i_w_axe_154'</v>
      </c>
      <c r="AD14" s="97" t="str">
        <f t="shared" si="1"/>
        <v>Texture2D'/Game/DungeonSiege/art/bitmaps/gui/in_game/inventory/icons/b_gui_ig_i_ic_axe_002.b_gui_ig_i_ic_axe_002'</v>
      </c>
      <c r="AE14" s="97" t="str">
        <f t="shared" si="5"/>
        <v>StaticMesh'/Game/DungeonSiege/art/meshes/weapons/Axe/m_w_axe_060_AspMesh.m_w_axe_060_AspMesh'</v>
      </c>
    </row>
    <row r="15" spans="1:31" ht="15.75" thickBot="1" x14ac:dyDescent="0.3">
      <c r="A15" s="95">
        <v>13</v>
      </c>
      <c r="B15" s="95">
        <f>A15+Items!B$18</f>
        <v>84934669</v>
      </c>
      <c r="C15" s="96" t="s">
        <v>6478</v>
      </c>
      <c r="D15" s="96" t="s">
        <v>6478</v>
      </c>
      <c r="E15" s="95" t="str">
        <f t="shared" si="6"/>
        <v>2H</v>
      </c>
      <c r="F15" s="95" t="s">
        <v>6784</v>
      </c>
      <c r="G15" s="95"/>
      <c r="H15" s="95"/>
      <c r="I15" s="95"/>
      <c r="J15" s="95"/>
      <c r="K15" s="95"/>
      <c r="L15" s="96" t="s">
        <v>6584</v>
      </c>
      <c r="M15" s="96" t="s">
        <v>6679</v>
      </c>
      <c r="N15" s="96" t="s">
        <v>6680</v>
      </c>
      <c r="O15" s="95" t="str">
        <f t="shared" si="0"/>
        <v>FALSE</v>
      </c>
      <c r="P15" s="95"/>
      <c r="Q15" s="96">
        <v>2</v>
      </c>
      <c r="R15" s="96">
        <v>3</v>
      </c>
      <c r="S15" s="96">
        <v>17</v>
      </c>
      <c r="T15" s="96">
        <v>25</v>
      </c>
      <c r="U15" s="96" t="s">
        <v>3535</v>
      </c>
      <c r="V15" s="96">
        <v>0.5</v>
      </c>
      <c r="W15" s="96">
        <v>0</v>
      </c>
      <c r="X15" s="96">
        <v>0</v>
      </c>
      <c r="Y15" s="96" t="s">
        <v>2384</v>
      </c>
      <c r="Z15" s="96">
        <v>29</v>
      </c>
      <c r="AA15" s="96" t="str">
        <f t="shared" si="2"/>
        <v>DA_WPN_Axe_BoneAxe</v>
      </c>
      <c r="AB15" s="90" t="str">
        <f t="shared" si="3"/>
        <v>/Game/DungeonSiege/Items/Weapons/Axe/DA_WPN_Axe_BoneAxe</v>
      </c>
      <c r="AC15" s="97" t="str">
        <f t="shared" si="4"/>
        <v>Texture2D'/Game/DungeonSiege/art/bitmaps/gui/in_game/inventory/weapons/Axe/b_gui_ig_i_w_axe_12.b_gui_ig_i_w_axe_12'</v>
      </c>
      <c r="AD15" s="97" t="str">
        <f t="shared" si="1"/>
        <v>Texture2D'/Game/DungeonSiege/art/bitmaps/gui/in_game/inventory/icons/b_gui_ig_i_ic_axe_001.b_gui_ig_i_ic_axe_001'</v>
      </c>
      <c r="AE15" s="97" t="str">
        <f t="shared" si="5"/>
        <v>StaticMesh'/Game/DungeonSiege/art/meshes/weapons/Axe/m_w_axe_012_AspMesh.m_w_axe_012_AspMesh'</v>
      </c>
    </row>
    <row r="16" spans="1:31" ht="15.75" thickBot="1" x14ac:dyDescent="0.3">
      <c r="A16" s="95">
        <v>14</v>
      </c>
      <c r="B16" s="95">
        <f>A16+Items!B$18</f>
        <v>84934670</v>
      </c>
      <c r="C16" s="96" t="s">
        <v>6479</v>
      </c>
      <c r="D16" s="96" t="s">
        <v>6480</v>
      </c>
      <c r="E16" s="95" t="str">
        <f t="shared" si="6"/>
        <v>1H</v>
      </c>
      <c r="F16" s="95" t="s">
        <v>6785</v>
      </c>
      <c r="G16" s="95"/>
      <c r="H16" s="95"/>
      <c r="I16" s="95"/>
      <c r="J16" s="95"/>
      <c r="K16" s="95"/>
      <c r="L16" s="96" t="s">
        <v>6585</v>
      </c>
      <c r="M16" s="96" t="s">
        <v>6681</v>
      </c>
      <c r="N16" s="96" t="s">
        <v>6678</v>
      </c>
      <c r="O16" s="95" t="str">
        <f t="shared" si="0"/>
        <v>FALSE</v>
      </c>
      <c r="P16" s="95"/>
      <c r="Q16" s="96">
        <v>2</v>
      </c>
      <c r="R16" s="96">
        <v>3</v>
      </c>
      <c r="S16" s="96">
        <v>166</v>
      </c>
      <c r="T16" s="96">
        <v>211</v>
      </c>
      <c r="U16" s="96" t="s">
        <v>3536</v>
      </c>
      <c r="V16" s="96">
        <v>0.5</v>
      </c>
      <c r="W16" s="96">
        <v>13</v>
      </c>
      <c r="X16" s="96">
        <v>43</v>
      </c>
      <c r="Y16" s="96" t="s">
        <v>2384</v>
      </c>
      <c r="Z16" s="96">
        <v>51</v>
      </c>
      <c r="AA16" s="96" t="str">
        <f t="shared" si="2"/>
        <v>DA_WPN_Axe_ChipAxe_base</v>
      </c>
      <c r="AB16" s="90" t="str">
        <f t="shared" si="3"/>
        <v>/Game/DungeonSiege/Items/Weapons/Axe/DA_WPN_Axe_ChipAxe_base</v>
      </c>
      <c r="AC16" s="97" t="str">
        <f t="shared" si="4"/>
        <v>Texture2D'/Game/DungeonSiege/art/bitmaps/gui/in_game/inventory/weapons/Axe/b_gui_ig_i_w_axe_138.b_gui_ig_i_w_axe_138'</v>
      </c>
      <c r="AD16" s="97" t="str">
        <f t="shared" si="1"/>
        <v>Texture2D'/Game/DungeonSiege/art/bitmaps/gui/in_game/inventory/icons/b_gui_ig_i_ic_axe_002.b_gui_ig_i_ic_axe_002'</v>
      </c>
      <c r="AE16" s="97" t="str">
        <f t="shared" si="5"/>
        <v>StaticMesh'/Game/DungeonSiege/art/meshes/weapons/Axe/m_w_axe_044_AspMesh.m_w_axe_044_AspMesh'</v>
      </c>
    </row>
    <row r="17" spans="1:31" ht="15.75" thickBot="1" x14ac:dyDescent="0.3">
      <c r="A17" s="95">
        <v>15</v>
      </c>
      <c r="B17" s="95">
        <f>A17+Items!B$18</f>
        <v>84934671</v>
      </c>
      <c r="C17" s="96" t="s">
        <v>6481</v>
      </c>
      <c r="D17" s="96" t="s">
        <v>6481</v>
      </c>
      <c r="E17" s="95" t="str">
        <f t="shared" si="6"/>
        <v>1H</v>
      </c>
      <c r="F17" s="95" t="s">
        <v>6762</v>
      </c>
      <c r="G17" s="95"/>
      <c r="H17" s="95"/>
      <c r="I17" s="95"/>
      <c r="J17" s="95"/>
      <c r="K17" s="95"/>
      <c r="L17" s="96" t="s">
        <v>6586</v>
      </c>
      <c r="M17" s="96" t="s">
        <v>6682</v>
      </c>
      <c r="N17" s="96" t="s">
        <v>6680</v>
      </c>
      <c r="O17" s="95" t="str">
        <f t="shared" si="0"/>
        <v>FALSE</v>
      </c>
      <c r="P17" s="95"/>
      <c r="Q17" s="96">
        <v>1</v>
      </c>
      <c r="R17" s="96">
        <v>2</v>
      </c>
      <c r="S17" s="96">
        <v>3</v>
      </c>
      <c r="T17" s="96">
        <v>7</v>
      </c>
      <c r="U17" s="96" t="s">
        <v>3536</v>
      </c>
      <c r="V17" s="96">
        <v>0.5</v>
      </c>
      <c r="W17" s="96">
        <v>0</v>
      </c>
      <c r="X17" s="96">
        <v>0</v>
      </c>
      <c r="Y17" s="96"/>
      <c r="Z17" s="96"/>
      <c r="AA17" s="96" t="str">
        <f t="shared" si="2"/>
        <v>DA_WPN_Axe_Chuck</v>
      </c>
      <c r="AB17" s="90" t="str">
        <f t="shared" si="3"/>
        <v>/Game/DungeonSiege/Items/Weapons/Axe/DA_WPN_Axe_Chuck</v>
      </c>
      <c r="AC17" s="97" t="str">
        <f t="shared" si="4"/>
        <v>Texture2D'/Game/DungeonSiege/art/bitmaps/gui/in_game/inventory/weapons/Axe/b_gui_ig_i_w_axe_089.b_gui_ig_i_w_axe_089'</v>
      </c>
      <c r="AD17" s="97" t="str">
        <f t="shared" si="1"/>
        <v>Texture2D'/Game/DungeonSiege/art/bitmaps/gui/in_game/inventory/icons/b_gui_ig_i_ic_axe_001.b_gui_ig_i_ic_axe_001'</v>
      </c>
      <c r="AE17" s="97" t="str">
        <f t="shared" si="5"/>
        <v>StaticMesh'/Game/DungeonSiege/art/meshes/weapons/Axe/m_w_axe_029_AspMesh.m_w_axe_029_AspMesh'</v>
      </c>
    </row>
    <row r="18" spans="1:31" ht="15.75" thickBot="1" x14ac:dyDescent="0.3">
      <c r="A18" s="95">
        <v>16</v>
      </c>
      <c r="B18" s="95">
        <f>A18+Items!B$18</f>
        <v>84934672</v>
      </c>
      <c r="C18" s="96" t="s">
        <v>6482</v>
      </c>
      <c r="D18" s="96" t="s">
        <v>6483</v>
      </c>
      <c r="E18" s="95" t="str">
        <f t="shared" si="6"/>
        <v>2H</v>
      </c>
      <c r="F18" s="95" t="s">
        <v>6764</v>
      </c>
      <c r="G18" s="95"/>
      <c r="H18" s="95"/>
      <c r="I18" s="95"/>
      <c r="J18" s="95"/>
      <c r="K18" s="95"/>
      <c r="L18" s="96" t="s">
        <v>6587</v>
      </c>
      <c r="M18" s="96" t="s">
        <v>6683</v>
      </c>
      <c r="N18" s="96" t="s">
        <v>6668</v>
      </c>
      <c r="O18" s="95" t="str">
        <f t="shared" si="0"/>
        <v>FALSE</v>
      </c>
      <c r="P18" s="95"/>
      <c r="Q18" s="96">
        <v>2</v>
      </c>
      <c r="R18" s="96">
        <v>3</v>
      </c>
      <c r="S18" s="96">
        <v>83</v>
      </c>
      <c r="T18" s="96">
        <v>113</v>
      </c>
      <c r="U18" s="96" t="s">
        <v>3535</v>
      </c>
      <c r="V18" s="96">
        <v>0.5</v>
      </c>
      <c r="W18" s="96">
        <v>0</v>
      </c>
      <c r="X18" s="96">
        <v>1</v>
      </c>
      <c r="Y18" s="96" t="s">
        <v>2384</v>
      </c>
      <c r="Z18" s="96">
        <v>26</v>
      </c>
      <c r="AA18" s="96" t="str">
        <f t="shared" si="2"/>
        <v>DA_WPN_Axe_CleftAxe_base</v>
      </c>
      <c r="AB18" s="90" t="str">
        <f t="shared" si="3"/>
        <v>/Game/DungeonSiege/Items/Weapons/Axe/DA_WPN_Axe_CleftAxe_base</v>
      </c>
      <c r="AC18" s="97" t="str">
        <f t="shared" si="4"/>
        <v>Texture2D'/Game/DungeonSiege/art/bitmaps/gui/in_game/inventory/weapons/Axe/b_gui_ig_i_w_axe_094.b_gui_ig_i_w_axe_094'</v>
      </c>
      <c r="AD18" s="97" t="str">
        <f t="shared" si="1"/>
        <v>Texture2D'/Game/DungeonSiege/art/bitmaps/gui/in_game/inventory/icons/b_gui_ig_i_ic_axe_008.b_gui_ig_i_ic_axe_008'</v>
      </c>
      <c r="AE18" s="97" t="str">
        <f t="shared" si="5"/>
        <v>StaticMesh'/Game/DungeonSiege/art/meshes/weapons/Axe/m_w_axe_031_AspMesh.m_w_axe_031_AspMesh'</v>
      </c>
    </row>
    <row r="19" spans="1:31" ht="15.75" thickBot="1" x14ac:dyDescent="0.3">
      <c r="A19" s="95">
        <v>17</v>
      </c>
      <c r="B19" s="95">
        <f>A19+Items!B$18</f>
        <v>84934673</v>
      </c>
      <c r="C19" s="96" t="s">
        <v>6484</v>
      </c>
      <c r="D19" s="96" t="s">
        <v>6485</v>
      </c>
      <c r="E19" s="95" t="str">
        <f t="shared" si="6"/>
        <v>2H</v>
      </c>
      <c r="F19" s="95" t="s">
        <v>6766</v>
      </c>
      <c r="G19" s="95"/>
      <c r="H19" s="95"/>
      <c r="I19" s="95"/>
      <c r="J19" s="95"/>
      <c r="K19" s="95"/>
      <c r="L19" s="96" t="s">
        <v>6588</v>
      </c>
      <c r="M19" s="96" t="s">
        <v>6684</v>
      </c>
      <c r="N19" s="96" t="s">
        <v>6675</v>
      </c>
      <c r="O19" s="95" t="str">
        <f t="shared" si="0"/>
        <v>FALSE</v>
      </c>
      <c r="P19" s="95"/>
      <c r="Q19" s="96">
        <v>1</v>
      </c>
      <c r="R19" s="96">
        <v>3</v>
      </c>
      <c r="S19" s="96">
        <v>40</v>
      </c>
      <c r="T19" s="96">
        <v>50</v>
      </c>
      <c r="U19" s="96" t="s">
        <v>3535</v>
      </c>
      <c r="V19" s="96">
        <v>0.5</v>
      </c>
      <c r="W19" s="96">
        <v>0</v>
      </c>
      <c r="X19" s="96">
        <v>1</v>
      </c>
      <c r="Y19" s="96" t="s">
        <v>2384</v>
      </c>
      <c r="Z19" s="96">
        <v>17</v>
      </c>
      <c r="AA19" s="96" t="str">
        <f t="shared" si="2"/>
        <v>DA_WPN_Axe_Cutter_base</v>
      </c>
      <c r="AB19" s="90" t="str">
        <f t="shared" si="3"/>
        <v>/Game/DungeonSiege/Items/Weapons/Axe/DA_WPN_Axe_Cutter_base</v>
      </c>
      <c r="AC19" s="97" t="str">
        <f t="shared" si="4"/>
        <v>Texture2D'/Game/DungeonSiege/art/bitmaps/gui/in_game/inventory/weapons/Axe/b_gui_ig_i_w_axe_90.b_gui_ig_i_w_axe_90'</v>
      </c>
      <c r="AD19" s="97" t="str">
        <f t="shared" si="1"/>
        <v>Texture2D'/Game/DungeonSiege/art/bitmaps/gui/in_game/inventory/icons/b_gui_ig_i_ic_axe_003.b_gui_ig_i_ic_axe_003'</v>
      </c>
      <c r="AE19" s="97" t="str">
        <f t="shared" si="5"/>
        <v>StaticMesh'/Game/DungeonSiege/art/meshes/weapons/Axe/m_w_axe_030_AspMesh.m_w_axe_030_AspMesh'</v>
      </c>
    </row>
    <row r="20" spans="1:31" ht="15.75" thickBot="1" x14ac:dyDescent="0.3">
      <c r="A20" s="95">
        <v>18</v>
      </c>
      <c r="B20" s="95">
        <f>A20+Items!B$18</f>
        <v>84934674</v>
      </c>
      <c r="C20" s="96" t="s">
        <v>6486</v>
      </c>
      <c r="D20" s="96" t="s">
        <v>6487</v>
      </c>
      <c r="E20" s="95" t="str">
        <f t="shared" si="6"/>
        <v>2H</v>
      </c>
      <c r="F20" s="95" t="s">
        <v>6764</v>
      </c>
      <c r="G20" s="95"/>
      <c r="H20" s="95"/>
      <c r="I20" s="95"/>
      <c r="J20" s="95"/>
      <c r="K20" s="95"/>
      <c r="L20" s="96" t="s">
        <v>6589</v>
      </c>
      <c r="M20" s="96" t="s">
        <v>6685</v>
      </c>
      <c r="N20" s="96" t="s">
        <v>6661</v>
      </c>
      <c r="O20" s="95" t="str">
        <f t="shared" si="0"/>
        <v>FALSE</v>
      </c>
      <c r="P20" s="95"/>
      <c r="Q20" s="96">
        <v>2</v>
      </c>
      <c r="R20" s="96">
        <v>3</v>
      </c>
      <c r="S20" s="96">
        <v>68</v>
      </c>
      <c r="T20" s="96">
        <v>92</v>
      </c>
      <c r="U20" s="96" t="s">
        <v>3535</v>
      </c>
      <c r="V20" s="96">
        <v>0.5</v>
      </c>
      <c r="W20" s="96">
        <v>0</v>
      </c>
      <c r="X20" s="96">
        <v>1</v>
      </c>
      <c r="Y20" s="96" t="s">
        <v>2384</v>
      </c>
      <c r="Z20" s="96">
        <v>23</v>
      </c>
      <c r="AA20" s="96" t="str">
        <f t="shared" si="2"/>
        <v>DA_WPN_Axe_DriveAxe_base</v>
      </c>
      <c r="AB20" s="90" t="str">
        <f t="shared" si="3"/>
        <v>/Game/DungeonSiege/Items/Weapons/Axe/DA_WPN_Axe_DriveAxe_base</v>
      </c>
      <c r="AC20" s="97" t="str">
        <f t="shared" si="4"/>
        <v>Texture2D'/Game/DungeonSiege/art/bitmaps/gui/in_game/inventory/weapons/Axe/b_gui_ig_i_w_axe_91.b_gui_ig_i_w_axe_91'</v>
      </c>
      <c r="AD20" s="97" t="str">
        <f t="shared" si="1"/>
        <v>Texture2D'/Game/DungeonSiege/art/bitmaps/gui/in_game/inventory/icons/b_gui_ig_i_ic_axe_004.b_gui_ig_i_ic_axe_004'</v>
      </c>
      <c r="AE20" s="97" t="str">
        <f t="shared" si="5"/>
        <v>StaticMesh'/Game/DungeonSiege/art/meshes/weapons/Axe/m_w_axe_031_AspMesh.m_w_axe_031_AspMesh'</v>
      </c>
    </row>
    <row r="21" spans="1:31" ht="15.75" thickBot="1" x14ac:dyDescent="0.3">
      <c r="A21" s="95">
        <v>19</v>
      </c>
      <c r="B21" s="95">
        <f>A21+Items!B$18</f>
        <v>84934675</v>
      </c>
      <c r="C21" s="96" t="s">
        <v>6488</v>
      </c>
      <c r="D21" s="96" t="s">
        <v>6488</v>
      </c>
      <c r="E21" s="95" t="str">
        <f t="shared" si="6"/>
        <v>2H</v>
      </c>
      <c r="F21" s="95" t="s">
        <v>6786</v>
      </c>
      <c r="G21" s="95"/>
      <c r="H21" s="95"/>
      <c r="I21" s="95"/>
      <c r="J21" s="95"/>
      <c r="K21" s="95"/>
      <c r="L21" s="96" t="s">
        <v>6590</v>
      </c>
      <c r="M21" s="96" t="s">
        <v>6686</v>
      </c>
      <c r="N21" s="96" t="s">
        <v>6687</v>
      </c>
      <c r="O21" s="95" t="str">
        <f t="shared" si="0"/>
        <v>FALSE</v>
      </c>
      <c r="P21" s="95"/>
      <c r="Q21" s="96">
        <v>1</v>
      </c>
      <c r="R21" s="96">
        <v>3</v>
      </c>
      <c r="S21" s="96">
        <v>61</v>
      </c>
      <c r="T21" s="96">
        <v>77</v>
      </c>
      <c r="U21" s="96" t="s">
        <v>3535</v>
      </c>
      <c r="V21" s="96">
        <v>0.5</v>
      </c>
      <c r="W21" s="96">
        <v>0</v>
      </c>
      <c r="X21" s="96">
        <v>0</v>
      </c>
      <c r="Y21" s="96" t="s">
        <v>2384</v>
      </c>
      <c r="Z21" s="96">
        <v>22</v>
      </c>
      <c r="AA21" s="96" t="str">
        <f t="shared" si="2"/>
        <v>DA_WPN_Axe_DullFieldAxe</v>
      </c>
      <c r="AB21" s="90" t="str">
        <f t="shared" si="3"/>
        <v>/Game/DungeonSiege/Items/Weapons/Axe/DA_WPN_Axe_DullFieldAxe</v>
      </c>
      <c r="AC21" s="97" t="str">
        <f t="shared" si="4"/>
        <v>Texture2D'/Game/DungeonSiege/art/bitmaps/gui/in_game/inventory/weapons/Axe/b_gui_ig_i_w_axe_171.b_gui_ig_i_w_axe_171'</v>
      </c>
      <c r="AD21" s="97" t="str">
        <f t="shared" si="1"/>
        <v>Texture2D'/Game/DungeonSiege/art/bitmaps/gui/in_game/inventory/icons/b_gui_ig_i_ic_axe_007.b_gui_ig_i_ic_axe_007'</v>
      </c>
      <c r="AE21" s="97" t="str">
        <f t="shared" si="5"/>
        <v>StaticMesh'/Game/DungeonSiege/art/meshes/weapons/Axe/m_w_axe_077_AspMesh.m_w_axe_077_AspMesh'</v>
      </c>
    </row>
    <row r="22" spans="1:31" ht="15.75" thickBot="1" x14ac:dyDescent="0.3">
      <c r="A22" s="95">
        <v>20</v>
      </c>
      <c r="B22" s="95">
        <f>A22+Items!B$18</f>
        <v>84934676</v>
      </c>
      <c r="C22" s="96" t="s">
        <v>6489</v>
      </c>
      <c r="D22" s="96" t="s">
        <v>6489</v>
      </c>
      <c r="E22" s="95" t="str">
        <f t="shared" si="6"/>
        <v>1H</v>
      </c>
      <c r="F22" s="95" t="s">
        <v>6787</v>
      </c>
      <c r="G22" s="95"/>
      <c r="H22" s="95"/>
      <c r="I22" s="95"/>
      <c r="J22" s="95"/>
      <c r="K22" s="95"/>
      <c r="L22" s="96" t="s">
        <v>6591</v>
      </c>
      <c r="M22" s="96" t="s">
        <v>6688</v>
      </c>
      <c r="N22" s="96" t="s">
        <v>6689</v>
      </c>
      <c r="O22" s="95" t="str">
        <f t="shared" si="0"/>
        <v>FALSE</v>
      </c>
      <c r="P22" s="95"/>
      <c r="Q22" s="96">
        <v>1</v>
      </c>
      <c r="R22" s="96">
        <v>2</v>
      </c>
      <c r="S22" s="96">
        <v>32</v>
      </c>
      <c r="T22" s="96">
        <v>39</v>
      </c>
      <c r="U22" s="96" t="s">
        <v>3536</v>
      </c>
      <c r="V22" s="96">
        <v>0.5</v>
      </c>
      <c r="W22" s="96">
        <v>0</v>
      </c>
      <c r="X22" s="96">
        <v>0</v>
      </c>
      <c r="Y22" s="96" t="s">
        <v>2384</v>
      </c>
      <c r="Z22" s="96">
        <v>17</v>
      </c>
      <c r="AA22" s="96" t="str">
        <f t="shared" si="2"/>
        <v>DA_WPN_Axe_DullFullAxe</v>
      </c>
      <c r="AB22" s="90" t="str">
        <f t="shared" si="3"/>
        <v>/Game/DungeonSiege/Items/Weapons/Axe/DA_WPN_Axe_DullFullAxe</v>
      </c>
      <c r="AC22" s="97" t="str">
        <f t="shared" si="4"/>
        <v>Texture2D'/Game/DungeonSiege/art/bitmaps/gui/in_game/inventory/weapons/Axe/b_gui_ig_i_w_axe_160.b_gui_ig_i_w_axe_160'</v>
      </c>
      <c r="AD22" s="97" t="str">
        <f t="shared" si="1"/>
        <v>Texture2D'/Game/DungeonSiege/art/bitmaps/gui/in_game/inventory/icons/b_gui_ig_i_ic_axe_006.b_gui_ig_i_ic_axe_006'</v>
      </c>
      <c r="AE22" s="97" t="str">
        <f t="shared" si="5"/>
        <v>StaticMesh'/Game/DungeonSiege/art/meshes/weapons/Axe/m_w_axe_066_AspMesh.m_w_axe_066_AspMesh'</v>
      </c>
    </row>
    <row r="23" spans="1:31" ht="15.75" thickBot="1" x14ac:dyDescent="0.3">
      <c r="A23" s="95">
        <v>21</v>
      </c>
      <c r="B23" s="95">
        <f>A23+Items!B$18</f>
        <v>84934677</v>
      </c>
      <c r="C23" s="96" t="s">
        <v>6490</v>
      </c>
      <c r="D23" s="96" t="s">
        <v>6490</v>
      </c>
      <c r="E23" s="95" t="str">
        <f t="shared" si="6"/>
        <v>1H</v>
      </c>
      <c r="F23" s="95" t="s">
        <v>6788</v>
      </c>
      <c r="G23" s="95"/>
      <c r="H23" s="95"/>
      <c r="I23" s="95"/>
      <c r="J23" s="95"/>
      <c r="K23" s="95"/>
      <c r="L23" s="96" t="s">
        <v>6592</v>
      </c>
      <c r="M23" s="96" t="s">
        <v>6690</v>
      </c>
      <c r="N23" s="96" t="s">
        <v>6680</v>
      </c>
      <c r="O23" s="95" t="str">
        <f t="shared" si="0"/>
        <v>FALSE</v>
      </c>
      <c r="P23" s="95"/>
      <c r="Q23" s="96">
        <v>1</v>
      </c>
      <c r="R23" s="96">
        <v>2</v>
      </c>
      <c r="S23" s="96">
        <v>13</v>
      </c>
      <c r="T23" s="96">
        <v>16</v>
      </c>
      <c r="U23" s="96" t="s">
        <v>3536</v>
      </c>
      <c r="V23" s="96">
        <v>0.5</v>
      </c>
      <c r="W23" s="96">
        <v>0</v>
      </c>
      <c r="X23" s="96">
        <v>0</v>
      </c>
      <c r="Y23" s="96" t="s">
        <v>2384</v>
      </c>
      <c r="Z23" s="96">
        <v>12</v>
      </c>
      <c r="AA23" s="96" t="str">
        <f t="shared" si="2"/>
        <v>DA_WPN_Axe_DullWedgeAxe</v>
      </c>
      <c r="AB23" s="90" t="str">
        <f t="shared" si="3"/>
        <v>/Game/DungeonSiege/Items/Weapons/Axe/DA_WPN_Axe_DullWedgeAxe</v>
      </c>
      <c r="AC23" s="97" t="str">
        <f t="shared" si="4"/>
        <v>Texture2D'/Game/DungeonSiege/art/bitmaps/gui/in_game/inventory/weapons/Axe/b_gui_ig_i_w_axe_142.b_gui_ig_i_w_axe_142'</v>
      </c>
      <c r="AD23" s="97" t="str">
        <f t="shared" si="1"/>
        <v>Texture2D'/Game/DungeonSiege/art/bitmaps/gui/in_game/inventory/icons/b_gui_ig_i_ic_axe_001.b_gui_ig_i_ic_axe_001'</v>
      </c>
      <c r="AE23" s="97" t="str">
        <f t="shared" si="5"/>
        <v>StaticMesh'/Game/DungeonSiege/art/meshes/weapons/Axe/m_w_axe_048_AspMesh.m_w_axe_048_AspMesh'</v>
      </c>
    </row>
    <row r="24" spans="1:31" ht="15.75" thickBot="1" x14ac:dyDescent="0.3">
      <c r="A24" s="95">
        <v>22</v>
      </c>
      <c r="B24" s="95">
        <f>A24+Items!B$18</f>
        <v>84934678</v>
      </c>
      <c r="C24" s="96" t="s">
        <v>6491</v>
      </c>
      <c r="D24" s="96" t="s">
        <v>6492</v>
      </c>
      <c r="E24" s="95" t="str">
        <f t="shared" si="6"/>
        <v>2H</v>
      </c>
      <c r="F24" s="95" t="s">
        <v>6789</v>
      </c>
      <c r="G24" s="95"/>
      <c r="H24" s="95"/>
      <c r="I24" s="95"/>
      <c r="J24" s="95"/>
      <c r="K24" s="95"/>
      <c r="L24" s="96" t="s">
        <v>6593</v>
      </c>
      <c r="M24" s="96" t="s">
        <v>6691</v>
      </c>
      <c r="N24" s="96" t="s">
        <v>6675</v>
      </c>
      <c r="O24" s="95" t="str">
        <f t="shared" si="0"/>
        <v>FALSE</v>
      </c>
      <c r="P24" s="95"/>
      <c r="Q24" s="96">
        <v>1</v>
      </c>
      <c r="R24" s="96">
        <v>3</v>
      </c>
      <c r="S24" s="96">
        <v>58</v>
      </c>
      <c r="T24" s="96">
        <v>74</v>
      </c>
      <c r="U24" s="96" t="s">
        <v>3535</v>
      </c>
      <c r="V24" s="96">
        <v>0.5</v>
      </c>
      <c r="W24" s="96">
        <v>0</v>
      </c>
      <c r="X24" s="96">
        <v>3</v>
      </c>
      <c r="Y24" s="96" t="s">
        <v>2384</v>
      </c>
      <c r="Z24" s="96">
        <v>21</v>
      </c>
      <c r="AA24" s="96" t="str">
        <f t="shared" si="2"/>
        <v>DA_WPN_Axe_FieldAxe_base</v>
      </c>
      <c r="AB24" s="90" t="str">
        <f t="shared" si="3"/>
        <v>/Game/DungeonSiege/Items/Weapons/Axe/DA_WPN_Axe_FieldAxe_base</v>
      </c>
      <c r="AC24" s="97" t="str">
        <f t="shared" si="4"/>
        <v>Texture2D'/Game/DungeonSiege/art/bitmaps/gui/in_game/inventory/weapons/Axe/b_gui_ig_i_w_axe_167.b_gui_ig_i_w_axe_167'</v>
      </c>
      <c r="AD24" s="97" t="str">
        <f t="shared" si="1"/>
        <v>Texture2D'/Game/DungeonSiege/art/bitmaps/gui/in_game/inventory/icons/b_gui_ig_i_ic_axe_003.b_gui_ig_i_ic_axe_003'</v>
      </c>
      <c r="AE24" s="97" t="str">
        <f t="shared" si="5"/>
        <v>StaticMesh'/Game/DungeonSiege/art/meshes/weapons/Axe/m_w_axe_073_AspMesh.m_w_axe_073_AspMesh'</v>
      </c>
    </row>
    <row r="25" spans="1:31" ht="15.75" thickBot="1" x14ac:dyDescent="0.3">
      <c r="A25" s="95">
        <v>23</v>
      </c>
      <c r="B25" s="95">
        <f>A25+Items!B$18</f>
        <v>84934679</v>
      </c>
      <c r="C25" s="96" t="s">
        <v>6493</v>
      </c>
      <c r="D25" s="96" t="s">
        <v>6492</v>
      </c>
      <c r="E25" s="95" t="str">
        <f t="shared" si="6"/>
        <v>2H</v>
      </c>
      <c r="F25" s="95" t="s">
        <v>6790</v>
      </c>
      <c r="G25" s="95"/>
      <c r="H25" s="95"/>
      <c r="I25" s="95"/>
      <c r="J25" s="95"/>
      <c r="K25" s="95"/>
      <c r="L25" s="96" t="s">
        <v>6594</v>
      </c>
      <c r="M25" s="96" t="s">
        <v>6692</v>
      </c>
      <c r="N25" s="96" t="s">
        <v>6675</v>
      </c>
      <c r="O25" s="95" t="str">
        <f t="shared" si="0"/>
        <v>FALSE</v>
      </c>
      <c r="P25" s="95"/>
      <c r="Q25" s="96">
        <v>1</v>
      </c>
      <c r="R25" s="96">
        <v>3</v>
      </c>
      <c r="S25" s="96">
        <v>67</v>
      </c>
      <c r="T25" s="96">
        <v>85</v>
      </c>
      <c r="U25" s="96" t="s">
        <v>3535</v>
      </c>
      <c r="V25" s="96">
        <v>0.5</v>
      </c>
      <c r="W25" s="96">
        <v>2</v>
      </c>
      <c r="X25" s="96">
        <v>9</v>
      </c>
      <c r="Y25" s="96" t="s">
        <v>2384</v>
      </c>
      <c r="Z25" s="96">
        <v>23</v>
      </c>
      <c r="AA25" s="96" t="str">
        <f t="shared" si="2"/>
        <v>DA_WPN_Axe_FieldAxe_c_fin</v>
      </c>
      <c r="AB25" s="90" t="str">
        <f t="shared" si="3"/>
        <v>/Game/DungeonSiege/Items/Weapons/Axe/DA_WPN_Axe_FieldAxe_c_fin</v>
      </c>
      <c r="AC25" s="97" t="str">
        <f t="shared" si="4"/>
        <v>Texture2D'/Game/DungeonSiege/art/bitmaps/gui/in_game/inventory/weapons/Axe/b_gui_ig_i_w_axe_168.b_gui_ig_i_w_axe_168'</v>
      </c>
      <c r="AD25" s="97" t="str">
        <f t="shared" si="1"/>
        <v>Texture2D'/Game/DungeonSiege/art/bitmaps/gui/in_game/inventory/icons/b_gui_ig_i_ic_axe_003.b_gui_ig_i_ic_axe_003'</v>
      </c>
      <c r="AE25" s="97" t="str">
        <f t="shared" si="5"/>
        <v>StaticMesh'/Game/DungeonSiege/art/meshes/weapons/Axe/m_w_axe_074_AspMesh.m_w_axe_074_AspMesh'</v>
      </c>
    </row>
    <row r="26" spans="1:31" ht="15.75" thickBot="1" x14ac:dyDescent="0.3">
      <c r="A26" s="95">
        <v>24</v>
      </c>
      <c r="B26" s="95">
        <f>A26+Items!B$18</f>
        <v>84934680</v>
      </c>
      <c r="C26" s="96" t="s">
        <v>6494</v>
      </c>
      <c r="D26" s="96" t="s">
        <v>6492</v>
      </c>
      <c r="E26" s="95" t="str">
        <f t="shared" si="6"/>
        <v>2H</v>
      </c>
      <c r="F26" s="95" t="s">
        <v>6791</v>
      </c>
      <c r="G26" s="95"/>
      <c r="H26" s="95"/>
      <c r="I26" s="95"/>
      <c r="J26" s="95"/>
      <c r="K26" s="95"/>
      <c r="L26" s="96" t="s">
        <v>6595</v>
      </c>
      <c r="M26" s="96" t="s">
        <v>6693</v>
      </c>
      <c r="N26" s="96" t="s">
        <v>6675</v>
      </c>
      <c r="O26" s="95" t="str">
        <f t="shared" si="0"/>
        <v>FALSE</v>
      </c>
      <c r="P26" s="95"/>
      <c r="Q26" s="96">
        <v>1</v>
      </c>
      <c r="R26" s="96">
        <v>3</v>
      </c>
      <c r="S26" s="96">
        <v>181</v>
      </c>
      <c r="T26" s="96">
        <v>231</v>
      </c>
      <c r="U26" s="96" t="s">
        <v>3535</v>
      </c>
      <c r="V26" s="96">
        <v>0.5</v>
      </c>
      <c r="W26" s="96">
        <v>33</v>
      </c>
      <c r="X26" s="96">
        <v>46</v>
      </c>
      <c r="Y26" s="96" t="s">
        <v>2384</v>
      </c>
      <c r="Z26" s="96">
        <v>47</v>
      </c>
      <c r="AA26" s="96" t="str">
        <f t="shared" si="2"/>
        <v>DA_WPN_Axe_FieldAxe_c_mag</v>
      </c>
      <c r="AB26" s="90" t="str">
        <f t="shared" si="3"/>
        <v>/Game/DungeonSiege/Items/Weapons/Axe/DA_WPN_Axe_FieldAxe_c_mag</v>
      </c>
      <c r="AC26" s="97" t="str">
        <f t="shared" si="4"/>
        <v>Texture2D'/Game/DungeonSiege/art/bitmaps/gui/in_game/inventory/weapons/Axe/b_gui_ig_i_w_axe_170.b_gui_ig_i_w_axe_170'</v>
      </c>
      <c r="AD26" s="97" t="str">
        <f t="shared" si="1"/>
        <v>Texture2D'/Game/DungeonSiege/art/bitmaps/gui/in_game/inventory/icons/b_gui_ig_i_ic_axe_003.b_gui_ig_i_ic_axe_003'</v>
      </c>
      <c r="AE26" s="97" t="str">
        <f t="shared" si="5"/>
        <v>StaticMesh'/Game/DungeonSiege/art/meshes/weapons/Axe/m_w_axe_076_AspMesh.m_w_axe_076_AspMesh'</v>
      </c>
    </row>
    <row r="27" spans="1:31" ht="15.75" thickBot="1" x14ac:dyDescent="0.3">
      <c r="A27" s="95">
        <v>25</v>
      </c>
      <c r="B27" s="95">
        <f>A27+Items!B$18</f>
        <v>84934681</v>
      </c>
      <c r="C27" s="96" t="s">
        <v>6495</v>
      </c>
      <c r="D27" s="96" t="s">
        <v>6492</v>
      </c>
      <c r="E27" s="95" t="str">
        <f t="shared" si="6"/>
        <v>2H</v>
      </c>
      <c r="F27" s="95" t="s">
        <v>6792</v>
      </c>
      <c r="G27" s="95"/>
      <c r="H27" s="95"/>
      <c r="I27" s="95"/>
      <c r="J27" s="95"/>
      <c r="K27" s="95"/>
      <c r="L27" s="96" t="s">
        <v>6596</v>
      </c>
      <c r="M27" s="96" t="s">
        <v>6694</v>
      </c>
      <c r="N27" s="96" t="s">
        <v>6675</v>
      </c>
      <c r="O27" s="95" t="str">
        <f t="shared" si="0"/>
        <v>FALSE</v>
      </c>
      <c r="P27" s="95"/>
      <c r="Q27" s="96">
        <v>1</v>
      </c>
      <c r="R27" s="96">
        <v>3</v>
      </c>
      <c r="S27" s="96">
        <v>127</v>
      </c>
      <c r="T27" s="96">
        <v>161</v>
      </c>
      <c r="U27" s="96" t="s">
        <v>3535</v>
      </c>
      <c r="V27" s="96">
        <v>0.5</v>
      </c>
      <c r="W27" s="96">
        <v>17</v>
      </c>
      <c r="X27" s="96">
        <v>31</v>
      </c>
      <c r="Y27" s="96" t="s">
        <v>2384</v>
      </c>
      <c r="Z27" s="96">
        <v>36</v>
      </c>
      <c r="AA27" s="96" t="str">
        <f t="shared" si="2"/>
        <v>DA_WPN_Axe_FieldAxe_c_str</v>
      </c>
      <c r="AB27" s="90" t="str">
        <f t="shared" si="3"/>
        <v>/Game/DungeonSiege/Items/Weapons/Axe/DA_WPN_Axe_FieldAxe_c_str</v>
      </c>
      <c r="AC27" s="97" t="str">
        <f t="shared" si="4"/>
        <v>Texture2D'/Game/DungeonSiege/art/bitmaps/gui/in_game/inventory/weapons/Axe/b_gui_ig_i_w_axe_169.b_gui_ig_i_w_axe_169'</v>
      </c>
      <c r="AD27" s="97" t="str">
        <f t="shared" si="1"/>
        <v>Texture2D'/Game/DungeonSiege/art/bitmaps/gui/in_game/inventory/icons/b_gui_ig_i_ic_axe_003.b_gui_ig_i_ic_axe_003'</v>
      </c>
      <c r="AE27" s="97" t="str">
        <f t="shared" si="5"/>
        <v>StaticMesh'/Game/DungeonSiege/art/meshes/weapons/Axe/m_w_axe_075_AspMesh.m_w_axe_075_AspMesh'</v>
      </c>
    </row>
    <row r="28" spans="1:31" ht="15.75" thickBot="1" x14ac:dyDescent="0.3">
      <c r="A28" s="95">
        <v>26</v>
      </c>
      <c r="B28" s="95">
        <f>A28+Items!B$18</f>
        <v>84934682</v>
      </c>
      <c r="C28" s="96" t="s">
        <v>6496</v>
      </c>
      <c r="D28" s="96" t="s">
        <v>6492</v>
      </c>
      <c r="E28" s="95" t="str">
        <f t="shared" si="6"/>
        <v>2H</v>
      </c>
      <c r="F28" s="95" t="s">
        <v>6793</v>
      </c>
      <c r="G28" s="95"/>
      <c r="H28" s="95"/>
      <c r="I28" s="95"/>
      <c r="J28" s="95"/>
      <c r="K28" s="95"/>
      <c r="L28" s="96" t="s">
        <v>6597</v>
      </c>
      <c r="M28" s="96" t="s">
        <v>6695</v>
      </c>
      <c r="N28" s="96" t="s">
        <v>6687</v>
      </c>
      <c r="O28" s="95" t="str">
        <f t="shared" si="0"/>
        <v>FALSE</v>
      </c>
      <c r="P28" s="95"/>
      <c r="Q28" s="96">
        <v>1</v>
      </c>
      <c r="R28" s="96">
        <v>3</v>
      </c>
      <c r="S28" s="96">
        <v>82</v>
      </c>
      <c r="T28" s="96">
        <v>104</v>
      </c>
      <c r="U28" s="96" t="s">
        <v>3535</v>
      </c>
      <c r="V28" s="96">
        <v>0.5</v>
      </c>
      <c r="W28" s="96">
        <v>6</v>
      </c>
      <c r="X28" s="96">
        <v>16</v>
      </c>
      <c r="Y28" s="96" t="s">
        <v>2384</v>
      </c>
      <c r="Z28" s="96">
        <v>26</v>
      </c>
      <c r="AA28" s="96" t="str">
        <f t="shared" si="2"/>
        <v>DA_WPN_Axe_FieldAxe_o_avg</v>
      </c>
      <c r="AB28" s="90" t="str">
        <f t="shared" si="3"/>
        <v>/Game/DungeonSiege/Items/Weapons/Axe/DA_WPN_Axe_FieldAxe_o_avg</v>
      </c>
      <c r="AC28" s="97" t="str">
        <f t="shared" si="4"/>
        <v>Texture2D'/Game/DungeonSiege/art/bitmaps/gui/in_game/inventory/weapons/Axe/b_gui_ig_i_w_axe_173.b_gui_ig_i_w_axe_173'</v>
      </c>
      <c r="AD28" s="97" t="str">
        <f t="shared" si="1"/>
        <v>Texture2D'/Game/DungeonSiege/art/bitmaps/gui/in_game/inventory/icons/b_gui_ig_i_ic_axe_007.b_gui_ig_i_ic_axe_007'</v>
      </c>
      <c r="AE28" s="97" t="str">
        <f t="shared" si="5"/>
        <v>StaticMesh'/Game/DungeonSiege/art/meshes/weapons/Axe/m_w_axe_079_AspMesh.m_w_axe_079_AspMesh'</v>
      </c>
    </row>
    <row r="29" spans="1:31" ht="15.75" thickBot="1" x14ac:dyDescent="0.3">
      <c r="A29" s="95">
        <v>27</v>
      </c>
      <c r="B29" s="95">
        <f>A29+Items!B$18</f>
        <v>84934683</v>
      </c>
      <c r="C29" s="96" t="s">
        <v>6497</v>
      </c>
      <c r="D29" s="96" t="s">
        <v>6492</v>
      </c>
      <c r="E29" s="95" t="str">
        <f t="shared" si="6"/>
        <v>2H</v>
      </c>
      <c r="F29" s="95" t="s">
        <v>6794</v>
      </c>
      <c r="G29" s="95"/>
      <c r="H29" s="95"/>
      <c r="I29" s="95"/>
      <c r="J29" s="95"/>
      <c r="K29" s="95"/>
      <c r="L29" s="96" t="s">
        <v>6598</v>
      </c>
      <c r="M29" s="96" t="s">
        <v>6696</v>
      </c>
      <c r="N29" s="96" t="s">
        <v>6687</v>
      </c>
      <c r="O29" s="95" t="str">
        <f t="shared" si="0"/>
        <v>FALSE</v>
      </c>
      <c r="P29" s="95"/>
      <c r="Q29" s="96">
        <v>1</v>
      </c>
      <c r="R29" s="96">
        <v>3</v>
      </c>
      <c r="S29" s="96">
        <v>106</v>
      </c>
      <c r="T29" s="96">
        <v>134</v>
      </c>
      <c r="U29" s="96" t="s">
        <v>3535</v>
      </c>
      <c r="V29" s="96">
        <v>0.5</v>
      </c>
      <c r="W29" s="96">
        <v>11</v>
      </c>
      <c r="X29" s="96">
        <v>24</v>
      </c>
      <c r="Y29" s="96" t="s">
        <v>2384</v>
      </c>
      <c r="Z29" s="96">
        <v>31</v>
      </c>
      <c r="AA29" s="96" t="str">
        <f t="shared" si="2"/>
        <v>DA_WPN_Axe_FieldAxe_o_fin</v>
      </c>
      <c r="AB29" s="90" t="str">
        <f t="shared" si="3"/>
        <v>/Game/DungeonSiege/Items/Weapons/Axe/DA_WPN_Axe_FieldAxe_o_fin</v>
      </c>
      <c r="AC29" s="97" t="str">
        <f t="shared" si="4"/>
        <v>Texture2D'/Game/DungeonSiege/art/bitmaps/gui/in_game/inventory/weapons/Axe/b_gui_ig_i_w_axe_174.b_gui_ig_i_w_axe_174'</v>
      </c>
      <c r="AD29" s="97" t="str">
        <f t="shared" si="1"/>
        <v>Texture2D'/Game/DungeonSiege/art/bitmaps/gui/in_game/inventory/icons/b_gui_ig_i_ic_axe_007.b_gui_ig_i_ic_axe_007'</v>
      </c>
      <c r="AE29" s="97" t="str">
        <f t="shared" si="5"/>
        <v>StaticMesh'/Game/DungeonSiege/art/meshes/weapons/Axe/m_w_axe_080_AspMesh.m_w_axe_080_AspMesh'</v>
      </c>
    </row>
    <row r="30" spans="1:31" ht="15.75" thickBot="1" x14ac:dyDescent="0.3">
      <c r="A30" s="95">
        <v>28</v>
      </c>
      <c r="B30" s="95">
        <f>A30+Items!B$18</f>
        <v>84934684</v>
      </c>
      <c r="C30" s="96" t="s">
        <v>6498</v>
      </c>
      <c r="D30" s="96" t="s">
        <v>6492</v>
      </c>
      <c r="E30" s="95" t="str">
        <f t="shared" si="6"/>
        <v>2H</v>
      </c>
      <c r="F30" s="95" t="s">
        <v>6795</v>
      </c>
      <c r="G30" s="95"/>
      <c r="H30" s="95"/>
      <c r="I30" s="95"/>
      <c r="J30" s="95"/>
      <c r="K30" s="95"/>
      <c r="L30" s="96" t="s">
        <v>6599</v>
      </c>
      <c r="M30" s="96" t="s">
        <v>6697</v>
      </c>
      <c r="N30" s="96" t="s">
        <v>6687</v>
      </c>
      <c r="O30" s="95" t="str">
        <f t="shared" si="0"/>
        <v>FALSE</v>
      </c>
      <c r="P30" s="95"/>
      <c r="Q30" s="96">
        <v>1</v>
      </c>
      <c r="R30" s="96">
        <v>3</v>
      </c>
      <c r="S30" s="96">
        <v>215</v>
      </c>
      <c r="T30" s="96">
        <v>273</v>
      </c>
      <c r="U30" s="96" t="s">
        <v>3535</v>
      </c>
      <c r="V30" s="96">
        <v>0.5</v>
      </c>
      <c r="W30" s="96">
        <v>41</v>
      </c>
      <c r="X30" s="96">
        <v>56</v>
      </c>
      <c r="Y30" s="96" t="s">
        <v>2384</v>
      </c>
      <c r="Z30" s="96">
        <v>54</v>
      </c>
      <c r="AA30" s="96" t="str">
        <f t="shared" si="2"/>
        <v>DA_WPN_Axe_FieldAxe_o_mag</v>
      </c>
      <c r="AB30" s="90" t="str">
        <f t="shared" si="3"/>
        <v>/Game/DungeonSiege/Items/Weapons/Axe/DA_WPN_Axe_FieldAxe_o_mag</v>
      </c>
      <c r="AC30" s="97" t="str">
        <f t="shared" si="4"/>
        <v>Texture2D'/Game/DungeonSiege/art/bitmaps/gui/in_game/inventory/weapons/Axe/b_gui_ig_i_w_axe_176.b_gui_ig_i_w_axe_176'</v>
      </c>
      <c r="AD30" s="97" t="str">
        <f t="shared" si="1"/>
        <v>Texture2D'/Game/DungeonSiege/art/bitmaps/gui/in_game/inventory/icons/b_gui_ig_i_ic_axe_007.b_gui_ig_i_ic_axe_007'</v>
      </c>
      <c r="AE30" s="97" t="str">
        <f t="shared" si="5"/>
        <v>StaticMesh'/Game/DungeonSiege/art/meshes/weapons/Axe/m_w_axe_082_AspMesh.m_w_axe_082_AspMesh'</v>
      </c>
    </row>
    <row r="31" spans="1:31" ht="15.75" thickBot="1" x14ac:dyDescent="0.3">
      <c r="A31" s="95">
        <v>29</v>
      </c>
      <c r="B31" s="95">
        <f>A31+Items!B$18</f>
        <v>84934685</v>
      </c>
      <c r="C31" s="96" t="s">
        <v>6499</v>
      </c>
      <c r="D31" s="96" t="s">
        <v>6492</v>
      </c>
      <c r="E31" s="95" t="str">
        <f t="shared" si="6"/>
        <v>2H</v>
      </c>
      <c r="F31" s="95" t="s">
        <v>6796</v>
      </c>
      <c r="G31" s="95"/>
      <c r="H31" s="95"/>
      <c r="I31" s="95"/>
      <c r="J31" s="95"/>
      <c r="K31" s="95"/>
      <c r="L31" s="96" t="s">
        <v>6600</v>
      </c>
      <c r="M31" s="96" t="s">
        <v>6698</v>
      </c>
      <c r="N31" s="96" t="s">
        <v>6687</v>
      </c>
      <c r="O31" s="95" t="str">
        <f t="shared" si="0"/>
        <v>FALSE</v>
      </c>
      <c r="P31" s="95"/>
      <c r="Q31" s="96">
        <v>1</v>
      </c>
      <c r="R31" s="96">
        <v>3</v>
      </c>
      <c r="S31" s="96">
        <v>151</v>
      </c>
      <c r="T31" s="96">
        <v>193</v>
      </c>
      <c r="U31" s="96" t="s">
        <v>3535</v>
      </c>
      <c r="V31" s="96">
        <v>0.5</v>
      </c>
      <c r="W31" s="96">
        <v>26</v>
      </c>
      <c r="X31" s="96">
        <v>38</v>
      </c>
      <c r="Y31" s="96" t="s">
        <v>2384</v>
      </c>
      <c r="Z31" s="96">
        <v>41</v>
      </c>
      <c r="AA31" s="96" t="str">
        <f t="shared" si="2"/>
        <v>DA_WPN_Axe_FieldAxe_o_str</v>
      </c>
      <c r="AB31" s="90" t="str">
        <f t="shared" si="3"/>
        <v>/Game/DungeonSiege/Items/Weapons/Axe/DA_WPN_Axe_FieldAxe_o_str</v>
      </c>
      <c r="AC31" s="97" t="str">
        <f t="shared" si="4"/>
        <v>Texture2D'/Game/DungeonSiege/art/bitmaps/gui/in_game/inventory/weapons/Axe/b_gui_ig_i_w_axe_175.b_gui_ig_i_w_axe_175'</v>
      </c>
      <c r="AD31" s="97" t="str">
        <f t="shared" si="1"/>
        <v>Texture2D'/Game/DungeonSiege/art/bitmaps/gui/in_game/inventory/icons/b_gui_ig_i_ic_axe_007.b_gui_ig_i_ic_axe_007'</v>
      </c>
      <c r="AE31" s="97" t="str">
        <f t="shared" si="5"/>
        <v>StaticMesh'/Game/DungeonSiege/art/meshes/weapons/Axe/m_w_axe_081_AspMesh.m_w_axe_081_AspMesh'</v>
      </c>
    </row>
    <row r="32" spans="1:31" ht="15.75" thickBot="1" x14ac:dyDescent="0.3">
      <c r="A32" s="95">
        <v>30</v>
      </c>
      <c r="B32" s="95">
        <f>A32+Items!B$18</f>
        <v>84934686</v>
      </c>
      <c r="C32" s="96" t="s">
        <v>6500</v>
      </c>
      <c r="D32" s="96" t="s">
        <v>6501</v>
      </c>
      <c r="E32" s="95" t="str">
        <f t="shared" si="6"/>
        <v>2H</v>
      </c>
      <c r="F32" s="95" t="s">
        <v>6658</v>
      </c>
      <c r="G32" s="95"/>
      <c r="H32" s="95"/>
      <c r="I32" s="95"/>
      <c r="J32" s="95"/>
      <c r="K32" s="95"/>
      <c r="L32" s="96" t="s">
        <v>6601</v>
      </c>
      <c r="M32" s="96" t="s">
        <v>6699</v>
      </c>
      <c r="N32" s="96" t="s">
        <v>6661</v>
      </c>
      <c r="O32" s="95" t="str">
        <f t="shared" si="0"/>
        <v>FALSE</v>
      </c>
      <c r="P32" s="95"/>
      <c r="Q32" s="96">
        <v>2</v>
      </c>
      <c r="R32" s="96">
        <v>3</v>
      </c>
      <c r="S32" s="96">
        <v>102</v>
      </c>
      <c r="T32" s="96">
        <v>138</v>
      </c>
      <c r="U32" s="96" t="s">
        <v>3535</v>
      </c>
      <c r="V32" s="96">
        <v>0.5</v>
      </c>
      <c r="W32" s="96">
        <v>3</v>
      </c>
      <c r="X32" s="96">
        <v>14</v>
      </c>
      <c r="Y32" s="96" t="s">
        <v>2384</v>
      </c>
      <c r="Z32" s="96">
        <v>30</v>
      </c>
      <c r="AA32" s="96" t="str">
        <f t="shared" si="2"/>
        <v>DA_WPN_Axe_FleshSplitter_base</v>
      </c>
      <c r="AB32" s="90" t="str">
        <f t="shared" si="3"/>
        <v>/Game/DungeonSiege/Items/Weapons/Axe/DA_WPN_Axe_FleshSplitter_base</v>
      </c>
      <c r="AC32" s="97" t="str">
        <f t="shared" si="4"/>
        <v>Texture2D'/Game/DungeonSiege/art/bitmaps/gui/in_game/inventory/weapons/Axe/b_gui_ig_i_w_axe_202.b_gui_ig_i_w_axe_202'</v>
      </c>
      <c r="AD32" s="97" t="str">
        <f t="shared" si="1"/>
        <v>Texture2D'/Game/DungeonSiege/art/bitmaps/gui/in_game/inventory/icons/b_gui_ig_i_ic_axe_004.b_gui_ig_i_ic_axe_004'</v>
      </c>
      <c r="AE32" s="97" t="str">
        <f t="shared" si="5"/>
        <v>StaticMesh'/Game/DungeonSiege/art/meshes/weapons/Axe/m_w_axe_086_AspMesh.m_w_axe_086_AspMesh'</v>
      </c>
    </row>
    <row r="33" spans="1:31" ht="15.75" thickBot="1" x14ac:dyDescent="0.3">
      <c r="A33" s="95">
        <v>31</v>
      </c>
      <c r="B33" s="95">
        <f>A33+Items!B$18</f>
        <v>84934687</v>
      </c>
      <c r="C33" s="96" t="s">
        <v>6502</v>
      </c>
      <c r="D33" s="96" t="s">
        <v>6501</v>
      </c>
      <c r="E33" s="95" t="str">
        <f t="shared" si="6"/>
        <v>2H</v>
      </c>
      <c r="F33" s="95" t="s">
        <v>6659</v>
      </c>
      <c r="G33" s="95"/>
      <c r="H33" s="95"/>
      <c r="I33" s="95"/>
      <c r="J33" s="95"/>
      <c r="K33" s="95"/>
      <c r="L33" s="96" t="s">
        <v>6602</v>
      </c>
      <c r="M33" s="96" t="s">
        <v>6700</v>
      </c>
      <c r="N33" s="96" t="s">
        <v>6661</v>
      </c>
      <c r="O33" s="95" t="str">
        <f t="shared" si="0"/>
        <v>FALSE</v>
      </c>
      <c r="P33" s="95"/>
      <c r="Q33" s="96">
        <v>2</v>
      </c>
      <c r="R33" s="96">
        <v>3</v>
      </c>
      <c r="S33" s="96">
        <v>216</v>
      </c>
      <c r="T33" s="96">
        <v>292</v>
      </c>
      <c r="U33" s="96" t="s">
        <v>3535</v>
      </c>
      <c r="V33" s="96">
        <v>0.5</v>
      </c>
      <c r="W33" s="96">
        <v>40</v>
      </c>
      <c r="X33" s="96">
        <v>56</v>
      </c>
      <c r="Y33" s="96" t="s">
        <v>2384</v>
      </c>
      <c r="Z33" s="96">
        <v>55</v>
      </c>
      <c r="AA33" s="96" t="str">
        <f t="shared" si="2"/>
        <v>DA_WPN_Axe_FleshSplitter_c_mag</v>
      </c>
      <c r="AB33" s="90" t="str">
        <f t="shared" si="3"/>
        <v>/Game/DungeonSiege/Items/Weapons/Axe/DA_WPN_Axe_FleshSplitter_c_mag</v>
      </c>
      <c r="AC33" s="97" t="str">
        <f t="shared" si="4"/>
        <v>Texture2D'/Game/DungeonSiege/art/bitmaps/gui/in_game/inventory/weapons/Axe/b_gui_ig_i_w_axe_207.b_gui_ig_i_w_axe_207'</v>
      </c>
      <c r="AD33" s="97" t="str">
        <f t="shared" si="1"/>
        <v>Texture2D'/Game/DungeonSiege/art/bitmaps/gui/in_game/inventory/icons/b_gui_ig_i_ic_axe_004.b_gui_ig_i_ic_axe_004'</v>
      </c>
      <c r="AE33" s="97" t="str">
        <f t="shared" si="5"/>
        <v>StaticMesh'/Game/DungeonSiege/art/meshes/weapons/Axe/m_w_axe_088_AspMesh.m_w_axe_088_AspMesh'</v>
      </c>
    </row>
    <row r="34" spans="1:31" ht="15.75" thickBot="1" x14ac:dyDescent="0.3">
      <c r="A34" s="95">
        <v>32</v>
      </c>
      <c r="B34" s="95">
        <f>A34+Items!B$18</f>
        <v>84934688</v>
      </c>
      <c r="C34" s="96" t="s">
        <v>6503</v>
      </c>
      <c r="D34" s="96" t="s">
        <v>6501</v>
      </c>
      <c r="E34" s="95" t="str">
        <f t="shared" si="6"/>
        <v>2H</v>
      </c>
      <c r="F34" s="95" t="s">
        <v>6774</v>
      </c>
      <c r="G34" s="95"/>
      <c r="H34" s="95"/>
      <c r="I34" s="95"/>
      <c r="J34" s="95"/>
      <c r="K34" s="95"/>
      <c r="L34" s="96" t="s">
        <v>6603</v>
      </c>
      <c r="M34" s="96" t="s">
        <v>6701</v>
      </c>
      <c r="N34" s="96" t="s">
        <v>6661</v>
      </c>
      <c r="O34" s="95" t="str">
        <f t="shared" si="0"/>
        <v>FALSE</v>
      </c>
      <c r="P34" s="95"/>
      <c r="Q34" s="96">
        <v>2</v>
      </c>
      <c r="R34" s="96">
        <v>3</v>
      </c>
      <c r="S34" s="96">
        <v>161</v>
      </c>
      <c r="T34" s="96">
        <v>217</v>
      </c>
      <c r="U34" s="96" t="s">
        <v>3535</v>
      </c>
      <c r="V34" s="96">
        <v>0.5</v>
      </c>
      <c r="W34" s="96">
        <v>22</v>
      </c>
      <c r="X34" s="96">
        <v>40</v>
      </c>
      <c r="Y34" s="96" t="s">
        <v>2384</v>
      </c>
      <c r="Z34" s="96">
        <v>43</v>
      </c>
      <c r="AA34" s="96" t="str">
        <f t="shared" si="2"/>
        <v>DA_WPN_Axe_FleshSplitter_c_str</v>
      </c>
      <c r="AB34" s="90" t="str">
        <f t="shared" si="3"/>
        <v>/Game/DungeonSiege/Items/Weapons/Axe/DA_WPN_Axe_FleshSplitter_c_str</v>
      </c>
      <c r="AC34" s="97" t="str">
        <f t="shared" si="4"/>
        <v>Texture2D'/Game/DungeonSiege/art/bitmaps/gui/in_game/inventory/weapons/Axe/b_gui_ig_i_w_axe_205.b_gui_ig_i_w_axe_205'</v>
      </c>
      <c r="AD34" s="97" t="str">
        <f t="shared" si="1"/>
        <v>Texture2D'/Game/DungeonSiege/art/bitmaps/gui/in_game/inventory/icons/b_gui_ig_i_ic_axe_004.b_gui_ig_i_ic_axe_004'</v>
      </c>
      <c r="AE34" s="97" t="str">
        <f t="shared" si="5"/>
        <v>StaticMesh'/Game/DungeonSiege/art/meshes/weapons/Axe/m_w_axe_087_AspMesh.m_w_axe_087_AspMesh'</v>
      </c>
    </row>
    <row r="35" spans="1:31" ht="15.75" thickBot="1" x14ac:dyDescent="0.3">
      <c r="A35" s="95">
        <v>33</v>
      </c>
      <c r="B35" s="95">
        <f>A35+Items!B$18</f>
        <v>84934689</v>
      </c>
      <c r="C35" s="96" t="s">
        <v>6504</v>
      </c>
      <c r="D35" s="96" t="s">
        <v>6501</v>
      </c>
      <c r="E35" s="95" t="str">
        <f t="shared" si="6"/>
        <v>2H</v>
      </c>
      <c r="F35" s="95" t="s">
        <v>6775</v>
      </c>
      <c r="G35" s="95"/>
      <c r="H35" s="95"/>
      <c r="I35" s="95"/>
      <c r="J35" s="95"/>
      <c r="K35" s="95"/>
      <c r="L35" s="96" t="s">
        <v>6604</v>
      </c>
      <c r="M35" s="96" t="s">
        <v>6702</v>
      </c>
      <c r="N35" s="96" t="s">
        <v>6668</v>
      </c>
      <c r="O35" s="95" t="str">
        <f t="shared" si="0"/>
        <v>FALSE</v>
      </c>
      <c r="P35" s="95"/>
      <c r="Q35" s="96">
        <v>2</v>
      </c>
      <c r="R35" s="96">
        <v>3</v>
      </c>
      <c r="S35" s="96">
        <v>117</v>
      </c>
      <c r="T35" s="96">
        <v>159</v>
      </c>
      <c r="U35" s="96" t="s">
        <v>3535</v>
      </c>
      <c r="V35" s="96">
        <v>0.5</v>
      </c>
      <c r="W35" s="96">
        <v>9</v>
      </c>
      <c r="X35" s="96">
        <v>23</v>
      </c>
      <c r="Y35" s="96" t="s">
        <v>2384</v>
      </c>
      <c r="Z35" s="96">
        <v>33</v>
      </c>
      <c r="AA35" s="96" t="str">
        <f t="shared" si="2"/>
        <v>DA_WPN_Axe_FleshSplitter_o_avg</v>
      </c>
      <c r="AB35" s="90" t="str">
        <f t="shared" si="3"/>
        <v>/Game/DungeonSiege/Items/Weapons/Axe/DA_WPN_Axe_FleshSplitter_o_avg</v>
      </c>
      <c r="AC35" s="97" t="str">
        <f t="shared" si="4"/>
        <v>Texture2D'/Game/DungeonSiege/art/bitmaps/gui/in_game/inventory/weapons/Axe/b_gui_ig_i_w_axe_203.b_gui_ig_i_w_axe_203'</v>
      </c>
      <c r="AD35" s="97" t="str">
        <f t="shared" si="1"/>
        <v>Texture2D'/Game/DungeonSiege/art/bitmaps/gui/in_game/inventory/icons/b_gui_ig_i_ic_axe_008.b_gui_ig_i_ic_axe_008'</v>
      </c>
      <c r="AE35" s="97" t="str">
        <f t="shared" si="5"/>
        <v>StaticMesh'/Game/DungeonSiege/art/meshes/weapons/Axe/m_w_axe_091_AspMesh.m_w_axe_091_AspMesh'</v>
      </c>
    </row>
    <row r="36" spans="1:31" ht="15.75" thickBot="1" x14ac:dyDescent="0.3">
      <c r="A36" s="95">
        <v>34</v>
      </c>
      <c r="B36" s="95">
        <f>A36+Items!B$18</f>
        <v>84934690</v>
      </c>
      <c r="C36" s="96" t="s">
        <v>6505</v>
      </c>
      <c r="D36" s="96" t="s">
        <v>6501</v>
      </c>
      <c r="E36" s="95" t="str">
        <f t="shared" si="6"/>
        <v>2H</v>
      </c>
      <c r="F36" s="95" t="s">
        <v>6776</v>
      </c>
      <c r="G36" s="95"/>
      <c r="H36" s="95"/>
      <c r="I36" s="95"/>
      <c r="J36" s="95"/>
      <c r="K36" s="95"/>
      <c r="L36" s="96" t="s">
        <v>6605</v>
      </c>
      <c r="M36" s="96" t="s">
        <v>6703</v>
      </c>
      <c r="N36" s="96" t="s">
        <v>6668</v>
      </c>
      <c r="O36" s="95" t="str">
        <f t="shared" si="0"/>
        <v>FALSE</v>
      </c>
      <c r="P36" s="95"/>
      <c r="Q36" s="96">
        <v>2</v>
      </c>
      <c r="R36" s="96">
        <v>3</v>
      </c>
      <c r="S36" s="96">
        <v>138</v>
      </c>
      <c r="T36" s="96">
        <v>186</v>
      </c>
      <c r="U36" s="96" t="s">
        <v>3535</v>
      </c>
      <c r="V36" s="96">
        <v>0.5</v>
      </c>
      <c r="W36" s="96">
        <v>14</v>
      </c>
      <c r="X36" s="96">
        <v>32</v>
      </c>
      <c r="Y36" s="96" t="s">
        <v>2384</v>
      </c>
      <c r="Z36" s="96">
        <v>38</v>
      </c>
      <c r="AA36" s="96" t="str">
        <f t="shared" si="2"/>
        <v>DA_WPN_Axe_FleshSplitter_o_fin</v>
      </c>
      <c r="AB36" s="90" t="str">
        <f t="shared" si="3"/>
        <v>/Game/DungeonSiege/Items/Weapons/Axe/DA_WPN_Axe_FleshSplitter_o_fin</v>
      </c>
      <c r="AC36" s="97" t="str">
        <f t="shared" si="4"/>
        <v>Texture2D'/Game/DungeonSiege/art/bitmaps/gui/in_game/inventory/weapons/Axe/b_gui_ig_i_w_axe_204.b_gui_ig_i_w_axe_204'</v>
      </c>
      <c r="AD36" s="97" t="str">
        <f t="shared" si="1"/>
        <v>Texture2D'/Game/DungeonSiege/art/bitmaps/gui/in_game/inventory/icons/b_gui_ig_i_ic_axe_008.b_gui_ig_i_ic_axe_008'</v>
      </c>
      <c r="AE36" s="97" t="str">
        <f t="shared" si="5"/>
        <v>StaticMesh'/Game/DungeonSiege/art/meshes/weapons/Axe/m_w_axe_092_AspMesh.m_w_axe_092_AspMesh'</v>
      </c>
    </row>
    <row r="37" spans="1:31" ht="15.75" thickBot="1" x14ac:dyDescent="0.3">
      <c r="A37" s="95">
        <v>35</v>
      </c>
      <c r="B37" s="95">
        <f>A37+Items!B$18</f>
        <v>84934691</v>
      </c>
      <c r="C37" s="96" t="s">
        <v>6506</v>
      </c>
      <c r="D37" s="96" t="s">
        <v>6501</v>
      </c>
      <c r="E37" s="95" t="str">
        <f t="shared" si="6"/>
        <v>2H</v>
      </c>
      <c r="F37" s="95" t="s">
        <v>6778</v>
      </c>
      <c r="G37" s="95"/>
      <c r="H37" s="95"/>
      <c r="I37" s="95"/>
      <c r="J37" s="95"/>
      <c r="K37" s="95"/>
      <c r="L37" s="96" t="s">
        <v>6606</v>
      </c>
      <c r="M37" s="96" t="s">
        <v>6704</v>
      </c>
      <c r="N37" s="96" t="s">
        <v>6668</v>
      </c>
      <c r="O37" s="95" t="str">
        <f t="shared" si="0"/>
        <v>FALSE</v>
      </c>
      <c r="P37" s="95"/>
      <c r="Q37" s="96">
        <v>2</v>
      </c>
      <c r="R37" s="96">
        <v>3</v>
      </c>
      <c r="S37" s="96">
        <v>187</v>
      </c>
      <c r="T37" s="96">
        <v>253</v>
      </c>
      <c r="U37" s="96" t="s">
        <v>3535</v>
      </c>
      <c r="V37" s="96">
        <v>0.5</v>
      </c>
      <c r="W37" s="96">
        <v>33</v>
      </c>
      <c r="X37" s="96">
        <v>49</v>
      </c>
      <c r="Y37" s="96" t="s">
        <v>2384</v>
      </c>
      <c r="Z37" s="96">
        <v>49</v>
      </c>
      <c r="AA37" s="96" t="str">
        <f t="shared" si="2"/>
        <v>DA_WPN_Axe_FleshSplitter_o_str</v>
      </c>
      <c r="AB37" s="90" t="str">
        <f t="shared" si="3"/>
        <v>/Game/DungeonSiege/Items/Weapons/Axe/DA_WPN_Axe_FleshSplitter_o_str</v>
      </c>
      <c r="AC37" s="97" t="str">
        <f t="shared" si="4"/>
        <v>Texture2D'/Game/DungeonSiege/art/bitmaps/gui/in_game/inventory/weapons/Axe/b_gui_ig_i_w_axe_206.b_gui_ig_i_w_axe_206'</v>
      </c>
      <c r="AD37" s="97" t="str">
        <f t="shared" si="1"/>
        <v>Texture2D'/Game/DungeonSiege/art/bitmaps/gui/in_game/inventory/icons/b_gui_ig_i_ic_axe_008.b_gui_ig_i_ic_axe_008'</v>
      </c>
      <c r="AE37" s="97" t="str">
        <f t="shared" si="5"/>
        <v>StaticMesh'/Game/DungeonSiege/art/meshes/weapons/Axe/m_w_axe_093_AspMesh.m_w_axe_093_AspMesh'</v>
      </c>
    </row>
    <row r="38" spans="1:31" ht="15.75" thickBot="1" x14ac:dyDescent="0.3">
      <c r="A38" s="95">
        <v>36</v>
      </c>
      <c r="B38" s="95">
        <f>A38+Items!B$18</f>
        <v>84934692</v>
      </c>
      <c r="C38" s="96" t="s">
        <v>6507</v>
      </c>
      <c r="D38" s="96" t="s">
        <v>6507</v>
      </c>
      <c r="E38" s="95" t="str">
        <f t="shared" si="6"/>
        <v>2H</v>
      </c>
      <c r="F38" s="95" t="s">
        <v>6797</v>
      </c>
      <c r="G38" s="95"/>
      <c r="H38" s="95"/>
      <c r="I38" s="95"/>
      <c r="J38" s="95"/>
      <c r="K38" s="95"/>
      <c r="L38" s="96" t="s">
        <v>6607</v>
      </c>
      <c r="M38" s="96" t="s">
        <v>6705</v>
      </c>
      <c r="N38" s="96" t="s">
        <v>6706</v>
      </c>
      <c r="O38" s="95" t="str">
        <f t="shared" si="0"/>
        <v>FALSE</v>
      </c>
      <c r="P38" s="95"/>
      <c r="Q38" s="96">
        <v>2</v>
      </c>
      <c r="R38" s="96">
        <v>3</v>
      </c>
      <c r="S38" s="96">
        <v>8</v>
      </c>
      <c r="T38" s="96">
        <v>12</v>
      </c>
      <c r="U38" s="96" t="s">
        <v>3535</v>
      </c>
      <c r="V38" s="96">
        <v>0.5</v>
      </c>
      <c r="W38" s="96">
        <v>0</v>
      </c>
      <c r="X38" s="96">
        <v>0</v>
      </c>
      <c r="Y38" s="96"/>
      <c r="Z38" s="96"/>
      <c r="AA38" s="96" t="str">
        <f t="shared" si="2"/>
        <v>DA_WPN_Axe_ForestAxe</v>
      </c>
      <c r="AB38" s="90" t="str">
        <f t="shared" si="3"/>
        <v>/Game/DungeonSiege/Items/Weapons/Axe/DA_WPN_Axe_ForestAxe</v>
      </c>
      <c r="AC38" s="97" t="str">
        <f t="shared" si="4"/>
        <v>Texture2D'/Game/DungeonSiege/art/bitmaps/gui/in_game/inventory/weapons/Axe/b_gui_ig_i_w_axe_037.b_gui_ig_i_w_axe_037'</v>
      </c>
      <c r="AD38" s="97" t="str">
        <f t="shared" ref="AD38:AD89" si="7">CONCATENATE("Texture2D'/Game/DungeonSiege/art/bitmaps/gui/in_game/inventory/icons/",N38,".",N38,"'")</f>
        <v>Texture2D'/Game/DungeonSiege/art/bitmaps/gui/in_game/inventory/icons/b_gui_ig_i_ic_ax_2h2b.b_gui_ig_i_ic_ax_2h2b'</v>
      </c>
      <c r="AE38" s="97" t="str">
        <f t="shared" si="5"/>
        <v>StaticMesh'/Game/DungeonSiege/art/meshes/weapons/Axe/m_w_axe_025_AspMesh.m_w_axe_025_AspMesh'</v>
      </c>
    </row>
    <row r="39" spans="1:31" ht="15.75" thickBot="1" x14ac:dyDescent="0.3">
      <c r="A39" s="95">
        <v>37</v>
      </c>
      <c r="B39" s="95">
        <f>A39+Items!B$18</f>
        <v>84934693</v>
      </c>
      <c r="C39" s="96" t="s">
        <v>6508</v>
      </c>
      <c r="D39" s="96" t="s">
        <v>6509</v>
      </c>
      <c r="E39" s="95" t="str">
        <f t="shared" si="6"/>
        <v>1H</v>
      </c>
      <c r="F39" s="95" t="s">
        <v>6798</v>
      </c>
      <c r="G39" s="95"/>
      <c r="H39" s="95"/>
      <c r="I39" s="95"/>
      <c r="J39" s="95"/>
      <c r="K39" s="95"/>
      <c r="L39" s="96" t="s">
        <v>6608</v>
      </c>
      <c r="M39" s="96" t="s">
        <v>6707</v>
      </c>
      <c r="N39" s="96" t="s">
        <v>6678</v>
      </c>
      <c r="O39" s="95" t="str">
        <f t="shared" si="0"/>
        <v>FALSE</v>
      </c>
      <c r="P39" s="95"/>
      <c r="Q39" s="96">
        <v>1</v>
      </c>
      <c r="R39" s="96">
        <v>2</v>
      </c>
      <c r="S39" s="96">
        <v>27</v>
      </c>
      <c r="T39" s="96">
        <v>33</v>
      </c>
      <c r="U39" s="96" t="s">
        <v>3536</v>
      </c>
      <c r="V39" s="96">
        <v>0.5</v>
      </c>
      <c r="W39" s="96">
        <v>0</v>
      </c>
      <c r="X39" s="96">
        <v>0</v>
      </c>
      <c r="Y39" s="96" t="s">
        <v>2384</v>
      </c>
      <c r="Z39" s="96">
        <v>16</v>
      </c>
      <c r="AA39" s="96" t="str">
        <f t="shared" si="2"/>
        <v>DA_WPN_Axe_FullAxe_base</v>
      </c>
      <c r="AB39" s="90" t="str">
        <f t="shared" si="3"/>
        <v>/Game/DungeonSiege/Items/Weapons/Axe/DA_WPN_Axe_FullAxe_base</v>
      </c>
      <c r="AC39" s="97" t="str">
        <f t="shared" si="4"/>
        <v>Texture2D'/Game/DungeonSiege/art/bitmaps/gui/in_game/inventory/weapons/Axe/b_gui_ig_i_w_axe_155.b_gui_ig_i_w_axe_155'</v>
      </c>
      <c r="AD39" s="97" t="str">
        <f t="shared" si="7"/>
        <v>Texture2D'/Game/DungeonSiege/art/bitmaps/gui/in_game/inventory/icons/b_gui_ig_i_ic_axe_002.b_gui_ig_i_ic_axe_002'</v>
      </c>
      <c r="AE39" s="97" t="str">
        <f t="shared" si="5"/>
        <v>StaticMesh'/Game/DungeonSiege/art/meshes/weapons/Axe/m_w_axe_061_AspMesh.m_w_axe_061_AspMesh'</v>
      </c>
    </row>
    <row r="40" spans="1:31" ht="15.75" thickBot="1" x14ac:dyDescent="0.3">
      <c r="A40" s="95">
        <v>38</v>
      </c>
      <c r="B40" s="95">
        <f>A40+Items!B$18</f>
        <v>84934694</v>
      </c>
      <c r="C40" s="96" t="s">
        <v>6510</v>
      </c>
      <c r="D40" s="96" t="s">
        <v>6509</v>
      </c>
      <c r="E40" s="95" t="str">
        <f t="shared" si="6"/>
        <v>1H</v>
      </c>
      <c r="F40" s="95" t="s">
        <v>6799</v>
      </c>
      <c r="G40" s="95"/>
      <c r="H40" s="95"/>
      <c r="I40" s="95"/>
      <c r="J40" s="95"/>
      <c r="K40" s="95"/>
      <c r="L40" s="96" t="s">
        <v>6609</v>
      </c>
      <c r="M40" s="96" t="s">
        <v>6708</v>
      </c>
      <c r="N40" s="96" t="s">
        <v>6678</v>
      </c>
      <c r="O40" s="95" t="str">
        <f t="shared" si="0"/>
        <v>FALSE</v>
      </c>
      <c r="P40" s="95"/>
      <c r="Q40" s="96">
        <v>1</v>
      </c>
      <c r="R40" s="96">
        <v>2</v>
      </c>
      <c r="S40" s="96">
        <v>35</v>
      </c>
      <c r="T40" s="96">
        <v>42</v>
      </c>
      <c r="U40" s="96" t="s">
        <v>3536</v>
      </c>
      <c r="V40" s="96">
        <v>0.5</v>
      </c>
      <c r="W40" s="96">
        <v>1</v>
      </c>
      <c r="X40" s="96">
        <v>6</v>
      </c>
      <c r="Y40" s="96" t="s">
        <v>2384</v>
      </c>
      <c r="Z40" s="96">
        <v>18</v>
      </c>
      <c r="AA40" s="96" t="str">
        <f t="shared" si="2"/>
        <v>DA_WPN_Axe_FullAxe_c_fin</v>
      </c>
      <c r="AB40" s="90" t="str">
        <f t="shared" si="3"/>
        <v>/Game/DungeonSiege/Items/Weapons/Axe/DA_WPN_Axe_FullAxe_c_fin</v>
      </c>
      <c r="AC40" s="97" t="str">
        <f t="shared" si="4"/>
        <v>Texture2D'/Game/DungeonSiege/art/bitmaps/gui/in_game/inventory/weapons/Axe/b_gui_ig_i_w_axe_156.b_gui_ig_i_w_axe_156'</v>
      </c>
      <c r="AD40" s="97" t="str">
        <f t="shared" si="7"/>
        <v>Texture2D'/Game/DungeonSiege/art/bitmaps/gui/in_game/inventory/icons/b_gui_ig_i_ic_axe_002.b_gui_ig_i_ic_axe_002'</v>
      </c>
      <c r="AE40" s="97" t="str">
        <f t="shared" si="5"/>
        <v>StaticMesh'/Game/DungeonSiege/art/meshes/weapons/Axe/m_w_axe_062_AspMesh.m_w_axe_062_AspMesh'</v>
      </c>
    </row>
    <row r="41" spans="1:31" ht="15.75" thickBot="1" x14ac:dyDescent="0.3">
      <c r="A41" s="95">
        <v>39</v>
      </c>
      <c r="B41" s="95">
        <f>A41+Items!B$18</f>
        <v>84934695</v>
      </c>
      <c r="C41" s="96" t="s">
        <v>6511</v>
      </c>
      <c r="D41" s="96" t="s">
        <v>6509</v>
      </c>
      <c r="E41" s="95" t="str">
        <f t="shared" si="6"/>
        <v>1H</v>
      </c>
      <c r="F41" s="95" t="s">
        <v>6800</v>
      </c>
      <c r="G41" s="95"/>
      <c r="H41" s="95"/>
      <c r="I41" s="95"/>
      <c r="J41" s="95"/>
      <c r="K41" s="95"/>
      <c r="L41" s="96" t="s">
        <v>6610</v>
      </c>
      <c r="M41" s="96" t="s">
        <v>6709</v>
      </c>
      <c r="N41" s="96" t="s">
        <v>6678</v>
      </c>
      <c r="O41" s="95" t="str">
        <f t="shared" si="0"/>
        <v>FALSE</v>
      </c>
      <c r="P41" s="95"/>
      <c r="Q41" s="96">
        <v>1</v>
      </c>
      <c r="R41" s="96">
        <v>2</v>
      </c>
      <c r="S41" s="96">
        <v>103</v>
      </c>
      <c r="T41" s="96">
        <v>126</v>
      </c>
      <c r="U41" s="96" t="s">
        <v>3536</v>
      </c>
      <c r="V41" s="96">
        <v>0.5</v>
      </c>
      <c r="W41" s="96">
        <v>23</v>
      </c>
      <c r="X41" s="96">
        <v>32</v>
      </c>
      <c r="Y41" s="96" t="s">
        <v>2384</v>
      </c>
      <c r="Z41" s="96">
        <v>36</v>
      </c>
      <c r="AA41" s="96" t="str">
        <f t="shared" si="2"/>
        <v>DA_WPN_Axe_FullAxe_c_mag</v>
      </c>
      <c r="AB41" s="90" t="str">
        <f t="shared" si="3"/>
        <v>/Game/DungeonSiege/Items/Weapons/Axe/DA_WPN_Axe_FullAxe_c_mag</v>
      </c>
      <c r="AC41" s="97" t="str">
        <f t="shared" si="4"/>
        <v>Texture2D'/Game/DungeonSiege/art/bitmaps/gui/in_game/inventory/weapons/Axe/b_gui_ig_i_w_axe_158.b_gui_ig_i_w_axe_158'</v>
      </c>
      <c r="AD41" s="97" t="str">
        <f t="shared" si="7"/>
        <v>Texture2D'/Game/DungeonSiege/art/bitmaps/gui/in_game/inventory/icons/b_gui_ig_i_ic_axe_002.b_gui_ig_i_ic_axe_002'</v>
      </c>
      <c r="AE41" s="97" t="str">
        <f t="shared" si="5"/>
        <v>StaticMesh'/Game/DungeonSiege/art/meshes/weapons/Axe/m_w_axe_064_AspMesh.m_w_axe_064_AspMesh'</v>
      </c>
    </row>
    <row r="42" spans="1:31" ht="15.75" thickBot="1" x14ac:dyDescent="0.3">
      <c r="A42" s="95">
        <v>40</v>
      </c>
      <c r="B42" s="95">
        <f>A42+Items!B$18</f>
        <v>84934696</v>
      </c>
      <c r="C42" s="96" t="s">
        <v>6512</v>
      </c>
      <c r="D42" s="96" t="s">
        <v>6509</v>
      </c>
      <c r="E42" s="95" t="str">
        <f t="shared" si="6"/>
        <v>1H</v>
      </c>
      <c r="F42" s="95" t="s">
        <v>6801</v>
      </c>
      <c r="G42" s="95"/>
      <c r="H42" s="95"/>
      <c r="I42" s="95"/>
      <c r="J42" s="95"/>
      <c r="K42" s="95"/>
      <c r="L42" s="96" t="s">
        <v>6611</v>
      </c>
      <c r="M42" s="96" t="s">
        <v>6710</v>
      </c>
      <c r="N42" s="96" t="s">
        <v>6678</v>
      </c>
      <c r="O42" s="95" t="str">
        <f t="shared" si="0"/>
        <v>FALSE</v>
      </c>
      <c r="P42" s="95"/>
      <c r="Q42" s="96">
        <v>1</v>
      </c>
      <c r="R42" s="96">
        <v>3</v>
      </c>
      <c r="S42" s="96">
        <v>67</v>
      </c>
      <c r="T42" s="96">
        <v>81</v>
      </c>
      <c r="U42" s="96" t="s">
        <v>3536</v>
      </c>
      <c r="V42" s="96">
        <v>0.5</v>
      </c>
      <c r="W42" s="96">
        <v>10</v>
      </c>
      <c r="X42" s="96">
        <v>21</v>
      </c>
      <c r="Y42" s="96" t="s">
        <v>2384</v>
      </c>
      <c r="Z42" s="96">
        <v>26</v>
      </c>
      <c r="AA42" s="96" t="str">
        <f t="shared" si="2"/>
        <v>DA_WPN_Axe_FullAxe_c_str</v>
      </c>
      <c r="AB42" s="90" t="str">
        <f t="shared" si="3"/>
        <v>/Game/DungeonSiege/Items/Weapons/Axe/DA_WPN_Axe_FullAxe_c_str</v>
      </c>
      <c r="AC42" s="97" t="str">
        <f t="shared" si="4"/>
        <v>Texture2D'/Game/DungeonSiege/art/bitmaps/gui/in_game/inventory/weapons/Axe/b_gui_ig_i_w_axe_157.b_gui_ig_i_w_axe_157'</v>
      </c>
      <c r="AD42" s="97" t="str">
        <f t="shared" si="7"/>
        <v>Texture2D'/Game/DungeonSiege/art/bitmaps/gui/in_game/inventory/icons/b_gui_ig_i_ic_axe_002.b_gui_ig_i_ic_axe_002'</v>
      </c>
      <c r="AE42" s="97" t="str">
        <f t="shared" si="5"/>
        <v>StaticMesh'/Game/DungeonSiege/art/meshes/weapons/Axe/m_w_axe_063_AspMesh.m_w_axe_063_AspMesh'</v>
      </c>
    </row>
    <row r="43" spans="1:31" ht="15.75" thickBot="1" x14ac:dyDescent="0.3">
      <c r="A43" s="95">
        <v>41</v>
      </c>
      <c r="B43" s="95">
        <f>A43+Items!B$18</f>
        <v>84934697</v>
      </c>
      <c r="C43" s="96" t="s">
        <v>6513</v>
      </c>
      <c r="D43" s="96" t="s">
        <v>6509</v>
      </c>
      <c r="E43" s="95" t="str">
        <f t="shared" si="6"/>
        <v>1H</v>
      </c>
      <c r="F43" s="95" t="s">
        <v>6802</v>
      </c>
      <c r="G43" s="95"/>
      <c r="H43" s="95"/>
      <c r="I43" s="95"/>
      <c r="J43" s="95"/>
      <c r="K43" s="95"/>
      <c r="L43" s="96" t="s">
        <v>6612</v>
      </c>
      <c r="M43" s="96" t="s">
        <v>6711</v>
      </c>
      <c r="N43" s="96" t="s">
        <v>6689</v>
      </c>
      <c r="O43" s="95" t="str">
        <f t="shared" si="0"/>
        <v>FALSE</v>
      </c>
      <c r="P43" s="95"/>
      <c r="Q43" s="96">
        <v>1</v>
      </c>
      <c r="R43" s="96">
        <v>2</v>
      </c>
      <c r="S43" s="96">
        <v>42</v>
      </c>
      <c r="T43" s="96">
        <v>51</v>
      </c>
      <c r="U43" s="96" t="s">
        <v>3536</v>
      </c>
      <c r="V43" s="96">
        <v>0.5</v>
      </c>
      <c r="W43" s="96">
        <v>3</v>
      </c>
      <c r="X43" s="96">
        <v>9</v>
      </c>
      <c r="Y43" s="96" t="s">
        <v>2384</v>
      </c>
      <c r="Z43" s="96">
        <v>20</v>
      </c>
      <c r="AA43" s="96" t="str">
        <f t="shared" si="2"/>
        <v>DA_WPN_Axe_FullAxe_o_avg</v>
      </c>
      <c r="AB43" s="90" t="str">
        <f t="shared" si="3"/>
        <v>/Game/DungeonSiege/Items/Weapons/Axe/DA_WPN_Axe_FullAxe_o_avg</v>
      </c>
      <c r="AC43" s="97" t="str">
        <f t="shared" si="4"/>
        <v>Texture2D'/Game/DungeonSiege/art/bitmaps/gui/in_game/inventory/weapons/Axe/b_gui_ig_i_w_axe_161.b_gui_ig_i_w_axe_161'</v>
      </c>
      <c r="AD43" s="97" t="str">
        <f t="shared" si="7"/>
        <v>Texture2D'/Game/DungeonSiege/art/bitmaps/gui/in_game/inventory/icons/b_gui_ig_i_ic_axe_006.b_gui_ig_i_ic_axe_006'</v>
      </c>
      <c r="AE43" s="97" t="str">
        <f t="shared" si="5"/>
        <v>StaticMesh'/Game/DungeonSiege/art/meshes/weapons/Axe/m_w_axe_067_AspMesh.m_w_axe_067_AspMesh'</v>
      </c>
    </row>
    <row r="44" spans="1:31" ht="15.75" thickBot="1" x14ac:dyDescent="0.3">
      <c r="A44" s="95">
        <v>42</v>
      </c>
      <c r="B44" s="95">
        <f>A44+Items!B$18</f>
        <v>84934698</v>
      </c>
      <c r="C44" s="96" t="s">
        <v>6514</v>
      </c>
      <c r="D44" s="96" t="s">
        <v>6509</v>
      </c>
      <c r="E44" s="95" t="str">
        <f t="shared" si="6"/>
        <v>1H</v>
      </c>
      <c r="F44" s="95" t="s">
        <v>6803</v>
      </c>
      <c r="G44" s="95"/>
      <c r="H44" s="95"/>
      <c r="I44" s="95"/>
      <c r="J44" s="95"/>
      <c r="K44" s="95"/>
      <c r="L44" s="96" t="s">
        <v>6613</v>
      </c>
      <c r="M44" s="96" t="s">
        <v>6712</v>
      </c>
      <c r="N44" s="96" t="s">
        <v>6689</v>
      </c>
      <c r="O44" s="95" t="str">
        <f t="shared" si="0"/>
        <v>FALSE</v>
      </c>
      <c r="P44" s="95"/>
      <c r="Q44" s="96">
        <v>1</v>
      </c>
      <c r="R44" s="96">
        <v>2</v>
      </c>
      <c r="S44" s="96">
        <v>52</v>
      </c>
      <c r="T44" s="96">
        <v>63</v>
      </c>
      <c r="U44" s="96" t="s">
        <v>3536</v>
      </c>
      <c r="V44" s="96">
        <v>0.5</v>
      </c>
      <c r="W44" s="96">
        <v>7</v>
      </c>
      <c r="X44" s="96">
        <v>16</v>
      </c>
      <c r="Y44" s="96" t="s">
        <v>2384</v>
      </c>
      <c r="Z44" s="96">
        <v>22</v>
      </c>
      <c r="AA44" s="96" t="str">
        <f t="shared" si="2"/>
        <v>DA_WPN_Axe_FullAxe_o_fin</v>
      </c>
      <c r="AB44" s="90" t="str">
        <f t="shared" si="3"/>
        <v>/Game/DungeonSiege/Items/Weapons/Axe/DA_WPN_Axe_FullAxe_o_fin</v>
      </c>
      <c r="AC44" s="97" t="str">
        <f t="shared" si="4"/>
        <v>Texture2D'/Game/DungeonSiege/art/bitmaps/gui/in_game/inventory/weapons/Axe/b_gui_ig_i_w_axe_162.b_gui_ig_i_w_axe_162'</v>
      </c>
      <c r="AD44" s="97" t="str">
        <f t="shared" si="7"/>
        <v>Texture2D'/Game/DungeonSiege/art/bitmaps/gui/in_game/inventory/icons/b_gui_ig_i_ic_axe_006.b_gui_ig_i_ic_axe_006'</v>
      </c>
      <c r="AE44" s="97" t="str">
        <f t="shared" si="5"/>
        <v>StaticMesh'/Game/DungeonSiege/art/meshes/weapons/Axe/m_w_axe_068_AspMesh.m_w_axe_068_AspMesh'</v>
      </c>
    </row>
    <row r="45" spans="1:31" ht="15.75" thickBot="1" x14ac:dyDescent="0.3">
      <c r="A45" s="95">
        <v>43</v>
      </c>
      <c r="B45" s="95">
        <f>A45+Items!B$18</f>
        <v>84934699</v>
      </c>
      <c r="C45" s="96" t="s">
        <v>6515</v>
      </c>
      <c r="D45" s="96" t="s">
        <v>6509</v>
      </c>
      <c r="E45" s="95" t="str">
        <f t="shared" si="6"/>
        <v>1H</v>
      </c>
      <c r="F45" s="95" t="s">
        <v>6804</v>
      </c>
      <c r="G45" s="95"/>
      <c r="H45" s="95"/>
      <c r="I45" s="95"/>
      <c r="J45" s="95"/>
      <c r="K45" s="95"/>
      <c r="L45" s="96" t="s">
        <v>6614</v>
      </c>
      <c r="M45" s="96" t="s">
        <v>6713</v>
      </c>
      <c r="N45" s="96" t="s">
        <v>6689</v>
      </c>
      <c r="O45" s="95" t="str">
        <f t="shared" si="0"/>
        <v>FALSE</v>
      </c>
      <c r="P45" s="95"/>
      <c r="Q45" s="96">
        <v>1</v>
      </c>
      <c r="R45" s="96">
        <v>2</v>
      </c>
      <c r="S45" s="96">
        <v>123</v>
      </c>
      <c r="T45" s="96">
        <v>150</v>
      </c>
      <c r="U45" s="96" t="s">
        <v>3536</v>
      </c>
      <c r="V45" s="96">
        <v>0.5</v>
      </c>
      <c r="W45" s="96">
        <v>29</v>
      </c>
      <c r="X45" s="96">
        <v>40</v>
      </c>
      <c r="Y45" s="96" t="s">
        <v>2384</v>
      </c>
      <c r="Z45" s="96">
        <v>41</v>
      </c>
      <c r="AA45" s="96" t="str">
        <f t="shared" si="2"/>
        <v>DA_WPN_Axe_FullAxe_o_mag</v>
      </c>
      <c r="AB45" s="90" t="str">
        <f t="shared" si="3"/>
        <v>/Game/DungeonSiege/Items/Weapons/Axe/DA_WPN_Axe_FullAxe_o_mag</v>
      </c>
      <c r="AC45" s="97" t="str">
        <f t="shared" si="4"/>
        <v>Texture2D'/Game/DungeonSiege/art/bitmaps/gui/in_game/inventory/weapons/Axe/b_gui_ig_i_w_axe_164.b_gui_ig_i_w_axe_164'</v>
      </c>
      <c r="AD45" s="97" t="str">
        <f t="shared" si="7"/>
        <v>Texture2D'/Game/DungeonSiege/art/bitmaps/gui/in_game/inventory/icons/b_gui_ig_i_ic_axe_006.b_gui_ig_i_ic_axe_006'</v>
      </c>
      <c r="AE45" s="97" t="str">
        <f t="shared" si="5"/>
        <v>StaticMesh'/Game/DungeonSiege/art/meshes/weapons/Axe/m_w_axe_070_AspMesh.m_w_axe_070_AspMesh'</v>
      </c>
    </row>
    <row r="46" spans="1:31" ht="15.75" thickBot="1" x14ac:dyDescent="0.3">
      <c r="A46" s="95">
        <v>44</v>
      </c>
      <c r="B46" s="95">
        <f>A46+Items!B$18</f>
        <v>84934700</v>
      </c>
      <c r="C46" s="96" t="s">
        <v>6516</v>
      </c>
      <c r="D46" s="96" t="s">
        <v>6509</v>
      </c>
      <c r="E46" s="95" t="str">
        <f t="shared" si="6"/>
        <v>1H</v>
      </c>
      <c r="F46" s="95" t="s">
        <v>6805</v>
      </c>
      <c r="G46" s="95"/>
      <c r="H46" s="95"/>
      <c r="I46" s="95"/>
      <c r="J46" s="95"/>
      <c r="K46" s="95"/>
      <c r="L46" s="96" t="s">
        <v>6615</v>
      </c>
      <c r="M46" s="96" t="s">
        <v>6714</v>
      </c>
      <c r="N46" s="96" t="s">
        <v>6689</v>
      </c>
      <c r="O46" s="95" t="str">
        <f t="shared" ref="O46:O89" si="8">IF(OR(I46=TRUE,J46=TRUE,K46=TRUE),"TRUE","FALSE")</f>
        <v>FALSE</v>
      </c>
      <c r="P46" s="95"/>
      <c r="Q46" s="96">
        <v>1</v>
      </c>
      <c r="R46" s="96">
        <v>3</v>
      </c>
      <c r="S46" s="96">
        <v>86</v>
      </c>
      <c r="T46" s="96">
        <v>105</v>
      </c>
      <c r="U46" s="96" t="s">
        <v>3536</v>
      </c>
      <c r="V46" s="96">
        <v>0.5</v>
      </c>
      <c r="W46" s="96">
        <v>17</v>
      </c>
      <c r="X46" s="96">
        <v>27</v>
      </c>
      <c r="Y46" s="96" t="s">
        <v>2384</v>
      </c>
      <c r="Z46" s="96">
        <v>31</v>
      </c>
      <c r="AA46" s="96" t="str">
        <f t="shared" si="2"/>
        <v>DA_WPN_Axe_FullAxe_o_str</v>
      </c>
      <c r="AB46" s="90" t="str">
        <f t="shared" si="3"/>
        <v>/Game/DungeonSiege/Items/Weapons/Axe/DA_WPN_Axe_FullAxe_o_str</v>
      </c>
      <c r="AC46" s="97" t="str">
        <f t="shared" si="4"/>
        <v>Texture2D'/Game/DungeonSiege/art/bitmaps/gui/in_game/inventory/weapons/Axe/b_gui_ig_i_w_axe_163.b_gui_ig_i_w_axe_163'</v>
      </c>
      <c r="AD46" s="97" t="str">
        <f t="shared" si="7"/>
        <v>Texture2D'/Game/DungeonSiege/art/bitmaps/gui/in_game/inventory/icons/b_gui_ig_i_ic_axe_006.b_gui_ig_i_ic_axe_006'</v>
      </c>
      <c r="AE46" s="97" t="str">
        <f t="shared" si="5"/>
        <v>StaticMesh'/Game/DungeonSiege/art/meshes/weapons/Axe/m_w_axe_069_AspMesh.m_w_axe_069_AspMesh'</v>
      </c>
    </row>
    <row r="47" spans="1:31" ht="15.75" thickBot="1" x14ac:dyDescent="0.3">
      <c r="A47" s="95">
        <v>45</v>
      </c>
      <c r="B47" s="95">
        <f>A47+Items!B$18</f>
        <v>84934701</v>
      </c>
      <c r="C47" s="96" t="s">
        <v>6517</v>
      </c>
      <c r="D47" s="96" t="s">
        <v>6518</v>
      </c>
      <c r="E47" s="95" t="str">
        <f t="shared" si="6"/>
        <v>1H</v>
      </c>
      <c r="F47" s="95" t="s">
        <v>6799</v>
      </c>
      <c r="G47" s="95"/>
      <c r="H47" s="95"/>
      <c r="I47" s="95"/>
      <c r="J47" s="95"/>
      <c r="K47" s="95"/>
      <c r="L47" s="96" t="s">
        <v>6616</v>
      </c>
      <c r="M47" s="96" t="s">
        <v>6715</v>
      </c>
      <c r="N47" s="96" t="s">
        <v>6678</v>
      </c>
      <c r="O47" s="95" t="str">
        <f t="shared" si="8"/>
        <v>FALSE</v>
      </c>
      <c r="P47" s="95"/>
      <c r="Q47" s="96">
        <v>1</v>
      </c>
      <c r="R47" s="96">
        <v>2</v>
      </c>
      <c r="S47" s="96">
        <v>38</v>
      </c>
      <c r="T47" s="96">
        <v>47</v>
      </c>
      <c r="U47" s="96" t="s">
        <v>3536</v>
      </c>
      <c r="V47" s="96">
        <v>0.5</v>
      </c>
      <c r="W47" s="96">
        <v>1</v>
      </c>
      <c r="X47" s="96">
        <v>6</v>
      </c>
      <c r="Y47" s="96" t="s">
        <v>2384</v>
      </c>
      <c r="Z47" s="96">
        <v>18</v>
      </c>
      <c r="AA47" s="96" t="str">
        <f t="shared" si="2"/>
        <v>DA_WPN_Axe_GoreAxe_base</v>
      </c>
      <c r="AB47" s="90" t="str">
        <f t="shared" si="3"/>
        <v>/Game/DungeonSiege/Items/Weapons/Axe/DA_WPN_Axe_GoreAxe_base</v>
      </c>
      <c r="AC47" s="97" t="str">
        <f t="shared" si="4"/>
        <v>Texture2D'/Game/DungeonSiege/art/bitmaps/gui/in_game/inventory/weapons/Axe/b_gui_ig_i_w_axe_193.b_gui_ig_i_w_axe_193'</v>
      </c>
      <c r="AD47" s="97" t="str">
        <f t="shared" si="7"/>
        <v>Texture2D'/Game/DungeonSiege/art/bitmaps/gui/in_game/inventory/icons/b_gui_ig_i_ic_axe_002.b_gui_ig_i_ic_axe_002'</v>
      </c>
      <c r="AE47" s="97" t="str">
        <f t="shared" si="5"/>
        <v>StaticMesh'/Game/DungeonSiege/art/meshes/weapons/Axe/m_w_axe_062_AspMesh.m_w_axe_062_AspMesh'</v>
      </c>
    </row>
    <row r="48" spans="1:31" ht="15.75" thickBot="1" x14ac:dyDescent="0.3">
      <c r="A48" s="95">
        <v>46</v>
      </c>
      <c r="B48" s="95">
        <f>A48+Items!B$18</f>
        <v>84934702</v>
      </c>
      <c r="C48" s="96" t="s">
        <v>6519</v>
      </c>
      <c r="D48" s="96" t="s">
        <v>6518</v>
      </c>
      <c r="E48" s="95" t="str">
        <f t="shared" si="6"/>
        <v>1H</v>
      </c>
      <c r="F48" s="95" t="s">
        <v>6800</v>
      </c>
      <c r="G48" s="95"/>
      <c r="H48" s="95"/>
      <c r="I48" s="95"/>
      <c r="J48" s="95"/>
      <c r="K48" s="95"/>
      <c r="L48" s="96" t="s">
        <v>6617</v>
      </c>
      <c r="M48" s="96" t="s">
        <v>6716</v>
      </c>
      <c r="N48" s="96" t="s">
        <v>6678</v>
      </c>
      <c r="O48" s="95" t="str">
        <f t="shared" si="8"/>
        <v>FALSE</v>
      </c>
      <c r="P48" s="95"/>
      <c r="Q48" s="96">
        <v>1</v>
      </c>
      <c r="R48" s="96">
        <v>2</v>
      </c>
      <c r="S48" s="96">
        <v>106</v>
      </c>
      <c r="T48" s="96">
        <v>129</v>
      </c>
      <c r="U48" s="96" t="s">
        <v>3536</v>
      </c>
      <c r="V48" s="96">
        <v>0.5</v>
      </c>
      <c r="W48" s="96">
        <v>23</v>
      </c>
      <c r="X48" s="96">
        <v>33</v>
      </c>
      <c r="Y48" s="96" t="s">
        <v>2384</v>
      </c>
      <c r="Z48" s="96">
        <v>36</v>
      </c>
      <c r="AA48" s="96" t="str">
        <f t="shared" si="2"/>
        <v>DA_WPN_Axe_GoreAxe_c_mag</v>
      </c>
      <c r="AB48" s="90" t="str">
        <f t="shared" si="3"/>
        <v>/Game/DungeonSiege/Items/Weapons/Axe/DA_WPN_Axe_GoreAxe_c_mag</v>
      </c>
      <c r="AC48" s="97" t="str">
        <f t="shared" si="4"/>
        <v>Texture2D'/Game/DungeonSiege/art/bitmaps/gui/in_game/inventory/weapons/Axe/b_gui_ig_i_w_axe_197.b_gui_ig_i_w_axe_197'</v>
      </c>
      <c r="AD48" s="97" t="str">
        <f t="shared" si="7"/>
        <v>Texture2D'/Game/DungeonSiege/art/bitmaps/gui/in_game/inventory/icons/b_gui_ig_i_ic_axe_002.b_gui_ig_i_ic_axe_002'</v>
      </c>
      <c r="AE48" s="97" t="str">
        <f t="shared" si="5"/>
        <v>StaticMesh'/Game/DungeonSiege/art/meshes/weapons/Axe/m_w_axe_064_AspMesh.m_w_axe_064_AspMesh'</v>
      </c>
    </row>
    <row r="49" spans="1:31" ht="15.75" thickBot="1" x14ac:dyDescent="0.3">
      <c r="A49" s="95">
        <v>47</v>
      </c>
      <c r="B49" s="95">
        <f>A49+Items!B$18</f>
        <v>84934703</v>
      </c>
      <c r="C49" s="96" t="s">
        <v>6520</v>
      </c>
      <c r="D49" s="96" t="s">
        <v>6518</v>
      </c>
      <c r="E49" s="95" t="str">
        <f t="shared" si="6"/>
        <v>1H</v>
      </c>
      <c r="F49" s="95" t="s">
        <v>6801</v>
      </c>
      <c r="G49" s="95"/>
      <c r="H49" s="95"/>
      <c r="I49" s="95"/>
      <c r="J49" s="95"/>
      <c r="K49" s="95"/>
      <c r="L49" s="96" t="s">
        <v>6618</v>
      </c>
      <c r="M49" s="96" t="s">
        <v>6717</v>
      </c>
      <c r="N49" s="96" t="s">
        <v>6678</v>
      </c>
      <c r="O49" s="95" t="str">
        <f t="shared" si="8"/>
        <v>FALSE</v>
      </c>
      <c r="P49" s="95"/>
      <c r="Q49" s="96">
        <v>1</v>
      </c>
      <c r="R49" s="96">
        <v>3</v>
      </c>
      <c r="S49" s="96">
        <v>71</v>
      </c>
      <c r="T49" s="96">
        <v>87</v>
      </c>
      <c r="U49" s="96" t="s">
        <v>3536</v>
      </c>
      <c r="V49" s="96">
        <v>0.5</v>
      </c>
      <c r="W49" s="96">
        <v>11</v>
      </c>
      <c r="X49" s="96">
        <v>22</v>
      </c>
      <c r="Y49" s="96" t="s">
        <v>2384</v>
      </c>
      <c r="Z49" s="96">
        <v>26</v>
      </c>
      <c r="AA49" s="96" t="str">
        <f t="shared" si="2"/>
        <v>DA_WPN_Axe_GoreAxe_c_str</v>
      </c>
      <c r="AB49" s="90" t="str">
        <f t="shared" si="3"/>
        <v>/Game/DungeonSiege/Items/Weapons/Axe/DA_WPN_Axe_GoreAxe_c_str</v>
      </c>
      <c r="AC49" s="97" t="str">
        <f t="shared" si="4"/>
        <v>Texture2D'/Game/DungeonSiege/art/bitmaps/gui/in_game/inventory/weapons/Axe/b_gui_ig_i_w_axe_196.b_gui_ig_i_w_axe_196'</v>
      </c>
      <c r="AD49" s="97" t="str">
        <f t="shared" si="7"/>
        <v>Texture2D'/Game/DungeonSiege/art/bitmaps/gui/in_game/inventory/icons/b_gui_ig_i_ic_axe_002.b_gui_ig_i_ic_axe_002'</v>
      </c>
      <c r="AE49" s="97" t="str">
        <f t="shared" si="5"/>
        <v>StaticMesh'/Game/DungeonSiege/art/meshes/weapons/Axe/m_w_axe_063_AspMesh.m_w_axe_063_AspMesh'</v>
      </c>
    </row>
    <row r="50" spans="1:31" ht="15.75" thickBot="1" x14ac:dyDescent="0.3">
      <c r="A50" s="95">
        <v>48</v>
      </c>
      <c r="B50" s="95">
        <f>A50+Items!B$18</f>
        <v>84934704</v>
      </c>
      <c r="C50" s="96" t="s">
        <v>6521</v>
      </c>
      <c r="D50" s="96" t="s">
        <v>6518</v>
      </c>
      <c r="E50" s="95" t="str">
        <f t="shared" si="6"/>
        <v>1H</v>
      </c>
      <c r="F50" s="95" t="s">
        <v>6803</v>
      </c>
      <c r="G50" s="95"/>
      <c r="H50" s="95"/>
      <c r="I50" s="95"/>
      <c r="J50" s="95"/>
      <c r="K50" s="95"/>
      <c r="L50" s="96" t="s">
        <v>6619</v>
      </c>
      <c r="M50" s="96" t="s">
        <v>6718</v>
      </c>
      <c r="N50" s="96" t="s">
        <v>6689</v>
      </c>
      <c r="O50" s="95" t="str">
        <f t="shared" si="8"/>
        <v>FALSE</v>
      </c>
      <c r="P50" s="95"/>
      <c r="Q50" s="96">
        <v>1</v>
      </c>
      <c r="R50" s="96">
        <v>2</v>
      </c>
      <c r="S50" s="96">
        <v>57</v>
      </c>
      <c r="T50" s="96">
        <v>69</v>
      </c>
      <c r="U50" s="96" t="s">
        <v>3536</v>
      </c>
      <c r="V50" s="96">
        <v>0.5</v>
      </c>
      <c r="W50" s="96">
        <v>8</v>
      </c>
      <c r="X50" s="96">
        <v>17</v>
      </c>
      <c r="Y50" s="96" t="s">
        <v>2384</v>
      </c>
      <c r="Z50" s="96">
        <v>22</v>
      </c>
      <c r="AA50" s="96" t="str">
        <f t="shared" si="2"/>
        <v>DA_WPN_Axe_GoreAxe_o_fin</v>
      </c>
      <c r="AB50" s="90" t="str">
        <f t="shared" si="3"/>
        <v>/Game/DungeonSiege/Items/Weapons/Axe/DA_WPN_Axe_GoreAxe_o_fin</v>
      </c>
      <c r="AC50" s="97" t="str">
        <f t="shared" si="4"/>
        <v>Texture2D'/Game/DungeonSiege/art/bitmaps/gui/in_game/inventory/weapons/Axe/b_gui_ig_i_w_axe_194.b_gui_ig_i_w_axe_194'</v>
      </c>
      <c r="AD50" s="97" t="str">
        <f t="shared" si="7"/>
        <v>Texture2D'/Game/DungeonSiege/art/bitmaps/gui/in_game/inventory/icons/b_gui_ig_i_ic_axe_006.b_gui_ig_i_ic_axe_006'</v>
      </c>
      <c r="AE50" s="97" t="str">
        <f t="shared" si="5"/>
        <v>StaticMesh'/Game/DungeonSiege/art/meshes/weapons/Axe/m_w_axe_068_AspMesh.m_w_axe_068_AspMesh'</v>
      </c>
    </row>
    <row r="51" spans="1:31" ht="15.75" thickBot="1" x14ac:dyDescent="0.3">
      <c r="A51" s="95">
        <v>49</v>
      </c>
      <c r="B51" s="95">
        <f>A51+Items!B$18</f>
        <v>84934705</v>
      </c>
      <c r="C51" s="96" t="s">
        <v>6522</v>
      </c>
      <c r="D51" s="96" t="s">
        <v>6518</v>
      </c>
      <c r="E51" s="95" t="str">
        <f t="shared" si="6"/>
        <v>1H</v>
      </c>
      <c r="F51" s="95" t="s">
        <v>6805</v>
      </c>
      <c r="G51" s="95"/>
      <c r="H51" s="95"/>
      <c r="I51" s="95"/>
      <c r="J51" s="95"/>
      <c r="K51" s="95"/>
      <c r="L51" s="96" t="s">
        <v>6620</v>
      </c>
      <c r="M51" s="96" t="s">
        <v>6719</v>
      </c>
      <c r="N51" s="96" t="s">
        <v>6689</v>
      </c>
      <c r="O51" s="95" t="str">
        <f t="shared" si="8"/>
        <v>FALSE</v>
      </c>
      <c r="P51" s="95"/>
      <c r="Q51" s="96">
        <v>1</v>
      </c>
      <c r="R51" s="96">
        <v>3</v>
      </c>
      <c r="S51" s="96">
        <v>90</v>
      </c>
      <c r="T51" s="96">
        <v>110</v>
      </c>
      <c r="U51" s="96" t="s">
        <v>3536</v>
      </c>
      <c r="V51" s="96">
        <v>0.5</v>
      </c>
      <c r="W51" s="96">
        <v>18</v>
      </c>
      <c r="X51" s="96">
        <v>28</v>
      </c>
      <c r="Y51" s="96" t="s">
        <v>2384</v>
      </c>
      <c r="Z51" s="96">
        <v>31</v>
      </c>
      <c r="AA51" s="96" t="str">
        <f t="shared" si="2"/>
        <v>DA_WPN_Axe_GoreAxe_o_str</v>
      </c>
      <c r="AB51" s="90" t="str">
        <f t="shared" si="3"/>
        <v>/Game/DungeonSiege/Items/Weapons/Axe/DA_WPN_Axe_GoreAxe_o_str</v>
      </c>
      <c r="AC51" s="97" t="str">
        <f t="shared" si="4"/>
        <v>Texture2D'/Game/DungeonSiege/art/bitmaps/gui/in_game/inventory/weapons/Axe/b_gui_ig_i_w_axe_195.b_gui_ig_i_w_axe_195'</v>
      </c>
      <c r="AD51" s="97" t="str">
        <f t="shared" si="7"/>
        <v>Texture2D'/Game/DungeonSiege/art/bitmaps/gui/in_game/inventory/icons/b_gui_ig_i_ic_axe_006.b_gui_ig_i_ic_axe_006'</v>
      </c>
      <c r="AE51" s="97" t="str">
        <f t="shared" si="5"/>
        <v>StaticMesh'/Game/DungeonSiege/art/meshes/weapons/Axe/m_w_axe_069_AspMesh.m_w_axe_069_AspMesh'</v>
      </c>
    </row>
    <row r="52" spans="1:31" ht="15.75" thickBot="1" x14ac:dyDescent="0.3">
      <c r="A52" s="95">
        <v>50</v>
      </c>
      <c r="B52" s="95">
        <f>A52+Items!B$18</f>
        <v>84934706</v>
      </c>
      <c r="C52" s="96" t="s">
        <v>6523</v>
      </c>
      <c r="D52" s="96" t="s">
        <v>6523</v>
      </c>
      <c r="E52" s="95" t="str">
        <f t="shared" si="6"/>
        <v>1H</v>
      </c>
      <c r="F52" s="95" t="s">
        <v>6806</v>
      </c>
      <c r="G52" s="95"/>
      <c r="H52" s="95"/>
      <c r="I52" s="95"/>
      <c r="J52" s="95"/>
      <c r="K52" s="95"/>
      <c r="L52" s="96" t="s">
        <v>6621</v>
      </c>
      <c r="M52" s="96" t="s">
        <v>6720</v>
      </c>
      <c r="N52" s="96" t="s">
        <v>6721</v>
      </c>
      <c r="O52" s="95" t="str">
        <f t="shared" si="8"/>
        <v>FALSE</v>
      </c>
      <c r="P52" s="95"/>
      <c r="Q52" s="96">
        <v>1</v>
      </c>
      <c r="R52" s="96">
        <v>2</v>
      </c>
      <c r="S52" s="96">
        <v>20</v>
      </c>
      <c r="T52" s="96">
        <v>25</v>
      </c>
      <c r="U52" s="96" t="s">
        <v>3536</v>
      </c>
      <c r="V52" s="96">
        <v>0.5</v>
      </c>
      <c r="W52" s="96">
        <v>0</v>
      </c>
      <c r="X52" s="96">
        <v>0</v>
      </c>
      <c r="Y52" s="96" t="s">
        <v>2384</v>
      </c>
      <c r="Z52" s="96">
        <v>14</v>
      </c>
      <c r="AA52" s="96" t="str">
        <f t="shared" si="2"/>
        <v>DA_WPN_Axe_GrimyWedgeAxe</v>
      </c>
      <c r="AB52" s="90" t="str">
        <f t="shared" si="3"/>
        <v>/Game/DungeonSiege/Items/Weapons/Axe/DA_WPN_Axe_GrimyWedgeAxe</v>
      </c>
      <c r="AC52" s="97" t="str">
        <f t="shared" si="4"/>
        <v>Texture2D'/Game/DungeonSiege/art/bitmaps/gui/in_game/inventory/weapons/Axe/b_gui_ig_i_w_axe_148.b_gui_ig_i_w_axe_148'</v>
      </c>
      <c r="AD52" s="97" t="str">
        <f t="shared" si="7"/>
        <v>Texture2D'/Game/DungeonSiege/art/bitmaps/gui/in_game/inventory/icons/b_gui_ig_i_ic_axe_005.b_gui_ig_i_ic_axe_005'</v>
      </c>
      <c r="AE52" s="97" t="str">
        <f t="shared" si="5"/>
        <v>StaticMesh'/Game/DungeonSiege/art/meshes/weapons/Axe/m_w_axe_054_AspMesh.m_w_axe_054_AspMesh'</v>
      </c>
    </row>
    <row r="53" spans="1:31" ht="15.75" thickBot="1" x14ac:dyDescent="0.3">
      <c r="A53" s="95">
        <v>51</v>
      </c>
      <c r="B53" s="95">
        <f>A53+Items!B$18</f>
        <v>84934707</v>
      </c>
      <c r="C53" s="96" t="s">
        <v>3448</v>
      </c>
      <c r="D53" s="96" t="s">
        <v>3556</v>
      </c>
      <c r="E53" s="95" t="str">
        <f t="shared" si="6"/>
        <v>2H</v>
      </c>
      <c r="F53" s="95" t="s">
        <v>6790</v>
      </c>
      <c r="G53" s="95"/>
      <c r="H53" s="95"/>
      <c r="I53" s="95"/>
      <c r="J53" s="95"/>
      <c r="K53" s="95"/>
      <c r="L53" s="96" t="s">
        <v>6622</v>
      </c>
      <c r="M53" s="96" t="s">
        <v>6725</v>
      </c>
      <c r="N53" s="96" t="s">
        <v>6675</v>
      </c>
      <c r="O53" s="95" t="str">
        <f t="shared" si="8"/>
        <v>FALSE</v>
      </c>
      <c r="P53" s="95"/>
      <c r="Q53" s="96">
        <v>1</v>
      </c>
      <c r="R53" s="96">
        <v>3</v>
      </c>
      <c r="S53" s="96">
        <v>73</v>
      </c>
      <c r="T53" s="96">
        <v>93</v>
      </c>
      <c r="U53" s="96" t="s">
        <v>3535</v>
      </c>
      <c r="V53" s="96">
        <v>0.5</v>
      </c>
      <c r="W53" s="96">
        <v>2</v>
      </c>
      <c r="X53" s="96">
        <v>10</v>
      </c>
      <c r="Y53" s="96" t="s">
        <v>2384</v>
      </c>
      <c r="Z53" s="96">
        <v>23</v>
      </c>
      <c r="AA53" s="96" t="str">
        <f t="shared" si="2"/>
        <v>DA_WPN_Axe_GutMasher_base</v>
      </c>
      <c r="AB53" s="90" t="str">
        <f t="shared" si="3"/>
        <v>/Game/DungeonSiege/Items/Weapons/Axe/DA_WPN_Axe_GutMasher_base</v>
      </c>
      <c r="AC53" s="97" t="str">
        <f t="shared" si="4"/>
        <v>Texture2D'/Game/DungeonSiege/art/bitmaps/gui/in_game/inventory/weapons/Axe/b_gui_ig_i_w_axe_198.b_gui_ig_i_w_axe_198'</v>
      </c>
      <c r="AD53" s="97" t="str">
        <f t="shared" si="7"/>
        <v>Texture2D'/Game/DungeonSiege/art/bitmaps/gui/in_game/inventory/icons/b_gui_ig_i_ic_axe_003.b_gui_ig_i_ic_axe_003'</v>
      </c>
      <c r="AE53" s="97" t="str">
        <f t="shared" si="5"/>
        <v>StaticMesh'/Game/DungeonSiege/art/meshes/weapons/Axe/m_w_axe_074_AspMesh.m_w_axe_074_AspMesh'</v>
      </c>
    </row>
    <row r="54" spans="1:31" ht="15.75" thickBot="1" x14ac:dyDescent="0.3">
      <c r="A54" s="95">
        <v>52</v>
      </c>
      <c r="B54" s="95">
        <f>A54+Items!B$18</f>
        <v>84934708</v>
      </c>
      <c r="C54" s="96" t="s">
        <v>3449</v>
      </c>
      <c r="D54" s="96" t="s">
        <v>3556</v>
      </c>
      <c r="E54" s="95" t="str">
        <f t="shared" si="6"/>
        <v>2H</v>
      </c>
      <c r="F54" s="95" t="s">
        <v>6791</v>
      </c>
      <c r="G54" s="95"/>
      <c r="H54" s="95"/>
      <c r="I54" s="95"/>
      <c r="J54" s="95"/>
      <c r="K54" s="95"/>
      <c r="L54" s="96" t="s">
        <v>6623</v>
      </c>
      <c r="M54" s="96" t="s">
        <v>6724</v>
      </c>
      <c r="N54" s="96" t="s">
        <v>6675</v>
      </c>
      <c r="O54" s="95" t="str">
        <f t="shared" si="8"/>
        <v>FALSE</v>
      </c>
      <c r="P54" s="95"/>
      <c r="Q54" s="96">
        <v>1</v>
      </c>
      <c r="R54" s="96">
        <v>3</v>
      </c>
      <c r="S54" s="96">
        <v>187</v>
      </c>
      <c r="T54" s="96">
        <v>239</v>
      </c>
      <c r="U54" s="96" t="s">
        <v>3535</v>
      </c>
      <c r="V54" s="96">
        <v>0.5</v>
      </c>
      <c r="W54" s="96">
        <v>34</v>
      </c>
      <c r="X54" s="96">
        <v>47</v>
      </c>
      <c r="Y54" s="96" t="s">
        <v>2384</v>
      </c>
      <c r="Z54" s="96">
        <v>47</v>
      </c>
      <c r="AA54" s="96" t="str">
        <f t="shared" si="2"/>
        <v>DA_WPN_Axe_GutMasher_c_mag</v>
      </c>
      <c r="AB54" s="90" t="str">
        <f t="shared" si="3"/>
        <v>/Game/DungeonSiege/Items/Weapons/Axe/DA_WPN_Axe_GutMasher_c_mag</v>
      </c>
      <c r="AC54" s="97" t="str">
        <f t="shared" si="4"/>
        <v>Texture2D'/Game/DungeonSiege/art/bitmaps/gui/in_game/inventory/weapons/Axe/b_gui_ig_i_w_axe_199.b_gui_ig_i_w_axe_199'</v>
      </c>
      <c r="AD54" s="97" t="str">
        <f t="shared" si="7"/>
        <v>Texture2D'/Game/DungeonSiege/art/bitmaps/gui/in_game/inventory/icons/b_gui_ig_i_ic_axe_003.b_gui_ig_i_ic_axe_003'</v>
      </c>
      <c r="AE54" s="97" t="str">
        <f t="shared" si="5"/>
        <v>StaticMesh'/Game/DungeonSiege/art/meshes/weapons/Axe/m_w_axe_076_AspMesh.m_w_axe_076_AspMesh'</v>
      </c>
    </row>
    <row r="55" spans="1:31" ht="15.75" thickBot="1" x14ac:dyDescent="0.3">
      <c r="A55" s="95">
        <v>53</v>
      </c>
      <c r="B55" s="95">
        <f>A55+Items!B$18</f>
        <v>84934709</v>
      </c>
      <c r="C55" s="96" t="s">
        <v>6524</v>
      </c>
      <c r="D55" s="96" t="s">
        <v>3556</v>
      </c>
      <c r="E55" s="95" t="str">
        <f t="shared" si="6"/>
        <v>2H</v>
      </c>
      <c r="F55" s="95" t="s">
        <v>6794</v>
      </c>
      <c r="G55" s="95"/>
      <c r="H55" s="95"/>
      <c r="I55" s="95"/>
      <c r="J55" s="95"/>
      <c r="K55" s="95"/>
      <c r="L55" s="96" t="s">
        <v>6624</v>
      </c>
      <c r="M55" s="96" t="s">
        <v>6723</v>
      </c>
      <c r="N55" s="96" t="s">
        <v>6687</v>
      </c>
      <c r="O55" s="95" t="str">
        <f t="shared" si="8"/>
        <v>FALSE</v>
      </c>
      <c r="P55" s="95"/>
      <c r="Q55" s="96">
        <v>1</v>
      </c>
      <c r="R55" s="96">
        <v>3</v>
      </c>
      <c r="S55" s="96">
        <v>111</v>
      </c>
      <c r="T55" s="96">
        <v>141</v>
      </c>
      <c r="U55" s="96" t="s">
        <v>3535</v>
      </c>
      <c r="V55" s="96">
        <v>0.5</v>
      </c>
      <c r="W55" s="96">
        <v>11</v>
      </c>
      <c r="X55" s="96">
        <v>25</v>
      </c>
      <c r="Y55" s="96" t="s">
        <v>2384</v>
      </c>
      <c r="Z55" s="96">
        <v>31</v>
      </c>
      <c r="AA55" s="96" t="str">
        <f t="shared" si="2"/>
        <v>DA_WPN_Axe_GutMasher_o_fin</v>
      </c>
      <c r="AB55" s="90" t="str">
        <f t="shared" si="3"/>
        <v>/Game/DungeonSiege/Items/Weapons/Axe/DA_WPN_Axe_GutMasher_o_fin</v>
      </c>
      <c r="AC55" s="97" t="str">
        <f t="shared" si="4"/>
        <v>Texture2D'/Game/DungeonSiege/art/bitmaps/gui/in_game/inventory/weapons/Axe/b_gui_ig_i_w_axe_200.b_gui_ig_i_w_axe_200'</v>
      </c>
      <c r="AD55" s="97" t="str">
        <f t="shared" si="7"/>
        <v>Texture2D'/Game/DungeonSiege/art/bitmaps/gui/in_game/inventory/icons/b_gui_ig_i_ic_axe_007.b_gui_ig_i_ic_axe_007'</v>
      </c>
      <c r="AE55" s="97" t="str">
        <f t="shared" si="5"/>
        <v>StaticMesh'/Game/DungeonSiege/art/meshes/weapons/Axe/m_w_axe_080_AspMesh.m_w_axe_080_AspMesh'</v>
      </c>
    </row>
    <row r="56" spans="1:31" ht="15.75" thickBot="1" x14ac:dyDescent="0.3">
      <c r="A56" s="95">
        <v>54</v>
      </c>
      <c r="B56" s="95">
        <f>A56+Items!B$18</f>
        <v>84934710</v>
      </c>
      <c r="C56" s="96" t="s">
        <v>6525</v>
      </c>
      <c r="D56" s="96" t="s">
        <v>3556</v>
      </c>
      <c r="E56" s="95" t="str">
        <f t="shared" si="6"/>
        <v>2H</v>
      </c>
      <c r="F56" s="95" t="s">
        <v>6796</v>
      </c>
      <c r="G56" s="95"/>
      <c r="H56" s="95"/>
      <c r="I56" s="95"/>
      <c r="J56" s="95"/>
      <c r="K56" s="95"/>
      <c r="L56" s="96" t="s">
        <v>6625</v>
      </c>
      <c r="M56" s="96" t="s">
        <v>6722</v>
      </c>
      <c r="N56" s="96" t="s">
        <v>6687</v>
      </c>
      <c r="O56" s="95" t="str">
        <f t="shared" si="8"/>
        <v>FALSE</v>
      </c>
      <c r="P56" s="95"/>
      <c r="Q56" s="96">
        <v>1</v>
      </c>
      <c r="R56" s="96">
        <v>3</v>
      </c>
      <c r="S56" s="96">
        <v>158</v>
      </c>
      <c r="T56" s="96">
        <v>200</v>
      </c>
      <c r="U56" s="96" t="s">
        <v>3535</v>
      </c>
      <c r="V56" s="96">
        <v>0.5</v>
      </c>
      <c r="W56" s="96">
        <v>27</v>
      </c>
      <c r="X56" s="96">
        <v>40</v>
      </c>
      <c r="Y56" s="96" t="s">
        <v>2384</v>
      </c>
      <c r="Z56" s="96">
        <v>41</v>
      </c>
      <c r="AA56" s="96" t="str">
        <f t="shared" si="2"/>
        <v>DA_WPN_Axe_GutMasher_o_str</v>
      </c>
      <c r="AB56" s="90" t="str">
        <f t="shared" si="3"/>
        <v>/Game/DungeonSiege/Items/Weapons/Axe/DA_WPN_Axe_GutMasher_o_str</v>
      </c>
      <c r="AC56" s="97" t="str">
        <f t="shared" si="4"/>
        <v>Texture2D'/Game/DungeonSiege/art/bitmaps/gui/in_game/inventory/weapons/Axe/b_gui_ig_i_w_axe_201.b_gui_ig_i_w_axe_201'</v>
      </c>
      <c r="AD56" s="97" t="str">
        <f t="shared" si="7"/>
        <v>Texture2D'/Game/DungeonSiege/art/bitmaps/gui/in_game/inventory/icons/b_gui_ig_i_ic_axe_007.b_gui_ig_i_ic_axe_007'</v>
      </c>
      <c r="AE56" s="97" t="str">
        <f t="shared" si="5"/>
        <v>StaticMesh'/Game/DungeonSiege/art/meshes/weapons/Axe/m_w_axe_081_AspMesh.m_w_axe_081_AspMesh'</v>
      </c>
    </row>
    <row r="57" spans="1:31" ht="15.75" thickBot="1" x14ac:dyDescent="0.3">
      <c r="A57" s="95">
        <v>55</v>
      </c>
      <c r="B57" s="95">
        <f>A57+Items!B$18</f>
        <v>84934711</v>
      </c>
      <c r="C57" s="96" t="s">
        <v>6526</v>
      </c>
      <c r="D57" s="96" t="s">
        <v>6527</v>
      </c>
      <c r="E57" s="95" t="str">
        <f t="shared" si="6"/>
        <v>1H</v>
      </c>
      <c r="F57" s="95" t="s">
        <v>6762</v>
      </c>
      <c r="G57" s="95"/>
      <c r="H57" s="95"/>
      <c r="I57" s="95"/>
      <c r="J57" s="95"/>
      <c r="K57" s="95"/>
      <c r="L57" s="96" t="s">
        <v>6626</v>
      </c>
      <c r="M57" s="96" t="s">
        <v>6727</v>
      </c>
      <c r="N57" s="96" t="s">
        <v>6680</v>
      </c>
      <c r="O57" s="95" t="str">
        <f t="shared" si="8"/>
        <v>FALSE</v>
      </c>
      <c r="P57" s="95"/>
      <c r="Q57" s="96">
        <v>1</v>
      </c>
      <c r="R57" s="96">
        <v>2</v>
      </c>
      <c r="S57" s="96">
        <v>14</v>
      </c>
      <c r="T57" s="96">
        <v>17</v>
      </c>
      <c r="U57" s="96" t="s">
        <v>3536</v>
      </c>
      <c r="V57" s="96">
        <v>0.5</v>
      </c>
      <c r="W57" s="96">
        <v>0</v>
      </c>
      <c r="X57" s="96">
        <v>1</v>
      </c>
      <c r="Y57" s="96" t="s">
        <v>2384</v>
      </c>
      <c r="Z57" s="96">
        <v>12</v>
      </c>
      <c r="AA57" s="96" t="str">
        <f t="shared" si="2"/>
        <v>DA_WPN_Axe_Hack_base</v>
      </c>
      <c r="AB57" s="90" t="str">
        <f t="shared" si="3"/>
        <v>/Game/DungeonSiege/Items/Weapons/Axe/DA_WPN_Axe_Hack_base</v>
      </c>
      <c r="AC57" s="97" t="str">
        <f t="shared" si="4"/>
        <v>Texture2D'/Game/DungeonSiege/art/bitmaps/gui/in_game/inventory/weapons/Axe/b_gui_ig_i_w_axe_092.b_gui_ig_i_w_axe_092'</v>
      </c>
      <c r="AD57" s="97" t="str">
        <f t="shared" si="7"/>
        <v>Texture2D'/Game/DungeonSiege/art/bitmaps/gui/in_game/inventory/icons/b_gui_ig_i_ic_axe_001.b_gui_ig_i_ic_axe_001'</v>
      </c>
      <c r="AE57" s="97" t="str">
        <f t="shared" si="5"/>
        <v>StaticMesh'/Game/DungeonSiege/art/meshes/weapons/Axe/m_w_axe_029_AspMesh.m_w_axe_029_AspMesh'</v>
      </c>
    </row>
    <row r="58" spans="1:31" ht="15.75" thickBot="1" x14ac:dyDescent="0.3">
      <c r="A58" s="95">
        <v>56</v>
      </c>
      <c r="B58" s="95">
        <f>A58+Items!B$18</f>
        <v>84934712</v>
      </c>
      <c r="C58" s="96" t="s">
        <v>6528</v>
      </c>
      <c r="D58" s="96" t="s">
        <v>6528</v>
      </c>
      <c r="E58" s="95" t="str">
        <f t="shared" si="6"/>
        <v>1H</v>
      </c>
      <c r="F58" s="95" t="s">
        <v>6807</v>
      </c>
      <c r="G58" s="95"/>
      <c r="H58" s="95"/>
      <c r="I58" s="95"/>
      <c r="J58" s="95"/>
      <c r="K58" s="95"/>
      <c r="L58" s="96" t="s">
        <v>6627</v>
      </c>
      <c r="M58" s="96" t="s">
        <v>6726</v>
      </c>
      <c r="N58" s="96" t="s">
        <v>6728</v>
      </c>
      <c r="O58" s="95" t="str">
        <f t="shared" si="8"/>
        <v>FALSE</v>
      </c>
      <c r="P58" s="95"/>
      <c r="Q58" s="96">
        <v>1</v>
      </c>
      <c r="R58" s="96">
        <v>2</v>
      </c>
      <c r="S58" s="96">
        <v>1</v>
      </c>
      <c r="T58" s="96">
        <v>2</v>
      </c>
      <c r="U58" s="96" t="s">
        <v>3536</v>
      </c>
      <c r="V58" s="96">
        <v>0.5</v>
      </c>
      <c r="W58" s="96">
        <v>0</v>
      </c>
      <c r="X58" s="96">
        <v>0</v>
      </c>
      <c r="Y58" s="96"/>
      <c r="Z58" s="96"/>
      <c r="AA58" s="96" t="str">
        <f t="shared" si="2"/>
        <v>DA_WPN_Axe_Hatchet</v>
      </c>
      <c r="AB58" s="90" t="str">
        <f t="shared" si="3"/>
        <v>/Game/DungeonSiege/Items/Weapons/Axe/DA_WPN_Axe_Hatchet</v>
      </c>
      <c r="AC58" s="97" t="str">
        <f t="shared" si="4"/>
        <v>Texture2D'/Game/DungeonSiege/art/bitmaps/gui/in_game/inventory/weapons/Axe/b_gui_ig_i_w_axe_035.b_gui_ig_i_w_axe_035'</v>
      </c>
      <c r="AD58" s="97" t="str">
        <f t="shared" si="7"/>
        <v>Texture2D'/Game/DungeonSiege/art/bitmaps/gui/in_game/inventory/icons/b_gui_ig_i_ic_ax_1h1b.b_gui_ig_i_ic_ax_1h1b'</v>
      </c>
      <c r="AE58" s="97" t="str">
        <f t="shared" si="5"/>
        <v>StaticMesh'/Game/DungeonSiege/art/meshes/weapons/Axe/m_w_axe_023_AspMesh.m_w_axe_023_AspMesh'</v>
      </c>
    </row>
    <row r="59" spans="1:31" ht="15.75" thickBot="1" x14ac:dyDescent="0.3">
      <c r="A59" s="95">
        <v>57</v>
      </c>
      <c r="B59" s="95">
        <f>A59+Items!B$18</f>
        <v>84934713</v>
      </c>
      <c r="C59" s="96" t="s">
        <v>6529</v>
      </c>
      <c r="D59" s="96" t="s">
        <v>6530</v>
      </c>
      <c r="E59" s="95" t="str">
        <f t="shared" si="6"/>
        <v>2H</v>
      </c>
      <c r="F59" s="95" t="s">
        <v>6766</v>
      </c>
      <c r="G59" s="95"/>
      <c r="H59" s="95"/>
      <c r="I59" s="95"/>
      <c r="J59" s="95"/>
      <c r="K59" s="95"/>
      <c r="L59" s="96" t="s">
        <v>6628</v>
      </c>
      <c r="M59" s="96" t="s">
        <v>6729</v>
      </c>
      <c r="N59" s="96" t="s">
        <v>6687</v>
      </c>
      <c r="O59" s="95" t="str">
        <f t="shared" si="8"/>
        <v>FALSE</v>
      </c>
      <c r="P59" s="95"/>
      <c r="Q59" s="96">
        <v>1</v>
      </c>
      <c r="R59" s="96">
        <v>3</v>
      </c>
      <c r="S59" s="96">
        <v>13</v>
      </c>
      <c r="T59" s="96">
        <v>17</v>
      </c>
      <c r="U59" s="96" t="s">
        <v>3535</v>
      </c>
      <c r="V59" s="96">
        <v>0.5</v>
      </c>
      <c r="W59" s="96">
        <v>0</v>
      </c>
      <c r="X59" s="96">
        <v>2</v>
      </c>
      <c r="Y59" s="96"/>
      <c r="Z59" s="96"/>
      <c r="AA59" s="96" t="str">
        <f t="shared" si="2"/>
        <v>DA_WPN_Axe_HeftAxe_base</v>
      </c>
      <c r="AB59" s="90" t="str">
        <f t="shared" si="3"/>
        <v>/Game/DungeonSiege/Items/Weapons/Axe/DA_WPN_Axe_HeftAxe_base</v>
      </c>
      <c r="AC59" s="97" t="str">
        <f t="shared" si="4"/>
        <v>Texture2D'/Game/DungeonSiege/art/bitmaps/gui/in_game/inventory/weapons/Axe/b_gui_ig_i_w_axe_096.b_gui_ig_i_w_axe_096'</v>
      </c>
      <c r="AD59" s="97" t="str">
        <f t="shared" si="7"/>
        <v>Texture2D'/Game/DungeonSiege/art/bitmaps/gui/in_game/inventory/icons/b_gui_ig_i_ic_axe_007.b_gui_ig_i_ic_axe_007'</v>
      </c>
      <c r="AE59" s="97" t="str">
        <f t="shared" si="5"/>
        <v>StaticMesh'/Game/DungeonSiege/art/meshes/weapons/Axe/m_w_axe_030_AspMesh.m_w_axe_030_AspMesh'</v>
      </c>
    </row>
    <row r="60" spans="1:31" ht="15.75" thickBot="1" x14ac:dyDescent="0.3">
      <c r="A60" s="95">
        <v>58</v>
      </c>
      <c r="B60" s="95">
        <f>A60+Items!B$18</f>
        <v>84934714</v>
      </c>
      <c r="C60" s="96" t="s">
        <v>6531</v>
      </c>
      <c r="D60" s="96" t="s">
        <v>6532</v>
      </c>
      <c r="E60" s="95" t="str">
        <f t="shared" si="6"/>
        <v>2H</v>
      </c>
      <c r="F60" s="95" t="s">
        <v>6779</v>
      </c>
      <c r="G60" s="95"/>
      <c r="H60" s="95"/>
      <c r="I60" s="95"/>
      <c r="J60" s="95"/>
      <c r="K60" s="95"/>
      <c r="L60" s="96" t="s">
        <v>6629</v>
      </c>
      <c r="M60" s="96" t="s">
        <v>6672</v>
      </c>
      <c r="N60" s="96" t="s">
        <v>6661</v>
      </c>
      <c r="O60" s="95" t="str">
        <f t="shared" si="8"/>
        <v>FALSE</v>
      </c>
      <c r="P60" s="95"/>
      <c r="Q60" s="96">
        <v>2</v>
      </c>
      <c r="R60" s="96">
        <v>3</v>
      </c>
      <c r="S60" s="96">
        <v>217</v>
      </c>
      <c r="T60" s="96">
        <v>293</v>
      </c>
      <c r="U60" s="96" t="s">
        <v>3535</v>
      </c>
      <c r="V60" s="96">
        <v>0.5</v>
      </c>
      <c r="W60" s="96">
        <v>14</v>
      </c>
      <c r="X60" s="96">
        <v>47</v>
      </c>
      <c r="Y60" s="96" t="s">
        <v>2384</v>
      </c>
      <c r="Z60" s="96">
        <v>54</v>
      </c>
      <c r="AA60" s="96" t="str">
        <f t="shared" si="2"/>
        <v>DA_WPN_Axe_LugAxe_base</v>
      </c>
      <c r="AB60" s="90" t="str">
        <f t="shared" si="3"/>
        <v>/Game/DungeonSiege/Items/Weapons/Axe/DA_WPN_Axe_LugAxe_base</v>
      </c>
      <c r="AC60" s="97" t="str">
        <f t="shared" si="4"/>
        <v>Texture2D'/Game/DungeonSiege/art/bitmaps/gui/in_game/inventory/weapons/Axe/b_gui_ig_i_w_axe_139.b_gui_ig_i_w_axe_139'</v>
      </c>
      <c r="AD60" s="97" t="str">
        <f t="shared" si="7"/>
        <v>Texture2D'/Game/DungeonSiege/art/bitmaps/gui/in_game/inventory/icons/b_gui_ig_i_ic_axe_004.b_gui_ig_i_ic_axe_004'</v>
      </c>
      <c r="AE60" s="97" t="str">
        <f t="shared" si="5"/>
        <v>StaticMesh'/Game/DungeonSiege/art/meshes/weapons/Axe/m_w_axe_045_AspMesh.m_w_axe_045_AspMesh'</v>
      </c>
    </row>
    <row r="61" spans="1:31" ht="15.75" thickBot="1" x14ac:dyDescent="0.3">
      <c r="A61" s="95">
        <v>59</v>
      </c>
      <c r="B61" s="95">
        <f>A61+Items!B$18</f>
        <v>84934715</v>
      </c>
      <c r="C61" s="96" t="s">
        <v>6533</v>
      </c>
      <c r="D61" s="96" t="s">
        <v>6533</v>
      </c>
      <c r="E61" s="95" t="str">
        <f t="shared" si="6"/>
        <v>2H</v>
      </c>
      <c r="F61" s="95" t="s">
        <v>6808</v>
      </c>
      <c r="G61" s="95"/>
      <c r="H61" s="95"/>
      <c r="I61" s="95"/>
      <c r="J61" s="95"/>
      <c r="K61" s="95"/>
      <c r="L61" s="96" t="s">
        <v>6630</v>
      </c>
      <c r="M61" s="96" t="s">
        <v>6730</v>
      </c>
      <c r="N61" s="96" t="s">
        <v>6687</v>
      </c>
      <c r="O61" s="95" t="str">
        <f t="shared" si="8"/>
        <v>FALSE</v>
      </c>
      <c r="P61" s="95"/>
      <c r="Q61" s="96">
        <v>1</v>
      </c>
      <c r="R61" s="96">
        <v>3</v>
      </c>
      <c r="S61" s="96">
        <v>64</v>
      </c>
      <c r="T61" s="96">
        <v>82</v>
      </c>
      <c r="U61" s="96" t="s">
        <v>3535</v>
      </c>
      <c r="V61" s="96">
        <v>0.5</v>
      </c>
      <c r="W61" s="96">
        <v>0</v>
      </c>
      <c r="X61" s="96">
        <v>0</v>
      </c>
      <c r="Y61" s="96" t="s">
        <v>2384</v>
      </c>
      <c r="Z61" s="96">
        <v>22</v>
      </c>
      <c r="AA61" s="96" t="str">
        <f t="shared" si="2"/>
        <v>DA_WPN_Axe_MarredFieldAxe</v>
      </c>
      <c r="AB61" s="90" t="str">
        <f t="shared" si="3"/>
        <v>/Game/DungeonSiege/Items/Weapons/Axe/DA_WPN_Axe_MarredFieldAxe</v>
      </c>
      <c r="AC61" s="97" t="str">
        <f t="shared" si="4"/>
        <v>Texture2D'/Game/DungeonSiege/art/bitmaps/gui/in_game/inventory/weapons/Axe/b_gui_ig_i_w_axe_172.b_gui_ig_i_w_axe_172'</v>
      </c>
      <c r="AD61" s="97" t="str">
        <f t="shared" si="7"/>
        <v>Texture2D'/Game/DungeonSiege/art/bitmaps/gui/in_game/inventory/icons/b_gui_ig_i_ic_axe_007.b_gui_ig_i_ic_axe_007'</v>
      </c>
      <c r="AE61" s="97" t="str">
        <f t="shared" si="5"/>
        <v>StaticMesh'/Game/DungeonSiege/art/meshes/weapons/Axe/m_w_axe_078_AspMesh.m_w_axe_078_AspMesh'</v>
      </c>
    </row>
    <row r="62" spans="1:31" ht="15.75" thickBot="1" x14ac:dyDescent="0.3">
      <c r="A62" s="95">
        <v>60</v>
      </c>
      <c r="B62" s="95">
        <f>A62+Items!B$18</f>
        <v>84934716</v>
      </c>
      <c r="C62" s="96" t="s">
        <v>6534</v>
      </c>
      <c r="D62" s="96" t="s">
        <v>6534</v>
      </c>
      <c r="E62" s="95" t="str">
        <f t="shared" si="6"/>
        <v>1H</v>
      </c>
      <c r="F62" s="95" t="s">
        <v>6809</v>
      </c>
      <c r="G62" s="95"/>
      <c r="H62" s="95"/>
      <c r="I62" s="95"/>
      <c r="J62" s="95"/>
      <c r="K62" s="95"/>
      <c r="L62" s="96" t="s">
        <v>6631</v>
      </c>
      <c r="M62" s="96" t="s">
        <v>6731</v>
      </c>
      <c r="N62" s="96" t="s">
        <v>6689</v>
      </c>
      <c r="O62" s="95" t="str">
        <f t="shared" si="8"/>
        <v>FALSE</v>
      </c>
      <c r="P62" s="95"/>
      <c r="Q62" s="96">
        <v>1</v>
      </c>
      <c r="R62" s="96">
        <v>2</v>
      </c>
      <c r="S62" s="96">
        <v>30</v>
      </c>
      <c r="T62" s="96">
        <v>37</v>
      </c>
      <c r="U62" s="96" t="s">
        <v>3536</v>
      </c>
      <c r="V62" s="96">
        <v>0.5</v>
      </c>
      <c r="W62" s="96">
        <v>0</v>
      </c>
      <c r="X62" s="96">
        <v>0</v>
      </c>
      <c r="Y62" s="96" t="s">
        <v>2384</v>
      </c>
      <c r="Z62" s="96">
        <v>17</v>
      </c>
      <c r="AA62" s="96" t="str">
        <f t="shared" si="2"/>
        <v>DA_WPN_Axe_NickedFullAxe</v>
      </c>
      <c r="AB62" s="90" t="str">
        <f t="shared" si="3"/>
        <v>/Game/DungeonSiege/Items/Weapons/Axe/DA_WPN_Axe_NickedFullAxe</v>
      </c>
      <c r="AC62" s="97" t="str">
        <f t="shared" si="4"/>
        <v>Texture2D'/Game/DungeonSiege/art/bitmaps/gui/in_game/inventory/weapons/Axe/b_gui_ig_i_w_axe_159.b_gui_ig_i_w_axe_159'</v>
      </c>
      <c r="AD62" s="97" t="str">
        <f t="shared" si="7"/>
        <v>Texture2D'/Game/DungeonSiege/art/bitmaps/gui/in_game/inventory/icons/b_gui_ig_i_ic_axe_006.b_gui_ig_i_ic_axe_006'</v>
      </c>
      <c r="AE62" s="97" t="str">
        <f t="shared" si="5"/>
        <v>StaticMesh'/Game/DungeonSiege/art/meshes/weapons/Axe/m_w_axe_065_AspMesh.m_w_axe_065_AspMesh'</v>
      </c>
    </row>
    <row r="63" spans="1:31" ht="15.75" thickBot="1" x14ac:dyDescent="0.3">
      <c r="A63" s="95">
        <v>61</v>
      </c>
      <c r="B63" s="95">
        <f>A63+Items!B$18</f>
        <v>84934717</v>
      </c>
      <c r="C63" s="96" t="s">
        <v>6535</v>
      </c>
      <c r="D63" s="96" t="s">
        <v>6535</v>
      </c>
      <c r="E63" s="95" t="str">
        <f t="shared" si="6"/>
        <v>1H</v>
      </c>
      <c r="F63" s="95" t="s">
        <v>6810</v>
      </c>
      <c r="G63" s="95"/>
      <c r="H63" s="95"/>
      <c r="I63" s="95"/>
      <c r="J63" s="95"/>
      <c r="K63" s="95"/>
      <c r="L63" s="96" t="s">
        <v>6632</v>
      </c>
      <c r="M63" s="96" t="s">
        <v>6732</v>
      </c>
      <c r="N63" s="96" t="s">
        <v>6721</v>
      </c>
      <c r="O63" s="95" t="str">
        <f t="shared" si="8"/>
        <v>FALSE</v>
      </c>
      <c r="P63" s="95"/>
      <c r="Q63" s="96">
        <v>1</v>
      </c>
      <c r="R63" s="96">
        <v>2</v>
      </c>
      <c r="S63" s="96">
        <v>16</v>
      </c>
      <c r="T63" s="96">
        <v>20</v>
      </c>
      <c r="U63" s="96" t="s">
        <v>3536</v>
      </c>
      <c r="V63" s="96">
        <v>0.5</v>
      </c>
      <c r="W63" s="96">
        <v>0</v>
      </c>
      <c r="X63" s="96">
        <v>0</v>
      </c>
      <c r="Y63" s="96" t="s">
        <v>2384</v>
      </c>
      <c r="Z63" s="96">
        <v>13</v>
      </c>
      <c r="AA63" s="96" t="str">
        <f t="shared" si="2"/>
        <v>DA_WPN_Axe_Ordus'Axe</v>
      </c>
      <c r="AB63" s="90" t="str">
        <f t="shared" si="3"/>
        <v>/Game/DungeonSiege/Items/Weapons/Axe/DA_WPN_Axe_Ordus'Axe</v>
      </c>
      <c r="AC63" s="97" t="str">
        <f t="shared" si="4"/>
        <v>Texture2D'/Game/DungeonSiege/art/bitmaps/gui/in_game/inventory/weapons/Axe/b_gui_ig_i_w_axe_147.b_gui_ig_i_w_axe_147'</v>
      </c>
      <c r="AD63" s="97" t="str">
        <f t="shared" si="7"/>
        <v>Texture2D'/Game/DungeonSiege/art/bitmaps/gui/in_game/inventory/icons/b_gui_ig_i_ic_axe_005.b_gui_ig_i_ic_axe_005'</v>
      </c>
      <c r="AE63" s="97" t="str">
        <f t="shared" si="5"/>
        <v>StaticMesh'/Game/DungeonSiege/art/meshes/weapons/Axe/m_w_axe_053_AspMesh.m_w_axe_053_AspMesh'</v>
      </c>
    </row>
    <row r="64" spans="1:31" ht="15.75" thickBot="1" x14ac:dyDescent="0.3">
      <c r="A64" s="95">
        <v>62</v>
      </c>
      <c r="B64" s="95">
        <f>A64+Items!B$18</f>
        <v>84934718</v>
      </c>
      <c r="C64" s="96" t="s">
        <v>6536</v>
      </c>
      <c r="D64" s="96" t="s">
        <v>6537</v>
      </c>
      <c r="E64" s="95" t="str">
        <f t="shared" si="6"/>
        <v>1H</v>
      </c>
      <c r="F64" s="95" t="s">
        <v>6806</v>
      </c>
      <c r="G64" s="95"/>
      <c r="H64" s="95"/>
      <c r="I64" s="95"/>
      <c r="J64" s="95"/>
      <c r="K64" s="95"/>
      <c r="L64" s="96" t="s">
        <v>6633</v>
      </c>
      <c r="M64" s="96" t="s">
        <v>6733</v>
      </c>
      <c r="N64" s="96" t="s">
        <v>6680</v>
      </c>
      <c r="O64" s="95" t="str">
        <f t="shared" si="8"/>
        <v>FALSE</v>
      </c>
      <c r="P64" s="95"/>
      <c r="Q64" s="96">
        <v>1</v>
      </c>
      <c r="R64" s="96">
        <v>2</v>
      </c>
      <c r="S64" s="96">
        <v>27</v>
      </c>
      <c r="T64" s="96">
        <v>33</v>
      </c>
      <c r="U64" s="96" t="s">
        <v>3536</v>
      </c>
      <c r="V64" s="96">
        <v>0.5</v>
      </c>
      <c r="W64" s="96">
        <v>1</v>
      </c>
      <c r="X64" s="96">
        <v>7</v>
      </c>
      <c r="Y64" s="96" t="s">
        <v>2384</v>
      </c>
      <c r="Z64" s="96">
        <v>15</v>
      </c>
      <c r="AA64" s="96" t="str">
        <f t="shared" si="2"/>
        <v>DA_WPN_Axe_PainBringer_base</v>
      </c>
      <c r="AB64" s="90" t="str">
        <f t="shared" si="3"/>
        <v>/Game/DungeonSiege/Items/Weapons/Axe/DA_WPN_Axe_PainBringer_base</v>
      </c>
      <c r="AC64" s="97" t="str">
        <f t="shared" si="4"/>
        <v>Texture2D'/Game/DungeonSiege/art/bitmaps/gui/in_game/inventory/weapons/Axe/b_gui_ig_i_w_axe_189.b_gui_ig_i_w_axe_189'</v>
      </c>
      <c r="AD64" s="97" t="str">
        <f t="shared" si="7"/>
        <v>Texture2D'/Game/DungeonSiege/art/bitmaps/gui/in_game/inventory/icons/b_gui_ig_i_ic_axe_001.b_gui_ig_i_ic_axe_001'</v>
      </c>
      <c r="AE64" s="97" t="str">
        <f t="shared" si="5"/>
        <v>StaticMesh'/Game/DungeonSiege/art/meshes/weapons/Axe/m_w_axe_054_AspMesh.m_w_axe_054_AspMesh'</v>
      </c>
    </row>
    <row r="65" spans="1:31" ht="15.75" thickBot="1" x14ac:dyDescent="0.3">
      <c r="A65" s="95">
        <v>63</v>
      </c>
      <c r="B65" s="95">
        <f>A65+Items!B$18</f>
        <v>84934719</v>
      </c>
      <c r="C65" s="96" t="s">
        <v>6538</v>
      </c>
      <c r="D65" s="96" t="s">
        <v>6537</v>
      </c>
      <c r="E65" s="95" t="str">
        <f t="shared" si="6"/>
        <v>1H</v>
      </c>
      <c r="F65" s="95" t="s">
        <v>6811</v>
      </c>
      <c r="G65" s="95"/>
      <c r="H65" s="95"/>
      <c r="I65" s="95"/>
      <c r="J65" s="95"/>
      <c r="K65" s="95"/>
      <c r="L65" s="96" t="s">
        <v>6634</v>
      </c>
      <c r="M65" s="96" t="s">
        <v>6734</v>
      </c>
      <c r="N65" s="96" t="s">
        <v>6721</v>
      </c>
      <c r="O65" s="95" t="str">
        <f t="shared" si="8"/>
        <v>FALSE</v>
      </c>
      <c r="P65" s="95"/>
      <c r="Q65" s="96">
        <v>1</v>
      </c>
      <c r="R65" s="96">
        <v>2</v>
      </c>
      <c r="S65" s="96">
        <v>42</v>
      </c>
      <c r="T65" s="96">
        <v>51</v>
      </c>
      <c r="U65" s="96" t="s">
        <v>3536</v>
      </c>
      <c r="V65" s="96">
        <v>0.5</v>
      </c>
      <c r="W65" s="96">
        <v>7</v>
      </c>
      <c r="X65" s="96">
        <v>15</v>
      </c>
      <c r="Y65" s="96" t="s">
        <v>2384</v>
      </c>
      <c r="Z65" s="96">
        <v>18</v>
      </c>
      <c r="AA65" s="96" t="str">
        <f t="shared" si="2"/>
        <v>DA_WPN_Axe_PainBringer_o_fin</v>
      </c>
      <c r="AB65" s="90" t="str">
        <f t="shared" si="3"/>
        <v>/Game/DungeonSiege/Items/Weapons/Axe/DA_WPN_Axe_PainBringer_o_fin</v>
      </c>
      <c r="AC65" s="97" t="str">
        <f t="shared" si="4"/>
        <v>Texture2D'/Game/DungeonSiege/art/bitmaps/gui/in_game/inventory/weapons/Axe/b_gui_ig_i_w_axe_190.b_gui_ig_i_w_axe_190'</v>
      </c>
      <c r="AD65" s="97" t="str">
        <f t="shared" si="7"/>
        <v>Texture2D'/Game/DungeonSiege/art/bitmaps/gui/in_game/inventory/icons/b_gui_ig_i_ic_axe_005.b_gui_ig_i_ic_axe_005'</v>
      </c>
      <c r="AE65" s="97" t="str">
        <f t="shared" si="5"/>
        <v>StaticMesh'/Game/DungeonSiege/art/meshes/weapons/Axe/m_w_axe_056_AspMesh.m_w_axe_056_AspMesh'</v>
      </c>
    </row>
    <row r="66" spans="1:31" ht="15.75" thickBot="1" x14ac:dyDescent="0.3">
      <c r="A66" s="95">
        <v>64</v>
      </c>
      <c r="B66" s="95">
        <f>A66+Items!B$18</f>
        <v>84934720</v>
      </c>
      <c r="C66" s="96" t="s">
        <v>6539</v>
      </c>
      <c r="D66" s="96" t="s">
        <v>6537</v>
      </c>
      <c r="E66" s="95" t="str">
        <f t="shared" si="6"/>
        <v>1H</v>
      </c>
      <c r="F66" s="95" t="s">
        <v>6812</v>
      </c>
      <c r="G66" s="95"/>
      <c r="H66" s="95"/>
      <c r="I66" s="95"/>
      <c r="J66" s="95"/>
      <c r="K66" s="95"/>
      <c r="L66" s="96" t="s">
        <v>6635</v>
      </c>
      <c r="M66" s="96" t="s">
        <v>6735</v>
      </c>
      <c r="N66" s="96" t="s">
        <v>6721</v>
      </c>
      <c r="O66" s="95" t="str">
        <f t="shared" si="8"/>
        <v>FALSE</v>
      </c>
      <c r="P66" s="95"/>
      <c r="Q66" s="96">
        <v>1</v>
      </c>
      <c r="R66" s="96">
        <v>2</v>
      </c>
      <c r="S66" s="96">
        <v>96</v>
      </c>
      <c r="T66" s="96">
        <v>117</v>
      </c>
      <c r="U66" s="96" t="s">
        <v>3536</v>
      </c>
      <c r="V66" s="96">
        <v>0.5</v>
      </c>
      <c r="W66" s="96">
        <v>23</v>
      </c>
      <c r="X66" s="96">
        <v>30</v>
      </c>
      <c r="Y66" s="96" t="s">
        <v>2384</v>
      </c>
      <c r="Z66" s="96">
        <v>33</v>
      </c>
      <c r="AA66" s="96" t="str">
        <f t="shared" si="2"/>
        <v>DA_WPN_Axe_PainBringer_o_mag</v>
      </c>
      <c r="AB66" s="90" t="str">
        <f t="shared" si="3"/>
        <v>/Game/DungeonSiege/Items/Weapons/Axe/DA_WPN_Axe_PainBringer_o_mag</v>
      </c>
      <c r="AC66" s="97" t="str">
        <f t="shared" si="4"/>
        <v>Texture2D'/Game/DungeonSiege/art/bitmaps/gui/in_game/inventory/weapons/Axe/b_gui_ig_i_w_axe_192.b_gui_ig_i_w_axe_192'</v>
      </c>
      <c r="AD66" s="97" t="str">
        <f t="shared" si="7"/>
        <v>Texture2D'/Game/DungeonSiege/art/bitmaps/gui/in_game/inventory/icons/b_gui_ig_i_ic_axe_005.b_gui_ig_i_ic_axe_005'</v>
      </c>
      <c r="AE66" s="97" t="str">
        <f t="shared" si="5"/>
        <v>StaticMesh'/Game/DungeonSiege/art/meshes/weapons/Axe/m_w_axe_058_AspMesh.m_w_axe_058_AspMesh'</v>
      </c>
    </row>
    <row r="67" spans="1:31" ht="15.75" thickBot="1" x14ac:dyDescent="0.3">
      <c r="A67" s="95">
        <v>65</v>
      </c>
      <c r="B67" s="95">
        <f>A67+Items!B$18</f>
        <v>84934721</v>
      </c>
      <c r="C67" s="96" t="s">
        <v>6540</v>
      </c>
      <c r="D67" s="96" t="s">
        <v>6537</v>
      </c>
      <c r="E67" s="95" t="str">
        <f t="shared" si="6"/>
        <v>1H</v>
      </c>
      <c r="F67" s="95" t="s">
        <v>6771</v>
      </c>
      <c r="G67" s="95"/>
      <c r="H67" s="95"/>
      <c r="I67" s="95"/>
      <c r="J67" s="95"/>
      <c r="K67" s="95"/>
      <c r="L67" s="96" t="s">
        <v>6636</v>
      </c>
      <c r="M67" s="96" t="s">
        <v>6736</v>
      </c>
      <c r="N67" s="96" t="s">
        <v>6721</v>
      </c>
      <c r="O67" s="95" t="str">
        <f t="shared" si="8"/>
        <v>FALSE</v>
      </c>
      <c r="P67" s="95"/>
      <c r="Q67" s="96">
        <v>1</v>
      </c>
      <c r="R67" s="96">
        <v>3</v>
      </c>
      <c r="S67" s="96">
        <v>64</v>
      </c>
      <c r="T67" s="96">
        <v>78</v>
      </c>
      <c r="U67" s="96" t="s">
        <v>3536</v>
      </c>
      <c r="V67" s="96">
        <v>0.5</v>
      </c>
      <c r="W67" s="96">
        <v>16</v>
      </c>
      <c r="X67" s="96">
        <v>23</v>
      </c>
      <c r="Y67" s="96" t="s">
        <v>2384</v>
      </c>
      <c r="Z67" s="96">
        <v>24</v>
      </c>
      <c r="AA67" s="96" t="str">
        <f>CONCATENATE("DA_WPN_Axe_",SUBSTITUTE(SUBSTITUTE(SUBSTITUTE(C67," ",""),"(","_"),")",""))</f>
        <v>DA_WPN_Axe_PainBringer_o_str</v>
      </c>
      <c r="AB67" s="90" t="str">
        <f>"/Game/DungeonSiege/Items/Weapons/Axe/" &amp; AA67</f>
        <v>/Game/DungeonSiege/Items/Weapons/Axe/DA_WPN_Axe_PainBringer_o_str</v>
      </c>
      <c r="AC67" s="97" t="str">
        <f>CONCATENATE("Texture2D'/Game/DungeonSiege/art/bitmaps/gui/in_game/inventory/weapons/Axe/",M67,".",M67,"'")</f>
        <v>Texture2D'/Game/DungeonSiege/art/bitmaps/gui/in_game/inventory/weapons/Axe/b_gui_ig_i_w_axe_191.b_gui_ig_i_w_axe_191'</v>
      </c>
      <c r="AD67" s="97" t="str">
        <f t="shared" si="7"/>
        <v>Texture2D'/Game/DungeonSiege/art/bitmaps/gui/in_game/inventory/icons/b_gui_ig_i_ic_axe_005.b_gui_ig_i_ic_axe_005'</v>
      </c>
      <c r="AE67" s="97" t="str">
        <f>CONCATENATE("StaticMesh'/Game/DungeonSiege/art/meshes/weapons/Axe/",F67,"_AspMesh.",F67,"_AspMesh'")</f>
        <v>StaticMesh'/Game/DungeonSiege/art/meshes/weapons/Axe/m_w_axe_057_AspMesh.m_w_axe_057_AspMesh'</v>
      </c>
    </row>
    <row r="68" spans="1:31" ht="15.75" thickBot="1" x14ac:dyDescent="0.3">
      <c r="A68" s="95">
        <v>66</v>
      </c>
      <c r="B68" s="95">
        <f>A68+Items!B$18</f>
        <v>84934722</v>
      </c>
      <c r="C68" s="96" t="s">
        <v>6541</v>
      </c>
      <c r="D68" s="96" t="s">
        <v>6541</v>
      </c>
      <c r="E68" s="95" t="s">
        <v>3524</v>
      </c>
      <c r="F68" s="95" t="s">
        <v>6737</v>
      </c>
      <c r="G68" s="95"/>
      <c r="H68" s="95"/>
      <c r="I68" s="95"/>
      <c r="J68" s="95"/>
      <c r="K68" s="95"/>
      <c r="L68" s="96" t="s">
        <v>6541</v>
      </c>
      <c r="M68" s="96" t="s">
        <v>6738</v>
      </c>
      <c r="N68" s="96" t="s">
        <v>6668</v>
      </c>
      <c r="O68" s="95" t="str">
        <f t="shared" si="8"/>
        <v>FALSE</v>
      </c>
      <c r="P68" s="95"/>
      <c r="Q68" s="96">
        <v>2</v>
      </c>
      <c r="R68" s="96">
        <v>3</v>
      </c>
      <c r="S68" s="96">
        <v>6</v>
      </c>
      <c r="T68" s="96">
        <v>10</v>
      </c>
      <c r="U68" s="96" t="s">
        <v>6570</v>
      </c>
      <c r="V68" s="96">
        <v>1</v>
      </c>
      <c r="W68" s="96">
        <v>0</v>
      </c>
      <c r="X68" s="96">
        <v>0</v>
      </c>
      <c r="Y68" s="96"/>
      <c r="Z68" s="96"/>
      <c r="AA68" s="96" t="str">
        <f t="shared" ref="AA68:AA89" si="9">CONCATENATE("DA_WPN_Axe_",SUBSTITUTE(SUBSTITUTE(SUBSTITUTE(C68," ",""),"(","_"),")",""))</f>
        <v>DA_WPN_Axe_Pickaxe</v>
      </c>
      <c r="AB68" s="90" t="str">
        <f t="shared" si="3"/>
        <v>/Game/DungeonSiege/Items/Weapons/Axe/DA_WPN_Axe_Pickaxe</v>
      </c>
      <c r="AC68" s="97" t="str">
        <f t="shared" ref="AC68:AC89" si="10">CONCATENATE("Texture2D'/Game/DungeonSiege/art/bitmaps/gui/in_game/inventory/weapons/Axe/",M68,".",M68,"'")</f>
        <v>Texture2D'/Game/DungeonSiege/art/bitmaps/gui/in_game/inventory/weapons/Axe/b_gui_ig_i_w_axe_140.b_gui_ig_i_w_axe_140'</v>
      </c>
      <c r="AD68" s="97" t="str">
        <f t="shared" si="7"/>
        <v>Texture2D'/Game/DungeonSiege/art/bitmaps/gui/in_game/inventory/icons/b_gui_ig_i_ic_axe_008.b_gui_ig_i_ic_axe_008'</v>
      </c>
      <c r="AE68" s="97" t="str">
        <f>CONCATENATE("StaticMesh'/Game/DungeonSiege/art/meshes/weapons/Misc/",F68,"_AspMesh.",F68,"_AspMesh'")</f>
        <v>StaticMesh'/Game/DungeonSiege/art/meshes/weapons/Misc/m_w_misc_pickaxe_AspMesh.m_w_misc_pickaxe_AspMesh'</v>
      </c>
    </row>
    <row r="69" spans="1:31" ht="15.75" thickBot="1" x14ac:dyDescent="0.3">
      <c r="A69" s="95">
        <v>67</v>
      </c>
      <c r="B69" s="95">
        <f>A69+Items!B$18</f>
        <v>84934723</v>
      </c>
      <c r="C69" s="96" t="s">
        <v>6542</v>
      </c>
      <c r="D69" s="96" t="s">
        <v>6542</v>
      </c>
      <c r="E69" s="95" t="str">
        <f t="shared" ref="E69:E89" si="11">IF(ISNUMBER(SEARCH("2h",L69)), "2H",IF(ISNUMBER(SEARCH("1h",L69)), "1H","" ))</f>
        <v>2H</v>
      </c>
      <c r="F69" s="95" t="s">
        <v>6813</v>
      </c>
      <c r="G69" s="95"/>
      <c r="H69" s="95"/>
      <c r="I69" s="95"/>
      <c r="J69" s="95"/>
      <c r="K69" s="95"/>
      <c r="L69" s="96" t="s">
        <v>6637</v>
      </c>
      <c r="M69" s="96" t="s">
        <v>6739</v>
      </c>
      <c r="N69" s="96" t="s">
        <v>6661</v>
      </c>
      <c r="O69" s="95" t="str">
        <f t="shared" si="8"/>
        <v>FALSE</v>
      </c>
      <c r="P69" s="95"/>
      <c r="Q69" s="96">
        <v>2</v>
      </c>
      <c r="R69" s="96">
        <v>3</v>
      </c>
      <c r="S69" s="96">
        <v>79</v>
      </c>
      <c r="T69" s="96">
        <v>107</v>
      </c>
      <c r="U69" s="96" t="s">
        <v>3535</v>
      </c>
      <c r="V69" s="96">
        <v>0.5</v>
      </c>
      <c r="W69" s="96">
        <v>0</v>
      </c>
      <c r="X69" s="96">
        <v>0</v>
      </c>
      <c r="Y69" s="96" t="s">
        <v>2384</v>
      </c>
      <c r="Z69" s="96">
        <v>26</v>
      </c>
      <c r="AA69" s="96" t="str">
        <f t="shared" si="9"/>
        <v>DA_WPN_Axe_RustedAssaultAxe</v>
      </c>
      <c r="AB69" s="90" t="str">
        <f t="shared" ref="AB69:AB89" si="12">"/Game/DungeonSiege/Items/Weapons/Axe/" &amp; AA69</f>
        <v>/Game/DungeonSiege/Items/Weapons/Axe/DA_WPN_Axe_RustedAssaultAxe</v>
      </c>
      <c r="AC69" s="97" t="str">
        <f t="shared" si="10"/>
        <v>Texture2D'/Game/DungeonSiege/art/bitmaps/gui/in_game/inventory/weapons/Axe/b_gui_ig_i_w_axe_177.b_gui_ig_i_w_axe_177'</v>
      </c>
      <c r="AD69" s="97" t="str">
        <f t="shared" si="7"/>
        <v>Texture2D'/Game/DungeonSiege/art/bitmaps/gui/in_game/inventory/icons/b_gui_ig_i_ic_axe_004.b_gui_ig_i_ic_axe_004'</v>
      </c>
      <c r="AE69" s="97" t="str">
        <f t="shared" ref="AE69:AE89" si="13">CONCATENATE("StaticMesh'/Game/DungeonSiege/art/meshes/weapons/Axe/",F69,"_AspMesh.",F69,"_AspMesh'")</f>
        <v>StaticMesh'/Game/DungeonSiege/art/meshes/weapons/Axe/m_w_axe_083_AspMesh.m_w_axe_083_AspMesh'</v>
      </c>
    </row>
    <row r="70" spans="1:31" ht="15.75" thickBot="1" x14ac:dyDescent="0.3">
      <c r="A70" s="95">
        <v>68</v>
      </c>
      <c r="B70" s="95">
        <f>A70+Items!B$18</f>
        <v>84934724</v>
      </c>
      <c r="C70" s="96" t="s">
        <v>6543</v>
      </c>
      <c r="D70" s="96" t="s">
        <v>6543</v>
      </c>
      <c r="E70" s="95" t="str">
        <f t="shared" si="11"/>
        <v>1H</v>
      </c>
      <c r="F70" s="95" t="s">
        <v>6814</v>
      </c>
      <c r="G70" s="95"/>
      <c r="H70" s="95"/>
      <c r="I70" s="95"/>
      <c r="J70" s="95"/>
      <c r="K70" s="95"/>
      <c r="L70" s="96" t="s">
        <v>6638</v>
      </c>
      <c r="M70" s="96" t="s">
        <v>6743</v>
      </c>
      <c r="N70" s="96" t="s">
        <v>6680</v>
      </c>
      <c r="O70" s="95" t="str">
        <f t="shared" si="8"/>
        <v>FALSE</v>
      </c>
      <c r="P70" s="95"/>
      <c r="Q70" s="96">
        <v>1</v>
      </c>
      <c r="R70" s="96">
        <v>2</v>
      </c>
      <c r="S70" s="96">
        <v>10</v>
      </c>
      <c r="T70" s="96">
        <v>13</v>
      </c>
      <c r="U70" s="96" t="s">
        <v>3536</v>
      </c>
      <c r="V70" s="96">
        <v>0.5</v>
      </c>
      <c r="W70" s="96">
        <v>0</v>
      </c>
      <c r="X70" s="96">
        <v>0</v>
      </c>
      <c r="Y70" s="96"/>
      <c r="Z70" s="96"/>
      <c r="AA70" s="96" t="str">
        <f t="shared" si="9"/>
        <v>DA_WPN_Axe_RustedWedgeAxe</v>
      </c>
      <c r="AB70" s="90" t="str">
        <f t="shared" si="12"/>
        <v>/Game/DungeonSiege/Items/Weapons/Axe/DA_WPN_Axe_RustedWedgeAxe</v>
      </c>
      <c r="AC70" s="97" t="str">
        <f t="shared" si="10"/>
        <v>Texture2D'/Game/DungeonSiege/art/bitmaps/gui/in_game/inventory/weapons/Axe/b_gui_ig_i_w_axe_141.b_gui_ig_i_w_axe_141'</v>
      </c>
      <c r="AD70" s="97" t="str">
        <f t="shared" si="7"/>
        <v>Texture2D'/Game/DungeonSiege/art/bitmaps/gui/in_game/inventory/icons/b_gui_ig_i_ic_axe_001.b_gui_ig_i_ic_axe_001'</v>
      </c>
      <c r="AE70" s="97" t="str">
        <f t="shared" si="13"/>
        <v>StaticMesh'/Game/DungeonSiege/art/meshes/weapons/Axe/m_w_axe_047_AspMesh.m_w_axe_047_AspMesh'</v>
      </c>
    </row>
    <row r="71" spans="1:31" ht="15.75" thickBot="1" x14ac:dyDescent="0.3">
      <c r="A71" s="95">
        <v>69</v>
      </c>
      <c r="B71" s="95">
        <f>A71+Items!B$18</f>
        <v>84934725</v>
      </c>
      <c r="C71" s="96" t="s">
        <v>6544</v>
      </c>
      <c r="D71" s="96" t="s">
        <v>6545</v>
      </c>
      <c r="E71" s="95" t="str">
        <f t="shared" si="11"/>
        <v>1H</v>
      </c>
      <c r="F71" s="95" t="s">
        <v>6740</v>
      </c>
      <c r="G71" s="95"/>
      <c r="H71" s="95"/>
      <c r="I71" s="95"/>
      <c r="J71" s="95"/>
      <c r="K71" s="95"/>
      <c r="L71" s="96" t="s">
        <v>6639</v>
      </c>
      <c r="M71" s="96" t="s">
        <v>6741</v>
      </c>
      <c r="N71" s="96" t="s">
        <v>6661</v>
      </c>
      <c r="O71" s="95" t="str">
        <f t="shared" si="8"/>
        <v>FALSE</v>
      </c>
      <c r="P71" s="95"/>
      <c r="Q71" s="96">
        <v>1</v>
      </c>
      <c r="R71" s="96">
        <v>3</v>
      </c>
      <c r="S71" s="96">
        <v>32</v>
      </c>
      <c r="T71" s="96">
        <v>45</v>
      </c>
      <c r="U71" s="96" t="s">
        <v>3536</v>
      </c>
      <c r="V71" s="96">
        <v>0.5</v>
      </c>
      <c r="W71" s="96">
        <v>0</v>
      </c>
      <c r="X71" s="96">
        <v>7</v>
      </c>
      <c r="Y71" s="96" t="s">
        <v>2384</v>
      </c>
      <c r="Z71" s="96">
        <v>18</v>
      </c>
      <c r="AA71" s="96" t="str">
        <f t="shared" si="9"/>
        <v>DA_WPN_Axe_Scythe_base</v>
      </c>
      <c r="AB71" s="90" t="str">
        <f t="shared" si="12"/>
        <v>/Game/DungeonSiege/Items/Weapons/Axe/DA_WPN_Axe_Scythe_base</v>
      </c>
      <c r="AC71" s="97" t="str">
        <f t="shared" si="10"/>
        <v>Texture2D'/Game/DungeonSiege/art/bitmaps/gui/in_game/inventory/weapons/Axe/b_gui_ig_i_w_msc_011.b_gui_ig_i_w_msc_011'</v>
      </c>
      <c r="AD71" s="97" t="str">
        <f t="shared" si="7"/>
        <v>Texture2D'/Game/DungeonSiege/art/bitmaps/gui/in_game/inventory/icons/b_gui_ig_i_ic_axe_004.b_gui_ig_i_ic_axe_004'</v>
      </c>
      <c r="AE71" s="97" t="str">
        <f>CONCATENATE("StaticMesh'/Game/DungeonSiege/art/meshes/weapons/Misc/",F71,"_AspMesh.",F71,"_AspMesh'")</f>
        <v>StaticMesh'/Game/DungeonSiege/art/meshes/weapons/Misc/m_w_misc_scythe-002_AspMesh.m_w_misc_scythe-002_AspMesh'</v>
      </c>
    </row>
    <row r="72" spans="1:31" ht="15.75" thickBot="1" x14ac:dyDescent="0.3">
      <c r="A72" s="95">
        <v>70</v>
      </c>
      <c r="B72" s="95">
        <f>A72+Items!B$18</f>
        <v>84934726</v>
      </c>
      <c r="C72" s="96" t="s">
        <v>6546</v>
      </c>
      <c r="D72" s="96" t="s">
        <v>6546</v>
      </c>
      <c r="E72" s="95" t="str">
        <f t="shared" si="11"/>
        <v>1H</v>
      </c>
      <c r="F72" s="95" t="s">
        <v>6742</v>
      </c>
      <c r="G72" s="95"/>
      <c r="H72" s="95"/>
      <c r="I72" s="95"/>
      <c r="J72" s="95"/>
      <c r="K72" s="95"/>
      <c r="L72" s="96" t="s">
        <v>6640</v>
      </c>
      <c r="M72" s="96" t="s">
        <v>6660</v>
      </c>
      <c r="N72" s="96" t="s">
        <v>6661</v>
      </c>
      <c r="O72" s="95" t="str">
        <f t="shared" si="8"/>
        <v>FALSE</v>
      </c>
      <c r="P72" s="95"/>
      <c r="Q72" s="96">
        <v>1</v>
      </c>
      <c r="R72" s="96">
        <v>3</v>
      </c>
      <c r="S72" s="96">
        <v>10</v>
      </c>
      <c r="T72" s="96">
        <v>21</v>
      </c>
      <c r="U72" s="96" t="s">
        <v>3536</v>
      </c>
      <c r="V72" s="96">
        <v>0.5</v>
      </c>
      <c r="W72" s="96">
        <v>0</v>
      </c>
      <c r="X72" s="96">
        <v>0</v>
      </c>
      <c r="Y72" s="96" t="s">
        <v>2384</v>
      </c>
      <c r="Z72" s="96">
        <v>15</v>
      </c>
      <c r="AA72" s="96" t="str">
        <f t="shared" si="9"/>
        <v>DA_WPN_Axe_ShortScythe</v>
      </c>
      <c r="AB72" s="90" t="str">
        <f t="shared" si="12"/>
        <v>/Game/DungeonSiege/Items/Weapons/Axe/DA_WPN_Axe_ShortScythe</v>
      </c>
      <c r="AC72" s="97" t="str">
        <f t="shared" si="10"/>
        <v>Texture2D'/Game/DungeonSiege/art/bitmaps/gui/in_game/inventory/weapons/Axe/b_gui_ig_i_w_axe_012.b_gui_ig_i_w_axe_012'</v>
      </c>
      <c r="AD72" s="97" t="str">
        <f t="shared" si="7"/>
        <v>Texture2D'/Game/DungeonSiege/art/bitmaps/gui/in_game/inventory/icons/b_gui_ig_i_ic_axe_004.b_gui_ig_i_ic_axe_004'</v>
      </c>
      <c r="AE72" s="97" t="str">
        <f>CONCATENATE("StaticMesh'/Game/DungeonSiege/art/meshes/weapons/Misc/",F72,"_AspMesh.",F72,"_AspMesh'")</f>
        <v>StaticMesh'/Game/DungeonSiege/art/meshes/weapons/Misc/m_w_misc_scythe-003_AspMesh.m_w_misc_scythe-003_AspMesh'</v>
      </c>
    </row>
    <row r="73" spans="1:31" ht="15.75" thickBot="1" x14ac:dyDescent="0.3">
      <c r="A73" s="95">
        <v>71</v>
      </c>
      <c r="B73" s="95">
        <f>A73+Items!B$18</f>
        <v>84934727</v>
      </c>
      <c r="C73" s="96" t="s">
        <v>6547</v>
      </c>
      <c r="D73" s="96" t="s">
        <v>6548</v>
      </c>
      <c r="E73" s="95" t="str">
        <f t="shared" si="11"/>
        <v>1H</v>
      </c>
      <c r="F73" s="95" t="s">
        <v>6762</v>
      </c>
      <c r="G73" s="95"/>
      <c r="H73" s="95"/>
      <c r="I73" s="95"/>
      <c r="J73" s="95"/>
      <c r="K73" s="95"/>
      <c r="L73" s="96" t="s">
        <v>6641</v>
      </c>
      <c r="M73" s="96" t="s">
        <v>6744</v>
      </c>
      <c r="N73" s="96" t="s">
        <v>6721</v>
      </c>
      <c r="O73" s="95" t="str">
        <f t="shared" si="8"/>
        <v>FALSE</v>
      </c>
      <c r="P73" s="95"/>
      <c r="Q73" s="96">
        <v>1</v>
      </c>
      <c r="R73" s="96">
        <v>2</v>
      </c>
      <c r="S73" s="96">
        <v>9</v>
      </c>
      <c r="T73" s="96">
        <v>11</v>
      </c>
      <c r="U73" s="96" t="s">
        <v>3536</v>
      </c>
      <c r="V73" s="96">
        <v>0.5</v>
      </c>
      <c r="W73" s="96">
        <v>0</v>
      </c>
      <c r="X73" s="96">
        <v>2</v>
      </c>
      <c r="Y73" s="96"/>
      <c r="Z73" s="96"/>
      <c r="AA73" s="96" t="str">
        <f t="shared" si="9"/>
        <v>DA_WPN_Axe_Splitter_base</v>
      </c>
      <c r="AB73" s="90" t="str">
        <f t="shared" si="12"/>
        <v>/Game/DungeonSiege/Items/Weapons/Axe/DA_WPN_Axe_Splitter_base</v>
      </c>
      <c r="AC73" s="97" t="str">
        <f t="shared" si="10"/>
        <v>Texture2D'/Game/DungeonSiege/art/bitmaps/gui/in_game/inventory/weapons/Axe/b_gui_ig_i_w_axe_095.b_gui_ig_i_w_axe_095'</v>
      </c>
      <c r="AD73" s="97" t="str">
        <f t="shared" si="7"/>
        <v>Texture2D'/Game/DungeonSiege/art/bitmaps/gui/in_game/inventory/icons/b_gui_ig_i_ic_axe_005.b_gui_ig_i_ic_axe_005'</v>
      </c>
      <c r="AE73" s="97" t="str">
        <f t="shared" si="13"/>
        <v>StaticMesh'/Game/DungeonSiege/art/meshes/weapons/Axe/m_w_axe_029_AspMesh.m_w_axe_029_AspMesh'</v>
      </c>
    </row>
    <row r="74" spans="1:31" ht="15.75" thickBot="1" x14ac:dyDescent="0.3">
      <c r="A74" s="95">
        <v>72</v>
      </c>
      <c r="B74" s="95">
        <f>A74+Items!B$18</f>
        <v>84934728</v>
      </c>
      <c r="C74" s="96" t="s">
        <v>6549</v>
      </c>
      <c r="D74" s="96" t="s">
        <v>6550</v>
      </c>
      <c r="E74" s="95" t="str">
        <f t="shared" si="11"/>
        <v>1H</v>
      </c>
      <c r="F74" s="95" t="s">
        <v>6763</v>
      </c>
      <c r="G74" s="95"/>
      <c r="H74" s="95"/>
      <c r="I74" s="95"/>
      <c r="J74" s="95"/>
      <c r="K74" s="95"/>
      <c r="L74" s="96" t="s">
        <v>6642</v>
      </c>
      <c r="M74" s="96" t="s">
        <v>6745</v>
      </c>
      <c r="N74" s="96" t="s">
        <v>6680</v>
      </c>
      <c r="O74" s="95" t="str">
        <f t="shared" si="8"/>
        <v>FALSE</v>
      </c>
      <c r="P74" s="95"/>
      <c r="Q74" s="96">
        <v>1</v>
      </c>
      <c r="R74" s="96">
        <v>3</v>
      </c>
      <c r="S74" s="96">
        <v>149</v>
      </c>
      <c r="T74" s="96">
        <v>182</v>
      </c>
      <c r="U74" s="96" t="s">
        <v>3536</v>
      </c>
      <c r="V74" s="96">
        <v>0.5</v>
      </c>
      <c r="W74" s="96">
        <v>12</v>
      </c>
      <c r="X74" s="96">
        <v>38</v>
      </c>
      <c r="Y74" s="96" t="s">
        <v>2384</v>
      </c>
      <c r="Z74" s="96">
        <v>46</v>
      </c>
      <c r="AA74" s="96" t="str">
        <f t="shared" si="9"/>
        <v>DA_WPN_Axe_StrikeAxe_base</v>
      </c>
      <c r="AB74" s="90" t="str">
        <f t="shared" si="12"/>
        <v>/Game/DungeonSiege/Items/Weapons/Axe/DA_WPN_Axe_StrikeAxe_base</v>
      </c>
      <c r="AC74" s="97" t="str">
        <f t="shared" si="10"/>
        <v>Texture2D'/Game/DungeonSiege/art/bitmaps/gui/in_game/inventory/weapons/Axe/b_gui_ig_i_w_axe_137.b_gui_ig_i_w_axe_137'</v>
      </c>
      <c r="AD74" s="97" t="str">
        <f t="shared" si="7"/>
        <v>Texture2D'/Game/DungeonSiege/art/bitmaps/gui/in_game/inventory/icons/b_gui_ig_i_ic_axe_001.b_gui_ig_i_ic_axe_001'</v>
      </c>
      <c r="AE74" s="97" t="str">
        <f t="shared" si="13"/>
        <v>StaticMesh'/Game/DungeonSiege/art/meshes/weapons/Axe/m_w_axe_043_AspMesh.m_w_axe_043_AspMesh'</v>
      </c>
    </row>
    <row r="75" spans="1:31" ht="23.25" thickBot="1" x14ac:dyDescent="0.3">
      <c r="A75" s="95">
        <v>73</v>
      </c>
      <c r="B75" s="95">
        <f>A75+Items!B$18</f>
        <v>84934729</v>
      </c>
      <c r="C75" s="96" t="s">
        <v>6551</v>
      </c>
      <c r="D75" s="96" t="s">
        <v>6552</v>
      </c>
      <c r="E75" s="95" t="str">
        <f t="shared" si="11"/>
        <v>1H</v>
      </c>
      <c r="F75" s="95" t="s">
        <v>6746</v>
      </c>
      <c r="G75" s="95"/>
      <c r="H75" s="95"/>
      <c r="I75" s="95"/>
      <c r="J75" s="95"/>
      <c r="K75" s="95"/>
      <c r="L75" s="96" t="s">
        <v>6643</v>
      </c>
      <c r="M75" s="96" t="s">
        <v>6747</v>
      </c>
      <c r="N75" s="96" t="s">
        <v>6661</v>
      </c>
      <c r="O75" s="95" t="str">
        <f t="shared" si="8"/>
        <v>FALSE</v>
      </c>
      <c r="P75" s="95"/>
      <c r="Q75" s="96">
        <v>1</v>
      </c>
      <c r="R75" s="96">
        <v>3</v>
      </c>
      <c r="S75" s="96">
        <v>100</v>
      </c>
      <c r="T75" s="96">
        <v>130</v>
      </c>
      <c r="U75" s="96" t="s">
        <v>3536</v>
      </c>
      <c r="V75" s="96">
        <v>0.5</v>
      </c>
      <c r="W75" s="96">
        <v>3</v>
      </c>
      <c r="X75" s="96">
        <v>31</v>
      </c>
      <c r="Y75" s="96" t="s">
        <v>2384</v>
      </c>
      <c r="Z75" s="96">
        <v>36</v>
      </c>
      <c r="AA75" s="96" t="str">
        <f t="shared" si="9"/>
        <v>DA_WPN_Axe_SweepingScythe_base</v>
      </c>
      <c r="AB75" s="90" t="str">
        <f t="shared" si="12"/>
        <v>/Game/DungeonSiege/Items/Weapons/Axe/DA_WPN_Axe_SweepingScythe_base</v>
      </c>
      <c r="AC75" s="97" t="str">
        <f t="shared" si="10"/>
        <v>Texture2D'/Game/DungeonSiege/art/bitmaps/gui/in_game/inventory/weapons/Axe/b_gui_ig_i_w_axe_010.b_gui_ig_i_w_axe_010'</v>
      </c>
      <c r="AD75" s="97" t="str">
        <f t="shared" si="7"/>
        <v>Texture2D'/Game/DungeonSiege/art/bitmaps/gui/in_game/inventory/icons/b_gui_ig_i_ic_axe_004.b_gui_ig_i_ic_axe_004'</v>
      </c>
      <c r="AE75" s="97" t="str">
        <f>CONCATENATE("StaticMesh'/Game/DungeonSiege/art/meshes/weapons/Misc/",F75,"_AspMesh.",F75,"_AspMesh'")</f>
        <v>StaticMesh'/Game/DungeonSiege/art/meshes/weapons/Misc/m_w_misc_scythe-001_AspMesh.m_w_misc_scythe-001_AspMesh'</v>
      </c>
    </row>
    <row r="76" spans="1:31" ht="15.75" thickBot="1" x14ac:dyDescent="0.3">
      <c r="A76" s="95">
        <v>74</v>
      </c>
      <c r="B76" s="95">
        <f>A76+Items!B$18</f>
        <v>84934730</v>
      </c>
      <c r="C76" s="96" t="s">
        <v>6553</v>
      </c>
      <c r="D76" s="96" t="s">
        <v>6554</v>
      </c>
      <c r="E76" s="95" t="s">
        <v>3524</v>
      </c>
      <c r="F76" s="95" t="s">
        <v>6764</v>
      </c>
      <c r="G76" s="95"/>
      <c r="H76" s="95"/>
      <c r="I76" s="95"/>
      <c r="J76" s="95"/>
      <c r="K76" s="95"/>
      <c r="L76" s="96" t="s">
        <v>6554</v>
      </c>
      <c r="M76" s="96" t="s">
        <v>6748</v>
      </c>
      <c r="N76" s="96" t="s">
        <v>6668</v>
      </c>
      <c r="O76" s="95" t="str">
        <f t="shared" si="8"/>
        <v>FALSE</v>
      </c>
      <c r="P76" s="95"/>
      <c r="Q76" s="96">
        <v>2</v>
      </c>
      <c r="R76" s="96">
        <v>3</v>
      </c>
      <c r="S76" s="96">
        <v>20</v>
      </c>
      <c r="T76" s="96">
        <v>26</v>
      </c>
      <c r="U76" s="96" t="s">
        <v>3535</v>
      </c>
      <c r="V76" s="96">
        <v>0.5</v>
      </c>
      <c r="W76" s="96">
        <v>0</v>
      </c>
      <c r="X76" s="96">
        <v>4</v>
      </c>
      <c r="Y76" s="96" t="s">
        <v>2384</v>
      </c>
      <c r="Z76" s="96">
        <v>13</v>
      </c>
      <c r="AA76" s="96" t="str">
        <f t="shared" si="9"/>
        <v>DA_WPN_Axe_SwingAxe_base</v>
      </c>
      <c r="AB76" s="90" t="str">
        <f t="shared" si="12"/>
        <v>/Game/DungeonSiege/Items/Weapons/Axe/DA_WPN_Axe_SwingAxe_base</v>
      </c>
      <c r="AC76" s="97" t="str">
        <f t="shared" si="10"/>
        <v>Texture2D'/Game/DungeonSiege/art/bitmaps/gui/in_game/inventory/weapons/Axe/b_gui_ig_i_w_axe_097.b_gui_ig_i_w_axe_097'</v>
      </c>
      <c r="AD76" s="97" t="str">
        <f t="shared" si="7"/>
        <v>Texture2D'/Game/DungeonSiege/art/bitmaps/gui/in_game/inventory/icons/b_gui_ig_i_ic_axe_008.b_gui_ig_i_ic_axe_008'</v>
      </c>
      <c r="AE76" s="97" t="str">
        <f t="shared" si="13"/>
        <v>StaticMesh'/Game/DungeonSiege/art/meshes/weapons/Axe/m_w_axe_031_AspMesh.m_w_axe_031_AspMesh'</v>
      </c>
    </row>
    <row r="77" spans="1:31" ht="15.75" thickBot="1" x14ac:dyDescent="0.3">
      <c r="A77" s="95">
        <v>75</v>
      </c>
      <c r="B77" s="95">
        <f>A77+Items!B$18</f>
        <v>84934731</v>
      </c>
      <c r="C77" s="96" t="s">
        <v>6555</v>
      </c>
      <c r="D77" s="96" t="s">
        <v>6555</v>
      </c>
      <c r="E77" s="95" t="str">
        <f t="shared" si="11"/>
        <v>2H</v>
      </c>
      <c r="F77" s="95" t="s">
        <v>6765</v>
      </c>
      <c r="G77" s="95"/>
      <c r="H77" s="95"/>
      <c r="I77" s="95"/>
      <c r="J77" s="95"/>
      <c r="K77" s="95"/>
      <c r="L77" s="96" t="s">
        <v>6644</v>
      </c>
      <c r="M77" s="96" t="s">
        <v>6749</v>
      </c>
      <c r="N77" s="96" t="s">
        <v>6750</v>
      </c>
      <c r="O77" s="95" t="str">
        <f t="shared" si="8"/>
        <v>FALSE</v>
      </c>
      <c r="P77" s="95"/>
      <c r="Q77" s="96">
        <v>1</v>
      </c>
      <c r="R77" s="96">
        <v>3</v>
      </c>
      <c r="S77" s="96">
        <v>3</v>
      </c>
      <c r="T77" s="96">
        <v>6</v>
      </c>
      <c r="U77" s="96" t="s">
        <v>3535</v>
      </c>
      <c r="V77" s="96">
        <v>0.5</v>
      </c>
      <c r="W77" s="96">
        <v>0</v>
      </c>
      <c r="X77" s="96">
        <v>0</v>
      </c>
      <c r="Y77" s="96"/>
      <c r="Z77" s="96"/>
      <c r="AA77" s="96" t="str">
        <f t="shared" si="9"/>
        <v>DA_WPN_Axe_TimberAxe</v>
      </c>
      <c r="AB77" s="90" t="str">
        <f t="shared" si="12"/>
        <v>/Game/DungeonSiege/Items/Weapons/Axe/DA_WPN_Axe_TimberAxe</v>
      </c>
      <c r="AC77" s="97" t="str">
        <f t="shared" si="10"/>
        <v>Texture2D'/Game/DungeonSiege/art/bitmaps/gui/in_game/inventory/weapons/Axe/b_gui_ig_i_w_axe_036.b_gui_ig_i_w_axe_036'</v>
      </c>
      <c r="AD77" s="97" t="str">
        <f t="shared" si="7"/>
        <v>Texture2D'/Game/DungeonSiege/art/bitmaps/gui/in_game/inventory/icons/b_gui_ig_i_ic_ax_2h1b.b_gui_ig_i_ic_ax_2h1b'</v>
      </c>
      <c r="AE77" s="97" t="str">
        <f t="shared" si="13"/>
        <v>StaticMesh'/Game/DungeonSiege/art/meshes/weapons/Axe/m_w_axe_024_AspMesh.m_w_axe_024_AspMesh'</v>
      </c>
    </row>
    <row r="78" spans="1:31" ht="15.75" thickBot="1" x14ac:dyDescent="0.3">
      <c r="A78" s="95">
        <v>76</v>
      </c>
      <c r="B78" s="95">
        <f>A78+Items!B$18</f>
        <v>84934732</v>
      </c>
      <c r="C78" s="96" t="s">
        <v>6556</v>
      </c>
      <c r="D78" s="96" t="s">
        <v>6557</v>
      </c>
      <c r="E78" s="95" t="str">
        <f t="shared" si="11"/>
        <v>2H</v>
      </c>
      <c r="F78" s="95" t="s">
        <v>6766</v>
      </c>
      <c r="G78" s="95"/>
      <c r="H78" s="95"/>
      <c r="I78" s="95"/>
      <c r="J78" s="95"/>
      <c r="K78" s="95"/>
      <c r="L78" s="96" t="s">
        <v>6645</v>
      </c>
      <c r="M78" s="96" t="s">
        <v>6751</v>
      </c>
      <c r="N78" s="96" t="s">
        <v>6675</v>
      </c>
      <c r="O78" s="95" t="str">
        <f t="shared" si="8"/>
        <v>FALSE</v>
      </c>
      <c r="P78" s="95"/>
      <c r="Q78" s="96">
        <v>1</v>
      </c>
      <c r="R78" s="96">
        <v>3</v>
      </c>
      <c r="S78" s="96">
        <v>55</v>
      </c>
      <c r="T78" s="96">
        <v>71</v>
      </c>
      <c r="U78" s="96" t="s">
        <v>3535</v>
      </c>
      <c r="V78" s="96">
        <v>0.5</v>
      </c>
      <c r="W78" s="96">
        <v>0</v>
      </c>
      <c r="X78" s="96">
        <v>1</v>
      </c>
      <c r="Y78" s="96" t="s">
        <v>2384</v>
      </c>
      <c r="Z78" s="96">
        <v>20</v>
      </c>
      <c r="AA78" s="96" t="str">
        <f t="shared" si="9"/>
        <v>DA_WPN_Axe_TofkAxe_base</v>
      </c>
      <c r="AB78" s="90" t="str">
        <f t="shared" si="12"/>
        <v>/Game/DungeonSiege/Items/Weapons/Axe/DA_WPN_Axe_TofkAxe_base</v>
      </c>
      <c r="AC78" s="97" t="str">
        <f t="shared" si="10"/>
        <v>Texture2D'/Game/DungeonSiege/art/bitmaps/gui/in_game/inventory/weapons/Axe/b_gui_ig_i_w_axe_093.b_gui_ig_i_w_axe_093'</v>
      </c>
      <c r="AD78" s="97" t="str">
        <f t="shared" si="7"/>
        <v>Texture2D'/Game/DungeonSiege/art/bitmaps/gui/in_game/inventory/icons/b_gui_ig_i_ic_axe_003.b_gui_ig_i_ic_axe_003'</v>
      </c>
      <c r="AE78" s="97" t="str">
        <f t="shared" si="13"/>
        <v>StaticMesh'/Game/DungeonSiege/art/meshes/weapons/Axe/m_w_axe_030_AspMesh.m_w_axe_030_AspMesh'</v>
      </c>
    </row>
    <row r="79" spans="1:31" ht="15.75" thickBot="1" x14ac:dyDescent="0.3">
      <c r="A79" s="95">
        <v>77</v>
      </c>
      <c r="B79" s="95">
        <f>A79+Items!B$18</f>
        <v>84934733</v>
      </c>
      <c r="C79" s="96" t="s">
        <v>6558</v>
      </c>
      <c r="D79" s="96" t="s">
        <v>6558</v>
      </c>
      <c r="E79" s="95" t="str">
        <f t="shared" si="11"/>
        <v>2H</v>
      </c>
      <c r="F79" s="95" t="s">
        <v>6767</v>
      </c>
      <c r="G79" s="95"/>
      <c r="H79" s="95"/>
      <c r="I79" s="95"/>
      <c r="J79" s="95"/>
      <c r="K79" s="95"/>
      <c r="L79" s="96" t="s">
        <v>6646</v>
      </c>
      <c r="M79" s="96" t="s">
        <v>6663</v>
      </c>
      <c r="N79" s="96" t="s">
        <v>6680</v>
      </c>
      <c r="O79" s="95" t="str">
        <f t="shared" si="8"/>
        <v>FALSE</v>
      </c>
      <c r="P79" s="95"/>
      <c r="Q79" s="96">
        <v>2</v>
      </c>
      <c r="R79" s="96">
        <v>3</v>
      </c>
      <c r="S79" s="96">
        <v>94</v>
      </c>
      <c r="T79" s="96">
        <v>127</v>
      </c>
      <c r="U79" s="96" t="s">
        <v>3535</v>
      </c>
      <c r="V79" s="96">
        <v>0.5</v>
      </c>
      <c r="W79" s="96">
        <v>0</v>
      </c>
      <c r="X79" s="96">
        <v>0</v>
      </c>
      <c r="Y79" s="96" t="s">
        <v>2384</v>
      </c>
      <c r="Z79" s="96">
        <v>29</v>
      </c>
      <c r="AA79" s="96" t="str">
        <f t="shared" si="9"/>
        <v>DA_WPN_Axe_WarpedAssaultAxe</v>
      </c>
      <c r="AB79" s="90" t="str">
        <f t="shared" si="12"/>
        <v>/Game/DungeonSiege/Items/Weapons/Axe/DA_WPN_Axe_WarpedAssaultAxe</v>
      </c>
      <c r="AC79" s="97" t="str">
        <f t="shared" si="10"/>
        <v>Texture2D'/Game/DungeonSiege/art/bitmaps/gui/in_game/inventory/weapons/Axe/b_gui_ig_i_w_axe_.b_gui_ig_i_w_axe_'</v>
      </c>
      <c r="AD79" s="97" t="str">
        <f t="shared" si="7"/>
        <v>Texture2D'/Game/DungeonSiege/art/bitmaps/gui/in_game/inventory/icons/b_gui_ig_i_ic_axe_001.b_gui_ig_i_ic_axe_001'</v>
      </c>
      <c r="AE79" s="97" t="str">
        <f t="shared" si="13"/>
        <v>StaticMesh'/Game/DungeonSiege/art/meshes/weapons/Axe/m_w_axe_090_AspMesh.m_w_axe_090_AspMesh'</v>
      </c>
    </row>
    <row r="80" spans="1:31" ht="15.75" thickBot="1" x14ac:dyDescent="0.3">
      <c r="A80" s="95">
        <v>78</v>
      </c>
      <c r="B80" s="95">
        <f>A80+Items!B$18</f>
        <v>84934734</v>
      </c>
      <c r="C80" s="96" t="s">
        <v>6559</v>
      </c>
      <c r="D80" s="96" t="s">
        <v>6560</v>
      </c>
      <c r="E80" s="95" t="str">
        <f t="shared" si="11"/>
        <v>1H</v>
      </c>
      <c r="F80" s="95" t="s">
        <v>6768</v>
      </c>
      <c r="G80" s="95"/>
      <c r="H80" s="95"/>
      <c r="I80" s="95"/>
      <c r="J80" s="95"/>
      <c r="K80" s="95"/>
      <c r="L80" s="96" t="s">
        <v>6647</v>
      </c>
      <c r="M80" s="96" t="s">
        <v>6754</v>
      </c>
      <c r="N80" s="96" t="s">
        <v>6680</v>
      </c>
      <c r="O80" s="95" t="str">
        <f t="shared" si="8"/>
        <v>FALSE</v>
      </c>
      <c r="P80" s="95"/>
      <c r="Q80" s="96">
        <v>1</v>
      </c>
      <c r="R80" s="96">
        <v>2</v>
      </c>
      <c r="S80" s="96">
        <v>18</v>
      </c>
      <c r="T80" s="96">
        <v>22</v>
      </c>
      <c r="U80" s="96" t="s">
        <v>3536</v>
      </c>
      <c r="V80" s="96">
        <v>0.5</v>
      </c>
      <c r="W80" s="96">
        <v>0</v>
      </c>
      <c r="X80" s="96">
        <v>1</v>
      </c>
      <c r="Y80" s="96" t="s">
        <v>2384</v>
      </c>
      <c r="Z80" s="96">
        <v>13</v>
      </c>
      <c r="AA80" s="96" t="str">
        <f t="shared" si="9"/>
        <v>DA_WPN_Axe_WedgeAxe_base</v>
      </c>
      <c r="AB80" s="90" t="str">
        <f t="shared" si="12"/>
        <v>/Game/DungeonSiege/Items/Weapons/Axe/DA_WPN_Axe_WedgeAxe_base</v>
      </c>
      <c r="AC80" s="97" t="str">
        <f t="shared" si="10"/>
        <v>Texture2D'/Game/DungeonSiege/art/bitmaps/gui/in_game/inventory/weapons/Axe/b_gui_ig_i_w_axe_143.b_gui_ig_i_w_axe_143'</v>
      </c>
      <c r="AD80" s="97" t="str">
        <f t="shared" si="7"/>
        <v>Texture2D'/Game/DungeonSiege/art/bitmaps/gui/in_game/inventory/icons/b_gui_ig_i_ic_axe_001.b_gui_ig_i_ic_axe_001'</v>
      </c>
      <c r="AE80" s="97" t="str">
        <f t="shared" si="13"/>
        <v>StaticMesh'/Game/DungeonSiege/art/meshes/weapons/Axe/m_w_axe_049_AspMesh.m_w_axe_049_AspMesh'</v>
      </c>
    </row>
    <row r="81" spans="1:31" ht="15.75" thickBot="1" x14ac:dyDescent="0.3">
      <c r="A81" s="95">
        <v>79</v>
      </c>
      <c r="B81" s="95">
        <f>A81+Items!B$18</f>
        <v>84934735</v>
      </c>
      <c r="C81" s="96" t="s">
        <v>6561</v>
      </c>
      <c r="D81" s="96" t="s">
        <v>6560</v>
      </c>
      <c r="E81" s="95" t="str">
        <f t="shared" si="11"/>
        <v>1H</v>
      </c>
      <c r="F81" s="95" t="s">
        <v>6769</v>
      </c>
      <c r="G81" s="95"/>
      <c r="H81" s="95"/>
      <c r="I81" s="95"/>
      <c r="J81" s="95"/>
      <c r="K81" s="95"/>
      <c r="L81" s="96" t="s">
        <v>6648</v>
      </c>
      <c r="M81" s="96" t="s">
        <v>6755</v>
      </c>
      <c r="N81" s="96" t="s">
        <v>6680</v>
      </c>
      <c r="O81" s="95" t="str">
        <f t="shared" si="8"/>
        <v>FALSE</v>
      </c>
      <c r="P81" s="95"/>
      <c r="Q81" s="96">
        <v>1</v>
      </c>
      <c r="R81" s="96">
        <v>2</v>
      </c>
      <c r="S81" s="96">
        <v>23</v>
      </c>
      <c r="T81" s="96">
        <v>28</v>
      </c>
      <c r="U81" s="96" t="s">
        <v>3536</v>
      </c>
      <c r="V81" s="96">
        <v>0.5</v>
      </c>
      <c r="W81" s="96">
        <v>1</v>
      </c>
      <c r="X81" s="96">
        <v>6</v>
      </c>
      <c r="Y81" s="96" t="s">
        <v>2384</v>
      </c>
      <c r="Z81" s="96">
        <v>15</v>
      </c>
      <c r="AA81" s="96" t="str">
        <f t="shared" si="9"/>
        <v>DA_WPN_Axe_WedgeAxe_c_fin</v>
      </c>
      <c r="AB81" s="90" t="str">
        <f t="shared" si="12"/>
        <v>/Game/DungeonSiege/Items/Weapons/Axe/DA_WPN_Axe_WedgeAxe_c_fin</v>
      </c>
      <c r="AC81" s="97" t="str">
        <f t="shared" si="10"/>
        <v>Texture2D'/Game/DungeonSiege/art/bitmaps/gui/in_game/inventory/weapons/Axe/b_gui_ig_i_w_axe_144.b_gui_ig_i_w_axe_144'</v>
      </c>
      <c r="AD81" s="97" t="str">
        <f t="shared" si="7"/>
        <v>Texture2D'/Game/DungeonSiege/art/bitmaps/gui/in_game/inventory/icons/b_gui_ig_i_ic_axe_001.b_gui_ig_i_ic_axe_001'</v>
      </c>
      <c r="AE81" s="97" t="str">
        <f t="shared" si="13"/>
        <v>StaticMesh'/Game/DungeonSiege/art/meshes/weapons/Axe/m_w_axe_050_AspMesh.m_w_axe_050_AspMesh'</v>
      </c>
    </row>
    <row r="82" spans="1:31" ht="15.75" thickBot="1" x14ac:dyDescent="0.3">
      <c r="A82" s="95">
        <v>80</v>
      </c>
      <c r="B82" s="95">
        <f>A82+Items!B$18</f>
        <v>84934736</v>
      </c>
      <c r="C82" s="96" t="s">
        <v>6562</v>
      </c>
      <c r="D82" s="96" t="s">
        <v>6560</v>
      </c>
      <c r="E82" s="95" t="str">
        <f t="shared" si="11"/>
        <v>1H</v>
      </c>
      <c r="F82" s="95" t="s">
        <v>6770</v>
      </c>
      <c r="G82" s="95"/>
      <c r="H82" s="95"/>
      <c r="I82" s="95"/>
      <c r="J82" s="95"/>
      <c r="K82" s="95"/>
      <c r="L82" s="96" t="s">
        <v>6649</v>
      </c>
      <c r="M82" s="96" t="s">
        <v>6756</v>
      </c>
      <c r="N82" s="96" t="s">
        <v>6680</v>
      </c>
      <c r="O82" s="95" t="str">
        <f t="shared" si="8"/>
        <v>FALSE</v>
      </c>
      <c r="P82" s="95"/>
      <c r="Q82" s="96">
        <v>1</v>
      </c>
      <c r="R82" s="96">
        <v>2</v>
      </c>
      <c r="S82" s="96">
        <v>76</v>
      </c>
      <c r="T82" s="96">
        <v>93</v>
      </c>
      <c r="U82" s="96" t="s">
        <v>3536</v>
      </c>
      <c r="V82" s="96">
        <v>0.5</v>
      </c>
      <c r="W82" s="96">
        <v>19</v>
      </c>
      <c r="X82" s="96">
        <v>26</v>
      </c>
      <c r="Y82" s="96" t="s">
        <v>2384</v>
      </c>
      <c r="Z82" s="96">
        <v>29</v>
      </c>
      <c r="AA82" s="96" t="str">
        <f t="shared" si="9"/>
        <v>DA_WPN_Axe_WedgeAxe_c_mag</v>
      </c>
      <c r="AB82" s="90" t="str">
        <f t="shared" si="12"/>
        <v>/Game/DungeonSiege/Items/Weapons/Axe/DA_WPN_Axe_WedgeAxe_c_mag</v>
      </c>
      <c r="AC82" s="97" t="str">
        <f t="shared" si="10"/>
        <v>Texture2D'/Game/DungeonSiege/art/bitmaps/gui/in_game/inventory/weapons/Axe/b_gui_ig_i_w_axe_146.b_gui_ig_i_w_axe_146'</v>
      </c>
      <c r="AD82" s="97" t="str">
        <f t="shared" si="7"/>
        <v>Texture2D'/Game/DungeonSiege/art/bitmaps/gui/in_game/inventory/icons/b_gui_ig_i_ic_axe_001.b_gui_ig_i_ic_axe_001'</v>
      </c>
      <c r="AE82" s="97" t="str">
        <f t="shared" si="13"/>
        <v>StaticMesh'/Game/DungeonSiege/art/meshes/weapons/Axe/m_w_axe_052_AspMesh.m_w_axe_052_AspMesh'</v>
      </c>
    </row>
    <row r="83" spans="1:31" ht="15.75" thickBot="1" x14ac:dyDescent="0.3">
      <c r="A83" s="95">
        <v>81</v>
      </c>
      <c r="B83" s="95">
        <f>A83+Items!B$18</f>
        <v>84934737</v>
      </c>
      <c r="C83" s="96" t="s">
        <v>6563</v>
      </c>
      <c r="D83" s="96" t="s">
        <v>6560</v>
      </c>
      <c r="E83" s="95" t="str">
        <f t="shared" si="11"/>
        <v>1H</v>
      </c>
      <c r="F83" s="95" t="s">
        <v>6815</v>
      </c>
      <c r="G83" s="95"/>
      <c r="H83" s="95"/>
      <c r="I83" s="95"/>
      <c r="J83" s="95"/>
      <c r="K83" s="95"/>
      <c r="L83" s="96" t="s">
        <v>6650</v>
      </c>
      <c r="M83" s="96" t="s">
        <v>6757</v>
      </c>
      <c r="N83" s="96" t="s">
        <v>6680</v>
      </c>
      <c r="O83" s="95" t="str">
        <f t="shared" si="8"/>
        <v>FALSE</v>
      </c>
      <c r="P83" s="95"/>
      <c r="Q83" s="96">
        <v>1</v>
      </c>
      <c r="R83" s="96">
        <v>3</v>
      </c>
      <c r="S83" s="96">
        <v>49</v>
      </c>
      <c r="T83" s="96">
        <v>60</v>
      </c>
      <c r="U83" s="96" t="s">
        <v>3536</v>
      </c>
      <c r="V83" s="96">
        <v>0.5</v>
      </c>
      <c r="W83" s="96">
        <v>11</v>
      </c>
      <c r="X83" s="96">
        <v>18</v>
      </c>
      <c r="Y83" s="96" t="s">
        <v>2384</v>
      </c>
      <c r="Z83" s="96">
        <v>22</v>
      </c>
      <c r="AA83" s="96" t="str">
        <f t="shared" si="9"/>
        <v>DA_WPN_Axe_WedgeAxe_c_str</v>
      </c>
      <c r="AB83" s="90" t="str">
        <f t="shared" si="12"/>
        <v>/Game/DungeonSiege/Items/Weapons/Axe/DA_WPN_Axe_WedgeAxe_c_str</v>
      </c>
      <c r="AC83" s="97" t="str">
        <f t="shared" si="10"/>
        <v>Texture2D'/Game/DungeonSiege/art/bitmaps/gui/in_game/inventory/weapons/Axe/b_gui_ig_i_w_axe_145.b_gui_ig_i_w_axe_145'</v>
      </c>
      <c r="AD83" s="97" t="str">
        <f t="shared" si="7"/>
        <v>Texture2D'/Game/DungeonSiege/art/bitmaps/gui/in_game/inventory/icons/b_gui_ig_i_ic_axe_001.b_gui_ig_i_ic_axe_001'</v>
      </c>
      <c r="AE83" s="97" t="str">
        <f t="shared" si="13"/>
        <v>StaticMesh'/Game/DungeonSiege/art/meshes/weapons/Axe/m_w_axe_051_AspMesh.m_w_axe_051_AspMesh'</v>
      </c>
    </row>
    <row r="84" spans="1:31" ht="15.75" thickBot="1" x14ac:dyDescent="0.3">
      <c r="A84" s="95">
        <v>82</v>
      </c>
      <c r="B84" s="95">
        <f>A84+Items!B$18</f>
        <v>84934738</v>
      </c>
      <c r="C84" s="96" t="s">
        <v>6564</v>
      </c>
      <c r="D84" s="96" t="s">
        <v>6560</v>
      </c>
      <c r="E84" s="95" t="str">
        <f t="shared" si="11"/>
        <v>1H</v>
      </c>
      <c r="F84" s="95" t="s">
        <v>6816</v>
      </c>
      <c r="G84" s="95"/>
      <c r="H84" s="95"/>
      <c r="I84" s="95"/>
      <c r="J84" s="95"/>
      <c r="K84" s="95"/>
      <c r="L84" s="96" t="s">
        <v>6651</v>
      </c>
      <c r="M84" s="96" t="s">
        <v>6758</v>
      </c>
      <c r="N84" s="96" t="s">
        <v>6721</v>
      </c>
      <c r="O84" s="95" t="str">
        <f t="shared" si="8"/>
        <v>FALSE</v>
      </c>
      <c r="P84" s="95"/>
      <c r="Q84" s="96">
        <v>1</v>
      </c>
      <c r="R84" s="96">
        <v>2</v>
      </c>
      <c r="S84" s="96">
        <v>30</v>
      </c>
      <c r="T84" s="96">
        <v>37</v>
      </c>
      <c r="U84" s="96" t="s">
        <v>3536</v>
      </c>
      <c r="V84" s="96">
        <v>0.5</v>
      </c>
      <c r="W84" s="96">
        <v>3</v>
      </c>
      <c r="X84" s="96">
        <v>11</v>
      </c>
      <c r="Y84" s="96" t="s">
        <v>2384</v>
      </c>
      <c r="Z84" s="96">
        <v>17</v>
      </c>
      <c r="AA84" s="96" t="str">
        <f t="shared" si="9"/>
        <v>DA_WPN_Axe_WedgeAxe_o_avg</v>
      </c>
      <c r="AB84" s="90" t="str">
        <f t="shared" si="12"/>
        <v>/Game/DungeonSiege/Items/Weapons/Axe/DA_WPN_Axe_WedgeAxe_o_avg</v>
      </c>
      <c r="AC84" s="97" t="str">
        <f t="shared" si="10"/>
        <v>Texture2D'/Game/DungeonSiege/art/bitmaps/gui/in_game/inventory/weapons/Axe/b_gui_ig_i_w_axe_149.b_gui_ig_i_w_axe_149'</v>
      </c>
      <c r="AD84" s="97" t="str">
        <f t="shared" si="7"/>
        <v>Texture2D'/Game/DungeonSiege/art/bitmaps/gui/in_game/inventory/icons/b_gui_ig_i_ic_axe_005.b_gui_ig_i_ic_axe_005'</v>
      </c>
      <c r="AE84" s="97" t="str">
        <f t="shared" si="13"/>
        <v>StaticMesh'/Game/DungeonSiege/art/meshes/weapons/Axe/m_w_axe_055_AspMesh.m_w_axe_055_AspMesh'</v>
      </c>
    </row>
    <row r="85" spans="1:31" ht="15.75" thickBot="1" x14ac:dyDescent="0.3">
      <c r="A85" s="95">
        <v>83</v>
      </c>
      <c r="B85" s="95">
        <f>A85+Items!B$18</f>
        <v>84934739</v>
      </c>
      <c r="C85" s="96" t="s">
        <v>6565</v>
      </c>
      <c r="D85" s="96" t="s">
        <v>6560</v>
      </c>
      <c r="E85" s="95" t="str">
        <f t="shared" si="11"/>
        <v>1H</v>
      </c>
      <c r="F85" s="95" t="s">
        <v>6811</v>
      </c>
      <c r="G85" s="95"/>
      <c r="H85" s="95"/>
      <c r="I85" s="95"/>
      <c r="J85" s="95"/>
      <c r="K85" s="95"/>
      <c r="L85" s="96" t="s">
        <v>6652</v>
      </c>
      <c r="M85" s="96" t="s">
        <v>6759</v>
      </c>
      <c r="N85" s="96" t="s">
        <v>6721</v>
      </c>
      <c r="O85" s="95" t="str">
        <f t="shared" si="8"/>
        <v>FALSE</v>
      </c>
      <c r="P85" s="95"/>
      <c r="Q85" s="96">
        <v>1</v>
      </c>
      <c r="R85" s="96">
        <v>2</v>
      </c>
      <c r="S85" s="96">
        <v>38</v>
      </c>
      <c r="T85" s="96">
        <v>47</v>
      </c>
      <c r="U85" s="96" t="s">
        <v>3536</v>
      </c>
      <c r="V85" s="96">
        <v>0.5</v>
      </c>
      <c r="W85" s="96">
        <v>6</v>
      </c>
      <c r="X85" s="96">
        <v>14</v>
      </c>
      <c r="Y85" s="96" t="s">
        <v>2384</v>
      </c>
      <c r="Z85" s="96">
        <v>18</v>
      </c>
      <c r="AA85" s="96" t="str">
        <f t="shared" si="9"/>
        <v>DA_WPN_Axe_WedgeAxe_o_fin</v>
      </c>
      <c r="AB85" s="90" t="str">
        <f t="shared" si="12"/>
        <v>/Game/DungeonSiege/Items/Weapons/Axe/DA_WPN_Axe_WedgeAxe_o_fin</v>
      </c>
      <c r="AC85" s="97" t="str">
        <f t="shared" si="10"/>
        <v>Texture2D'/Game/DungeonSiege/art/bitmaps/gui/in_game/inventory/weapons/Axe/b_gui_ig_i_w_axe_150.b_gui_ig_i_w_axe_150'</v>
      </c>
      <c r="AD85" s="97" t="str">
        <f t="shared" si="7"/>
        <v>Texture2D'/Game/DungeonSiege/art/bitmaps/gui/in_game/inventory/icons/b_gui_ig_i_ic_axe_005.b_gui_ig_i_ic_axe_005'</v>
      </c>
      <c r="AE85" s="97" t="str">
        <f t="shared" si="13"/>
        <v>StaticMesh'/Game/DungeonSiege/art/meshes/weapons/Axe/m_w_axe_056_AspMesh.m_w_axe_056_AspMesh'</v>
      </c>
    </row>
    <row r="86" spans="1:31" ht="15.75" thickBot="1" x14ac:dyDescent="0.3">
      <c r="A86" s="95">
        <v>84</v>
      </c>
      <c r="B86" s="95">
        <f>A86+Items!B$18</f>
        <v>84934740</v>
      </c>
      <c r="C86" s="96" t="s">
        <v>6566</v>
      </c>
      <c r="D86" s="96" t="s">
        <v>6560</v>
      </c>
      <c r="E86" s="95" t="str">
        <f t="shared" si="11"/>
        <v>1H</v>
      </c>
      <c r="F86" s="95" t="s">
        <v>6812</v>
      </c>
      <c r="G86" s="95"/>
      <c r="H86" s="95"/>
      <c r="I86" s="95"/>
      <c r="J86" s="95"/>
      <c r="K86" s="95"/>
      <c r="L86" s="96" t="s">
        <v>6653</v>
      </c>
      <c r="M86" s="96" t="s">
        <v>6760</v>
      </c>
      <c r="N86" s="96" t="s">
        <v>6721</v>
      </c>
      <c r="O86" s="95" t="str">
        <f t="shared" si="8"/>
        <v>FALSE</v>
      </c>
      <c r="P86" s="95"/>
      <c r="Q86" s="96">
        <v>1</v>
      </c>
      <c r="R86" s="96">
        <v>2</v>
      </c>
      <c r="S86" s="96">
        <v>91</v>
      </c>
      <c r="T86" s="96">
        <v>111</v>
      </c>
      <c r="U86" s="96" t="s">
        <v>3536</v>
      </c>
      <c r="V86" s="96">
        <v>0.5</v>
      </c>
      <c r="W86" s="96">
        <v>22</v>
      </c>
      <c r="X86" s="96">
        <v>28</v>
      </c>
      <c r="Y86" s="96" t="s">
        <v>2384</v>
      </c>
      <c r="Z86" s="96">
        <v>33</v>
      </c>
      <c r="AA86" s="96" t="str">
        <f t="shared" si="9"/>
        <v>DA_WPN_Axe_WedgeAxe_o_mag</v>
      </c>
      <c r="AB86" s="90" t="str">
        <f t="shared" si="12"/>
        <v>/Game/DungeonSiege/Items/Weapons/Axe/DA_WPN_Axe_WedgeAxe_o_mag</v>
      </c>
      <c r="AC86" s="97" t="str">
        <f t="shared" si="10"/>
        <v>Texture2D'/Game/DungeonSiege/art/bitmaps/gui/in_game/inventory/weapons/Axe/b_gui_ig_i_w_axe_152.b_gui_ig_i_w_axe_152'</v>
      </c>
      <c r="AD86" s="97" t="str">
        <f t="shared" si="7"/>
        <v>Texture2D'/Game/DungeonSiege/art/bitmaps/gui/in_game/inventory/icons/b_gui_ig_i_ic_axe_005.b_gui_ig_i_ic_axe_005'</v>
      </c>
      <c r="AE86" s="97" t="str">
        <f t="shared" si="13"/>
        <v>StaticMesh'/Game/DungeonSiege/art/meshes/weapons/Axe/m_w_axe_058_AspMesh.m_w_axe_058_AspMesh'</v>
      </c>
    </row>
    <row r="87" spans="1:31" ht="15.75" thickBot="1" x14ac:dyDescent="0.3">
      <c r="A87" s="95">
        <v>85</v>
      </c>
      <c r="B87" s="95">
        <f>A87+Items!B$18</f>
        <v>84934741</v>
      </c>
      <c r="C87" s="96" t="s">
        <v>6567</v>
      </c>
      <c r="D87" s="96" t="s">
        <v>6560</v>
      </c>
      <c r="E87" s="95" t="str">
        <f t="shared" si="11"/>
        <v>1H</v>
      </c>
      <c r="F87" s="95" t="s">
        <v>6771</v>
      </c>
      <c r="G87" s="95"/>
      <c r="H87" s="95"/>
      <c r="I87" s="95"/>
      <c r="J87" s="95"/>
      <c r="K87" s="95"/>
      <c r="L87" s="96" t="s">
        <v>6654</v>
      </c>
      <c r="M87" s="96" t="s">
        <v>6761</v>
      </c>
      <c r="N87" s="96" t="s">
        <v>6721</v>
      </c>
      <c r="O87" s="95" t="str">
        <f t="shared" si="8"/>
        <v>FALSE</v>
      </c>
      <c r="P87" s="95"/>
      <c r="Q87" s="96">
        <v>1</v>
      </c>
      <c r="R87" s="96">
        <v>3</v>
      </c>
      <c r="S87" s="96">
        <v>60</v>
      </c>
      <c r="T87" s="96">
        <v>74</v>
      </c>
      <c r="U87" s="96" t="s">
        <v>3536</v>
      </c>
      <c r="V87" s="96">
        <v>0.5</v>
      </c>
      <c r="W87" s="96">
        <v>15</v>
      </c>
      <c r="X87" s="96">
        <v>22</v>
      </c>
      <c r="Y87" s="96" t="s">
        <v>2384</v>
      </c>
      <c r="Z87" s="96">
        <v>24</v>
      </c>
      <c r="AA87" s="96" t="str">
        <f t="shared" si="9"/>
        <v>DA_WPN_Axe_WedgeAxe_o_str</v>
      </c>
      <c r="AB87" s="90" t="str">
        <f t="shared" si="12"/>
        <v>/Game/DungeonSiege/Items/Weapons/Axe/DA_WPN_Axe_WedgeAxe_o_str</v>
      </c>
      <c r="AC87" s="97" t="str">
        <f t="shared" si="10"/>
        <v>Texture2D'/Game/DungeonSiege/art/bitmaps/gui/in_game/inventory/weapons/Axe/b_gui_ig_i_w_axe_151.b_gui_ig_i_w_axe_151'</v>
      </c>
      <c r="AD87" s="97" t="str">
        <f t="shared" si="7"/>
        <v>Texture2D'/Game/DungeonSiege/art/bitmaps/gui/in_game/inventory/icons/b_gui_ig_i_ic_axe_005.b_gui_ig_i_ic_axe_005'</v>
      </c>
      <c r="AE87" s="97" t="str">
        <f t="shared" si="13"/>
        <v>StaticMesh'/Game/DungeonSiege/art/meshes/weapons/Axe/m_w_axe_057_AspMesh.m_w_axe_057_AspMesh'</v>
      </c>
    </row>
    <row r="88" spans="1:31" ht="15.75" thickBot="1" x14ac:dyDescent="0.3">
      <c r="A88" s="95">
        <v>86</v>
      </c>
      <c r="B88" s="95">
        <f>A88+Items!B$18</f>
        <v>84934742</v>
      </c>
      <c r="C88" s="96" t="s">
        <v>6568</v>
      </c>
      <c r="D88" s="96" t="s">
        <v>6568</v>
      </c>
      <c r="E88" s="95" t="str">
        <f t="shared" si="11"/>
        <v>2H</v>
      </c>
      <c r="F88" s="95" t="s">
        <v>6772</v>
      </c>
      <c r="G88" s="95"/>
      <c r="H88" s="95"/>
      <c r="I88" s="95"/>
      <c r="J88" s="95"/>
      <c r="K88" s="95"/>
      <c r="L88" s="96" t="s">
        <v>6655</v>
      </c>
      <c r="M88" s="96" t="s">
        <v>6753</v>
      </c>
      <c r="N88" s="96" t="s">
        <v>6675</v>
      </c>
      <c r="O88" s="95" t="str">
        <f t="shared" si="8"/>
        <v>FALSE</v>
      </c>
      <c r="P88" s="95"/>
      <c r="Q88" s="96">
        <v>1</v>
      </c>
      <c r="R88" s="96">
        <v>3</v>
      </c>
      <c r="S88" s="96">
        <v>52</v>
      </c>
      <c r="T88" s="96">
        <v>66</v>
      </c>
      <c r="U88" s="96" t="s">
        <v>3535</v>
      </c>
      <c r="V88" s="96">
        <v>0.5</v>
      </c>
      <c r="W88" s="96">
        <v>0</v>
      </c>
      <c r="X88" s="96">
        <v>0</v>
      </c>
      <c r="Y88" s="96" t="s">
        <v>2384</v>
      </c>
      <c r="Z88" s="96">
        <v>20</v>
      </c>
      <c r="AA88" s="96" t="str">
        <f t="shared" si="9"/>
        <v>DA_WPN_Axe_WornFieldAxe</v>
      </c>
      <c r="AB88" s="90" t="str">
        <f t="shared" si="12"/>
        <v>/Game/DungeonSiege/Items/Weapons/Axe/DA_WPN_Axe_WornFieldAxe</v>
      </c>
      <c r="AC88" s="97" t="str">
        <f t="shared" si="10"/>
        <v>Texture2D'/Game/DungeonSiege/art/bitmaps/gui/in_game/inventory/weapons/Axe/b_gui_ig_i_w_axe_165.b_gui_ig_i_w_axe_165'</v>
      </c>
      <c r="AD88" s="97" t="str">
        <f t="shared" si="7"/>
        <v>Texture2D'/Game/DungeonSiege/art/bitmaps/gui/in_game/inventory/icons/b_gui_ig_i_ic_axe_003.b_gui_ig_i_ic_axe_003'</v>
      </c>
      <c r="AE88" s="97" t="str">
        <f t="shared" si="13"/>
        <v>StaticMesh'/Game/DungeonSiege/art/meshes/weapons/Axe/m_w_axe_071_AspMesh.m_w_axe_071_AspMesh'</v>
      </c>
    </row>
    <row r="89" spans="1:31" ht="15.75" thickBot="1" x14ac:dyDescent="0.3">
      <c r="A89" s="95">
        <v>87</v>
      </c>
      <c r="B89" s="95">
        <f>A89+Items!B$18</f>
        <v>84934743</v>
      </c>
      <c r="C89" s="96" t="s">
        <v>6569</v>
      </c>
      <c r="D89" s="96" t="s">
        <v>6569</v>
      </c>
      <c r="E89" s="95" t="str">
        <f t="shared" si="11"/>
        <v>1H</v>
      </c>
      <c r="F89" s="95" t="s">
        <v>6773</v>
      </c>
      <c r="G89" s="95"/>
      <c r="H89" s="95"/>
      <c r="I89" s="95"/>
      <c r="J89" s="95"/>
      <c r="K89" s="95"/>
      <c r="L89" s="96" t="s">
        <v>6656</v>
      </c>
      <c r="M89" s="96" t="s">
        <v>6752</v>
      </c>
      <c r="N89" s="96" t="s">
        <v>6678</v>
      </c>
      <c r="O89" s="95" t="str">
        <f t="shared" si="8"/>
        <v>FALSE</v>
      </c>
      <c r="P89" s="95"/>
      <c r="Q89" s="96">
        <v>1</v>
      </c>
      <c r="R89" s="96">
        <v>2</v>
      </c>
      <c r="S89" s="96">
        <v>23</v>
      </c>
      <c r="T89" s="96">
        <v>28</v>
      </c>
      <c r="U89" s="96" t="s">
        <v>3536</v>
      </c>
      <c r="V89" s="96">
        <v>0.5</v>
      </c>
      <c r="W89" s="96">
        <v>0</v>
      </c>
      <c r="X89" s="96">
        <v>0</v>
      </c>
      <c r="Y89" s="96" t="s">
        <v>2384</v>
      </c>
      <c r="Z89" s="96">
        <v>15</v>
      </c>
      <c r="AA89" s="96" t="str">
        <f t="shared" si="9"/>
        <v>DA_WPN_Axe_WornFullAxe</v>
      </c>
      <c r="AB89" s="90" t="str">
        <f t="shared" si="12"/>
        <v>/Game/DungeonSiege/Items/Weapons/Axe/DA_WPN_Axe_WornFullAxe</v>
      </c>
      <c r="AC89" s="97" t="str">
        <f t="shared" si="10"/>
        <v>Texture2D'/Game/DungeonSiege/art/bitmaps/gui/in_game/inventory/weapons/Axe/b_gui_ig_i_w_axe_153.b_gui_ig_i_w_axe_153'</v>
      </c>
      <c r="AD89" s="97" t="str">
        <f t="shared" si="7"/>
        <v>Texture2D'/Game/DungeonSiege/art/bitmaps/gui/in_game/inventory/icons/b_gui_ig_i_ic_axe_002.b_gui_ig_i_ic_axe_002'</v>
      </c>
      <c r="AE89" s="97" t="str">
        <f t="shared" si="13"/>
        <v>StaticMesh'/Game/DungeonSiege/art/meshes/weapons/Axe/m_w_axe_059_AspMesh.m_w_axe_059_AspMesh'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ExportWeapons_Axe">
                <anchor moveWithCells="1" sizeWithCells="1">
                  <from>
                    <xdr:col>0</xdr:col>
                    <xdr:colOff>0</xdr:colOff>
                    <xdr:row>0</xdr:row>
                    <xdr:rowOff>28575</xdr:rowOff>
                  </from>
                  <to>
                    <xdr:col>0</xdr:col>
                    <xdr:colOff>838200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3AC96-EE4E-40EF-A9AF-4C7C33C839D2}">
  <sheetPr codeName="Sheet25"/>
  <dimension ref="A1:AE82"/>
  <sheetViews>
    <sheetView zoomScale="190" zoomScaleNormal="190" workbookViewId="0">
      <selection activeCell="A80" sqref="A80"/>
    </sheetView>
  </sheetViews>
  <sheetFormatPr defaultRowHeight="15" x14ac:dyDescent="0.25"/>
  <cols>
    <col min="1" max="1" width="14.85546875" style="1" customWidth="1"/>
    <col min="2" max="2" width="11.140625" style="1" customWidth="1"/>
    <col min="3" max="3" width="18.85546875" style="1" bestFit="1" customWidth="1"/>
    <col min="4" max="4" width="17" style="1" bestFit="1" customWidth="1"/>
    <col min="5" max="5" width="4.28515625" style="1" bestFit="1" customWidth="1"/>
    <col min="6" max="6" width="17.42578125" style="1" bestFit="1" customWidth="1"/>
    <col min="7" max="7" width="5.5703125" style="1" bestFit="1" customWidth="1"/>
    <col min="8" max="8" width="7" style="1" bestFit="1" customWidth="1"/>
    <col min="9" max="11" width="4.7109375" style="1" bestFit="1" customWidth="1"/>
    <col min="12" max="12" width="22.42578125" style="1" bestFit="1" customWidth="1"/>
    <col min="13" max="13" width="17.5703125" style="1" bestFit="1" customWidth="1"/>
    <col min="14" max="14" width="17.28515625" style="1" bestFit="1" customWidth="1"/>
    <col min="15" max="15" width="9.7109375" style="1" customWidth="1"/>
    <col min="16" max="16" width="6.28515625" style="1" bestFit="1" customWidth="1"/>
    <col min="17" max="18" width="8.42578125" style="1" bestFit="1" customWidth="1"/>
    <col min="19" max="19" width="9.140625" style="1"/>
    <col min="20" max="20" width="8.5703125" style="1" bestFit="1" customWidth="1"/>
    <col min="21" max="21" width="6" style="1" bestFit="1" customWidth="1"/>
    <col min="22" max="22" width="5.85546875" style="1" bestFit="1" customWidth="1"/>
    <col min="23" max="23" width="9" style="1" bestFit="1" customWidth="1"/>
    <col min="24" max="24" width="8.5703125" style="1" bestFit="1" customWidth="1"/>
    <col min="25" max="26" width="9.28515625" style="1" bestFit="1" customWidth="1"/>
    <col min="27" max="27" width="28" style="1" bestFit="1" customWidth="1"/>
    <col min="28" max="28" width="59" style="91" bestFit="1" customWidth="1"/>
    <col min="29" max="29" width="82.140625" style="91" bestFit="1" customWidth="1"/>
    <col min="30" max="30" width="75.5703125" style="91" bestFit="1" customWidth="1"/>
    <col min="31" max="31" width="81" style="91" bestFit="1" customWidth="1"/>
    <col min="32" max="16384" width="9.140625" style="1"/>
  </cols>
  <sheetData>
    <row r="1" spans="1:31" s="84" customFormat="1" ht="34.5" thickBot="1" x14ac:dyDescent="0.3">
      <c r="A1" s="30"/>
      <c r="B1" s="30" t="s">
        <v>28</v>
      </c>
      <c r="C1" s="30" t="s">
        <v>0</v>
      </c>
      <c r="D1" s="30" t="s">
        <v>3401</v>
      </c>
      <c r="E1" s="30" t="s">
        <v>3391</v>
      </c>
      <c r="F1" s="93" t="s">
        <v>3400</v>
      </c>
      <c r="G1" s="93" t="s">
        <v>3526</v>
      </c>
      <c r="H1" s="80" t="s">
        <v>2908</v>
      </c>
      <c r="I1" s="80" t="s">
        <v>2909</v>
      </c>
      <c r="J1" s="80" t="s">
        <v>2910</v>
      </c>
      <c r="K1" s="80" t="s">
        <v>2911</v>
      </c>
      <c r="L1" s="30" t="s">
        <v>2495</v>
      </c>
      <c r="M1" s="93" t="s">
        <v>406</v>
      </c>
      <c r="N1" s="93" t="s">
        <v>3399</v>
      </c>
      <c r="O1" s="93" t="s">
        <v>3398</v>
      </c>
      <c r="P1" s="93" t="s">
        <v>678</v>
      </c>
      <c r="Q1" s="93" t="s">
        <v>2502</v>
      </c>
      <c r="R1" s="93" t="s">
        <v>2501</v>
      </c>
      <c r="S1" s="30" t="s">
        <v>3392</v>
      </c>
      <c r="T1" s="30" t="s">
        <v>3393</v>
      </c>
      <c r="U1" s="30" t="s">
        <v>3394</v>
      </c>
      <c r="V1" s="30" t="s">
        <v>3395</v>
      </c>
      <c r="W1" s="30" t="s">
        <v>3397</v>
      </c>
      <c r="X1" s="30" t="s">
        <v>3396</v>
      </c>
      <c r="Y1" s="30" t="s">
        <v>2906</v>
      </c>
      <c r="Z1" s="30" t="s">
        <v>2907</v>
      </c>
      <c r="AA1" s="89" t="s">
        <v>335</v>
      </c>
      <c r="AB1" s="93" t="s">
        <v>334</v>
      </c>
      <c r="AC1" s="95" t="s">
        <v>5628</v>
      </c>
      <c r="AD1" s="95" t="s">
        <v>5629</v>
      </c>
      <c r="AE1" s="95" t="s">
        <v>5630</v>
      </c>
    </row>
    <row r="2" spans="1:31" ht="15.75" thickBot="1" x14ac:dyDescent="0.3">
      <c r="A2" s="95">
        <v>0</v>
      </c>
      <c r="B2" s="95">
        <f>A2+Items!B$26</f>
        <v>93323264</v>
      </c>
      <c r="C2" s="96" t="s">
        <v>5741</v>
      </c>
      <c r="D2" s="96" t="s">
        <v>5741</v>
      </c>
      <c r="E2" s="96" t="s">
        <v>3524</v>
      </c>
      <c r="F2" s="96" t="s">
        <v>5820</v>
      </c>
      <c r="G2" s="96"/>
      <c r="H2" s="96" t="b">
        <v>1</v>
      </c>
      <c r="I2" s="96"/>
      <c r="J2" s="96"/>
      <c r="K2" s="96"/>
      <c r="L2" s="96" t="s">
        <v>5821</v>
      </c>
      <c r="M2" s="96" t="s">
        <v>5822</v>
      </c>
      <c r="N2" s="96" t="s">
        <v>5823</v>
      </c>
      <c r="O2" s="95" t="str">
        <f t="shared" ref="O2:O14" si="0">IF(OR(I2=TRUE,J2=TRUE,K2=TRUE),"TRUE","FALSE")</f>
        <v>FALSE</v>
      </c>
      <c r="P2" s="95"/>
      <c r="Q2" s="96">
        <v>1</v>
      </c>
      <c r="R2" s="96">
        <v>4</v>
      </c>
      <c r="S2" s="96">
        <v>1</v>
      </c>
      <c r="T2" s="96">
        <v>1</v>
      </c>
      <c r="U2" s="96"/>
      <c r="V2" s="96"/>
      <c r="W2" s="96">
        <v>0</v>
      </c>
      <c r="X2" s="96">
        <v>0</v>
      </c>
      <c r="Y2" s="96"/>
      <c r="Z2" s="96"/>
      <c r="AA2" s="96" t="str">
        <f>CONCATENATE("DA_WPN_Staff_",SUBSTITUTE(SUBSTITUTE(SUBSTITUTE(C2," ",""),"(","_"),")",""))</f>
        <v>DA_WPN_Staff_Hoe</v>
      </c>
      <c r="AB2" s="90" t="str">
        <f>"/Game/DungeonSiege/Items/Weapons/staff/" &amp; AA2</f>
        <v>/Game/DungeonSiege/Items/Weapons/staff/DA_WPN_Staff_Hoe</v>
      </c>
      <c r="AC2" s="97" t="str">
        <f>CONCATENATE("Texture2D'/Game/DungeonSiege/art/bitmaps/gui/in_game/inventory/weapons/staff/",M2,".",M2,"'")</f>
        <v>Texture2D'/Game/DungeonSiege/art/bitmaps/gui/in_game/inventory/weapons/staff/b_gui_ig_i_w_msc_017.b_gui_ig_i_w_msc_017'</v>
      </c>
      <c r="AD2" s="97" t="str">
        <f t="shared" ref="AD2:AD6" si="1">CONCATENATE("Texture2D'/Game/DungeonSiege/art/bitmaps/gui/in_game/inventory/icons/",N2,".",N2,"'")</f>
        <v>Texture2D'/Game/DungeonSiege/art/bitmaps/gui/in_game/inventory/icons/b_gui_ig_i_ic_ms_ho.b_gui_ig_i_ic_ms_ho'</v>
      </c>
      <c r="AE2" s="97" t="str">
        <f>CONCATENATE("StaticMesh'/Game/DungeonSiege/art/meshes/weapons/Misc/",F2,"_AspMesh.",F2,"_AspMesh'")</f>
        <v>StaticMesh'/Game/DungeonSiege/art/meshes/weapons/Misc/m_w_misc_hoe_AspMesh.m_w_misc_hoe_AspMesh'</v>
      </c>
    </row>
    <row r="3" spans="1:31" ht="15.75" thickBot="1" x14ac:dyDescent="0.3">
      <c r="A3" s="95">
        <v>1</v>
      </c>
      <c r="B3" s="95">
        <f>A3+Items!B$26</f>
        <v>93323265</v>
      </c>
      <c r="C3" s="96" t="s">
        <v>5742</v>
      </c>
      <c r="D3" s="96" t="s">
        <v>5742</v>
      </c>
      <c r="E3" s="96" t="s">
        <v>3524</v>
      </c>
      <c r="F3" s="96" t="s">
        <v>5824</v>
      </c>
      <c r="G3" s="96"/>
      <c r="H3" s="96" t="b">
        <v>1</v>
      </c>
      <c r="I3" s="96"/>
      <c r="J3" s="96"/>
      <c r="K3" s="96"/>
      <c r="L3" s="96" t="s">
        <v>5825</v>
      </c>
      <c r="M3" s="96" t="s">
        <v>5822</v>
      </c>
      <c r="N3" s="96" t="s">
        <v>5823</v>
      </c>
      <c r="O3" s="95" t="str">
        <f t="shared" si="0"/>
        <v>FALSE</v>
      </c>
      <c r="P3" s="95"/>
      <c r="Q3" s="96">
        <v>1</v>
      </c>
      <c r="R3" s="96">
        <v>4</v>
      </c>
      <c r="S3" s="96">
        <v>6</v>
      </c>
      <c r="T3" s="96">
        <v>10</v>
      </c>
      <c r="U3" s="96"/>
      <c r="V3" s="96"/>
      <c r="W3" s="96">
        <v>0</v>
      </c>
      <c r="X3" s="96">
        <v>0</v>
      </c>
      <c r="Y3" s="96"/>
      <c r="Z3" s="96"/>
      <c r="AA3" s="96" t="str">
        <f t="shared" ref="AA3:AA66" si="2">CONCATENATE("DA_WPN_Staff_",SUBSTITUTE(SUBSTITUTE(SUBSTITUTE(C3," ",""),"(","_"),")",""))</f>
        <v>DA_WPN_Staff_Pitchfork</v>
      </c>
      <c r="AB3" s="90" t="str">
        <f t="shared" ref="AB3:AB66" si="3">"/Game/DungeonSiege/Items/Weapons/staff/" &amp; AA3</f>
        <v>/Game/DungeonSiege/Items/Weapons/staff/DA_WPN_Staff_Pitchfork</v>
      </c>
      <c r="AC3" s="97" t="str">
        <f t="shared" ref="AC3:AC66" si="4">CONCATENATE("Texture2D'/Game/DungeonSiege/art/bitmaps/gui/in_game/inventory/weapons/staff/",M3,".",M3,"'")</f>
        <v>Texture2D'/Game/DungeonSiege/art/bitmaps/gui/in_game/inventory/weapons/staff/b_gui_ig_i_w_msc_017.b_gui_ig_i_w_msc_017'</v>
      </c>
      <c r="AD3" s="97" t="str">
        <f t="shared" si="1"/>
        <v>Texture2D'/Game/DungeonSiege/art/bitmaps/gui/in_game/inventory/icons/b_gui_ig_i_ic_ms_ho.b_gui_ig_i_ic_ms_ho'</v>
      </c>
      <c r="AE3" s="97" t="str">
        <f>CONCATENATE("StaticMesh'/Game/DungeonSiege/art/meshes/weapons/Misc/",F3,"_AspMesh.",F3,"_AspMesh'")</f>
        <v>StaticMesh'/Game/DungeonSiege/art/meshes/weapons/Misc/m_w_misc_pitchfork_AspMesh.m_w_misc_pitchfork_AspMesh'</v>
      </c>
    </row>
    <row r="4" spans="1:31" ht="15.75" thickBot="1" x14ac:dyDescent="0.3">
      <c r="A4" s="95">
        <v>2</v>
      </c>
      <c r="B4" s="95">
        <f>A4+Items!B$26</f>
        <v>93323266</v>
      </c>
      <c r="C4" s="96" t="s">
        <v>5743</v>
      </c>
      <c r="D4" s="96" t="s">
        <v>5743</v>
      </c>
      <c r="E4" s="96" t="s">
        <v>3524</v>
      </c>
      <c r="F4" s="96" t="s">
        <v>5824</v>
      </c>
      <c r="G4" s="96"/>
      <c r="H4" s="96" t="b">
        <v>1</v>
      </c>
      <c r="I4" s="96"/>
      <c r="J4" s="96"/>
      <c r="K4" s="96"/>
      <c r="L4" s="96" t="s">
        <v>5826</v>
      </c>
      <c r="M4" s="96" t="s">
        <v>5827</v>
      </c>
      <c r="N4" s="96" t="s">
        <v>5828</v>
      </c>
      <c r="O4" s="95" t="str">
        <f t="shared" si="0"/>
        <v>FALSE</v>
      </c>
      <c r="P4" s="95"/>
      <c r="Q4" s="96">
        <v>1</v>
      </c>
      <c r="R4" s="96">
        <v>4</v>
      </c>
      <c r="S4" s="96">
        <v>2</v>
      </c>
      <c r="T4" s="96">
        <v>4</v>
      </c>
      <c r="U4" s="96"/>
      <c r="V4" s="96"/>
      <c r="W4" s="96">
        <v>0</v>
      </c>
      <c r="X4" s="96">
        <v>0</v>
      </c>
      <c r="Y4" s="96"/>
      <c r="Z4" s="96"/>
      <c r="AA4" s="96" t="str">
        <f t="shared" si="2"/>
        <v>DA_WPN_Staff_DullPitchfork</v>
      </c>
      <c r="AB4" s="90" t="str">
        <f t="shared" si="3"/>
        <v>/Game/DungeonSiege/Items/Weapons/staff/DA_WPN_Staff_DullPitchfork</v>
      </c>
      <c r="AC4" s="97" t="str">
        <f t="shared" si="4"/>
        <v>Texture2D'/Game/DungeonSiege/art/bitmaps/gui/in_game/inventory/weapons/staff/b_gui_ig_i_w_msc_005.b_gui_ig_i_w_msc_005'</v>
      </c>
      <c r="AD4" s="97" t="str">
        <f t="shared" si="1"/>
        <v>Texture2D'/Game/DungeonSiege/art/bitmaps/gui/in_game/inventory/icons/b_gui_ig_i_ic_stf_001.b_gui_ig_i_ic_stf_001'</v>
      </c>
      <c r="AE4" s="97" t="str">
        <f>CONCATENATE("StaticMesh'/Game/DungeonSiege/art/meshes/weapons/Misc/",F4,"_AspMesh.",F4,"_AspMesh'")</f>
        <v>StaticMesh'/Game/DungeonSiege/art/meshes/weapons/Misc/m_w_misc_pitchfork_AspMesh.m_w_misc_pitchfork_AspMesh'</v>
      </c>
    </row>
    <row r="5" spans="1:31" ht="15.75" thickBot="1" x14ac:dyDescent="0.3">
      <c r="A5" s="95">
        <v>3</v>
      </c>
      <c r="B5" s="95">
        <f>A5+Items!B$26</f>
        <v>93323267</v>
      </c>
      <c r="C5" s="96" t="s">
        <v>5744</v>
      </c>
      <c r="D5" s="96" t="s">
        <v>5744</v>
      </c>
      <c r="E5" s="96" t="s">
        <v>3524</v>
      </c>
      <c r="F5" s="96" t="s">
        <v>5829</v>
      </c>
      <c r="G5" s="96"/>
      <c r="H5" s="96" t="b">
        <v>1</v>
      </c>
      <c r="I5" s="96"/>
      <c r="J5" s="96"/>
      <c r="K5" s="96"/>
      <c r="L5" s="96" t="s">
        <v>5830</v>
      </c>
      <c r="M5" s="96" t="s">
        <v>5831</v>
      </c>
      <c r="N5" s="96" t="s">
        <v>5832</v>
      </c>
      <c r="O5" s="95" t="str">
        <f t="shared" si="0"/>
        <v>FALSE</v>
      </c>
      <c r="P5" s="95"/>
      <c r="Q5" s="96">
        <v>1</v>
      </c>
      <c r="R5" s="96">
        <v>4</v>
      </c>
      <c r="S5" s="96">
        <v>1</v>
      </c>
      <c r="T5" s="96">
        <v>2</v>
      </c>
      <c r="U5" s="96"/>
      <c r="V5" s="96"/>
      <c r="W5" s="96"/>
      <c r="X5" s="96"/>
      <c r="Y5" s="96"/>
      <c r="Z5" s="96"/>
      <c r="AA5" s="96" t="str">
        <f t="shared" si="2"/>
        <v>DA_WPN_Staff_Rake</v>
      </c>
      <c r="AB5" s="90" t="str">
        <f t="shared" si="3"/>
        <v>/Game/DungeonSiege/Items/Weapons/staff/DA_WPN_Staff_Rake</v>
      </c>
      <c r="AC5" s="97" t="str">
        <f t="shared" si="4"/>
        <v>Texture2D'/Game/DungeonSiege/art/bitmaps/gui/in_game/inventory/weapons/staff/b_gui_ig_i_w_msc_004.b_gui_ig_i_w_msc_004'</v>
      </c>
      <c r="AD5" s="97" t="str">
        <f t="shared" si="1"/>
        <v>Texture2D'/Game/DungeonSiege/art/bitmaps/gui/in_game/inventory/icons/b_gui_ig_i_ic_msc_006.b_gui_ig_i_ic_msc_006'</v>
      </c>
      <c r="AE5" s="97" t="str">
        <f>CONCATENATE("StaticMesh'/Game/DungeonSiege/art/meshes/weapons/Misc/",F5,"_AspMesh.",F5,"_AspMesh'")</f>
        <v>StaticMesh'/Game/DungeonSiege/art/meshes/weapons/Misc/m_w_misc_rake_AspMesh.m_w_misc_rake_AspMesh'</v>
      </c>
    </row>
    <row r="6" spans="1:31" ht="15.75" thickBot="1" x14ac:dyDescent="0.3">
      <c r="A6" s="95">
        <v>4</v>
      </c>
      <c r="B6" s="95">
        <f>A6+Items!B$26</f>
        <v>93323268</v>
      </c>
      <c r="C6" s="96" t="s">
        <v>5745</v>
      </c>
      <c r="D6" s="96" t="s">
        <v>5745</v>
      </c>
      <c r="E6" s="96" t="s">
        <v>3524</v>
      </c>
      <c r="F6" s="96" t="s">
        <v>5833</v>
      </c>
      <c r="G6" s="96"/>
      <c r="H6" s="96" t="b">
        <v>1</v>
      </c>
      <c r="I6" s="96"/>
      <c r="J6" s="96"/>
      <c r="K6" s="96"/>
      <c r="L6" s="96" t="s">
        <v>5834</v>
      </c>
      <c r="M6" s="96" t="s">
        <v>5835</v>
      </c>
      <c r="N6" s="96" t="s">
        <v>5836</v>
      </c>
      <c r="O6" s="95" t="str">
        <f t="shared" si="0"/>
        <v>FALSE</v>
      </c>
      <c r="P6" s="95"/>
      <c r="Q6" s="96">
        <v>1</v>
      </c>
      <c r="R6" s="96">
        <v>4</v>
      </c>
      <c r="S6" s="96">
        <v>1</v>
      </c>
      <c r="T6" s="96">
        <v>3</v>
      </c>
      <c r="U6" s="96"/>
      <c r="V6" s="96"/>
      <c r="W6" s="96"/>
      <c r="X6" s="96"/>
      <c r="Y6" s="96"/>
      <c r="Z6" s="96"/>
      <c r="AA6" s="96" t="str">
        <f t="shared" si="2"/>
        <v>DA_WPN_Staff_Shovel</v>
      </c>
      <c r="AB6" s="90" t="str">
        <f t="shared" si="3"/>
        <v>/Game/DungeonSiege/Items/Weapons/staff/DA_WPN_Staff_Shovel</v>
      </c>
      <c r="AC6" s="97" t="str">
        <f t="shared" si="4"/>
        <v>Texture2D'/Game/DungeonSiege/art/bitmaps/gui/in_game/inventory/weapons/staff/b_gui_ig_i_w_msc_002.b_gui_ig_i_w_msc_002'</v>
      </c>
      <c r="AD6" s="97" t="str">
        <f t="shared" si="1"/>
        <v>Texture2D'/Game/DungeonSiege/art/bitmaps/gui/in_game/inventory/icons/b_gui_ig_i_ic_msc_005.b_gui_ig_i_ic_msc_005'</v>
      </c>
      <c r="AE6" s="97" t="str">
        <f>CONCATENATE("StaticMesh'/Game/DungeonSiege/art/meshes/weapons/Misc/",F6,"_AspMesh.",F6,"_AspMesh'")</f>
        <v>StaticMesh'/Game/DungeonSiege/art/meshes/weapons/Misc/m_w_misc_shovel_AspMesh.m_w_misc_shovel_AspMesh'</v>
      </c>
    </row>
    <row r="7" spans="1:31" ht="15.75" thickBot="1" x14ac:dyDescent="0.3">
      <c r="A7" s="95">
        <v>5</v>
      </c>
      <c r="B7" s="95">
        <f>A7+Items!B$26</f>
        <v>93323269</v>
      </c>
      <c r="C7" s="96" t="s">
        <v>5746</v>
      </c>
      <c r="D7" s="96" t="s">
        <v>5746</v>
      </c>
      <c r="E7" s="96" t="s">
        <v>3524</v>
      </c>
      <c r="F7" s="96" t="s">
        <v>5837</v>
      </c>
      <c r="G7" s="96"/>
      <c r="H7" s="96" t="b">
        <v>1</v>
      </c>
      <c r="I7" s="96" t="b">
        <v>1</v>
      </c>
      <c r="J7" s="96"/>
      <c r="K7" s="96"/>
      <c r="L7" s="96" t="s">
        <v>5838</v>
      </c>
      <c r="M7" s="96" t="s">
        <v>5839</v>
      </c>
      <c r="N7" s="96" t="s">
        <v>5840</v>
      </c>
      <c r="O7" s="95" t="str">
        <f t="shared" si="0"/>
        <v>TRUE</v>
      </c>
      <c r="P7" s="95"/>
      <c r="Q7" s="96">
        <v>1</v>
      </c>
      <c r="R7" s="96">
        <v>4</v>
      </c>
      <c r="S7" s="96">
        <v>49</v>
      </c>
      <c r="T7" s="96">
        <v>73</v>
      </c>
      <c r="U7" s="96"/>
      <c r="V7" s="96"/>
      <c r="W7" s="96">
        <v>0</v>
      </c>
      <c r="X7" s="96">
        <v>3</v>
      </c>
      <c r="Y7" s="96" t="s">
        <v>2470</v>
      </c>
      <c r="Z7" s="96">
        <v>23</v>
      </c>
      <c r="AA7" s="96" t="str">
        <f t="shared" si="2"/>
        <v>DA_WPN_Staff_BladedStaff</v>
      </c>
      <c r="AB7" s="90" t="str">
        <f t="shared" si="3"/>
        <v>/Game/DungeonSiege/Items/Weapons/staff/DA_WPN_Staff_BladedStaff</v>
      </c>
      <c r="AC7" s="97" t="str">
        <f t="shared" si="4"/>
        <v>Texture2D'/Game/DungeonSiege/art/bitmaps/gui/in_game/inventory/weapons/staff/b_gui_ig_i_w_stf_116.b_gui_ig_i_w_stf_116'</v>
      </c>
      <c r="AD7" s="97" t="str">
        <f t="shared" ref="AD7:AD70" si="5">CONCATENATE("Texture2D'/Game/DungeonSiege/art/bitmaps/gui/in_game/inventory/icons/",N7,".",N7,"'")</f>
        <v>Texture2D'/Game/DungeonSiege/art/bitmaps/gui/in_game/inventory/icons/b_gui_ig_i_ic_stf_003.b_gui_ig_i_ic_stf_003'</v>
      </c>
      <c r="AE7" s="97" t="str">
        <f t="shared" ref="AE7:AE70" si="6">CONCATENATE("StaticMesh'/Game/DungeonSiege/art/meshes/weapons/staff/",F7,"_AspMesh.",F7,"_AspMesh'")</f>
        <v>StaticMesh'/Game/DungeonSiege/art/meshes/weapons/staff/m_w_stf_075_AspMesh.m_w_stf_075_AspMesh'</v>
      </c>
    </row>
    <row r="8" spans="1:31" ht="15.75" thickBot="1" x14ac:dyDescent="0.3">
      <c r="A8" s="95">
        <v>6</v>
      </c>
      <c r="B8" s="95">
        <f>A8+Items!B$26</f>
        <v>93323270</v>
      </c>
      <c r="C8" s="96" t="s">
        <v>5747</v>
      </c>
      <c r="D8" s="96" t="s">
        <v>5746</v>
      </c>
      <c r="E8" s="96" t="s">
        <v>3524</v>
      </c>
      <c r="F8" s="96" t="s">
        <v>5841</v>
      </c>
      <c r="G8" s="96" t="s">
        <v>3531</v>
      </c>
      <c r="H8" s="96" t="b">
        <v>1</v>
      </c>
      <c r="I8" s="96" t="b">
        <v>1</v>
      </c>
      <c r="J8" s="96"/>
      <c r="K8" s="96"/>
      <c r="L8" s="96" t="s">
        <v>5842</v>
      </c>
      <c r="M8" s="96" t="s">
        <v>5843</v>
      </c>
      <c r="N8" s="96" t="s">
        <v>5840</v>
      </c>
      <c r="O8" s="95" t="str">
        <f t="shared" si="0"/>
        <v>TRUE</v>
      </c>
      <c r="P8" s="95"/>
      <c r="Q8" s="96">
        <v>1</v>
      </c>
      <c r="R8" s="96">
        <v>4</v>
      </c>
      <c r="S8" s="96">
        <v>56</v>
      </c>
      <c r="T8" s="96">
        <v>84</v>
      </c>
      <c r="U8" s="96"/>
      <c r="V8" s="96"/>
      <c r="W8" s="96">
        <v>2</v>
      </c>
      <c r="X8" s="96">
        <v>9</v>
      </c>
      <c r="Y8" s="96" t="s">
        <v>2470</v>
      </c>
      <c r="Z8" s="96">
        <v>25</v>
      </c>
      <c r="AA8" s="96" t="str">
        <f t="shared" si="2"/>
        <v>DA_WPN_Staff_BladedStaff_c_fin</v>
      </c>
      <c r="AB8" s="90" t="str">
        <f t="shared" si="3"/>
        <v>/Game/DungeonSiege/Items/Weapons/staff/DA_WPN_Staff_BladedStaff_c_fin</v>
      </c>
      <c r="AC8" s="97" t="str">
        <f t="shared" si="4"/>
        <v>Texture2D'/Game/DungeonSiege/art/bitmaps/gui/in_game/inventory/weapons/staff/b_gui_ig_i_w_stf_117.b_gui_ig_i_w_stf_117'</v>
      </c>
      <c r="AD8" s="97" t="str">
        <f t="shared" si="5"/>
        <v>Texture2D'/Game/DungeonSiege/art/bitmaps/gui/in_game/inventory/icons/b_gui_ig_i_ic_stf_003.b_gui_ig_i_ic_stf_003'</v>
      </c>
      <c r="AE8" s="97" t="str">
        <f t="shared" si="6"/>
        <v>StaticMesh'/Game/DungeonSiege/art/meshes/weapons/staff/m_w_stf_076_AspMesh.m_w_stf_076_AspMesh'</v>
      </c>
    </row>
    <row r="9" spans="1:31" ht="15.75" thickBot="1" x14ac:dyDescent="0.3">
      <c r="A9" s="95">
        <v>7</v>
      </c>
      <c r="B9" s="95">
        <f>A9+Items!B$26</f>
        <v>93323271</v>
      </c>
      <c r="C9" s="96" t="s">
        <v>5748</v>
      </c>
      <c r="D9" s="96" t="s">
        <v>5746</v>
      </c>
      <c r="E9" s="96" t="s">
        <v>3524</v>
      </c>
      <c r="F9" s="96" t="s">
        <v>5844</v>
      </c>
      <c r="G9" s="96" t="s">
        <v>3529</v>
      </c>
      <c r="H9" s="96" t="b">
        <v>1</v>
      </c>
      <c r="I9" s="96" t="b">
        <v>1</v>
      </c>
      <c r="J9" s="96"/>
      <c r="K9" s="96"/>
      <c r="L9" s="96" t="s">
        <v>5845</v>
      </c>
      <c r="M9" s="96" t="s">
        <v>5846</v>
      </c>
      <c r="N9" s="96" t="s">
        <v>5840</v>
      </c>
      <c r="O9" s="95" t="str">
        <f t="shared" si="0"/>
        <v>TRUE</v>
      </c>
      <c r="P9" s="95"/>
      <c r="Q9" s="96">
        <v>1</v>
      </c>
      <c r="R9" s="96">
        <v>4</v>
      </c>
      <c r="S9" s="96">
        <v>152</v>
      </c>
      <c r="T9" s="96">
        <v>228</v>
      </c>
      <c r="U9" s="96"/>
      <c r="V9" s="96"/>
      <c r="W9" s="96">
        <v>33</v>
      </c>
      <c r="X9" s="96">
        <v>46</v>
      </c>
      <c r="Y9" s="96" t="s">
        <v>2470</v>
      </c>
      <c r="Z9" s="96">
        <v>53</v>
      </c>
      <c r="AA9" s="96" t="str">
        <f t="shared" si="2"/>
        <v>DA_WPN_Staff_BladedStaff_c_mag</v>
      </c>
      <c r="AB9" s="90" t="str">
        <f t="shared" si="3"/>
        <v>/Game/DungeonSiege/Items/Weapons/staff/DA_WPN_Staff_BladedStaff_c_mag</v>
      </c>
      <c r="AC9" s="97" t="str">
        <f t="shared" si="4"/>
        <v>Texture2D'/Game/DungeonSiege/art/bitmaps/gui/in_game/inventory/weapons/staff/b_gui_ig_i_w_stf_119.b_gui_ig_i_w_stf_119'</v>
      </c>
      <c r="AD9" s="97" t="str">
        <f t="shared" si="5"/>
        <v>Texture2D'/Game/DungeonSiege/art/bitmaps/gui/in_game/inventory/icons/b_gui_ig_i_ic_stf_003.b_gui_ig_i_ic_stf_003'</v>
      </c>
      <c r="AE9" s="97" t="str">
        <f t="shared" si="6"/>
        <v>StaticMesh'/Game/DungeonSiege/art/meshes/weapons/staff/m_w_stf_078_AspMesh.m_w_stf_078_AspMesh'</v>
      </c>
    </row>
    <row r="10" spans="1:31" ht="15.75" thickBot="1" x14ac:dyDescent="0.3">
      <c r="A10" s="95">
        <v>8</v>
      </c>
      <c r="B10" s="95">
        <f>A10+Items!B$26</f>
        <v>93323272</v>
      </c>
      <c r="C10" s="96" t="s">
        <v>5749</v>
      </c>
      <c r="D10" s="96" t="s">
        <v>5746</v>
      </c>
      <c r="E10" s="96" t="s">
        <v>3524</v>
      </c>
      <c r="F10" s="96" t="s">
        <v>5847</v>
      </c>
      <c r="G10" s="96" t="s">
        <v>3530</v>
      </c>
      <c r="H10" s="96" t="b">
        <v>1</v>
      </c>
      <c r="I10" s="96" t="b">
        <v>1</v>
      </c>
      <c r="J10" s="96"/>
      <c r="K10" s="96"/>
      <c r="L10" s="96" t="s">
        <v>5848</v>
      </c>
      <c r="M10" s="96" t="s">
        <v>5849</v>
      </c>
      <c r="N10" s="96" t="s">
        <v>5840</v>
      </c>
      <c r="O10" s="95" t="str">
        <f t="shared" si="0"/>
        <v>TRUE</v>
      </c>
      <c r="P10" s="95"/>
      <c r="Q10" s="96">
        <v>1</v>
      </c>
      <c r="R10" s="96">
        <v>4</v>
      </c>
      <c r="S10" s="96">
        <v>106</v>
      </c>
      <c r="T10" s="96">
        <v>160</v>
      </c>
      <c r="U10" s="96"/>
      <c r="V10" s="96"/>
      <c r="W10" s="96">
        <v>17</v>
      </c>
      <c r="X10" s="96">
        <v>31</v>
      </c>
      <c r="Y10" s="96" t="s">
        <v>2470</v>
      </c>
      <c r="Z10" s="96">
        <v>39</v>
      </c>
      <c r="AA10" s="96" t="str">
        <f t="shared" si="2"/>
        <v>DA_WPN_Staff_BladedStaff_c_str</v>
      </c>
      <c r="AB10" s="90" t="str">
        <f t="shared" si="3"/>
        <v>/Game/DungeonSiege/Items/Weapons/staff/DA_WPN_Staff_BladedStaff_c_str</v>
      </c>
      <c r="AC10" s="97" t="str">
        <f t="shared" si="4"/>
        <v>Texture2D'/Game/DungeonSiege/art/bitmaps/gui/in_game/inventory/weapons/staff/b_gui_ig_i_w_stf_118.b_gui_ig_i_w_stf_118'</v>
      </c>
      <c r="AD10" s="97" t="str">
        <f t="shared" si="5"/>
        <v>Texture2D'/Game/DungeonSiege/art/bitmaps/gui/in_game/inventory/icons/b_gui_ig_i_ic_stf_003.b_gui_ig_i_ic_stf_003'</v>
      </c>
      <c r="AE10" s="97" t="str">
        <f t="shared" si="6"/>
        <v>StaticMesh'/Game/DungeonSiege/art/meshes/weapons/staff/m_w_stf_077_AspMesh.m_w_stf_077_AspMesh'</v>
      </c>
    </row>
    <row r="11" spans="1:31" ht="15.75" thickBot="1" x14ac:dyDescent="0.3">
      <c r="A11" s="95">
        <v>9</v>
      </c>
      <c r="B11" s="95">
        <f>A11+Items!B$26</f>
        <v>93323273</v>
      </c>
      <c r="C11" s="96" t="s">
        <v>5750</v>
      </c>
      <c r="D11" s="96" t="s">
        <v>5746</v>
      </c>
      <c r="E11" s="96" t="s">
        <v>3524</v>
      </c>
      <c r="F11" s="96" t="s">
        <v>5850</v>
      </c>
      <c r="G11" s="96" t="s">
        <v>3528</v>
      </c>
      <c r="H11" s="96" t="b">
        <v>1</v>
      </c>
      <c r="I11" s="96" t="b">
        <v>1</v>
      </c>
      <c r="J11" s="96"/>
      <c r="K11" s="96"/>
      <c r="L11" s="96" t="s">
        <v>5851</v>
      </c>
      <c r="M11" s="96" t="s">
        <v>5852</v>
      </c>
      <c r="N11" s="96" t="s">
        <v>5853</v>
      </c>
      <c r="O11" s="95" t="str">
        <f t="shared" si="0"/>
        <v>TRUE</v>
      </c>
      <c r="P11" s="95"/>
      <c r="Q11" s="96">
        <v>1</v>
      </c>
      <c r="R11" s="96">
        <v>4</v>
      </c>
      <c r="S11" s="96">
        <v>69</v>
      </c>
      <c r="T11" s="96">
        <v>103</v>
      </c>
      <c r="U11" s="96"/>
      <c r="V11" s="96"/>
      <c r="W11" s="96">
        <v>6</v>
      </c>
      <c r="X11" s="96">
        <v>16</v>
      </c>
      <c r="Y11" s="96" t="s">
        <v>2470</v>
      </c>
      <c r="Z11" s="96">
        <v>28</v>
      </c>
      <c r="AA11" s="96" t="str">
        <f t="shared" si="2"/>
        <v>DA_WPN_Staff_BladedStaff_o_avg</v>
      </c>
      <c r="AB11" s="90" t="str">
        <f t="shared" si="3"/>
        <v>/Game/DungeonSiege/Items/Weapons/staff/DA_WPN_Staff_BladedStaff_o_avg</v>
      </c>
      <c r="AC11" s="97" t="str">
        <f t="shared" si="4"/>
        <v>Texture2D'/Game/DungeonSiege/art/bitmaps/gui/in_game/inventory/weapons/staff/b_gui_ig_i_w_stf_122.b_gui_ig_i_w_stf_122'</v>
      </c>
      <c r="AD11" s="97" t="str">
        <f t="shared" si="5"/>
        <v>Texture2D'/Game/DungeonSiege/art/bitmaps/gui/in_game/inventory/icons/b_gui_ig_i_ic_stf_006.b_gui_ig_i_ic_stf_006'</v>
      </c>
      <c r="AE11" s="97" t="str">
        <f t="shared" si="6"/>
        <v>StaticMesh'/Game/DungeonSiege/art/meshes/weapons/staff/m_w_stf_081_AspMesh.m_w_stf_081_AspMesh'</v>
      </c>
    </row>
    <row r="12" spans="1:31" ht="15.75" thickBot="1" x14ac:dyDescent="0.3">
      <c r="A12" s="95">
        <v>10</v>
      </c>
      <c r="B12" s="95">
        <f>A12+Items!B$26</f>
        <v>93323274</v>
      </c>
      <c r="C12" s="96" t="s">
        <v>5751</v>
      </c>
      <c r="D12" s="96" t="s">
        <v>5746</v>
      </c>
      <c r="E12" s="96" t="s">
        <v>3524</v>
      </c>
      <c r="F12" s="96" t="s">
        <v>5854</v>
      </c>
      <c r="G12" s="96" t="s">
        <v>3532</v>
      </c>
      <c r="H12" s="96" t="b">
        <v>1</v>
      </c>
      <c r="I12" s="96" t="b">
        <v>1</v>
      </c>
      <c r="J12" s="96"/>
      <c r="K12" s="96"/>
      <c r="L12" s="96" t="s">
        <v>5855</v>
      </c>
      <c r="M12" s="96" t="s">
        <v>5856</v>
      </c>
      <c r="N12" s="96" t="s">
        <v>5853</v>
      </c>
      <c r="O12" s="95" t="str">
        <f t="shared" si="0"/>
        <v>TRUE</v>
      </c>
      <c r="P12" s="95"/>
      <c r="Q12" s="96">
        <v>1</v>
      </c>
      <c r="R12" s="96">
        <v>4</v>
      </c>
      <c r="S12" s="96">
        <v>89</v>
      </c>
      <c r="T12" s="96">
        <v>133</v>
      </c>
      <c r="U12" s="96"/>
      <c r="V12" s="96"/>
      <c r="W12" s="96">
        <v>11</v>
      </c>
      <c r="X12" s="96">
        <v>24</v>
      </c>
      <c r="Y12" s="96" t="s">
        <v>2470</v>
      </c>
      <c r="Z12" s="96">
        <v>34</v>
      </c>
      <c r="AA12" s="96" t="str">
        <f t="shared" si="2"/>
        <v>DA_WPN_Staff_BladedStaff_o_fin</v>
      </c>
      <c r="AB12" s="90" t="str">
        <f t="shared" si="3"/>
        <v>/Game/DungeonSiege/Items/Weapons/staff/DA_WPN_Staff_BladedStaff_o_fin</v>
      </c>
      <c r="AC12" s="97" t="str">
        <f t="shared" si="4"/>
        <v>Texture2D'/Game/DungeonSiege/art/bitmaps/gui/in_game/inventory/weapons/staff/b_gui_ig_i_w_stf_123.b_gui_ig_i_w_stf_123'</v>
      </c>
      <c r="AD12" s="97" t="str">
        <f t="shared" si="5"/>
        <v>Texture2D'/Game/DungeonSiege/art/bitmaps/gui/in_game/inventory/icons/b_gui_ig_i_ic_stf_006.b_gui_ig_i_ic_stf_006'</v>
      </c>
      <c r="AE12" s="97" t="str">
        <f t="shared" si="6"/>
        <v>StaticMesh'/Game/DungeonSiege/art/meshes/weapons/staff/m_w_stf_082_AspMesh.m_w_stf_082_AspMesh'</v>
      </c>
    </row>
    <row r="13" spans="1:31" ht="15.75" thickBot="1" x14ac:dyDescent="0.3">
      <c r="A13" s="95">
        <v>11</v>
      </c>
      <c r="B13" s="95">
        <f>A13+Items!B$26</f>
        <v>93323275</v>
      </c>
      <c r="C13" s="96" t="s">
        <v>5752</v>
      </c>
      <c r="D13" s="96" t="s">
        <v>5746</v>
      </c>
      <c r="E13" s="96" t="s">
        <v>3524</v>
      </c>
      <c r="F13" s="96" t="s">
        <v>5857</v>
      </c>
      <c r="G13" s="96" t="s">
        <v>3533</v>
      </c>
      <c r="H13" s="96" t="b">
        <v>1</v>
      </c>
      <c r="I13" s="96" t="b">
        <v>1</v>
      </c>
      <c r="J13" s="96"/>
      <c r="K13" s="96"/>
      <c r="L13" s="96" t="s">
        <v>5858</v>
      </c>
      <c r="M13" s="96" t="s">
        <v>5859</v>
      </c>
      <c r="N13" s="96" t="s">
        <v>5853</v>
      </c>
      <c r="O13" s="95" t="str">
        <f t="shared" si="0"/>
        <v>TRUE</v>
      </c>
      <c r="P13" s="95"/>
      <c r="Q13" s="96">
        <v>1</v>
      </c>
      <c r="R13" s="96">
        <v>4</v>
      </c>
      <c r="S13" s="96">
        <v>179</v>
      </c>
      <c r="T13" s="96">
        <v>269</v>
      </c>
      <c r="U13" s="96"/>
      <c r="V13" s="96"/>
      <c r="W13" s="96">
        <v>41</v>
      </c>
      <c r="X13" s="96">
        <v>56</v>
      </c>
      <c r="Y13" s="96" t="s">
        <v>2470</v>
      </c>
      <c r="Z13" s="96">
        <v>61</v>
      </c>
      <c r="AA13" s="96" t="str">
        <f t="shared" si="2"/>
        <v>DA_WPN_Staff_BladedStaff_o_mag</v>
      </c>
      <c r="AB13" s="90" t="str">
        <f t="shared" si="3"/>
        <v>/Game/DungeonSiege/Items/Weapons/staff/DA_WPN_Staff_BladedStaff_o_mag</v>
      </c>
      <c r="AC13" s="97" t="str">
        <f t="shared" si="4"/>
        <v>Texture2D'/Game/DungeonSiege/art/bitmaps/gui/in_game/inventory/weapons/staff/b_gui_ig_i_w_stf_125.b_gui_ig_i_w_stf_125'</v>
      </c>
      <c r="AD13" s="97" t="str">
        <f t="shared" si="5"/>
        <v>Texture2D'/Game/DungeonSiege/art/bitmaps/gui/in_game/inventory/icons/b_gui_ig_i_ic_stf_006.b_gui_ig_i_ic_stf_006'</v>
      </c>
      <c r="AE13" s="97" t="str">
        <f t="shared" si="6"/>
        <v>StaticMesh'/Game/DungeonSiege/art/meshes/weapons/staff/m_w_stf_084_AspMesh.m_w_stf_084_AspMesh'</v>
      </c>
    </row>
    <row r="14" spans="1:31" ht="15.75" thickBot="1" x14ac:dyDescent="0.3">
      <c r="A14" s="95">
        <v>12</v>
      </c>
      <c r="B14" s="95">
        <f>A14+Items!B$26</f>
        <v>93323276</v>
      </c>
      <c r="C14" s="96" t="s">
        <v>5753</v>
      </c>
      <c r="D14" s="96" t="s">
        <v>5746</v>
      </c>
      <c r="E14" s="96" t="s">
        <v>3524</v>
      </c>
      <c r="F14" s="96" t="s">
        <v>5860</v>
      </c>
      <c r="G14" s="96" t="s">
        <v>3534</v>
      </c>
      <c r="H14" s="96" t="b">
        <v>1</v>
      </c>
      <c r="I14" s="96" t="b">
        <v>1</v>
      </c>
      <c r="J14" s="96"/>
      <c r="K14" s="96"/>
      <c r="L14" s="96" t="s">
        <v>5861</v>
      </c>
      <c r="M14" s="96" t="s">
        <v>5862</v>
      </c>
      <c r="N14" s="96" t="s">
        <v>5853</v>
      </c>
      <c r="O14" s="95" t="str">
        <f t="shared" si="0"/>
        <v>TRUE</v>
      </c>
      <c r="P14" s="95"/>
      <c r="Q14" s="96">
        <v>1</v>
      </c>
      <c r="R14" s="96">
        <v>4</v>
      </c>
      <c r="S14" s="96">
        <v>126</v>
      </c>
      <c r="T14" s="96">
        <v>190</v>
      </c>
      <c r="U14" s="96"/>
      <c r="V14" s="96"/>
      <c r="W14" s="96">
        <v>26</v>
      </c>
      <c r="X14" s="96">
        <v>38</v>
      </c>
      <c r="Y14" s="96" t="s">
        <v>2470</v>
      </c>
      <c r="Z14" s="96">
        <v>45</v>
      </c>
      <c r="AA14" s="96" t="str">
        <f t="shared" si="2"/>
        <v>DA_WPN_Staff_BladedStaff_o_str</v>
      </c>
      <c r="AB14" s="90" t="str">
        <f t="shared" si="3"/>
        <v>/Game/DungeonSiege/Items/Weapons/staff/DA_WPN_Staff_BladedStaff_o_str</v>
      </c>
      <c r="AC14" s="97" t="str">
        <f t="shared" si="4"/>
        <v>Texture2D'/Game/DungeonSiege/art/bitmaps/gui/in_game/inventory/weapons/staff/b_gui_ig_i_w_stf_124.b_gui_ig_i_w_stf_124'</v>
      </c>
      <c r="AD14" s="97" t="str">
        <f t="shared" si="5"/>
        <v>Texture2D'/Game/DungeonSiege/art/bitmaps/gui/in_game/inventory/icons/b_gui_ig_i_ic_stf_006.b_gui_ig_i_ic_stf_006'</v>
      </c>
      <c r="AE14" s="97" t="str">
        <f t="shared" si="6"/>
        <v>StaticMesh'/Game/DungeonSiege/art/meshes/weapons/staff/m_w_stf_083_AspMesh.m_w_stf_083_AspMesh'</v>
      </c>
    </row>
    <row r="15" spans="1:31" ht="15.75" thickBot="1" x14ac:dyDescent="0.3">
      <c r="A15" s="95">
        <v>13</v>
      </c>
      <c r="B15" s="95">
        <f>A15+Items!B$26</f>
        <v>93323277</v>
      </c>
      <c r="C15" s="96" t="s">
        <v>5754</v>
      </c>
      <c r="D15" s="96" t="s">
        <v>5754</v>
      </c>
      <c r="E15" s="96" t="s">
        <v>3524</v>
      </c>
      <c r="F15" s="96" t="s">
        <v>5863</v>
      </c>
      <c r="G15" s="96"/>
      <c r="H15" s="96" t="b">
        <v>1</v>
      </c>
      <c r="I15" s="96"/>
      <c r="J15" s="96"/>
      <c r="K15" s="96"/>
      <c r="L15" s="96" t="s">
        <v>5864</v>
      </c>
      <c r="M15" s="96" t="s">
        <v>5865</v>
      </c>
      <c r="N15" s="96" t="s">
        <v>5840</v>
      </c>
      <c r="O15" s="95" t="str">
        <f t="shared" ref="O15:O78" si="7">IF(OR(I15=TRUE,J15=TRUE,K15=TRUE),"TRUE","FALSE")</f>
        <v>FALSE</v>
      </c>
      <c r="P15" s="95"/>
      <c r="Q15" s="96">
        <v>1</v>
      </c>
      <c r="R15" s="96">
        <v>4</v>
      </c>
      <c r="S15" s="96">
        <v>46</v>
      </c>
      <c r="T15" s="96">
        <v>68</v>
      </c>
      <c r="U15" s="96"/>
      <c r="V15" s="96"/>
      <c r="W15" s="96">
        <v>0</v>
      </c>
      <c r="X15" s="96">
        <v>0</v>
      </c>
      <c r="Y15" s="96" t="s">
        <v>2470</v>
      </c>
      <c r="Z15" s="96">
        <v>22</v>
      </c>
      <c r="AA15" s="96" t="str">
        <f t="shared" si="2"/>
        <v>DA_WPN_Staff_GnarledStaff</v>
      </c>
      <c r="AB15" s="90" t="str">
        <f t="shared" si="3"/>
        <v>/Game/DungeonSiege/Items/Weapons/staff/DA_WPN_Staff_GnarledStaff</v>
      </c>
      <c r="AC15" s="97" t="str">
        <f t="shared" si="4"/>
        <v>Texture2D'/Game/DungeonSiege/art/bitmaps/gui/in_game/inventory/weapons/staff/b_gui_ig_i_w_stf_115.b_gui_ig_i_w_stf_115'</v>
      </c>
      <c r="AD15" s="97" t="str">
        <f t="shared" si="5"/>
        <v>Texture2D'/Game/DungeonSiege/art/bitmaps/gui/in_game/inventory/icons/b_gui_ig_i_ic_stf_003.b_gui_ig_i_ic_stf_003'</v>
      </c>
      <c r="AE15" s="97" t="str">
        <f t="shared" si="6"/>
        <v>StaticMesh'/Game/DungeonSiege/art/meshes/weapons/staff/m_w_stf_074_AspMesh.m_w_stf_074_AspMesh'</v>
      </c>
    </row>
    <row r="16" spans="1:31" ht="15.75" thickBot="1" x14ac:dyDescent="0.3">
      <c r="A16" s="95">
        <v>14</v>
      </c>
      <c r="B16" s="95">
        <f>A16+Items!B$26</f>
        <v>93323278</v>
      </c>
      <c r="C16" s="96" t="s">
        <v>5755</v>
      </c>
      <c r="D16" s="96" t="s">
        <v>5755</v>
      </c>
      <c r="E16" s="96" t="s">
        <v>3524</v>
      </c>
      <c r="F16" s="96" t="s">
        <v>5866</v>
      </c>
      <c r="G16" s="96"/>
      <c r="H16" s="96" t="b">
        <v>1</v>
      </c>
      <c r="I16" s="96"/>
      <c r="J16" s="96"/>
      <c r="K16" s="96"/>
      <c r="L16" s="96" t="s">
        <v>5867</v>
      </c>
      <c r="M16" s="96" t="s">
        <v>5868</v>
      </c>
      <c r="N16" s="96" t="s">
        <v>5840</v>
      </c>
      <c r="O16" s="95" t="str">
        <f t="shared" si="7"/>
        <v>FALSE</v>
      </c>
      <c r="P16" s="95"/>
      <c r="Q16" s="96">
        <v>1</v>
      </c>
      <c r="R16" s="96">
        <v>4</v>
      </c>
      <c r="S16" s="96">
        <v>43</v>
      </c>
      <c r="T16" s="96">
        <v>65</v>
      </c>
      <c r="U16" s="96"/>
      <c r="V16" s="96"/>
      <c r="W16" s="96">
        <v>0</v>
      </c>
      <c r="X16" s="96">
        <v>0</v>
      </c>
      <c r="Y16" s="96" t="s">
        <v>2470</v>
      </c>
      <c r="Z16" s="96">
        <v>21</v>
      </c>
      <c r="AA16" s="96" t="str">
        <f t="shared" si="2"/>
        <v>DA_WPN_Staff_NotchedStaff</v>
      </c>
      <c r="AB16" s="90" t="str">
        <f t="shared" si="3"/>
        <v>/Game/DungeonSiege/Items/Weapons/staff/DA_WPN_Staff_NotchedStaff</v>
      </c>
      <c r="AC16" s="97" t="str">
        <f t="shared" si="4"/>
        <v>Texture2D'/Game/DungeonSiege/art/bitmaps/gui/in_game/inventory/weapons/staff/b_gui_ig_i_w_stf_114.b_gui_ig_i_w_stf_114'</v>
      </c>
      <c r="AD16" s="97" t="str">
        <f t="shared" si="5"/>
        <v>Texture2D'/Game/DungeonSiege/art/bitmaps/gui/in_game/inventory/icons/b_gui_ig_i_ic_stf_003.b_gui_ig_i_ic_stf_003'</v>
      </c>
      <c r="AE16" s="97" t="str">
        <f t="shared" si="6"/>
        <v>StaticMesh'/Game/DungeonSiege/art/meshes/weapons/staff/m_w_stf_073_AspMesh.m_w_stf_073_AspMesh'</v>
      </c>
    </row>
    <row r="17" spans="1:31" ht="15.75" thickBot="1" x14ac:dyDescent="0.3">
      <c r="A17" s="95">
        <v>15</v>
      </c>
      <c r="B17" s="95">
        <f>A17+Items!B$26</f>
        <v>93323279</v>
      </c>
      <c r="C17" s="96" t="s">
        <v>1219</v>
      </c>
      <c r="D17" s="96" t="s">
        <v>1219</v>
      </c>
      <c r="E17" s="96" t="s">
        <v>3524</v>
      </c>
      <c r="F17" s="96" t="s">
        <v>5869</v>
      </c>
      <c r="G17" s="96"/>
      <c r="H17" s="96" t="b">
        <v>1</v>
      </c>
      <c r="I17" s="96" t="b">
        <v>1</v>
      </c>
      <c r="J17" s="96"/>
      <c r="K17" s="96"/>
      <c r="L17" s="96" t="s">
        <v>5870</v>
      </c>
      <c r="M17" s="96" t="s">
        <v>5871</v>
      </c>
      <c r="N17" s="96" t="s">
        <v>5828</v>
      </c>
      <c r="O17" s="95" t="str">
        <f t="shared" si="7"/>
        <v>TRUE</v>
      </c>
      <c r="P17" s="95"/>
      <c r="Q17" s="96">
        <v>1</v>
      </c>
      <c r="R17" s="96">
        <v>4</v>
      </c>
      <c r="S17" s="96">
        <v>6</v>
      </c>
      <c r="T17" s="96">
        <v>8</v>
      </c>
      <c r="U17" s="96"/>
      <c r="V17" s="96"/>
      <c r="W17" s="96">
        <v>0</v>
      </c>
      <c r="X17" s="96">
        <v>1</v>
      </c>
      <c r="Y17" s="96"/>
      <c r="Z17" s="96"/>
      <c r="AA17" s="96" t="str">
        <f t="shared" si="2"/>
        <v>DA_WPN_Staff_Staff</v>
      </c>
      <c r="AB17" s="90" t="str">
        <f t="shared" si="3"/>
        <v>/Game/DungeonSiege/Items/Weapons/staff/DA_WPN_Staff_Staff</v>
      </c>
      <c r="AC17" s="97" t="str">
        <f t="shared" si="4"/>
        <v>Texture2D'/Game/DungeonSiege/art/bitmaps/gui/in_game/inventory/weapons/staff/b_gui_ig_i_w_stf_104.b_gui_ig_i_w_stf_104'</v>
      </c>
      <c r="AD17" s="97" t="str">
        <f t="shared" si="5"/>
        <v>Texture2D'/Game/DungeonSiege/art/bitmaps/gui/in_game/inventory/icons/b_gui_ig_i_ic_stf_001.b_gui_ig_i_ic_stf_001'</v>
      </c>
      <c r="AE17" s="97" t="str">
        <f t="shared" si="6"/>
        <v>StaticMesh'/Game/DungeonSiege/art/meshes/weapons/staff/m_w_stf_063_AspMesh.m_w_stf_063_AspMesh'</v>
      </c>
    </row>
    <row r="18" spans="1:31" ht="15.75" thickBot="1" x14ac:dyDescent="0.3">
      <c r="A18" s="95">
        <v>16</v>
      </c>
      <c r="B18" s="95">
        <f>A18+Items!B$26</f>
        <v>93323280</v>
      </c>
      <c r="C18" s="96" t="s">
        <v>5756</v>
      </c>
      <c r="D18" s="96" t="s">
        <v>1219</v>
      </c>
      <c r="E18" s="96" t="s">
        <v>3524</v>
      </c>
      <c r="F18" s="96" t="s">
        <v>5872</v>
      </c>
      <c r="G18" s="96" t="s">
        <v>3531</v>
      </c>
      <c r="H18" s="96" t="b">
        <v>1</v>
      </c>
      <c r="I18" s="96" t="b">
        <v>1</v>
      </c>
      <c r="J18" s="96"/>
      <c r="K18" s="96"/>
      <c r="L18" s="96" t="s">
        <v>5873</v>
      </c>
      <c r="M18" s="96" t="s">
        <v>5874</v>
      </c>
      <c r="N18" s="96" t="s">
        <v>5828</v>
      </c>
      <c r="O18" s="95" t="str">
        <f t="shared" si="7"/>
        <v>TRUE</v>
      </c>
      <c r="P18" s="95"/>
      <c r="Q18" s="96">
        <v>1</v>
      </c>
      <c r="R18" s="96">
        <v>4</v>
      </c>
      <c r="S18" s="96">
        <v>12</v>
      </c>
      <c r="T18" s="96">
        <v>14</v>
      </c>
      <c r="U18" s="96"/>
      <c r="V18" s="96"/>
      <c r="W18" s="96">
        <v>1</v>
      </c>
      <c r="X18" s="96">
        <v>3</v>
      </c>
      <c r="Y18" s="96" t="s">
        <v>2470</v>
      </c>
      <c r="Z18" s="96">
        <v>12</v>
      </c>
      <c r="AA18" s="96" t="str">
        <f t="shared" si="2"/>
        <v>DA_WPN_Staff_Staff_c_fin</v>
      </c>
      <c r="AB18" s="90" t="str">
        <f t="shared" si="3"/>
        <v>/Game/DungeonSiege/Items/Weapons/staff/DA_WPN_Staff_Staff_c_fin</v>
      </c>
      <c r="AC18" s="97" t="str">
        <f t="shared" si="4"/>
        <v>Texture2D'/Game/DungeonSiege/art/bitmaps/gui/in_game/inventory/weapons/staff/b_gui_ig_i_w_stf_105.b_gui_ig_i_w_stf_105'</v>
      </c>
      <c r="AD18" s="97" t="str">
        <f t="shared" si="5"/>
        <v>Texture2D'/Game/DungeonSiege/art/bitmaps/gui/in_game/inventory/icons/b_gui_ig_i_ic_stf_001.b_gui_ig_i_ic_stf_001'</v>
      </c>
      <c r="AE18" s="97" t="str">
        <f t="shared" si="6"/>
        <v>StaticMesh'/Game/DungeonSiege/art/meshes/weapons/staff/m_w_stf_064_AspMesh.m_w_stf_064_AspMesh'</v>
      </c>
    </row>
    <row r="19" spans="1:31" ht="15.75" thickBot="1" x14ac:dyDescent="0.3">
      <c r="A19" s="95">
        <v>17</v>
      </c>
      <c r="B19" s="95">
        <f>A19+Items!B$26</f>
        <v>93323281</v>
      </c>
      <c r="C19" s="96" t="s">
        <v>5757</v>
      </c>
      <c r="D19" s="96" t="s">
        <v>1219</v>
      </c>
      <c r="E19" s="96" t="s">
        <v>3524</v>
      </c>
      <c r="F19" s="96" t="s">
        <v>5875</v>
      </c>
      <c r="G19" s="96" t="s">
        <v>3529</v>
      </c>
      <c r="H19" s="96" t="b">
        <v>1</v>
      </c>
      <c r="I19" s="96" t="b">
        <v>1</v>
      </c>
      <c r="J19" s="96"/>
      <c r="K19" s="96"/>
      <c r="L19" s="96" t="s">
        <v>5876</v>
      </c>
      <c r="M19" s="96" t="s">
        <v>5877</v>
      </c>
      <c r="N19" s="96" t="s">
        <v>5828</v>
      </c>
      <c r="O19" s="95" t="str">
        <f t="shared" si="7"/>
        <v>TRUE</v>
      </c>
      <c r="P19" s="95"/>
      <c r="Q19" s="96">
        <v>1</v>
      </c>
      <c r="R19" s="96">
        <v>4</v>
      </c>
      <c r="S19" s="96">
        <v>71</v>
      </c>
      <c r="T19" s="96">
        <v>87</v>
      </c>
      <c r="U19" s="96"/>
      <c r="V19" s="96"/>
      <c r="W19" s="96">
        <v>15</v>
      </c>
      <c r="X19" s="96">
        <v>21</v>
      </c>
      <c r="Y19" s="96" t="s">
        <v>2470</v>
      </c>
      <c r="Z19" s="96">
        <v>27</v>
      </c>
      <c r="AA19" s="96" t="str">
        <f t="shared" si="2"/>
        <v>DA_WPN_Staff_Staff_c_mag</v>
      </c>
      <c r="AB19" s="90" t="str">
        <f t="shared" si="3"/>
        <v>/Game/DungeonSiege/Items/Weapons/staff/DA_WPN_Staff_Staff_c_mag</v>
      </c>
      <c r="AC19" s="97" t="str">
        <f t="shared" si="4"/>
        <v>Texture2D'/Game/DungeonSiege/art/bitmaps/gui/in_game/inventory/weapons/staff/b_gui_ig_i_w_stf_107.b_gui_ig_i_w_stf_107'</v>
      </c>
      <c r="AD19" s="97" t="str">
        <f t="shared" si="5"/>
        <v>Texture2D'/Game/DungeonSiege/art/bitmaps/gui/in_game/inventory/icons/b_gui_ig_i_ic_stf_001.b_gui_ig_i_ic_stf_001'</v>
      </c>
      <c r="AE19" s="97" t="str">
        <f t="shared" si="6"/>
        <v>StaticMesh'/Game/DungeonSiege/art/meshes/weapons/staff/m_w_stf_066_AspMesh.m_w_stf_066_AspMesh'</v>
      </c>
    </row>
    <row r="20" spans="1:31" ht="15.75" thickBot="1" x14ac:dyDescent="0.3">
      <c r="A20" s="95">
        <v>18</v>
      </c>
      <c r="B20" s="95">
        <f>A20+Items!B$26</f>
        <v>93323282</v>
      </c>
      <c r="C20" s="96" t="s">
        <v>5758</v>
      </c>
      <c r="D20" s="96" t="s">
        <v>1219</v>
      </c>
      <c r="E20" s="96" t="s">
        <v>3524</v>
      </c>
      <c r="F20" s="96" t="s">
        <v>5878</v>
      </c>
      <c r="G20" s="96" t="s">
        <v>3530</v>
      </c>
      <c r="H20" s="96" t="b">
        <v>1</v>
      </c>
      <c r="I20" s="96" t="b">
        <v>1</v>
      </c>
      <c r="J20" s="96"/>
      <c r="K20" s="96"/>
      <c r="L20" s="96" t="s">
        <v>5879</v>
      </c>
      <c r="M20" s="96" t="s">
        <v>5880</v>
      </c>
      <c r="N20" s="96" t="s">
        <v>5828</v>
      </c>
      <c r="O20" s="95" t="str">
        <f t="shared" si="7"/>
        <v>TRUE</v>
      </c>
      <c r="P20" s="95"/>
      <c r="Q20" s="96">
        <v>1</v>
      </c>
      <c r="R20" s="96">
        <v>4</v>
      </c>
      <c r="S20" s="96">
        <v>43</v>
      </c>
      <c r="T20" s="96">
        <v>53</v>
      </c>
      <c r="U20" s="96"/>
      <c r="V20" s="96"/>
      <c r="W20" s="96">
        <v>8</v>
      </c>
      <c r="X20" s="96">
        <v>14</v>
      </c>
      <c r="Y20" s="96" t="s">
        <v>2470</v>
      </c>
      <c r="Z20" s="96">
        <v>20</v>
      </c>
      <c r="AA20" s="96" t="str">
        <f t="shared" si="2"/>
        <v>DA_WPN_Staff_Staff_c_str</v>
      </c>
      <c r="AB20" s="90" t="str">
        <f t="shared" si="3"/>
        <v>/Game/DungeonSiege/Items/Weapons/staff/DA_WPN_Staff_Staff_c_str</v>
      </c>
      <c r="AC20" s="97" t="str">
        <f t="shared" si="4"/>
        <v>Texture2D'/Game/DungeonSiege/art/bitmaps/gui/in_game/inventory/weapons/staff/b_gui_ig_i_w_stf_106.b_gui_ig_i_w_stf_106'</v>
      </c>
      <c r="AD20" s="97" t="str">
        <f t="shared" si="5"/>
        <v>Texture2D'/Game/DungeonSiege/art/bitmaps/gui/in_game/inventory/icons/b_gui_ig_i_ic_stf_001.b_gui_ig_i_ic_stf_001'</v>
      </c>
      <c r="AE20" s="97" t="str">
        <f t="shared" si="6"/>
        <v>StaticMesh'/Game/DungeonSiege/art/meshes/weapons/staff/m_w_stf_065_AspMesh.m_w_stf_065_AspMesh'</v>
      </c>
    </row>
    <row r="21" spans="1:31" ht="15.75" thickBot="1" x14ac:dyDescent="0.3">
      <c r="A21" s="95">
        <v>19</v>
      </c>
      <c r="B21" s="95">
        <f>A21+Items!B$26</f>
        <v>93323283</v>
      </c>
      <c r="C21" s="96" t="s">
        <v>5759</v>
      </c>
      <c r="D21" s="96" t="s">
        <v>1219</v>
      </c>
      <c r="E21" s="96" t="s">
        <v>3524</v>
      </c>
      <c r="F21" s="96" t="s">
        <v>5881</v>
      </c>
      <c r="G21" s="96" t="s">
        <v>3528</v>
      </c>
      <c r="H21" s="96" t="b">
        <v>1</v>
      </c>
      <c r="I21" s="96" t="b">
        <v>1</v>
      </c>
      <c r="J21" s="96"/>
      <c r="K21" s="96"/>
      <c r="L21" s="96" t="s">
        <v>5882</v>
      </c>
      <c r="M21" s="96" t="s">
        <v>5883</v>
      </c>
      <c r="N21" s="96" t="s">
        <v>5884</v>
      </c>
      <c r="O21" s="95" t="str">
        <f t="shared" si="7"/>
        <v>TRUE</v>
      </c>
      <c r="P21" s="95"/>
      <c r="Q21" s="96">
        <v>1</v>
      </c>
      <c r="R21" s="96">
        <v>4</v>
      </c>
      <c r="S21" s="96">
        <v>19</v>
      </c>
      <c r="T21" s="96">
        <v>23</v>
      </c>
      <c r="U21" s="96"/>
      <c r="V21" s="96"/>
      <c r="W21" s="96">
        <v>2</v>
      </c>
      <c r="X21" s="96">
        <v>6</v>
      </c>
      <c r="Y21" s="96" t="s">
        <v>2470</v>
      </c>
      <c r="Z21" s="96">
        <v>13</v>
      </c>
      <c r="AA21" s="96" t="str">
        <f t="shared" si="2"/>
        <v>DA_WPN_Staff_Staff_o_avg</v>
      </c>
      <c r="AB21" s="90" t="str">
        <f t="shared" si="3"/>
        <v>/Game/DungeonSiege/Items/Weapons/staff/DA_WPN_Staff_Staff_o_avg</v>
      </c>
      <c r="AC21" s="97" t="str">
        <f t="shared" si="4"/>
        <v>Texture2D'/Game/DungeonSiege/art/bitmaps/gui/in_game/inventory/weapons/staff/b_gui_ig_i_w_stf_110.b_gui_ig_i_w_stf_110'</v>
      </c>
      <c r="AD21" s="97" t="str">
        <f t="shared" si="5"/>
        <v>Texture2D'/Game/DungeonSiege/art/bitmaps/gui/in_game/inventory/icons/b_gui_ig_i_ic_stf_004.b_gui_ig_i_ic_stf_004'</v>
      </c>
      <c r="AE21" s="97" t="str">
        <f t="shared" si="6"/>
        <v>StaticMesh'/Game/DungeonSiege/art/meshes/weapons/staff/m_w_stf_069_AspMesh.m_w_stf_069_AspMesh'</v>
      </c>
    </row>
    <row r="22" spans="1:31" ht="15.75" thickBot="1" x14ac:dyDescent="0.3">
      <c r="A22" s="95">
        <v>20</v>
      </c>
      <c r="B22" s="95">
        <f>A22+Items!B$26</f>
        <v>93323284</v>
      </c>
      <c r="C22" s="96" t="s">
        <v>5760</v>
      </c>
      <c r="D22" s="96" t="s">
        <v>1219</v>
      </c>
      <c r="E22" s="96" t="s">
        <v>3524</v>
      </c>
      <c r="F22" s="96" t="s">
        <v>5885</v>
      </c>
      <c r="G22" s="96" t="s">
        <v>3532</v>
      </c>
      <c r="H22" s="96" t="b">
        <v>1</v>
      </c>
      <c r="I22" s="96" t="b">
        <v>1</v>
      </c>
      <c r="J22" s="96"/>
      <c r="K22" s="96"/>
      <c r="L22" s="96" t="s">
        <v>5886</v>
      </c>
      <c r="M22" s="96" t="s">
        <v>5887</v>
      </c>
      <c r="N22" s="96" t="s">
        <v>5884</v>
      </c>
      <c r="O22" s="95" t="str">
        <f t="shared" si="7"/>
        <v>TRUE</v>
      </c>
      <c r="P22" s="95"/>
      <c r="Q22" s="96">
        <v>1</v>
      </c>
      <c r="R22" s="96">
        <v>4</v>
      </c>
      <c r="S22" s="96">
        <v>92</v>
      </c>
      <c r="T22" s="96">
        <v>112</v>
      </c>
      <c r="U22" s="96"/>
      <c r="V22" s="96"/>
      <c r="W22" s="96">
        <v>19</v>
      </c>
      <c r="X22" s="96">
        <v>25</v>
      </c>
      <c r="Y22" s="96" t="s">
        <v>2470</v>
      </c>
      <c r="Z22" s="96">
        <v>16</v>
      </c>
      <c r="AA22" s="96" t="str">
        <f t="shared" si="2"/>
        <v>DA_WPN_Staff_Staff_o_fin</v>
      </c>
      <c r="AB22" s="90" t="str">
        <f t="shared" si="3"/>
        <v>/Game/DungeonSiege/Items/Weapons/staff/DA_WPN_Staff_Staff_o_fin</v>
      </c>
      <c r="AC22" s="97" t="str">
        <f t="shared" si="4"/>
        <v>Texture2D'/Game/DungeonSiege/art/bitmaps/gui/in_game/inventory/weapons/staff/b_gui_ig_i_w_stf_111.b_gui_ig_i_w_stf_111'</v>
      </c>
      <c r="AD22" s="97" t="str">
        <f t="shared" si="5"/>
        <v>Texture2D'/Game/DungeonSiege/art/bitmaps/gui/in_game/inventory/icons/b_gui_ig_i_ic_stf_004.b_gui_ig_i_ic_stf_004'</v>
      </c>
      <c r="AE22" s="97" t="str">
        <f t="shared" si="6"/>
        <v>StaticMesh'/Game/DungeonSiege/art/meshes/weapons/staff/m_w_stf_070_AspMesh.m_w_stf_070_AspMesh'</v>
      </c>
    </row>
    <row r="23" spans="1:31" ht="15.75" thickBot="1" x14ac:dyDescent="0.3">
      <c r="A23" s="95">
        <v>21</v>
      </c>
      <c r="B23" s="95">
        <f>A23+Items!B$26</f>
        <v>93323285</v>
      </c>
      <c r="C23" s="96" t="s">
        <v>5761</v>
      </c>
      <c r="D23" s="96" t="s">
        <v>1219</v>
      </c>
      <c r="E23" s="96" t="s">
        <v>3524</v>
      </c>
      <c r="F23" s="96" t="s">
        <v>5888</v>
      </c>
      <c r="G23" s="96" t="s">
        <v>3533</v>
      </c>
      <c r="H23" s="96" t="b">
        <v>1</v>
      </c>
      <c r="I23" s="96" t="b">
        <v>1</v>
      </c>
      <c r="J23" s="96"/>
      <c r="K23" s="96"/>
      <c r="L23" s="96" t="s">
        <v>5889</v>
      </c>
      <c r="M23" s="96" t="s">
        <v>5890</v>
      </c>
      <c r="N23" s="96" t="s">
        <v>5884</v>
      </c>
      <c r="O23" s="95" t="str">
        <f t="shared" si="7"/>
        <v>TRUE</v>
      </c>
      <c r="P23" s="95"/>
      <c r="Q23" s="96">
        <v>1</v>
      </c>
      <c r="R23" s="96">
        <v>4</v>
      </c>
      <c r="S23" s="96">
        <v>58</v>
      </c>
      <c r="T23" s="96">
        <v>70</v>
      </c>
      <c r="U23" s="96"/>
      <c r="V23" s="96"/>
      <c r="W23" s="96">
        <v>12</v>
      </c>
      <c r="X23" s="96">
        <v>18</v>
      </c>
      <c r="Y23" s="96" t="s">
        <v>2470</v>
      </c>
      <c r="Z23" s="96">
        <v>32</v>
      </c>
      <c r="AA23" s="96" t="str">
        <f t="shared" si="2"/>
        <v>DA_WPN_Staff_Staff_o_mag</v>
      </c>
      <c r="AB23" s="90" t="str">
        <f t="shared" si="3"/>
        <v>/Game/DungeonSiege/Items/Weapons/staff/DA_WPN_Staff_Staff_o_mag</v>
      </c>
      <c r="AC23" s="97" t="str">
        <f t="shared" si="4"/>
        <v>Texture2D'/Game/DungeonSiege/art/bitmaps/gui/in_game/inventory/weapons/staff/b_gui_ig_i_w_stf_113.b_gui_ig_i_w_stf_113'</v>
      </c>
      <c r="AD23" s="97" t="str">
        <f t="shared" si="5"/>
        <v>Texture2D'/Game/DungeonSiege/art/bitmaps/gui/in_game/inventory/icons/b_gui_ig_i_ic_stf_004.b_gui_ig_i_ic_stf_004'</v>
      </c>
      <c r="AE23" s="97" t="str">
        <f t="shared" si="6"/>
        <v>StaticMesh'/Game/DungeonSiege/art/meshes/weapons/staff/m_w_stf_072_AspMesh.m_w_stf_072_AspMesh'</v>
      </c>
    </row>
    <row r="24" spans="1:31" ht="15.75" thickBot="1" x14ac:dyDescent="0.3">
      <c r="A24" s="95">
        <v>22</v>
      </c>
      <c r="B24" s="95">
        <f>A24+Items!B$26</f>
        <v>93323286</v>
      </c>
      <c r="C24" s="96" t="s">
        <v>5762</v>
      </c>
      <c r="D24" s="96" t="s">
        <v>1219</v>
      </c>
      <c r="E24" s="96" t="s">
        <v>3524</v>
      </c>
      <c r="F24" s="96" t="s">
        <v>5891</v>
      </c>
      <c r="G24" s="96" t="s">
        <v>3534</v>
      </c>
      <c r="H24" s="96" t="b">
        <v>1</v>
      </c>
      <c r="I24" s="96" t="b">
        <v>1</v>
      </c>
      <c r="J24" s="96"/>
      <c r="K24" s="96"/>
      <c r="L24" s="96" t="s">
        <v>5892</v>
      </c>
      <c r="M24" s="96" t="s">
        <v>5893</v>
      </c>
      <c r="N24" s="96" t="s">
        <v>5884</v>
      </c>
      <c r="O24" s="95" t="str">
        <f t="shared" si="7"/>
        <v>TRUE</v>
      </c>
      <c r="P24" s="95"/>
      <c r="Q24" s="96">
        <v>1</v>
      </c>
      <c r="R24" s="96">
        <v>4</v>
      </c>
      <c r="S24" s="96">
        <v>2</v>
      </c>
      <c r="T24" s="96">
        <v>4</v>
      </c>
      <c r="U24" s="96"/>
      <c r="V24" s="96"/>
      <c r="W24" s="96">
        <v>0</v>
      </c>
      <c r="X24" s="96">
        <v>0</v>
      </c>
      <c r="Y24" s="96" t="s">
        <v>2470</v>
      </c>
      <c r="Z24" s="96">
        <v>23</v>
      </c>
      <c r="AA24" s="96" t="str">
        <f t="shared" si="2"/>
        <v>DA_WPN_Staff_Staff_o_str</v>
      </c>
      <c r="AB24" s="90" t="str">
        <f t="shared" si="3"/>
        <v>/Game/DungeonSiege/Items/Weapons/staff/DA_WPN_Staff_Staff_o_str</v>
      </c>
      <c r="AC24" s="97" t="str">
        <f t="shared" si="4"/>
        <v>Texture2D'/Game/DungeonSiege/art/bitmaps/gui/in_game/inventory/weapons/staff/b_gui_ig_i_w_stf_112.b_gui_ig_i_w_stf_112'</v>
      </c>
      <c r="AD24" s="97" t="str">
        <f t="shared" si="5"/>
        <v>Texture2D'/Game/DungeonSiege/art/bitmaps/gui/in_game/inventory/icons/b_gui_ig_i_ic_stf_004.b_gui_ig_i_ic_stf_004'</v>
      </c>
      <c r="AE24" s="97" t="str">
        <f t="shared" si="6"/>
        <v>StaticMesh'/Game/DungeonSiege/art/meshes/weapons/staff/m_w_stf_071_AspMesh.m_w_stf_071_AspMesh'</v>
      </c>
    </row>
    <row r="25" spans="1:31" ht="15.75" thickBot="1" x14ac:dyDescent="0.3">
      <c r="A25" s="95">
        <v>23</v>
      </c>
      <c r="B25" s="95">
        <f>A25+Items!B$26</f>
        <v>93323287</v>
      </c>
      <c r="C25" s="96" t="s">
        <v>5763</v>
      </c>
      <c r="D25" s="96" t="s">
        <v>5763</v>
      </c>
      <c r="E25" s="96" t="s">
        <v>3524</v>
      </c>
      <c r="F25" s="96" t="s">
        <v>5894</v>
      </c>
      <c r="G25" s="96"/>
      <c r="H25" s="96" t="b">
        <v>1</v>
      </c>
      <c r="I25" s="96"/>
      <c r="J25" s="96"/>
      <c r="K25" s="96"/>
      <c r="L25" s="96" t="s">
        <v>5895</v>
      </c>
      <c r="M25" s="96" t="s">
        <v>5896</v>
      </c>
      <c r="N25" s="96" t="s">
        <v>5828</v>
      </c>
      <c r="O25" s="95" t="str">
        <f t="shared" si="7"/>
        <v>FALSE</v>
      </c>
      <c r="P25" s="95"/>
      <c r="Q25" s="96">
        <v>1</v>
      </c>
      <c r="R25" s="96">
        <v>4</v>
      </c>
      <c r="S25" s="96">
        <v>2</v>
      </c>
      <c r="T25" s="96">
        <v>4</v>
      </c>
      <c r="U25" s="96"/>
      <c r="V25" s="96"/>
      <c r="W25" s="96">
        <v>0</v>
      </c>
      <c r="X25" s="96">
        <v>0</v>
      </c>
      <c r="Y25" s="96"/>
      <c r="Z25" s="96"/>
      <c r="AA25" s="96" t="str">
        <f t="shared" si="2"/>
        <v>DA_WPN_Staff_CrookedStaff</v>
      </c>
      <c r="AB25" s="90" t="str">
        <f t="shared" si="3"/>
        <v>/Game/DungeonSiege/Items/Weapons/staff/DA_WPN_Staff_CrookedStaff</v>
      </c>
      <c r="AC25" s="97" t="str">
        <f t="shared" si="4"/>
        <v>Texture2D'/Game/DungeonSiege/art/bitmaps/gui/in_game/inventory/weapons/staff/b_gui_ig_i_w_stf_103.b_gui_ig_i_w_stf_103'</v>
      </c>
      <c r="AD25" s="97" t="str">
        <f t="shared" si="5"/>
        <v>Texture2D'/Game/DungeonSiege/art/bitmaps/gui/in_game/inventory/icons/b_gui_ig_i_ic_stf_001.b_gui_ig_i_ic_stf_001'</v>
      </c>
      <c r="AE25" s="97" t="str">
        <f t="shared" si="6"/>
        <v>StaticMesh'/Game/DungeonSiege/art/meshes/weapons/staff/m_w_stf_062_AspMesh.m_w_stf_062_AspMesh'</v>
      </c>
    </row>
    <row r="26" spans="1:31" ht="15.75" thickBot="1" x14ac:dyDescent="0.3">
      <c r="A26" s="95">
        <v>24</v>
      </c>
      <c r="B26" s="95">
        <f>A26+Items!B$26</f>
        <v>93323288</v>
      </c>
      <c r="C26" s="96" t="s">
        <v>5764</v>
      </c>
      <c r="D26" s="96" t="s">
        <v>5764</v>
      </c>
      <c r="E26" s="96" t="s">
        <v>3524</v>
      </c>
      <c r="F26" s="96" t="s">
        <v>5897</v>
      </c>
      <c r="G26" s="96"/>
      <c r="H26" s="96" t="b">
        <v>1</v>
      </c>
      <c r="I26" s="96"/>
      <c r="J26" s="96"/>
      <c r="K26" s="96"/>
      <c r="L26" s="96" t="s">
        <v>5898</v>
      </c>
      <c r="M26" s="96" t="s">
        <v>5899</v>
      </c>
      <c r="N26" s="96" t="s">
        <v>5828</v>
      </c>
      <c r="O26" s="95" t="str">
        <f t="shared" si="7"/>
        <v>FALSE</v>
      </c>
      <c r="P26" s="95"/>
      <c r="Q26" s="96">
        <v>1</v>
      </c>
      <c r="R26" s="96">
        <v>4</v>
      </c>
      <c r="S26" s="96">
        <v>31</v>
      </c>
      <c r="T26" s="96">
        <v>39</v>
      </c>
      <c r="U26" s="96"/>
      <c r="V26" s="96"/>
      <c r="W26" s="96">
        <v>0</v>
      </c>
      <c r="X26" s="96">
        <v>0</v>
      </c>
      <c r="Y26" s="96"/>
      <c r="Z26" s="96"/>
      <c r="AA26" s="96" t="str">
        <f t="shared" si="2"/>
        <v>DA_WPN_Staff_SplinteredStaff</v>
      </c>
      <c r="AB26" s="90" t="str">
        <f t="shared" si="3"/>
        <v>/Game/DungeonSiege/Items/Weapons/staff/DA_WPN_Staff_SplinteredStaff</v>
      </c>
      <c r="AC26" s="97" t="str">
        <f t="shared" si="4"/>
        <v>Texture2D'/Game/DungeonSiege/art/bitmaps/gui/in_game/inventory/weapons/staff/b_gui_ig_i_w_stf_102.b_gui_ig_i_w_stf_102'</v>
      </c>
      <c r="AD26" s="97" t="str">
        <f t="shared" si="5"/>
        <v>Texture2D'/Game/DungeonSiege/art/bitmaps/gui/in_game/inventory/icons/b_gui_ig_i_ic_stf_001.b_gui_ig_i_ic_stf_001'</v>
      </c>
      <c r="AE26" s="97" t="str">
        <f t="shared" si="6"/>
        <v>StaticMesh'/Game/DungeonSiege/art/meshes/weapons/staff/m_w_stf_061_AspMesh.m_w_stf_061_AspMesh'</v>
      </c>
    </row>
    <row r="27" spans="1:31" ht="15.75" thickBot="1" x14ac:dyDescent="0.3">
      <c r="A27" s="95">
        <v>25</v>
      </c>
      <c r="B27" s="95">
        <f>A27+Items!B$26</f>
        <v>93323289</v>
      </c>
      <c r="C27" s="96" t="s">
        <v>5765</v>
      </c>
      <c r="D27" s="96" t="s">
        <v>5765</v>
      </c>
      <c r="E27" s="96" t="s">
        <v>3524</v>
      </c>
      <c r="F27" s="96" t="s">
        <v>5900</v>
      </c>
      <c r="G27" s="96"/>
      <c r="H27" s="96" t="b">
        <v>1</v>
      </c>
      <c r="I27" s="96" t="b">
        <v>1</v>
      </c>
      <c r="J27" s="96"/>
      <c r="K27" s="96"/>
      <c r="L27" s="96" t="s">
        <v>5901</v>
      </c>
      <c r="M27" s="96" t="s">
        <v>5902</v>
      </c>
      <c r="N27" s="96" t="s">
        <v>5903</v>
      </c>
      <c r="O27" s="95" t="str">
        <f t="shared" si="7"/>
        <v>TRUE</v>
      </c>
      <c r="P27" s="95"/>
      <c r="Q27" s="96">
        <v>1</v>
      </c>
      <c r="R27" s="96">
        <v>4</v>
      </c>
      <c r="S27" s="96">
        <v>40</v>
      </c>
      <c r="T27" s="96">
        <v>50</v>
      </c>
      <c r="U27" s="96"/>
      <c r="V27" s="96"/>
      <c r="W27" s="96">
        <v>1</v>
      </c>
      <c r="X27" s="96">
        <v>6</v>
      </c>
      <c r="Y27" s="96" t="s">
        <v>2470</v>
      </c>
      <c r="Z27" s="96">
        <v>17</v>
      </c>
      <c r="AA27" s="96" t="str">
        <f t="shared" si="2"/>
        <v>DA_WPN_Staff_SteelStaff</v>
      </c>
      <c r="AB27" s="90" t="str">
        <f t="shared" si="3"/>
        <v>/Game/DungeonSiege/Items/Weapons/staff/DA_WPN_Staff_SteelStaff</v>
      </c>
      <c r="AC27" s="97" t="str">
        <f t="shared" si="4"/>
        <v>Texture2D'/Game/DungeonSiege/art/bitmaps/gui/in_game/inventory/weapons/staff/b_gui_ig_i_w_stf_090.b_gui_ig_i_w_stf_090'</v>
      </c>
      <c r="AD27" s="97" t="str">
        <f t="shared" si="5"/>
        <v>Texture2D'/Game/DungeonSiege/art/bitmaps/gui/in_game/inventory/icons/b_gui_ig_i_ic_stf_002.b_gui_ig_i_ic_stf_002'</v>
      </c>
      <c r="AE27" s="97" t="str">
        <f t="shared" si="6"/>
        <v>StaticMesh'/Game/DungeonSiege/art/meshes/weapons/staff/m_w_stf_049_AspMesh.m_w_stf_049_AspMesh'</v>
      </c>
    </row>
    <row r="28" spans="1:31" ht="15.75" thickBot="1" x14ac:dyDescent="0.3">
      <c r="A28" s="95">
        <v>26</v>
      </c>
      <c r="B28" s="95">
        <f>A28+Items!B$26</f>
        <v>93323290</v>
      </c>
      <c r="C28" s="96" t="s">
        <v>5766</v>
      </c>
      <c r="D28" s="96" t="s">
        <v>5765</v>
      </c>
      <c r="E28" s="96" t="s">
        <v>3524</v>
      </c>
      <c r="F28" s="96" t="s">
        <v>5904</v>
      </c>
      <c r="G28" s="96" t="s">
        <v>3531</v>
      </c>
      <c r="H28" s="96" t="b">
        <v>1</v>
      </c>
      <c r="I28" s="96" t="b">
        <v>1</v>
      </c>
      <c r="J28" s="96"/>
      <c r="K28" s="96"/>
      <c r="L28" s="96" t="s">
        <v>5905</v>
      </c>
      <c r="M28" s="96" t="s">
        <v>5906</v>
      </c>
      <c r="N28" s="96" t="s">
        <v>5903</v>
      </c>
      <c r="O28" s="95" t="str">
        <f t="shared" si="7"/>
        <v>TRUE</v>
      </c>
      <c r="P28" s="95"/>
      <c r="Q28" s="96">
        <v>1</v>
      </c>
      <c r="R28" s="96">
        <v>4</v>
      </c>
      <c r="S28" s="96">
        <v>117</v>
      </c>
      <c r="T28" s="96">
        <v>149</v>
      </c>
      <c r="U28" s="96"/>
      <c r="V28" s="96"/>
      <c r="W28" s="96">
        <v>23</v>
      </c>
      <c r="X28" s="96">
        <v>32</v>
      </c>
      <c r="Y28" s="96" t="s">
        <v>2470</v>
      </c>
      <c r="Z28" s="96">
        <v>19</v>
      </c>
      <c r="AA28" s="96" t="str">
        <f t="shared" si="2"/>
        <v>DA_WPN_Staff_SteelStaff_c_fin</v>
      </c>
      <c r="AB28" s="90" t="str">
        <f t="shared" si="3"/>
        <v>/Game/DungeonSiege/Items/Weapons/staff/DA_WPN_Staff_SteelStaff_c_fin</v>
      </c>
      <c r="AC28" s="97" t="str">
        <f t="shared" si="4"/>
        <v>Texture2D'/Game/DungeonSiege/art/bitmaps/gui/in_game/inventory/weapons/staff/b_gui_ig_i_w_stf_091.b_gui_ig_i_w_stf_091'</v>
      </c>
      <c r="AD28" s="97" t="str">
        <f t="shared" si="5"/>
        <v>Texture2D'/Game/DungeonSiege/art/bitmaps/gui/in_game/inventory/icons/b_gui_ig_i_ic_stf_002.b_gui_ig_i_ic_stf_002'</v>
      </c>
      <c r="AE28" s="97" t="str">
        <f t="shared" si="6"/>
        <v>StaticMesh'/Game/DungeonSiege/art/meshes/weapons/staff/m_w_stf_050_AspMesh.m_w_stf_050_AspMesh'</v>
      </c>
    </row>
    <row r="29" spans="1:31" ht="15.75" thickBot="1" x14ac:dyDescent="0.3">
      <c r="A29" s="95">
        <v>27</v>
      </c>
      <c r="B29" s="95">
        <f>A29+Items!B$26</f>
        <v>93323291</v>
      </c>
      <c r="C29" s="96" t="s">
        <v>5767</v>
      </c>
      <c r="D29" s="96" t="s">
        <v>5765</v>
      </c>
      <c r="E29" s="96" t="s">
        <v>3524</v>
      </c>
      <c r="F29" s="96" t="s">
        <v>5907</v>
      </c>
      <c r="G29" s="96" t="s">
        <v>3529</v>
      </c>
      <c r="H29" s="96" t="b">
        <v>1</v>
      </c>
      <c r="I29" s="96" t="b">
        <v>1</v>
      </c>
      <c r="J29" s="96"/>
      <c r="K29" s="96"/>
      <c r="L29" s="96" t="s">
        <v>5908</v>
      </c>
      <c r="M29" s="96" t="s">
        <v>5909</v>
      </c>
      <c r="N29" s="96" t="s">
        <v>5903</v>
      </c>
      <c r="O29" s="95" t="str">
        <f t="shared" si="7"/>
        <v>TRUE</v>
      </c>
      <c r="P29" s="95"/>
      <c r="Q29" s="96">
        <v>1</v>
      </c>
      <c r="R29" s="96">
        <v>4</v>
      </c>
      <c r="S29" s="96">
        <v>76</v>
      </c>
      <c r="T29" s="96">
        <v>96</v>
      </c>
      <c r="U29" s="96"/>
      <c r="V29" s="96"/>
      <c r="W29" s="96">
        <v>10</v>
      </c>
      <c r="X29" s="96">
        <v>21</v>
      </c>
      <c r="Y29" s="96" t="s">
        <v>2470</v>
      </c>
      <c r="Z29" s="96">
        <v>39</v>
      </c>
      <c r="AA29" s="96" t="str">
        <f t="shared" si="2"/>
        <v>DA_WPN_Staff_SteelStaff_c_mag</v>
      </c>
      <c r="AB29" s="90" t="str">
        <f t="shared" si="3"/>
        <v>/Game/DungeonSiege/Items/Weapons/staff/DA_WPN_Staff_SteelStaff_c_mag</v>
      </c>
      <c r="AC29" s="97" t="str">
        <f t="shared" si="4"/>
        <v>Texture2D'/Game/DungeonSiege/art/bitmaps/gui/in_game/inventory/weapons/staff/b_gui_ig_i_w_stf_093.b_gui_ig_i_w_stf_093'</v>
      </c>
      <c r="AD29" s="97" t="str">
        <f t="shared" si="5"/>
        <v>Texture2D'/Game/DungeonSiege/art/bitmaps/gui/in_game/inventory/icons/b_gui_ig_i_ic_stf_002.b_gui_ig_i_ic_stf_002'</v>
      </c>
      <c r="AE29" s="97" t="str">
        <f t="shared" si="6"/>
        <v>StaticMesh'/Game/DungeonSiege/art/meshes/weapons/staff/m_w_stf_052_AspMesh.m_w_stf_052_AspMesh'</v>
      </c>
    </row>
    <row r="30" spans="1:31" ht="15.75" thickBot="1" x14ac:dyDescent="0.3">
      <c r="A30" s="95">
        <v>28</v>
      </c>
      <c r="B30" s="95">
        <f>A30+Items!B$26</f>
        <v>93323292</v>
      </c>
      <c r="C30" s="96" t="s">
        <v>5768</v>
      </c>
      <c r="D30" s="96" t="s">
        <v>5765</v>
      </c>
      <c r="E30" s="96" t="s">
        <v>3524</v>
      </c>
      <c r="F30" s="96" t="s">
        <v>5910</v>
      </c>
      <c r="G30" s="96" t="s">
        <v>3530</v>
      </c>
      <c r="H30" s="96" t="b">
        <v>1</v>
      </c>
      <c r="I30" s="96" t="b">
        <v>1</v>
      </c>
      <c r="J30" s="96"/>
      <c r="K30" s="96"/>
      <c r="L30" s="96" t="s">
        <v>5911</v>
      </c>
      <c r="M30" s="96" t="s">
        <v>5912</v>
      </c>
      <c r="N30" s="96" t="s">
        <v>5903</v>
      </c>
      <c r="O30" s="95" t="str">
        <f t="shared" si="7"/>
        <v>TRUE</v>
      </c>
      <c r="P30" s="95"/>
      <c r="Q30" s="96">
        <v>1</v>
      </c>
      <c r="R30" s="96">
        <v>4</v>
      </c>
      <c r="S30" s="96">
        <v>48</v>
      </c>
      <c r="T30" s="96">
        <v>60</v>
      </c>
      <c r="U30" s="96"/>
      <c r="V30" s="96"/>
      <c r="W30" s="96">
        <v>3</v>
      </c>
      <c r="X30" s="96">
        <v>9</v>
      </c>
      <c r="Y30" s="96" t="s">
        <v>2470</v>
      </c>
      <c r="Z30" s="96">
        <v>28</v>
      </c>
      <c r="AA30" s="96" t="str">
        <f t="shared" si="2"/>
        <v>DA_WPN_Staff_SteelStaff_c_str</v>
      </c>
      <c r="AB30" s="90" t="str">
        <f t="shared" si="3"/>
        <v>/Game/DungeonSiege/Items/Weapons/staff/DA_WPN_Staff_SteelStaff_c_str</v>
      </c>
      <c r="AC30" s="97" t="str">
        <f t="shared" si="4"/>
        <v>Texture2D'/Game/DungeonSiege/art/bitmaps/gui/in_game/inventory/weapons/staff/b_gui_ig_i_w_stf_092.b_gui_ig_i_w_stf_092'</v>
      </c>
      <c r="AD30" s="97" t="str">
        <f t="shared" si="5"/>
        <v>Texture2D'/Game/DungeonSiege/art/bitmaps/gui/in_game/inventory/icons/b_gui_ig_i_ic_stf_002.b_gui_ig_i_ic_stf_002'</v>
      </c>
      <c r="AE30" s="97" t="str">
        <f t="shared" si="6"/>
        <v>StaticMesh'/Game/DungeonSiege/art/meshes/weapons/staff/m_w_stf_051_AspMesh.m_w_stf_051_AspMesh'</v>
      </c>
    </row>
    <row r="31" spans="1:31" ht="15.75" thickBot="1" x14ac:dyDescent="0.3">
      <c r="A31" s="95">
        <v>29</v>
      </c>
      <c r="B31" s="95">
        <f>A31+Items!B$26</f>
        <v>93323293</v>
      </c>
      <c r="C31" s="96" t="s">
        <v>5769</v>
      </c>
      <c r="D31" s="96" t="s">
        <v>5765</v>
      </c>
      <c r="E31" s="96" t="s">
        <v>3524</v>
      </c>
      <c r="F31" s="96" t="s">
        <v>5913</v>
      </c>
      <c r="G31" s="96" t="s">
        <v>3528</v>
      </c>
      <c r="H31" s="96" t="b">
        <v>1</v>
      </c>
      <c r="I31" s="96" t="b">
        <v>1</v>
      </c>
      <c r="J31" s="96"/>
      <c r="K31" s="96"/>
      <c r="L31" s="96" t="s">
        <v>5914</v>
      </c>
      <c r="M31" s="96" t="s">
        <v>5915</v>
      </c>
      <c r="N31" s="96" t="s">
        <v>5916</v>
      </c>
      <c r="O31" s="95" t="str">
        <f t="shared" si="7"/>
        <v>TRUE</v>
      </c>
      <c r="P31" s="95"/>
      <c r="Q31" s="96">
        <v>1</v>
      </c>
      <c r="R31" s="96">
        <v>4</v>
      </c>
      <c r="S31" s="96">
        <v>59</v>
      </c>
      <c r="T31" s="96">
        <v>75</v>
      </c>
      <c r="U31" s="96"/>
      <c r="V31" s="96"/>
      <c r="W31" s="96">
        <v>7</v>
      </c>
      <c r="X31" s="96">
        <v>16</v>
      </c>
      <c r="Y31" s="96" t="s">
        <v>2470</v>
      </c>
      <c r="Z31" s="96">
        <v>21</v>
      </c>
      <c r="AA31" s="96" t="str">
        <f t="shared" si="2"/>
        <v>DA_WPN_Staff_SteelStaff_o_avg</v>
      </c>
      <c r="AB31" s="90" t="str">
        <f t="shared" si="3"/>
        <v>/Game/DungeonSiege/Items/Weapons/staff/DA_WPN_Staff_SteelStaff_o_avg</v>
      </c>
      <c r="AC31" s="97" t="str">
        <f t="shared" si="4"/>
        <v>Texture2D'/Game/DungeonSiege/art/bitmaps/gui/in_game/inventory/weapons/staff/b_gui_ig_i_w_stf_094.b_gui_ig_i_w_stf_094'</v>
      </c>
      <c r="AD31" s="97" t="str">
        <f t="shared" si="5"/>
        <v>Texture2D'/Game/DungeonSiege/art/bitmaps/gui/in_game/inventory/icons/b_gui_ig_i_ic_stf_005.b_gui_ig_i_ic_stf_005'</v>
      </c>
      <c r="AE31" s="97" t="str">
        <f t="shared" si="6"/>
        <v>StaticMesh'/Game/DungeonSiege/art/meshes/weapons/staff/m_w_stf_053_AspMesh.m_w_stf_053_AspMesh'</v>
      </c>
    </row>
    <row r="32" spans="1:31" ht="15.75" thickBot="1" x14ac:dyDescent="0.3">
      <c r="A32" s="95">
        <v>30</v>
      </c>
      <c r="B32" s="95">
        <f>A32+Items!B$26</f>
        <v>93323294</v>
      </c>
      <c r="C32" s="96" t="s">
        <v>5770</v>
      </c>
      <c r="D32" s="96" t="s">
        <v>5765</v>
      </c>
      <c r="E32" s="96" t="s">
        <v>3524</v>
      </c>
      <c r="F32" s="96" t="s">
        <v>5917</v>
      </c>
      <c r="G32" s="96" t="s">
        <v>3532</v>
      </c>
      <c r="H32" s="96" t="b">
        <v>1</v>
      </c>
      <c r="I32" s="96" t="b">
        <v>1</v>
      </c>
      <c r="J32" s="96"/>
      <c r="K32" s="96"/>
      <c r="L32" s="96" t="s">
        <v>5918</v>
      </c>
      <c r="M32" s="96" t="s">
        <v>5919</v>
      </c>
      <c r="N32" s="96" t="s">
        <v>5916</v>
      </c>
      <c r="O32" s="95" t="str">
        <f t="shared" si="7"/>
        <v>TRUE</v>
      </c>
      <c r="P32" s="95"/>
      <c r="Q32" s="96">
        <v>1</v>
      </c>
      <c r="R32" s="96">
        <v>4</v>
      </c>
      <c r="S32" s="96">
        <v>139</v>
      </c>
      <c r="T32" s="96">
        <v>177</v>
      </c>
      <c r="U32" s="96"/>
      <c r="V32" s="96"/>
      <c r="W32" s="96">
        <v>17</v>
      </c>
      <c r="X32" s="96">
        <v>27</v>
      </c>
      <c r="Y32" s="96" t="s">
        <v>2470</v>
      </c>
      <c r="Z32" s="96">
        <v>24</v>
      </c>
      <c r="AA32" s="96" t="str">
        <f t="shared" si="2"/>
        <v>DA_WPN_Staff_SteelStaff_o_fin</v>
      </c>
      <c r="AB32" s="90" t="str">
        <f t="shared" si="3"/>
        <v>/Game/DungeonSiege/Items/Weapons/staff/DA_WPN_Staff_SteelStaff_o_fin</v>
      </c>
      <c r="AC32" s="97" t="str">
        <f t="shared" si="4"/>
        <v>Texture2D'/Game/DungeonSiege/art/bitmaps/gui/in_game/inventory/weapons/staff/b_gui_ig_i_w_stf_095.b_gui_ig_i_w_stf_095'</v>
      </c>
      <c r="AD32" s="97" t="str">
        <f t="shared" si="5"/>
        <v>Texture2D'/Game/DungeonSiege/art/bitmaps/gui/in_game/inventory/icons/b_gui_ig_i_ic_stf_005.b_gui_ig_i_ic_stf_005'</v>
      </c>
      <c r="AE32" s="97" t="str">
        <f t="shared" si="6"/>
        <v>StaticMesh'/Game/DungeonSiege/art/meshes/weapons/staff/m_w_stf_054_AspMesh.m_w_stf_054_AspMesh'</v>
      </c>
    </row>
    <row r="33" spans="1:31" ht="15.75" thickBot="1" x14ac:dyDescent="0.3">
      <c r="A33" s="95">
        <v>31</v>
      </c>
      <c r="B33" s="95">
        <f>A33+Items!B$26</f>
        <v>93323295</v>
      </c>
      <c r="C33" s="96" t="s">
        <v>5771</v>
      </c>
      <c r="D33" s="96" t="s">
        <v>5765</v>
      </c>
      <c r="E33" s="96" t="s">
        <v>3524</v>
      </c>
      <c r="F33" s="96" t="s">
        <v>5920</v>
      </c>
      <c r="G33" s="96" t="s">
        <v>3533</v>
      </c>
      <c r="H33" s="96" t="b">
        <v>1</v>
      </c>
      <c r="I33" s="96" t="b">
        <v>1</v>
      </c>
      <c r="J33" s="96"/>
      <c r="K33" s="96"/>
      <c r="L33" s="96" t="s">
        <v>5921</v>
      </c>
      <c r="M33" s="96" t="s">
        <v>5922</v>
      </c>
      <c r="N33" s="96" t="s">
        <v>5916</v>
      </c>
      <c r="O33" s="95" t="str">
        <f t="shared" si="7"/>
        <v>TRUE</v>
      </c>
      <c r="P33" s="95"/>
      <c r="Q33" s="96">
        <v>1</v>
      </c>
      <c r="R33" s="96">
        <v>4</v>
      </c>
      <c r="S33" s="96">
        <v>28</v>
      </c>
      <c r="T33" s="96">
        <v>36</v>
      </c>
      <c r="U33" s="96"/>
      <c r="V33" s="96"/>
      <c r="W33" s="96">
        <v>0</v>
      </c>
      <c r="X33" s="96">
        <v>0</v>
      </c>
      <c r="Y33" s="96" t="s">
        <v>2470</v>
      </c>
      <c r="Z33" s="96">
        <v>45</v>
      </c>
      <c r="AA33" s="96" t="str">
        <f t="shared" si="2"/>
        <v>DA_WPN_Staff_SteelStaff_o_mag</v>
      </c>
      <c r="AB33" s="90" t="str">
        <f t="shared" si="3"/>
        <v>/Game/DungeonSiege/Items/Weapons/staff/DA_WPN_Staff_SteelStaff_o_mag</v>
      </c>
      <c r="AC33" s="97" t="str">
        <f t="shared" si="4"/>
        <v>Texture2D'/Game/DungeonSiege/art/bitmaps/gui/in_game/inventory/weapons/staff/b_gui_ig_i_w_stf_097.b_gui_ig_i_w_stf_097'</v>
      </c>
      <c r="AD33" s="97" t="str">
        <f t="shared" si="5"/>
        <v>Texture2D'/Game/DungeonSiege/art/bitmaps/gui/in_game/inventory/icons/b_gui_ig_i_ic_stf_005.b_gui_ig_i_ic_stf_005'</v>
      </c>
      <c r="AE33" s="97" t="str">
        <f t="shared" si="6"/>
        <v>StaticMesh'/Game/DungeonSiege/art/meshes/weapons/staff/m_w_stf_056_AspMesh.m_w_stf_056_AspMesh'</v>
      </c>
    </row>
    <row r="34" spans="1:31" ht="15.75" thickBot="1" x14ac:dyDescent="0.3">
      <c r="A34" s="95">
        <v>32</v>
      </c>
      <c r="B34" s="95">
        <f>A34+Items!B$26</f>
        <v>93323296</v>
      </c>
      <c r="C34" s="96" t="s">
        <v>5772</v>
      </c>
      <c r="D34" s="96" t="s">
        <v>5765</v>
      </c>
      <c r="E34" s="96" t="s">
        <v>3524</v>
      </c>
      <c r="F34" s="96" t="s">
        <v>5923</v>
      </c>
      <c r="G34" s="96" t="s">
        <v>3534</v>
      </c>
      <c r="H34" s="96" t="b">
        <v>1</v>
      </c>
      <c r="I34" s="96" t="b">
        <v>1</v>
      </c>
      <c r="J34" s="96"/>
      <c r="K34" s="96"/>
      <c r="L34" s="96" t="s">
        <v>5924</v>
      </c>
      <c r="M34" s="96" t="s">
        <v>5925</v>
      </c>
      <c r="N34" s="96" t="s">
        <v>5916</v>
      </c>
      <c r="O34" s="95" t="str">
        <f t="shared" si="7"/>
        <v>TRUE</v>
      </c>
      <c r="P34" s="95"/>
      <c r="Q34" s="96">
        <v>1</v>
      </c>
      <c r="R34" s="96">
        <v>4</v>
      </c>
      <c r="S34" s="96">
        <v>26</v>
      </c>
      <c r="T34" s="96">
        <v>32</v>
      </c>
      <c r="U34" s="96"/>
      <c r="V34" s="96"/>
      <c r="W34" s="96">
        <v>0</v>
      </c>
      <c r="X34" s="96">
        <v>0</v>
      </c>
      <c r="Y34" s="96" t="s">
        <v>2470</v>
      </c>
      <c r="Z34" s="96">
        <v>34</v>
      </c>
      <c r="AA34" s="96" t="str">
        <f t="shared" si="2"/>
        <v>DA_WPN_Staff_SteelStaff_o_str</v>
      </c>
      <c r="AB34" s="90" t="str">
        <f t="shared" si="3"/>
        <v>/Game/DungeonSiege/Items/Weapons/staff/DA_WPN_Staff_SteelStaff_o_str</v>
      </c>
      <c r="AC34" s="97" t="str">
        <f t="shared" si="4"/>
        <v>Texture2D'/Game/DungeonSiege/art/bitmaps/gui/in_game/inventory/weapons/staff/b_gui_ig_i_w_stf_096.b_gui_ig_i_w_stf_096'</v>
      </c>
      <c r="AD34" s="97" t="str">
        <f t="shared" si="5"/>
        <v>Texture2D'/Game/DungeonSiege/art/bitmaps/gui/in_game/inventory/icons/b_gui_ig_i_ic_stf_005.b_gui_ig_i_ic_stf_005'</v>
      </c>
      <c r="AE34" s="97" t="str">
        <f t="shared" si="6"/>
        <v>StaticMesh'/Game/DungeonSiege/art/meshes/weapons/staff/m_w_stf_055_AspMesh.m_w_stf_055_AspMesh'</v>
      </c>
    </row>
    <row r="35" spans="1:31" ht="15.75" thickBot="1" x14ac:dyDescent="0.3">
      <c r="A35" s="95">
        <v>33</v>
      </c>
      <c r="B35" s="95">
        <f>A35+Items!B$26</f>
        <v>93323297</v>
      </c>
      <c r="C35" s="96" t="s">
        <v>5773</v>
      </c>
      <c r="D35" s="96" t="s">
        <v>5773</v>
      </c>
      <c r="E35" s="96" t="s">
        <v>3524</v>
      </c>
      <c r="F35" s="96" t="s">
        <v>5926</v>
      </c>
      <c r="G35" s="96"/>
      <c r="H35" s="96" t="b">
        <v>1</v>
      </c>
      <c r="I35" s="96"/>
      <c r="J35" s="96"/>
      <c r="K35" s="96"/>
      <c r="L35" s="96" t="s">
        <v>5927</v>
      </c>
      <c r="M35" s="96" t="s">
        <v>5928</v>
      </c>
      <c r="N35" s="96" t="s">
        <v>5903</v>
      </c>
      <c r="O35" s="95" t="str">
        <f t="shared" si="7"/>
        <v>FALSE</v>
      </c>
      <c r="P35" s="95"/>
      <c r="Q35" s="96">
        <v>1</v>
      </c>
      <c r="R35" s="96">
        <v>4</v>
      </c>
      <c r="S35" s="96">
        <v>1</v>
      </c>
      <c r="T35" s="96">
        <v>2</v>
      </c>
      <c r="U35" s="96"/>
      <c r="V35" s="96"/>
      <c r="W35" s="96">
        <v>0</v>
      </c>
      <c r="X35" s="96">
        <v>0</v>
      </c>
      <c r="Y35" s="96" t="s">
        <v>2470</v>
      </c>
      <c r="Z35" s="96">
        <v>16</v>
      </c>
      <c r="AA35" s="96" t="str">
        <f t="shared" si="2"/>
        <v>DA_WPN_Staff_BentStaff</v>
      </c>
      <c r="AB35" s="90" t="str">
        <f t="shared" si="3"/>
        <v>/Game/DungeonSiege/Items/Weapons/staff/DA_WPN_Staff_BentStaff</v>
      </c>
      <c r="AC35" s="97" t="str">
        <f t="shared" si="4"/>
        <v>Texture2D'/Game/DungeonSiege/art/bitmaps/gui/in_game/inventory/weapons/staff/b_gui_ig_i_w_stf_099.b_gui_ig_i_w_stf_099'</v>
      </c>
      <c r="AD35" s="97" t="str">
        <f t="shared" si="5"/>
        <v>Texture2D'/Game/DungeonSiege/art/bitmaps/gui/in_game/inventory/icons/b_gui_ig_i_ic_stf_002.b_gui_ig_i_ic_stf_002'</v>
      </c>
      <c r="AE35" s="97" t="str">
        <f t="shared" si="6"/>
        <v>StaticMesh'/Game/DungeonSiege/art/meshes/weapons/staff/m_w_stf_058_AspMesh.m_w_stf_058_AspMesh'</v>
      </c>
    </row>
    <row r="36" spans="1:31" ht="15.75" thickBot="1" x14ac:dyDescent="0.3">
      <c r="A36" s="95">
        <v>34</v>
      </c>
      <c r="B36" s="95">
        <f>A36+Items!B$26</f>
        <v>93323298</v>
      </c>
      <c r="C36" s="96" t="s">
        <v>5774</v>
      </c>
      <c r="D36" s="96" t="s">
        <v>5774</v>
      </c>
      <c r="E36" s="96" t="s">
        <v>3524</v>
      </c>
      <c r="F36" s="96" t="s">
        <v>5929</v>
      </c>
      <c r="G36" s="96"/>
      <c r="H36" s="96" t="b">
        <v>1</v>
      </c>
      <c r="I36" s="96"/>
      <c r="J36" s="96"/>
      <c r="K36" s="96"/>
      <c r="L36" s="96" t="s">
        <v>5930</v>
      </c>
      <c r="M36" s="96" t="s">
        <v>5931</v>
      </c>
      <c r="N36" s="96" t="s">
        <v>5903</v>
      </c>
      <c r="O36" s="95" t="str">
        <f t="shared" si="7"/>
        <v>FALSE</v>
      </c>
      <c r="P36" s="95"/>
      <c r="Q36" s="96">
        <v>1</v>
      </c>
      <c r="R36" s="96">
        <v>4</v>
      </c>
      <c r="S36" s="96">
        <v>54</v>
      </c>
      <c r="T36" s="96">
        <v>80</v>
      </c>
      <c r="U36" s="96"/>
      <c r="V36" s="96"/>
      <c r="W36" s="96">
        <v>0</v>
      </c>
      <c r="X36" s="96">
        <v>0</v>
      </c>
      <c r="Y36" s="96" t="s">
        <v>2470</v>
      </c>
      <c r="Z36" s="96">
        <v>15</v>
      </c>
      <c r="AA36" s="96" t="str">
        <f t="shared" si="2"/>
        <v>DA_WPN_Staff_WarpedStaff</v>
      </c>
      <c r="AB36" s="90" t="str">
        <f t="shared" si="3"/>
        <v>/Game/DungeonSiege/Items/Weapons/staff/DA_WPN_Staff_WarpedStaff</v>
      </c>
      <c r="AC36" s="97" t="str">
        <f t="shared" si="4"/>
        <v>Texture2D'/Game/DungeonSiege/art/bitmaps/gui/in_game/inventory/weapons/staff/b_gui_ig_i_w_stf_098.b_gui_ig_i_w_stf_098'</v>
      </c>
      <c r="AD36" s="97" t="str">
        <f t="shared" si="5"/>
        <v>Texture2D'/Game/DungeonSiege/art/bitmaps/gui/in_game/inventory/icons/b_gui_ig_i_ic_stf_002.b_gui_ig_i_ic_stf_002'</v>
      </c>
      <c r="AE36" s="97" t="str">
        <f t="shared" si="6"/>
        <v>StaticMesh'/Game/DungeonSiege/art/meshes/weapons/staff/m_w_stf_057_AspMesh.m_w_stf_057_AspMesh'</v>
      </c>
    </row>
    <row r="37" spans="1:31" ht="15.75" thickBot="1" x14ac:dyDescent="0.3">
      <c r="A37" s="95">
        <v>35</v>
      </c>
      <c r="B37" s="95">
        <f>A37+Items!B$26</f>
        <v>93323299</v>
      </c>
      <c r="C37" s="96" t="s">
        <v>5775</v>
      </c>
      <c r="D37" s="96" t="s">
        <v>5775</v>
      </c>
      <c r="E37" s="96" t="s">
        <v>3524</v>
      </c>
      <c r="F37" s="96" t="s">
        <v>5932</v>
      </c>
      <c r="G37" s="96"/>
      <c r="H37" s="96" t="b">
        <v>1</v>
      </c>
      <c r="I37" s="96"/>
      <c r="J37" s="96"/>
      <c r="K37" s="96"/>
      <c r="L37" s="96" t="s">
        <v>5933</v>
      </c>
      <c r="M37" s="96" t="s">
        <v>5934</v>
      </c>
      <c r="N37" s="96" t="s">
        <v>5828</v>
      </c>
      <c r="O37" s="95" t="str">
        <f t="shared" si="7"/>
        <v>FALSE</v>
      </c>
      <c r="P37" s="95"/>
      <c r="Q37" s="96">
        <v>1</v>
      </c>
      <c r="R37" s="96">
        <v>4</v>
      </c>
      <c r="S37" s="96">
        <v>51</v>
      </c>
      <c r="T37" s="96">
        <v>77</v>
      </c>
      <c r="U37" s="96"/>
      <c r="V37" s="96"/>
      <c r="W37" s="96">
        <v>0</v>
      </c>
      <c r="X37" s="96">
        <v>0</v>
      </c>
      <c r="Y37" s="96"/>
      <c r="Z37" s="96"/>
      <c r="AA37" s="96" t="str">
        <f t="shared" si="2"/>
        <v>DA_WPN_Staff_WalkingStick</v>
      </c>
      <c r="AB37" s="90" t="str">
        <f t="shared" si="3"/>
        <v>/Game/DungeonSiege/Items/Weapons/staff/DA_WPN_Staff_WalkingStick</v>
      </c>
      <c r="AC37" s="97" t="str">
        <f t="shared" si="4"/>
        <v>Texture2D'/Game/DungeonSiege/art/bitmaps/gui/in_game/inventory/weapons/staff/b_gui_ig_i_w_stf_035.b_gui_ig_i_w_stf_035'</v>
      </c>
      <c r="AD37" s="97" t="str">
        <f t="shared" si="5"/>
        <v>Texture2D'/Game/DungeonSiege/art/bitmaps/gui/in_game/inventory/icons/b_gui_ig_i_ic_stf_001.b_gui_ig_i_ic_stf_001'</v>
      </c>
      <c r="AE37" s="97" t="str">
        <f t="shared" si="6"/>
        <v>StaticMesh'/Game/DungeonSiege/art/meshes/weapons/staff/m_w_stf_017_AspMesh.m_w_stf_017_AspMesh'</v>
      </c>
    </row>
    <row r="38" spans="1:31" ht="15.75" thickBot="1" x14ac:dyDescent="0.3">
      <c r="A38" s="95">
        <v>36</v>
      </c>
      <c r="B38" s="95">
        <f>A38+Items!B$26</f>
        <v>93323300</v>
      </c>
      <c r="C38" s="96" t="s">
        <v>5776</v>
      </c>
      <c r="D38" s="96" t="s">
        <v>5776</v>
      </c>
      <c r="E38" s="96" t="s">
        <v>3524</v>
      </c>
      <c r="F38" s="96" t="s">
        <v>5935</v>
      </c>
      <c r="G38" s="96"/>
      <c r="H38" s="96" t="b">
        <v>1</v>
      </c>
      <c r="I38" s="96"/>
      <c r="J38" s="96"/>
      <c r="K38" s="96"/>
      <c r="L38" s="96" t="s">
        <v>5936</v>
      </c>
      <c r="M38" s="96" t="s">
        <v>5937</v>
      </c>
      <c r="N38" s="96" t="s">
        <v>5840</v>
      </c>
      <c r="O38" s="95" t="str">
        <f t="shared" si="7"/>
        <v>FALSE</v>
      </c>
      <c r="P38" s="95"/>
      <c r="Q38" s="96">
        <v>1</v>
      </c>
      <c r="R38" s="96">
        <v>4</v>
      </c>
      <c r="S38" s="96">
        <v>18</v>
      </c>
      <c r="T38" s="96">
        <v>22</v>
      </c>
      <c r="U38" s="96"/>
      <c r="V38" s="96"/>
      <c r="W38" s="96">
        <v>0</v>
      </c>
      <c r="X38" s="96">
        <v>0</v>
      </c>
      <c r="Y38" s="96" t="s">
        <v>2470</v>
      </c>
      <c r="Z38" s="96">
        <v>24</v>
      </c>
      <c r="AA38" s="96" t="str">
        <f t="shared" si="2"/>
        <v>DA_WPN_Staff_KnifeStaff</v>
      </c>
      <c r="AB38" s="90" t="str">
        <f t="shared" si="3"/>
        <v>/Game/DungeonSiege/Items/Weapons/staff/DA_WPN_Staff_KnifeStaff</v>
      </c>
      <c r="AC38" s="97" t="str">
        <f t="shared" si="4"/>
        <v>Texture2D'/Game/DungeonSiege/art/bitmaps/gui/in_game/inventory/weapons/staff/b_gui_ig_i_w_stf_121.b_gui_ig_i_w_stf_121'</v>
      </c>
      <c r="AD38" s="97" t="str">
        <f t="shared" si="5"/>
        <v>Texture2D'/Game/DungeonSiege/art/bitmaps/gui/in_game/inventory/icons/b_gui_ig_i_ic_stf_003.b_gui_ig_i_ic_stf_003'</v>
      </c>
      <c r="AE38" s="97" t="str">
        <f t="shared" si="6"/>
        <v>StaticMesh'/Game/DungeonSiege/art/meshes/weapons/staff/m_w_stf_080_AspMesh.m_w_stf_080_AspMesh'</v>
      </c>
    </row>
    <row r="39" spans="1:31" ht="15.75" thickBot="1" x14ac:dyDescent="0.3">
      <c r="A39" s="95">
        <v>37</v>
      </c>
      <c r="B39" s="95">
        <f>A39+Items!B$26</f>
        <v>93323301</v>
      </c>
      <c r="C39" s="96" t="s">
        <v>5777</v>
      </c>
      <c r="D39" s="96" t="s">
        <v>5777</v>
      </c>
      <c r="E39" s="96" t="s">
        <v>3524</v>
      </c>
      <c r="F39" s="96" t="s">
        <v>5938</v>
      </c>
      <c r="G39" s="96"/>
      <c r="H39" s="96" t="b">
        <v>1</v>
      </c>
      <c r="I39" s="96"/>
      <c r="J39" s="96"/>
      <c r="K39" s="96"/>
      <c r="L39" s="96" t="s">
        <v>5939</v>
      </c>
      <c r="M39" s="96" t="s">
        <v>5940</v>
      </c>
      <c r="N39" s="96" t="s">
        <v>5853</v>
      </c>
      <c r="O39" s="95" t="str">
        <f t="shared" si="7"/>
        <v>FALSE</v>
      </c>
      <c r="P39" s="95"/>
      <c r="Q39" s="96">
        <v>1</v>
      </c>
      <c r="R39" s="96">
        <v>4</v>
      </c>
      <c r="S39" s="96">
        <v>14</v>
      </c>
      <c r="T39" s="96">
        <v>18</v>
      </c>
      <c r="U39" s="96"/>
      <c r="V39" s="96"/>
      <c r="W39" s="96">
        <v>0</v>
      </c>
      <c r="X39" s="96">
        <v>0</v>
      </c>
      <c r="Y39" s="96" t="s">
        <v>2470</v>
      </c>
      <c r="Z39" s="96">
        <v>23</v>
      </c>
      <c r="AA39" s="96" t="str">
        <f t="shared" si="2"/>
        <v>DA_WPN_Staff_EdgeStaff</v>
      </c>
      <c r="AB39" s="90" t="str">
        <f t="shared" si="3"/>
        <v>/Game/DungeonSiege/Items/Weapons/staff/DA_WPN_Staff_EdgeStaff</v>
      </c>
      <c r="AC39" s="97" t="str">
        <f t="shared" si="4"/>
        <v>Texture2D'/Game/DungeonSiege/art/bitmaps/gui/in_game/inventory/weapons/staff/b_gui_ig_i_w_stf_120.b_gui_ig_i_w_stf_120'</v>
      </c>
      <c r="AD39" s="97" t="str">
        <f t="shared" si="5"/>
        <v>Texture2D'/Game/DungeonSiege/art/bitmaps/gui/in_game/inventory/icons/b_gui_ig_i_ic_stf_006.b_gui_ig_i_ic_stf_006'</v>
      </c>
      <c r="AE39" s="97" t="str">
        <f t="shared" si="6"/>
        <v>StaticMesh'/Game/DungeonSiege/art/meshes/weapons/staff/m_w_stf_079_AspMesh.m_w_stf_079_AspMesh'</v>
      </c>
    </row>
    <row r="40" spans="1:31" ht="15.75" thickBot="1" x14ac:dyDescent="0.3">
      <c r="A40" s="95">
        <v>38</v>
      </c>
      <c r="B40" s="95">
        <f>A40+Items!B$26</f>
        <v>93323302</v>
      </c>
      <c r="C40" s="96" t="s">
        <v>5778</v>
      </c>
      <c r="D40" s="96" t="s">
        <v>5778</v>
      </c>
      <c r="E40" s="96" t="s">
        <v>3524</v>
      </c>
      <c r="F40" s="96" t="s">
        <v>5941</v>
      </c>
      <c r="G40" s="96"/>
      <c r="H40" s="96" t="b">
        <v>1</v>
      </c>
      <c r="I40" s="96"/>
      <c r="J40" s="96"/>
      <c r="K40" s="96"/>
      <c r="L40" s="96" t="s">
        <v>5942</v>
      </c>
      <c r="M40" s="96" t="s">
        <v>5943</v>
      </c>
      <c r="N40" s="96" t="s">
        <v>5884</v>
      </c>
      <c r="O40" s="95" t="str">
        <f t="shared" si="7"/>
        <v>FALSE</v>
      </c>
      <c r="P40" s="95"/>
      <c r="Q40" s="96">
        <v>1</v>
      </c>
      <c r="R40" s="96">
        <v>4</v>
      </c>
      <c r="S40" s="96">
        <v>37</v>
      </c>
      <c r="T40" s="96">
        <v>47</v>
      </c>
      <c r="U40" s="96"/>
      <c r="V40" s="96"/>
      <c r="W40" s="96">
        <v>0</v>
      </c>
      <c r="X40" s="96">
        <v>0</v>
      </c>
      <c r="Y40" s="96" t="s">
        <v>2470</v>
      </c>
      <c r="Z40" s="96">
        <v>13</v>
      </c>
      <c r="AA40" s="96" t="str">
        <f t="shared" si="2"/>
        <v>DA_WPN_Staff_YearlingStaff</v>
      </c>
      <c r="AB40" s="90" t="str">
        <f t="shared" si="3"/>
        <v>/Game/DungeonSiege/Items/Weapons/staff/DA_WPN_Staff_YearlingStaff</v>
      </c>
      <c r="AC40" s="97" t="str">
        <f t="shared" si="4"/>
        <v>Texture2D'/Game/DungeonSiege/art/bitmaps/gui/in_game/inventory/weapons/staff/b_gui_ig_i_w_stf_109.b_gui_ig_i_w_stf_109'</v>
      </c>
      <c r="AD40" s="97" t="str">
        <f t="shared" si="5"/>
        <v>Texture2D'/Game/DungeonSiege/art/bitmaps/gui/in_game/inventory/icons/b_gui_ig_i_ic_stf_004.b_gui_ig_i_ic_stf_004'</v>
      </c>
      <c r="AE40" s="97" t="str">
        <f t="shared" si="6"/>
        <v>StaticMesh'/Game/DungeonSiege/art/meshes/weapons/staff/m_w_stf_068_AspMesh.m_w_stf_068_AspMesh'</v>
      </c>
    </row>
    <row r="41" spans="1:31" ht="15.75" thickBot="1" x14ac:dyDescent="0.3">
      <c r="A41" s="95">
        <v>39</v>
      </c>
      <c r="B41" s="95">
        <f>A41+Items!B$26</f>
        <v>93323303</v>
      </c>
      <c r="C41" s="96" t="s">
        <v>5779</v>
      </c>
      <c r="D41" s="96" t="s">
        <v>5779</v>
      </c>
      <c r="E41" s="96" t="s">
        <v>3524</v>
      </c>
      <c r="F41" s="96" t="s">
        <v>5944</v>
      </c>
      <c r="G41" s="96"/>
      <c r="H41" s="96" t="b">
        <v>1</v>
      </c>
      <c r="I41" s="96"/>
      <c r="J41" s="96"/>
      <c r="K41" s="96"/>
      <c r="L41" s="96" t="s">
        <v>5945</v>
      </c>
      <c r="M41" s="96" t="s">
        <v>5946</v>
      </c>
      <c r="N41" s="96" t="s">
        <v>5884</v>
      </c>
      <c r="O41" s="95" t="str">
        <f t="shared" si="7"/>
        <v>FALSE</v>
      </c>
      <c r="P41" s="95"/>
      <c r="Q41" s="96">
        <v>1</v>
      </c>
      <c r="R41" s="96">
        <v>4</v>
      </c>
      <c r="S41" s="96">
        <v>34</v>
      </c>
      <c r="T41" s="96">
        <v>44</v>
      </c>
      <c r="U41" s="96"/>
      <c r="V41" s="96"/>
      <c r="W41" s="96">
        <v>0</v>
      </c>
      <c r="X41" s="96">
        <v>0</v>
      </c>
      <c r="Y41" s="96" t="s">
        <v>2470</v>
      </c>
      <c r="Z41" s="96">
        <v>12</v>
      </c>
      <c r="AA41" s="96" t="str">
        <f t="shared" si="2"/>
        <v>DA_WPN_Staff_WeatheredStaff</v>
      </c>
      <c r="AB41" s="90" t="str">
        <f t="shared" si="3"/>
        <v>/Game/DungeonSiege/Items/Weapons/staff/DA_WPN_Staff_WeatheredStaff</v>
      </c>
      <c r="AC41" s="97" t="str">
        <f t="shared" si="4"/>
        <v>Texture2D'/Game/DungeonSiege/art/bitmaps/gui/in_game/inventory/weapons/staff/b_gui_ig_i_w_stf_108.b_gui_ig_i_w_stf_108'</v>
      </c>
      <c r="AD41" s="97" t="str">
        <f t="shared" si="5"/>
        <v>Texture2D'/Game/DungeonSiege/art/bitmaps/gui/in_game/inventory/icons/b_gui_ig_i_ic_stf_004.b_gui_ig_i_ic_stf_004'</v>
      </c>
      <c r="AE41" s="97" t="str">
        <f t="shared" si="6"/>
        <v>StaticMesh'/Game/DungeonSiege/art/meshes/weapons/staff/m_w_stf_067_AspMesh.m_w_stf_067_AspMesh'</v>
      </c>
    </row>
    <row r="42" spans="1:31" ht="15.75" thickBot="1" x14ac:dyDescent="0.3">
      <c r="A42" s="95">
        <v>40</v>
      </c>
      <c r="B42" s="95">
        <f>A42+Items!B$26</f>
        <v>93323304</v>
      </c>
      <c r="C42" s="96" t="s">
        <v>5780</v>
      </c>
      <c r="D42" s="96" t="s">
        <v>5780</v>
      </c>
      <c r="E42" s="96" t="s">
        <v>3524</v>
      </c>
      <c r="F42" s="96" t="s">
        <v>5947</v>
      </c>
      <c r="G42" s="96"/>
      <c r="H42" s="96" t="b">
        <v>1</v>
      </c>
      <c r="I42" s="96"/>
      <c r="J42" s="96"/>
      <c r="K42" s="96"/>
      <c r="L42" s="96" t="s">
        <v>5948</v>
      </c>
      <c r="M42" s="96" t="s">
        <v>5949</v>
      </c>
      <c r="N42" s="96" t="s">
        <v>5916</v>
      </c>
      <c r="O42" s="95" t="str">
        <f t="shared" si="7"/>
        <v>FALSE</v>
      </c>
      <c r="P42" s="95"/>
      <c r="Q42" s="96">
        <v>1</v>
      </c>
      <c r="R42" s="96">
        <v>4</v>
      </c>
      <c r="S42" s="96">
        <v>61</v>
      </c>
      <c r="T42" s="96">
        <v>91</v>
      </c>
      <c r="U42" s="96"/>
      <c r="V42" s="96"/>
      <c r="W42" s="96">
        <v>2</v>
      </c>
      <c r="X42" s="96">
        <v>10</v>
      </c>
      <c r="Y42" s="96" t="s">
        <v>2470</v>
      </c>
      <c r="Z42" s="96">
        <v>18</v>
      </c>
      <c r="AA42" s="96" t="str">
        <f t="shared" si="2"/>
        <v>DA_WPN_Staff_EasternStaff</v>
      </c>
      <c r="AB42" s="90" t="str">
        <f t="shared" si="3"/>
        <v>/Game/DungeonSiege/Items/Weapons/staff/DA_WPN_Staff_EasternStaff</v>
      </c>
      <c r="AC42" s="97" t="str">
        <f t="shared" si="4"/>
        <v>Texture2D'/Game/DungeonSiege/art/bitmaps/gui/in_game/inventory/weapons/staff/b_gui_ig_i_w_stf_101.b_gui_ig_i_w_stf_101'</v>
      </c>
      <c r="AD42" s="97" t="str">
        <f t="shared" si="5"/>
        <v>Texture2D'/Game/DungeonSiege/art/bitmaps/gui/in_game/inventory/icons/b_gui_ig_i_ic_stf_005.b_gui_ig_i_ic_stf_005'</v>
      </c>
      <c r="AE42" s="97" t="str">
        <f t="shared" si="6"/>
        <v>StaticMesh'/Game/DungeonSiege/art/meshes/weapons/staff/m_w_stf_060_AspMesh.m_w_stf_060_AspMesh'</v>
      </c>
    </row>
    <row r="43" spans="1:31" ht="15.75" thickBot="1" x14ac:dyDescent="0.3">
      <c r="A43" s="95">
        <v>41</v>
      </c>
      <c r="B43" s="95">
        <f>A43+Items!B$26</f>
        <v>93323305</v>
      </c>
      <c r="C43" s="96" t="s">
        <v>5781</v>
      </c>
      <c r="D43" s="96" t="s">
        <v>5781</v>
      </c>
      <c r="E43" s="96" t="s">
        <v>3524</v>
      </c>
      <c r="F43" s="96" t="s">
        <v>5950</v>
      </c>
      <c r="G43" s="96"/>
      <c r="H43" s="96" t="b">
        <v>1</v>
      </c>
      <c r="I43" s="96"/>
      <c r="J43" s="96"/>
      <c r="K43" s="96"/>
      <c r="L43" s="96" t="s">
        <v>5951</v>
      </c>
      <c r="M43" s="96" t="s">
        <v>5952</v>
      </c>
      <c r="N43" s="96" t="s">
        <v>5916</v>
      </c>
      <c r="O43" s="95" t="str">
        <f t="shared" si="7"/>
        <v>FALSE</v>
      </c>
      <c r="P43" s="95"/>
      <c r="Q43" s="96">
        <v>1</v>
      </c>
      <c r="R43" s="96">
        <v>4</v>
      </c>
      <c r="S43" s="96">
        <v>157</v>
      </c>
      <c r="T43" s="96">
        <v>235</v>
      </c>
      <c r="U43" s="96"/>
      <c r="V43" s="96"/>
      <c r="W43" s="96">
        <v>34</v>
      </c>
      <c r="X43" s="96">
        <v>47</v>
      </c>
      <c r="Y43" s="96" t="s">
        <v>2470</v>
      </c>
      <c r="Z43" s="96">
        <v>18</v>
      </c>
      <c r="AA43" s="96" t="str">
        <f t="shared" si="2"/>
        <v>DA_WPN_Staff_CharredStaff</v>
      </c>
      <c r="AB43" s="90" t="str">
        <f t="shared" si="3"/>
        <v>/Game/DungeonSiege/Items/Weapons/staff/DA_WPN_Staff_CharredStaff</v>
      </c>
      <c r="AC43" s="97" t="str">
        <f t="shared" si="4"/>
        <v>Texture2D'/Game/DungeonSiege/art/bitmaps/gui/in_game/inventory/weapons/staff/b_gui_ig_i_w_stf_100.b_gui_ig_i_w_stf_100'</v>
      </c>
      <c r="AD43" s="97" t="str">
        <f t="shared" si="5"/>
        <v>Texture2D'/Game/DungeonSiege/art/bitmaps/gui/in_game/inventory/icons/b_gui_ig_i_ic_stf_005.b_gui_ig_i_ic_stf_005'</v>
      </c>
      <c r="AE43" s="97" t="str">
        <f t="shared" si="6"/>
        <v>StaticMesh'/Game/DungeonSiege/art/meshes/weapons/staff/m_w_stf_059_AspMesh.m_w_stf_059_AspMesh'</v>
      </c>
    </row>
    <row r="44" spans="1:31" ht="15.75" thickBot="1" x14ac:dyDescent="0.3">
      <c r="A44" s="95">
        <v>42</v>
      </c>
      <c r="B44" s="95">
        <f>A44+Items!B$26</f>
        <v>93323306</v>
      </c>
      <c r="C44" s="96" t="s">
        <v>5782</v>
      </c>
      <c r="D44" s="96" t="s">
        <v>5782</v>
      </c>
      <c r="E44" s="96" t="s">
        <v>3524</v>
      </c>
      <c r="F44" s="96" t="s">
        <v>5841</v>
      </c>
      <c r="G44" s="96"/>
      <c r="H44" s="96"/>
      <c r="I44" s="96"/>
      <c r="J44" s="96" t="b">
        <v>1</v>
      </c>
      <c r="K44" s="96" t="b">
        <v>1</v>
      </c>
      <c r="L44" s="96" t="s">
        <v>5953</v>
      </c>
      <c r="M44" s="96" t="s">
        <v>5954</v>
      </c>
      <c r="N44" s="96" t="s">
        <v>5840</v>
      </c>
      <c r="O44" s="95" t="str">
        <f t="shared" si="7"/>
        <v>TRUE</v>
      </c>
      <c r="P44" s="95"/>
      <c r="Q44" s="96">
        <v>1</v>
      </c>
      <c r="R44" s="96">
        <v>4</v>
      </c>
      <c r="S44" s="96">
        <v>114</v>
      </c>
      <c r="T44" s="96">
        <v>170</v>
      </c>
      <c r="U44" s="96"/>
      <c r="V44" s="96"/>
      <c r="W44" s="96">
        <v>18</v>
      </c>
      <c r="X44" s="96">
        <v>33</v>
      </c>
      <c r="Y44" s="96" t="s">
        <v>2470</v>
      </c>
      <c r="Z44" s="96">
        <v>25</v>
      </c>
      <c r="AA44" s="96" t="str">
        <f t="shared" si="2"/>
        <v>DA_WPN_Staff_Destroyer</v>
      </c>
      <c r="AB44" s="90" t="str">
        <f t="shared" si="3"/>
        <v>/Game/DungeonSiege/Items/Weapons/staff/DA_WPN_Staff_Destroyer</v>
      </c>
      <c r="AC44" s="97" t="str">
        <f t="shared" si="4"/>
        <v>Texture2D'/Game/DungeonSiege/art/bitmaps/gui/in_game/inventory/weapons/staff/b_gui_ig_i_w_stf_139.b_gui_ig_i_w_stf_139'</v>
      </c>
      <c r="AD44" s="97" t="str">
        <f t="shared" si="5"/>
        <v>Texture2D'/Game/DungeonSiege/art/bitmaps/gui/in_game/inventory/icons/b_gui_ig_i_ic_stf_003.b_gui_ig_i_ic_stf_003'</v>
      </c>
      <c r="AE44" s="97" t="str">
        <f t="shared" si="6"/>
        <v>StaticMesh'/Game/DungeonSiege/art/meshes/weapons/staff/m_w_stf_076_AspMesh.m_w_stf_076_AspMesh'</v>
      </c>
    </row>
    <row r="45" spans="1:31" ht="15.75" thickBot="1" x14ac:dyDescent="0.3">
      <c r="A45" s="95">
        <v>43</v>
      </c>
      <c r="B45" s="95">
        <f>A45+Items!B$26</f>
        <v>93323307</v>
      </c>
      <c r="C45" s="96" t="s">
        <v>5783</v>
      </c>
      <c r="D45" s="96" t="s">
        <v>5782</v>
      </c>
      <c r="E45" s="96" t="s">
        <v>3524</v>
      </c>
      <c r="F45" s="96" t="s">
        <v>5844</v>
      </c>
      <c r="G45" s="96" t="s">
        <v>3529</v>
      </c>
      <c r="H45" s="96"/>
      <c r="I45" s="96"/>
      <c r="J45" s="96" t="b">
        <v>1</v>
      </c>
      <c r="K45" s="96" t="b">
        <v>1</v>
      </c>
      <c r="L45" s="96" t="s">
        <v>5955</v>
      </c>
      <c r="M45" s="96" t="s">
        <v>5956</v>
      </c>
      <c r="N45" s="96" t="s">
        <v>5840</v>
      </c>
      <c r="O45" s="95" t="str">
        <f t="shared" si="7"/>
        <v>TRUE</v>
      </c>
      <c r="P45" s="95"/>
      <c r="Q45" s="96">
        <v>1</v>
      </c>
      <c r="R45" s="96">
        <v>4</v>
      </c>
      <c r="S45" s="96">
        <v>76</v>
      </c>
      <c r="T45" s="96">
        <v>114</v>
      </c>
      <c r="U45" s="96"/>
      <c r="V45" s="96"/>
      <c r="W45" s="96">
        <v>7</v>
      </c>
      <c r="X45" s="96">
        <v>17</v>
      </c>
      <c r="Y45" s="96" t="s">
        <v>2470</v>
      </c>
      <c r="Z45" s="96">
        <v>53</v>
      </c>
      <c r="AA45" s="96" t="str">
        <f t="shared" si="2"/>
        <v>DA_WPN_Staff_Destroyer_c_mag</v>
      </c>
      <c r="AB45" s="90" t="str">
        <f t="shared" si="3"/>
        <v>/Game/DungeonSiege/Items/Weapons/staff/DA_WPN_Staff_Destroyer_c_mag</v>
      </c>
      <c r="AC45" s="97" t="str">
        <f t="shared" si="4"/>
        <v>Texture2D'/Game/DungeonSiege/art/bitmaps/gui/in_game/inventory/weapons/staff/b_gui_ig_i_w_stf_143.b_gui_ig_i_w_stf_143'</v>
      </c>
      <c r="AD45" s="97" t="str">
        <f t="shared" si="5"/>
        <v>Texture2D'/Game/DungeonSiege/art/bitmaps/gui/in_game/inventory/icons/b_gui_ig_i_ic_stf_003.b_gui_ig_i_ic_stf_003'</v>
      </c>
      <c r="AE45" s="97" t="str">
        <f t="shared" si="6"/>
        <v>StaticMesh'/Game/DungeonSiege/art/meshes/weapons/staff/m_w_stf_078_AspMesh.m_w_stf_078_AspMesh'</v>
      </c>
    </row>
    <row r="46" spans="1:31" ht="15.75" thickBot="1" x14ac:dyDescent="0.3">
      <c r="A46" s="95">
        <v>44</v>
      </c>
      <c r="B46" s="95">
        <f>A46+Items!B$26</f>
        <v>93323308</v>
      </c>
      <c r="C46" s="96" t="s">
        <v>5784</v>
      </c>
      <c r="D46" s="96" t="s">
        <v>5782</v>
      </c>
      <c r="E46" s="96" t="s">
        <v>3524</v>
      </c>
      <c r="F46" s="96" t="s">
        <v>5847</v>
      </c>
      <c r="G46" s="96" t="s">
        <v>3530</v>
      </c>
      <c r="H46" s="96"/>
      <c r="I46" s="96"/>
      <c r="J46" s="96" t="b">
        <v>1</v>
      </c>
      <c r="K46" s="96" t="b">
        <v>1</v>
      </c>
      <c r="L46" s="96" t="s">
        <v>5957</v>
      </c>
      <c r="M46" s="96" t="s">
        <v>5958</v>
      </c>
      <c r="N46" s="96" t="s">
        <v>5840</v>
      </c>
      <c r="O46" s="95" t="str">
        <f t="shared" si="7"/>
        <v>TRUE</v>
      </c>
      <c r="P46" s="95"/>
      <c r="Q46" s="96">
        <v>1</v>
      </c>
      <c r="R46" s="96">
        <v>4</v>
      </c>
      <c r="S46" s="96">
        <v>91</v>
      </c>
      <c r="T46" s="96">
        <v>137</v>
      </c>
      <c r="U46" s="96"/>
      <c r="V46" s="96"/>
      <c r="W46" s="96">
        <v>11</v>
      </c>
      <c r="X46" s="96">
        <v>25</v>
      </c>
      <c r="Y46" s="96" t="s">
        <v>2470</v>
      </c>
      <c r="Z46" s="96">
        <v>40</v>
      </c>
      <c r="AA46" s="96" t="str">
        <f t="shared" si="2"/>
        <v>DA_WPN_Staff_Destroyer_c_str</v>
      </c>
      <c r="AB46" s="90" t="str">
        <f t="shared" si="3"/>
        <v>/Game/DungeonSiege/Items/Weapons/staff/DA_WPN_Staff_Destroyer_c_str</v>
      </c>
      <c r="AC46" s="97" t="str">
        <f t="shared" si="4"/>
        <v>Texture2D'/Game/DungeonSiege/art/bitmaps/gui/in_game/inventory/weapons/staff/b_gui_ig_i_w_stf_142.b_gui_ig_i_w_stf_142'</v>
      </c>
      <c r="AD46" s="97" t="str">
        <f t="shared" si="5"/>
        <v>Texture2D'/Game/DungeonSiege/art/bitmaps/gui/in_game/inventory/icons/b_gui_ig_i_ic_stf_003.b_gui_ig_i_ic_stf_003'</v>
      </c>
      <c r="AE46" s="97" t="str">
        <f t="shared" si="6"/>
        <v>StaticMesh'/Game/DungeonSiege/art/meshes/weapons/staff/m_w_stf_077_AspMesh.m_w_stf_077_AspMesh'</v>
      </c>
    </row>
    <row r="47" spans="1:31" ht="15.75" thickBot="1" x14ac:dyDescent="0.3">
      <c r="A47" s="95">
        <v>45</v>
      </c>
      <c r="B47" s="95">
        <f>A47+Items!B$26</f>
        <v>93323309</v>
      </c>
      <c r="C47" s="96" t="s">
        <v>5785</v>
      </c>
      <c r="D47" s="96" t="s">
        <v>5782</v>
      </c>
      <c r="E47" s="96" t="s">
        <v>3524</v>
      </c>
      <c r="F47" s="96" t="s">
        <v>5850</v>
      </c>
      <c r="G47" s="96" t="s">
        <v>3528</v>
      </c>
      <c r="H47" s="96"/>
      <c r="I47" s="96"/>
      <c r="J47" s="96" t="b">
        <v>1</v>
      </c>
      <c r="K47" s="96" t="b">
        <v>1</v>
      </c>
      <c r="L47" s="96" t="s">
        <v>5959</v>
      </c>
      <c r="M47" s="96" t="s">
        <v>5960</v>
      </c>
      <c r="N47" s="96" t="s">
        <v>5853</v>
      </c>
      <c r="O47" s="95" t="str">
        <f t="shared" si="7"/>
        <v>TRUE</v>
      </c>
      <c r="P47" s="95"/>
      <c r="Q47" s="96">
        <v>1</v>
      </c>
      <c r="R47" s="96">
        <v>4</v>
      </c>
      <c r="S47" s="96">
        <v>185</v>
      </c>
      <c r="T47" s="96">
        <v>197</v>
      </c>
      <c r="U47" s="96"/>
      <c r="V47" s="96"/>
      <c r="W47" s="96">
        <v>27</v>
      </c>
      <c r="X47" s="96">
        <v>40</v>
      </c>
      <c r="Y47" s="96" t="s">
        <v>2470</v>
      </c>
      <c r="Z47" s="96">
        <v>29</v>
      </c>
      <c r="AA47" s="96" t="str">
        <f t="shared" si="2"/>
        <v>DA_WPN_Staff_Destroyer_o_avg</v>
      </c>
      <c r="AB47" s="90" t="str">
        <f t="shared" si="3"/>
        <v>/Game/DungeonSiege/Items/Weapons/staff/DA_WPN_Staff_Destroyer_o_avg</v>
      </c>
      <c r="AC47" s="97" t="str">
        <f t="shared" si="4"/>
        <v>Texture2D'/Game/DungeonSiege/art/bitmaps/gui/in_game/inventory/weapons/staff/b_gui_ig_i_w_stf_140.b_gui_ig_i_w_stf_140'</v>
      </c>
      <c r="AD47" s="97" t="str">
        <f t="shared" si="5"/>
        <v>Texture2D'/Game/DungeonSiege/art/bitmaps/gui/in_game/inventory/icons/b_gui_ig_i_ic_stf_006.b_gui_ig_i_ic_stf_006'</v>
      </c>
      <c r="AE47" s="97" t="str">
        <f t="shared" si="6"/>
        <v>StaticMesh'/Game/DungeonSiege/art/meshes/weapons/staff/m_w_stf_081_AspMesh.m_w_stf_081_AspMesh'</v>
      </c>
    </row>
    <row r="48" spans="1:31" ht="15.75" thickBot="1" x14ac:dyDescent="0.3">
      <c r="A48" s="95">
        <v>46</v>
      </c>
      <c r="B48" s="95">
        <f>A48+Items!B$26</f>
        <v>93323310</v>
      </c>
      <c r="C48" s="96" t="s">
        <v>5786</v>
      </c>
      <c r="D48" s="96" t="s">
        <v>5782</v>
      </c>
      <c r="E48" s="96" t="s">
        <v>3524</v>
      </c>
      <c r="F48" s="96" t="s">
        <v>5854</v>
      </c>
      <c r="G48" s="96" t="s">
        <v>3532</v>
      </c>
      <c r="H48" s="96"/>
      <c r="I48" s="96"/>
      <c r="J48" s="96" t="b">
        <v>1</v>
      </c>
      <c r="K48" s="96" t="b">
        <v>1</v>
      </c>
      <c r="L48" s="96" t="s">
        <v>5961</v>
      </c>
      <c r="M48" s="96" t="s">
        <v>5962</v>
      </c>
      <c r="N48" s="96" t="s">
        <v>5853</v>
      </c>
      <c r="O48" s="95" t="str">
        <f t="shared" si="7"/>
        <v>TRUE</v>
      </c>
      <c r="P48" s="95"/>
      <c r="Q48" s="96">
        <v>1</v>
      </c>
      <c r="R48" s="96">
        <v>4</v>
      </c>
      <c r="S48" s="96">
        <v>42</v>
      </c>
      <c r="T48" s="96">
        <v>54</v>
      </c>
      <c r="U48" s="96"/>
      <c r="V48" s="96"/>
      <c r="W48" s="96">
        <v>1</v>
      </c>
      <c r="X48" s="96">
        <v>6</v>
      </c>
      <c r="Y48" s="96" t="s">
        <v>2470</v>
      </c>
      <c r="Z48" s="96">
        <v>34</v>
      </c>
      <c r="AA48" s="96" t="str">
        <f t="shared" si="2"/>
        <v>DA_WPN_Staff_Destroyer_o_fin</v>
      </c>
      <c r="AB48" s="90" t="str">
        <f t="shared" si="3"/>
        <v>/Game/DungeonSiege/Items/Weapons/staff/DA_WPN_Staff_Destroyer_o_fin</v>
      </c>
      <c r="AC48" s="97" t="str">
        <f t="shared" si="4"/>
        <v>Texture2D'/Game/DungeonSiege/art/bitmaps/gui/in_game/inventory/weapons/staff/b_gui_ig_i_w_stf_141.b_gui_ig_i_w_stf_141'</v>
      </c>
      <c r="AD48" s="97" t="str">
        <f t="shared" si="5"/>
        <v>Texture2D'/Game/DungeonSiege/art/bitmaps/gui/in_game/inventory/icons/b_gui_ig_i_ic_stf_006.b_gui_ig_i_ic_stf_006'</v>
      </c>
      <c r="AE48" s="97" t="str">
        <f t="shared" si="6"/>
        <v>StaticMesh'/Game/DungeonSiege/art/meshes/weapons/staff/m_w_stf_082_AspMesh.m_w_stf_082_AspMesh'</v>
      </c>
    </row>
    <row r="49" spans="1:31" ht="15.75" thickBot="1" x14ac:dyDescent="0.3">
      <c r="A49" s="95">
        <v>47</v>
      </c>
      <c r="B49" s="95">
        <f>A49+Items!B$26</f>
        <v>93323311</v>
      </c>
      <c r="C49" s="96" t="s">
        <v>5787</v>
      </c>
      <c r="D49" s="96" t="s">
        <v>5782</v>
      </c>
      <c r="E49" s="96" t="s">
        <v>3524</v>
      </c>
      <c r="F49" s="96" t="s">
        <v>5857</v>
      </c>
      <c r="G49" s="96" t="s">
        <v>3533</v>
      </c>
      <c r="H49" s="96"/>
      <c r="I49" s="96"/>
      <c r="J49" s="96" t="b">
        <v>1</v>
      </c>
      <c r="K49" s="96" t="b">
        <v>1</v>
      </c>
      <c r="L49" s="96" t="s">
        <v>5963</v>
      </c>
      <c r="M49" s="96" t="s">
        <v>5964</v>
      </c>
      <c r="N49" s="96" t="s">
        <v>5853</v>
      </c>
      <c r="O49" s="95" t="str">
        <f t="shared" si="7"/>
        <v>TRUE</v>
      </c>
      <c r="P49" s="95"/>
      <c r="Q49" s="96">
        <v>1</v>
      </c>
      <c r="R49" s="96">
        <v>4</v>
      </c>
      <c r="S49" s="96">
        <v>120</v>
      </c>
      <c r="T49" s="96">
        <v>152</v>
      </c>
      <c r="U49" s="96"/>
      <c r="V49" s="96"/>
      <c r="W49" s="96">
        <v>23</v>
      </c>
      <c r="X49" s="96">
        <v>33</v>
      </c>
      <c r="Y49" s="96" t="s">
        <v>2470</v>
      </c>
      <c r="Z49" s="96">
        <v>61</v>
      </c>
      <c r="AA49" s="96" t="str">
        <f t="shared" si="2"/>
        <v>DA_WPN_Staff_Destroyer_o_mag</v>
      </c>
      <c r="AB49" s="90" t="str">
        <f t="shared" si="3"/>
        <v>/Game/DungeonSiege/Items/Weapons/staff/DA_WPN_Staff_Destroyer_o_mag</v>
      </c>
      <c r="AC49" s="97" t="str">
        <f t="shared" si="4"/>
        <v>Texture2D'/Game/DungeonSiege/art/bitmaps/gui/in_game/inventory/weapons/staff/b_gui_ig_i_w_stf_145.b_gui_ig_i_w_stf_145'</v>
      </c>
      <c r="AD49" s="97" t="str">
        <f t="shared" si="5"/>
        <v>Texture2D'/Game/DungeonSiege/art/bitmaps/gui/in_game/inventory/icons/b_gui_ig_i_ic_stf_006.b_gui_ig_i_ic_stf_006'</v>
      </c>
      <c r="AE49" s="97" t="str">
        <f t="shared" si="6"/>
        <v>StaticMesh'/Game/DungeonSiege/art/meshes/weapons/staff/m_w_stf_084_AspMesh.m_w_stf_084_AspMesh'</v>
      </c>
    </row>
    <row r="50" spans="1:31" ht="15.75" thickBot="1" x14ac:dyDescent="0.3">
      <c r="A50" s="95">
        <v>48</v>
      </c>
      <c r="B50" s="95">
        <f>A50+Items!B$26</f>
        <v>93323312</v>
      </c>
      <c r="C50" s="96" t="s">
        <v>5788</v>
      </c>
      <c r="D50" s="96" t="s">
        <v>5782</v>
      </c>
      <c r="E50" s="96" t="s">
        <v>3524</v>
      </c>
      <c r="F50" s="96" t="s">
        <v>5860</v>
      </c>
      <c r="G50" s="96" t="s">
        <v>3534</v>
      </c>
      <c r="H50" s="96"/>
      <c r="I50" s="96"/>
      <c r="J50" s="96" t="b">
        <v>1</v>
      </c>
      <c r="K50" s="96" t="b">
        <v>1</v>
      </c>
      <c r="L50" s="96" t="s">
        <v>5965</v>
      </c>
      <c r="M50" s="96" t="s">
        <v>5966</v>
      </c>
      <c r="N50" s="96" t="s">
        <v>5853</v>
      </c>
      <c r="O50" s="95" t="str">
        <f t="shared" si="7"/>
        <v>TRUE</v>
      </c>
      <c r="P50" s="95"/>
      <c r="Q50" s="96">
        <v>1</v>
      </c>
      <c r="R50" s="96">
        <v>4</v>
      </c>
      <c r="S50" s="96">
        <v>81</v>
      </c>
      <c r="T50" s="96">
        <v>103</v>
      </c>
      <c r="U50" s="96"/>
      <c r="V50" s="96"/>
      <c r="W50" s="96">
        <v>11</v>
      </c>
      <c r="X50" s="96">
        <v>22</v>
      </c>
      <c r="Y50" s="96" t="s">
        <v>2470</v>
      </c>
      <c r="Z50" s="96">
        <v>45</v>
      </c>
      <c r="AA50" s="96" t="str">
        <f t="shared" si="2"/>
        <v>DA_WPN_Staff_Destroyer_o_str</v>
      </c>
      <c r="AB50" s="90" t="str">
        <f t="shared" si="3"/>
        <v>/Game/DungeonSiege/Items/Weapons/staff/DA_WPN_Staff_Destroyer_o_str</v>
      </c>
      <c r="AC50" s="97" t="str">
        <f t="shared" si="4"/>
        <v>Texture2D'/Game/DungeonSiege/art/bitmaps/gui/in_game/inventory/weapons/staff/b_gui_ig_i_w_stf_144.b_gui_ig_i_w_stf_144'</v>
      </c>
      <c r="AD50" s="97" t="str">
        <f t="shared" si="5"/>
        <v>Texture2D'/Game/DungeonSiege/art/bitmaps/gui/in_game/inventory/icons/b_gui_ig_i_ic_stf_006.b_gui_ig_i_ic_stf_006'</v>
      </c>
      <c r="AE50" s="97" t="str">
        <f t="shared" si="6"/>
        <v>StaticMesh'/Game/DungeonSiege/art/meshes/weapons/staff/m_w_stf_083_AspMesh.m_w_stf_083_AspMesh'</v>
      </c>
    </row>
    <row r="51" spans="1:31" ht="15.75" thickBot="1" x14ac:dyDescent="0.3">
      <c r="A51" s="95">
        <v>49</v>
      </c>
      <c r="B51" s="95">
        <f>A51+Items!B$26</f>
        <v>93323313</v>
      </c>
      <c r="C51" s="96" t="s">
        <v>5789</v>
      </c>
      <c r="D51" s="96" t="s">
        <v>5789</v>
      </c>
      <c r="E51" s="96" t="s">
        <v>3524</v>
      </c>
      <c r="F51" s="96" t="s">
        <v>5904</v>
      </c>
      <c r="G51" s="96"/>
      <c r="H51" s="96"/>
      <c r="I51" s="96"/>
      <c r="J51" s="96" t="b">
        <v>1</v>
      </c>
      <c r="K51" s="96" t="b">
        <v>1</v>
      </c>
      <c r="L51" s="96" t="s">
        <v>5967</v>
      </c>
      <c r="M51" s="96" t="s">
        <v>5968</v>
      </c>
      <c r="N51" s="96" t="s">
        <v>5903</v>
      </c>
      <c r="O51" s="95" t="str">
        <f t="shared" si="7"/>
        <v>TRUE</v>
      </c>
      <c r="P51" s="95"/>
      <c r="Q51" s="96">
        <v>1</v>
      </c>
      <c r="R51" s="96">
        <v>4</v>
      </c>
      <c r="S51" s="96">
        <v>50</v>
      </c>
      <c r="T51" s="96">
        <v>64</v>
      </c>
      <c r="U51" s="96"/>
      <c r="V51" s="96"/>
      <c r="W51" s="96">
        <v>3</v>
      </c>
      <c r="X51" s="96">
        <v>10</v>
      </c>
      <c r="Y51" s="96" t="s">
        <v>2470</v>
      </c>
      <c r="Z51" s="96">
        <v>18</v>
      </c>
      <c r="AA51" s="96" t="str">
        <f t="shared" si="2"/>
        <v>DA_WPN_Staff_LegBreaker</v>
      </c>
      <c r="AB51" s="90" t="str">
        <f t="shared" si="3"/>
        <v>/Game/DungeonSiege/Items/Weapons/staff/DA_WPN_Staff_LegBreaker</v>
      </c>
      <c r="AC51" s="97" t="str">
        <f t="shared" si="4"/>
        <v>Texture2D'/Game/DungeonSiege/art/bitmaps/gui/in_game/inventory/weapons/staff/b_gui_ig_i_w_stf_132.b_gui_ig_i_w_stf_132'</v>
      </c>
      <c r="AD51" s="97" t="str">
        <f t="shared" si="5"/>
        <v>Texture2D'/Game/DungeonSiege/art/bitmaps/gui/in_game/inventory/icons/b_gui_ig_i_ic_stf_002.b_gui_ig_i_ic_stf_002'</v>
      </c>
      <c r="AE51" s="97" t="str">
        <f t="shared" si="6"/>
        <v>StaticMesh'/Game/DungeonSiege/art/meshes/weapons/staff/m_w_stf_050_AspMesh.m_w_stf_050_AspMesh'</v>
      </c>
    </row>
    <row r="52" spans="1:31" ht="15.75" thickBot="1" x14ac:dyDescent="0.3">
      <c r="A52" s="95">
        <v>50</v>
      </c>
      <c r="B52" s="95">
        <f>A52+Items!B$26</f>
        <v>93323314</v>
      </c>
      <c r="C52" s="96" t="s">
        <v>5790</v>
      </c>
      <c r="D52" s="96" t="s">
        <v>5789</v>
      </c>
      <c r="E52" s="96" t="s">
        <v>3524</v>
      </c>
      <c r="F52" s="96" t="s">
        <v>5907</v>
      </c>
      <c r="G52" s="96" t="s">
        <v>3529</v>
      </c>
      <c r="H52" s="96"/>
      <c r="I52" s="96"/>
      <c r="J52" s="96" t="b">
        <v>1</v>
      </c>
      <c r="K52" s="96" t="b">
        <v>1</v>
      </c>
      <c r="L52" s="96" t="s">
        <v>5969</v>
      </c>
      <c r="M52" s="96" t="s">
        <v>5970</v>
      </c>
      <c r="N52" s="96" t="s">
        <v>5903</v>
      </c>
      <c r="O52" s="95" t="str">
        <f t="shared" si="7"/>
        <v>TRUE</v>
      </c>
      <c r="P52" s="95"/>
      <c r="Q52" s="96">
        <v>1</v>
      </c>
      <c r="R52" s="96">
        <v>4</v>
      </c>
      <c r="S52" s="96">
        <v>64</v>
      </c>
      <c r="T52" s="96">
        <v>82</v>
      </c>
      <c r="U52" s="96"/>
      <c r="V52" s="96"/>
      <c r="W52" s="96">
        <v>8</v>
      </c>
      <c r="X52" s="96">
        <v>17</v>
      </c>
      <c r="Y52" s="96" t="s">
        <v>2470</v>
      </c>
      <c r="Z52" s="96">
        <v>39</v>
      </c>
      <c r="AA52" s="96" t="str">
        <f t="shared" si="2"/>
        <v>DA_WPN_Staff_LegBreaker_c_mag</v>
      </c>
      <c r="AB52" s="90" t="str">
        <f t="shared" si="3"/>
        <v>/Game/DungeonSiege/Items/Weapons/staff/DA_WPN_Staff_LegBreaker_c_mag</v>
      </c>
      <c r="AC52" s="97" t="str">
        <f t="shared" si="4"/>
        <v>Texture2D'/Game/DungeonSiege/art/bitmaps/gui/in_game/inventory/weapons/staff/b_gui_ig_i_w_stf_137.b_gui_ig_i_w_stf_137'</v>
      </c>
      <c r="AD52" s="97" t="str">
        <f t="shared" si="5"/>
        <v>Texture2D'/Game/DungeonSiege/art/bitmaps/gui/in_game/inventory/icons/b_gui_ig_i_ic_stf_002.b_gui_ig_i_ic_stf_002'</v>
      </c>
      <c r="AE52" s="97" t="str">
        <f t="shared" si="6"/>
        <v>StaticMesh'/Game/DungeonSiege/art/meshes/weapons/staff/m_w_stf_052_AspMesh.m_w_stf_052_AspMesh'</v>
      </c>
    </row>
    <row r="53" spans="1:31" ht="15.75" thickBot="1" x14ac:dyDescent="0.3">
      <c r="A53" s="95">
        <v>51</v>
      </c>
      <c r="B53" s="95">
        <f>A53+Items!B$26</f>
        <v>93323315</v>
      </c>
      <c r="C53" s="96" t="s">
        <v>5791</v>
      </c>
      <c r="D53" s="96" t="s">
        <v>5789</v>
      </c>
      <c r="E53" s="96" t="s">
        <v>3524</v>
      </c>
      <c r="F53" s="96" t="s">
        <v>5910</v>
      </c>
      <c r="G53" s="96" t="s">
        <v>3530</v>
      </c>
      <c r="H53" s="96"/>
      <c r="I53" s="96"/>
      <c r="J53" s="96" t="b">
        <v>1</v>
      </c>
      <c r="K53" s="96" t="b">
        <v>1</v>
      </c>
      <c r="L53" s="96" t="s">
        <v>5971</v>
      </c>
      <c r="M53" s="96" t="s">
        <v>5972</v>
      </c>
      <c r="N53" s="96" t="s">
        <v>5903</v>
      </c>
      <c r="O53" s="95" t="str">
        <f t="shared" si="7"/>
        <v>TRUE</v>
      </c>
      <c r="P53" s="95"/>
      <c r="Q53" s="96">
        <v>1</v>
      </c>
      <c r="R53" s="96">
        <v>4</v>
      </c>
      <c r="S53" s="96">
        <v>148</v>
      </c>
      <c r="T53" s="96">
        <v>188</v>
      </c>
      <c r="U53" s="96"/>
      <c r="V53" s="96"/>
      <c r="W53" s="96">
        <v>30</v>
      </c>
      <c r="X53" s="96">
        <v>42</v>
      </c>
      <c r="Y53" s="96" t="s">
        <v>2470</v>
      </c>
      <c r="Z53" s="96">
        <v>28</v>
      </c>
      <c r="AA53" s="96" t="str">
        <f t="shared" si="2"/>
        <v>DA_WPN_Staff_LegBreaker_c_str</v>
      </c>
      <c r="AB53" s="90" t="str">
        <f t="shared" si="3"/>
        <v>/Game/DungeonSiege/Items/Weapons/staff/DA_WPN_Staff_LegBreaker_c_str</v>
      </c>
      <c r="AC53" s="97" t="str">
        <f t="shared" si="4"/>
        <v>Texture2D'/Game/DungeonSiege/art/bitmaps/gui/in_game/inventory/weapons/staff/b_gui_ig_i_w_stf_135.b_gui_ig_i_w_stf_135'</v>
      </c>
      <c r="AD53" s="97" t="str">
        <f t="shared" si="5"/>
        <v>Texture2D'/Game/DungeonSiege/art/bitmaps/gui/in_game/inventory/icons/b_gui_ig_i_ic_stf_002.b_gui_ig_i_ic_stf_002'</v>
      </c>
      <c r="AE53" s="97" t="str">
        <f t="shared" si="6"/>
        <v>StaticMesh'/Game/DungeonSiege/art/meshes/weapons/staff/m_w_stf_051_AspMesh.m_w_stf_051_AspMesh'</v>
      </c>
    </row>
    <row r="54" spans="1:31" ht="15.75" thickBot="1" x14ac:dyDescent="0.3">
      <c r="A54" s="95">
        <v>52</v>
      </c>
      <c r="B54" s="95">
        <f>A54+Items!B$26</f>
        <v>93323316</v>
      </c>
      <c r="C54" s="96" t="s">
        <v>5792</v>
      </c>
      <c r="D54" s="96" t="s">
        <v>5789</v>
      </c>
      <c r="E54" s="96" t="s">
        <v>3524</v>
      </c>
      <c r="F54" s="96" t="s">
        <v>5913</v>
      </c>
      <c r="G54" s="96" t="s">
        <v>3528</v>
      </c>
      <c r="H54" s="96"/>
      <c r="I54" s="96"/>
      <c r="J54" s="96" t="b">
        <v>1</v>
      </c>
      <c r="K54" s="96" t="b">
        <v>1</v>
      </c>
      <c r="L54" s="96" t="s">
        <v>5973</v>
      </c>
      <c r="M54" s="96" t="s">
        <v>5974</v>
      </c>
      <c r="N54" s="96" t="s">
        <v>5916</v>
      </c>
      <c r="O54" s="95" t="str">
        <f t="shared" si="7"/>
        <v>TRUE</v>
      </c>
      <c r="P54" s="95"/>
      <c r="Q54" s="96">
        <v>1</v>
      </c>
      <c r="R54" s="96">
        <v>4</v>
      </c>
      <c r="S54" s="96">
        <v>102</v>
      </c>
      <c r="T54" s="96">
        <v>130</v>
      </c>
      <c r="U54" s="96"/>
      <c r="V54" s="96"/>
      <c r="W54" s="96">
        <v>18</v>
      </c>
      <c r="X54" s="96">
        <v>28</v>
      </c>
      <c r="Y54" s="96" t="s">
        <v>2470</v>
      </c>
      <c r="Z54" s="96">
        <v>20</v>
      </c>
      <c r="AA54" s="96" t="str">
        <f t="shared" si="2"/>
        <v>DA_WPN_Staff_LegBreaker_o_avg</v>
      </c>
      <c r="AB54" s="90" t="str">
        <f t="shared" si="3"/>
        <v>/Game/DungeonSiege/Items/Weapons/staff/DA_WPN_Staff_LegBreaker_o_avg</v>
      </c>
      <c r="AC54" s="97" t="str">
        <f t="shared" si="4"/>
        <v>Texture2D'/Game/DungeonSiege/art/bitmaps/gui/in_game/inventory/weapons/staff/b_gui_ig_i_w_stf_133.b_gui_ig_i_w_stf_133'</v>
      </c>
      <c r="AD54" s="97" t="str">
        <f t="shared" si="5"/>
        <v>Texture2D'/Game/DungeonSiege/art/bitmaps/gui/in_game/inventory/icons/b_gui_ig_i_ic_stf_005.b_gui_ig_i_ic_stf_005'</v>
      </c>
      <c r="AE54" s="97" t="str">
        <f t="shared" si="6"/>
        <v>StaticMesh'/Game/DungeonSiege/art/meshes/weapons/staff/m_w_stf_053_AspMesh.m_w_stf_053_AspMesh'</v>
      </c>
    </row>
    <row r="55" spans="1:31" ht="15.75" thickBot="1" x14ac:dyDescent="0.3">
      <c r="A55" s="95">
        <v>53</v>
      </c>
      <c r="B55" s="95">
        <f>A55+Items!B$26</f>
        <v>93323317</v>
      </c>
      <c r="C55" s="96" t="s">
        <v>5793</v>
      </c>
      <c r="D55" s="96" t="s">
        <v>5789</v>
      </c>
      <c r="E55" s="96" t="s">
        <v>3524</v>
      </c>
      <c r="F55" s="96" t="s">
        <v>5917</v>
      </c>
      <c r="G55" s="96" t="s">
        <v>3532</v>
      </c>
      <c r="H55" s="96"/>
      <c r="I55" s="96"/>
      <c r="J55" s="96" t="b">
        <v>1</v>
      </c>
      <c r="K55" s="96" t="b">
        <v>1</v>
      </c>
      <c r="L55" s="96" t="s">
        <v>5975</v>
      </c>
      <c r="M55" s="96" t="s">
        <v>5976</v>
      </c>
      <c r="N55" s="96" t="s">
        <v>5916</v>
      </c>
      <c r="O55" s="95" t="str">
        <f t="shared" si="7"/>
        <v>TRUE</v>
      </c>
      <c r="P55" s="95"/>
      <c r="Q55" s="96">
        <v>1</v>
      </c>
      <c r="R55" s="96">
        <v>4</v>
      </c>
      <c r="S55" s="96">
        <v>21</v>
      </c>
      <c r="T55" s="96">
        <v>25</v>
      </c>
      <c r="U55" s="96"/>
      <c r="V55" s="96"/>
      <c r="W55" s="96">
        <v>2</v>
      </c>
      <c r="X55" s="96">
        <v>6</v>
      </c>
      <c r="Y55" s="96" t="s">
        <v>2470</v>
      </c>
      <c r="Z55" s="96">
        <v>24</v>
      </c>
      <c r="AA55" s="96" t="str">
        <f t="shared" si="2"/>
        <v>DA_WPN_Staff_LegBreaker_o_fin</v>
      </c>
      <c r="AB55" s="90" t="str">
        <f t="shared" si="3"/>
        <v>/Game/DungeonSiege/Items/Weapons/staff/DA_WPN_Staff_LegBreaker_o_fin</v>
      </c>
      <c r="AC55" s="97" t="str">
        <f t="shared" si="4"/>
        <v>Texture2D'/Game/DungeonSiege/art/bitmaps/gui/in_game/inventory/weapons/staff/b_gui_ig_i_w_stf_134.b_gui_ig_i_w_stf_134'</v>
      </c>
      <c r="AD55" s="97" t="str">
        <f t="shared" si="5"/>
        <v>Texture2D'/Game/DungeonSiege/art/bitmaps/gui/in_game/inventory/icons/b_gui_ig_i_ic_stf_005.b_gui_ig_i_ic_stf_005'</v>
      </c>
      <c r="AE55" s="97" t="str">
        <f t="shared" si="6"/>
        <v>StaticMesh'/Game/DungeonSiege/art/meshes/weapons/staff/m_w_stf_054_AspMesh.m_w_stf_054_AspMesh'</v>
      </c>
    </row>
    <row r="56" spans="1:31" ht="15.75" thickBot="1" x14ac:dyDescent="0.3">
      <c r="A56" s="95">
        <v>54</v>
      </c>
      <c r="B56" s="95">
        <f>A56+Items!B$26</f>
        <v>93323318</v>
      </c>
      <c r="C56" s="96" t="s">
        <v>5794</v>
      </c>
      <c r="D56" s="96" t="s">
        <v>5789</v>
      </c>
      <c r="E56" s="96" t="s">
        <v>3524</v>
      </c>
      <c r="F56" s="96" t="s">
        <v>5920</v>
      </c>
      <c r="G56" s="96" t="s">
        <v>3533</v>
      </c>
      <c r="H56" s="96"/>
      <c r="I56" s="96"/>
      <c r="J56" s="96" t="b">
        <v>1</v>
      </c>
      <c r="K56" s="96" t="b">
        <v>1</v>
      </c>
      <c r="L56" s="96" t="s">
        <v>5977</v>
      </c>
      <c r="M56" s="96" t="s">
        <v>5978</v>
      </c>
      <c r="N56" s="96" t="s">
        <v>5916</v>
      </c>
      <c r="O56" s="95" t="str">
        <f t="shared" si="7"/>
        <v>TRUE</v>
      </c>
      <c r="P56" s="95"/>
      <c r="Q56" s="96">
        <v>1</v>
      </c>
      <c r="R56" s="96">
        <v>4</v>
      </c>
      <c r="S56" s="96">
        <v>77</v>
      </c>
      <c r="T56" s="96">
        <v>95</v>
      </c>
      <c r="U56" s="96"/>
      <c r="V56" s="96"/>
      <c r="W56" s="96">
        <v>16</v>
      </c>
      <c r="X56" s="96">
        <v>23</v>
      </c>
      <c r="Y56" s="96" t="s">
        <v>2470</v>
      </c>
      <c r="Z56" s="96">
        <v>46</v>
      </c>
      <c r="AA56" s="96" t="str">
        <f t="shared" si="2"/>
        <v>DA_WPN_Staff_LegBreaker_o_mag</v>
      </c>
      <c r="AB56" s="90" t="str">
        <f t="shared" si="3"/>
        <v>/Game/DungeonSiege/Items/Weapons/staff/DA_WPN_Staff_LegBreaker_o_mag</v>
      </c>
      <c r="AC56" s="97" t="str">
        <f t="shared" si="4"/>
        <v>Texture2D'/Game/DungeonSiege/art/bitmaps/gui/in_game/inventory/weapons/staff/b_gui_ig_i_w_stf_138.b_gui_ig_i_w_stf_138'</v>
      </c>
      <c r="AD56" s="97" t="str">
        <f t="shared" si="5"/>
        <v>Texture2D'/Game/DungeonSiege/art/bitmaps/gui/in_game/inventory/icons/b_gui_ig_i_ic_stf_005.b_gui_ig_i_ic_stf_005'</v>
      </c>
      <c r="AE56" s="97" t="str">
        <f t="shared" si="6"/>
        <v>StaticMesh'/Game/DungeonSiege/art/meshes/weapons/staff/m_w_stf_056_AspMesh.m_w_stf_056_AspMesh'</v>
      </c>
    </row>
    <row r="57" spans="1:31" ht="15.75" thickBot="1" x14ac:dyDescent="0.3">
      <c r="A57" s="95">
        <v>55</v>
      </c>
      <c r="B57" s="95">
        <f>A57+Items!B$26</f>
        <v>93323319</v>
      </c>
      <c r="C57" s="96" t="s">
        <v>5795</v>
      </c>
      <c r="D57" s="96" t="s">
        <v>5789</v>
      </c>
      <c r="E57" s="96" t="s">
        <v>3524</v>
      </c>
      <c r="F57" s="96" t="s">
        <v>5923</v>
      </c>
      <c r="G57" s="96" t="s">
        <v>3534</v>
      </c>
      <c r="H57" s="96"/>
      <c r="I57" s="96"/>
      <c r="J57" s="96" t="b">
        <v>1</v>
      </c>
      <c r="K57" s="96" t="b">
        <v>1</v>
      </c>
      <c r="L57" s="96" t="s">
        <v>5979</v>
      </c>
      <c r="M57" s="96" t="s">
        <v>5980</v>
      </c>
      <c r="N57" s="96" t="s">
        <v>5916</v>
      </c>
      <c r="O57" s="95" t="str">
        <f t="shared" si="7"/>
        <v>TRUE</v>
      </c>
      <c r="P57" s="95"/>
      <c r="Q57" s="96">
        <v>1</v>
      </c>
      <c r="R57" s="96">
        <v>4</v>
      </c>
      <c r="S57" s="96">
        <v>46</v>
      </c>
      <c r="T57" s="96">
        <v>65</v>
      </c>
      <c r="U57" s="96"/>
      <c r="V57" s="96"/>
      <c r="W57" s="96">
        <v>9</v>
      </c>
      <c r="X57" s="96">
        <v>15</v>
      </c>
      <c r="Y57" s="96" t="s">
        <v>2470</v>
      </c>
      <c r="Z57" s="96">
        <v>34</v>
      </c>
      <c r="AA57" s="96" t="str">
        <f t="shared" si="2"/>
        <v>DA_WPN_Staff_LegBreaker_o_str</v>
      </c>
      <c r="AB57" s="90" t="str">
        <f t="shared" si="3"/>
        <v>/Game/DungeonSiege/Items/Weapons/staff/DA_WPN_Staff_LegBreaker_o_str</v>
      </c>
      <c r="AC57" s="97" t="str">
        <f t="shared" si="4"/>
        <v>Texture2D'/Game/DungeonSiege/art/bitmaps/gui/in_game/inventory/weapons/staff/b_gui_ig_i_w_stf_136.b_gui_ig_i_w_stf_136'</v>
      </c>
      <c r="AD57" s="97" t="str">
        <f t="shared" si="5"/>
        <v>Texture2D'/Game/DungeonSiege/art/bitmaps/gui/in_game/inventory/icons/b_gui_ig_i_ic_stf_005.b_gui_ig_i_ic_stf_005'</v>
      </c>
      <c r="AE57" s="97" t="str">
        <f t="shared" si="6"/>
        <v>StaticMesh'/Game/DungeonSiege/art/meshes/weapons/staff/m_w_stf_055_AspMesh.m_w_stf_055_AspMesh'</v>
      </c>
    </row>
    <row r="58" spans="1:31" ht="15.75" thickBot="1" x14ac:dyDescent="0.3">
      <c r="A58" s="95">
        <v>56</v>
      </c>
      <c r="B58" s="95">
        <f>A58+Items!B$26</f>
        <v>93323320</v>
      </c>
      <c r="C58" s="96" t="s">
        <v>5796</v>
      </c>
      <c r="D58" s="96" t="s">
        <v>5796</v>
      </c>
      <c r="E58" s="96" t="s">
        <v>3524</v>
      </c>
      <c r="F58" s="96" t="s">
        <v>5904</v>
      </c>
      <c r="G58" s="96"/>
      <c r="H58" s="96"/>
      <c r="I58" s="96"/>
      <c r="J58" s="96" t="b">
        <v>1</v>
      </c>
      <c r="K58" s="96" t="b">
        <v>1</v>
      </c>
      <c r="L58" s="96" t="s">
        <v>5981</v>
      </c>
      <c r="M58" s="96" t="s">
        <v>5982</v>
      </c>
      <c r="N58" s="96" t="s">
        <v>5828</v>
      </c>
      <c r="O58" s="95" t="str">
        <f t="shared" si="7"/>
        <v>TRUE</v>
      </c>
      <c r="P58" s="95"/>
      <c r="Q58" s="96">
        <v>1</v>
      </c>
      <c r="R58" s="96">
        <v>4</v>
      </c>
      <c r="S58" s="96">
        <v>32</v>
      </c>
      <c r="T58" s="96">
        <v>39</v>
      </c>
      <c r="U58" s="96"/>
      <c r="V58" s="96"/>
      <c r="W58" s="96">
        <v>5</v>
      </c>
      <c r="X58" s="96">
        <v>10</v>
      </c>
      <c r="Y58" s="96" t="s">
        <v>2470</v>
      </c>
      <c r="Z58" s="96">
        <v>13</v>
      </c>
      <c r="AA58" s="96" t="str">
        <f t="shared" si="2"/>
        <v>DA_WPN_Staff_CruelStaff</v>
      </c>
      <c r="AB58" s="90" t="str">
        <f t="shared" si="3"/>
        <v>/Game/DungeonSiege/Items/Weapons/staff/DA_WPN_Staff_CruelStaff</v>
      </c>
      <c r="AC58" s="97" t="str">
        <f t="shared" si="4"/>
        <v>Texture2D'/Game/DungeonSiege/art/bitmaps/gui/in_game/inventory/weapons/staff/b_gui_ig_i_w_stf_126.b_gui_ig_i_w_stf_126'</v>
      </c>
      <c r="AD58" s="97" t="str">
        <f t="shared" si="5"/>
        <v>Texture2D'/Game/DungeonSiege/art/bitmaps/gui/in_game/inventory/icons/b_gui_ig_i_ic_stf_001.b_gui_ig_i_ic_stf_001'</v>
      </c>
      <c r="AE58" s="97" t="str">
        <f t="shared" si="6"/>
        <v>StaticMesh'/Game/DungeonSiege/art/meshes/weapons/staff/m_w_stf_050_AspMesh.m_w_stf_050_AspMesh'</v>
      </c>
    </row>
    <row r="59" spans="1:31" ht="15.75" thickBot="1" x14ac:dyDescent="0.3">
      <c r="A59" s="95">
        <v>57</v>
      </c>
      <c r="B59" s="95">
        <f>A59+Items!B$26</f>
        <v>93323321</v>
      </c>
      <c r="C59" s="96" t="s">
        <v>5797</v>
      </c>
      <c r="D59" s="96" t="s">
        <v>5796</v>
      </c>
      <c r="E59" s="96" t="s">
        <v>3524</v>
      </c>
      <c r="F59" s="96" t="s">
        <v>5875</v>
      </c>
      <c r="G59" s="96" t="s">
        <v>3529</v>
      </c>
      <c r="H59" s="96"/>
      <c r="I59" s="96"/>
      <c r="J59" s="96" t="b">
        <v>1</v>
      </c>
      <c r="K59" s="96" t="b">
        <v>1</v>
      </c>
      <c r="L59" s="96" t="s">
        <v>5983</v>
      </c>
      <c r="M59" s="96" t="s">
        <v>5984</v>
      </c>
      <c r="N59" s="96" t="s">
        <v>5828</v>
      </c>
      <c r="O59" s="95" t="str">
        <f t="shared" si="7"/>
        <v>TRUE</v>
      </c>
      <c r="P59" s="95"/>
      <c r="Q59" s="96">
        <v>1</v>
      </c>
      <c r="R59" s="96">
        <v>4</v>
      </c>
      <c r="S59" s="96">
        <v>97</v>
      </c>
      <c r="T59" s="96">
        <v>119</v>
      </c>
      <c r="U59" s="96"/>
      <c r="V59" s="96"/>
      <c r="W59" s="96">
        <v>20</v>
      </c>
      <c r="X59" s="96">
        <v>26</v>
      </c>
      <c r="Y59" s="96" t="s">
        <v>2470</v>
      </c>
      <c r="Z59" s="96">
        <v>27</v>
      </c>
      <c r="AA59" s="96" t="str">
        <f t="shared" si="2"/>
        <v>DA_WPN_Staff_CruelStaff_c_mag</v>
      </c>
      <c r="AB59" s="90" t="str">
        <f t="shared" si="3"/>
        <v>/Game/DungeonSiege/Items/Weapons/staff/DA_WPN_Staff_CruelStaff_c_mag</v>
      </c>
      <c r="AC59" s="97" t="str">
        <f t="shared" si="4"/>
        <v>Texture2D'/Game/DungeonSiege/art/bitmaps/gui/in_game/inventory/weapons/staff/b_gui_ig_i_w_stf_130.b_gui_ig_i_w_stf_130'</v>
      </c>
      <c r="AD59" s="97" t="str">
        <f t="shared" si="5"/>
        <v>Texture2D'/Game/DungeonSiege/art/bitmaps/gui/in_game/inventory/icons/b_gui_ig_i_ic_stf_001.b_gui_ig_i_ic_stf_001'</v>
      </c>
      <c r="AE59" s="97" t="str">
        <f t="shared" si="6"/>
        <v>StaticMesh'/Game/DungeonSiege/art/meshes/weapons/staff/m_w_stf_066_AspMesh.m_w_stf_066_AspMesh'</v>
      </c>
    </row>
    <row r="60" spans="1:31" ht="15.75" thickBot="1" x14ac:dyDescent="0.3">
      <c r="A60" s="95">
        <v>58</v>
      </c>
      <c r="B60" s="95">
        <f>A60+Items!B$26</f>
        <v>93323322</v>
      </c>
      <c r="C60" s="96" t="s">
        <v>5798</v>
      </c>
      <c r="D60" s="96" t="s">
        <v>5796</v>
      </c>
      <c r="E60" s="96" t="s">
        <v>3524</v>
      </c>
      <c r="F60" s="96" t="s">
        <v>5878</v>
      </c>
      <c r="G60" s="96" t="s">
        <v>3530</v>
      </c>
      <c r="H60" s="96"/>
      <c r="I60" s="96"/>
      <c r="J60" s="96" t="b">
        <v>1</v>
      </c>
      <c r="K60" s="96" t="b">
        <v>1</v>
      </c>
      <c r="L60" s="96" t="s">
        <v>5985</v>
      </c>
      <c r="M60" s="96" t="s">
        <v>5986</v>
      </c>
      <c r="N60" s="96" t="s">
        <v>5828</v>
      </c>
      <c r="O60" s="95" t="str">
        <f t="shared" si="7"/>
        <v>TRUE</v>
      </c>
      <c r="P60" s="95"/>
      <c r="Q60" s="96">
        <v>1</v>
      </c>
      <c r="R60" s="96">
        <v>4</v>
      </c>
      <c r="S60" s="96">
        <v>60</v>
      </c>
      <c r="T60" s="96">
        <v>74</v>
      </c>
      <c r="U60" s="96"/>
      <c r="V60" s="96"/>
      <c r="W60" s="96">
        <v>13</v>
      </c>
      <c r="X60" s="96">
        <v>19</v>
      </c>
      <c r="Y60" s="96" t="s">
        <v>2470</v>
      </c>
      <c r="Z60" s="96">
        <v>20</v>
      </c>
      <c r="AA60" s="96" t="str">
        <f t="shared" si="2"/>
        <v>DA_WPN_Staff_CruelStaff_c_str</v>
      </c>
      <c r="AB60" s="90" t="str">
        <f t="shared" si="3"/>
        <v>/Game/DungeonSiege/Items/Weapons/staff/DA_WPN_Staff_CruelStaff_c_str</v>
      </c>
      <c r="AC60" s="97" t="str">
        <f t="shared" si="4"/>
        <v>Texture2D'/Game/DungeonSiege/art/bitmaps/gui/in_game/inventory/weapons/staff/b_gui_ig_i_w_stf_128.b_gui_ig_i_w_stf_128'</v>
      </c>
      <c r="AD60" s="97" t="str">
        <f t="shared" si="5"/>
        <v>Texture2D'/Game/DungeonSiege/art/bitmaps/gui/in_game/inventory/icons/b_gui_ig_i_ic_stf_001.b_gui_ig_i_ic_stf_001'</v>
      </c>
      <c r="AE60" s="97" t="str">
        <f t="shared" si="6"/>
        <v>StaticMesh'/Game/DungeonSiege/art/meshes/weapons/staff/m_w_stf_065_AspMesh.m_w_stf_065_AspMesh'</v>
      </c>
    </row>
    <row r="61" spans="1:31" ht="15.75" thickBot="1" x14ac:dyDescent="0.3">
      <c r="A61" s="95">
        <v>59</v>
      </c>
      <c r="B61" s="95">
        <f>A61+Items!B$26</f>
        <v>93323323</v>
      </c>
      <c r="C61" s="96" t="s">
        <v>5799</v>
      </c>
      <c r="D61" s="96" t="s">
        <v>5796</v>
      </c>
      <c r="E61" s="96" t="s">
        <v>3524</v>
      </c>
      <c r="F61" s="96" t="s">
        <v>5885</v>
      </c>
      <c r="G61" s="96" t="s">
        <v>3532</v>
      </c>
      <c r="H61" s="96"/>
      <c r="I61" s="96"/>
      <c r="J61" s="96" t="b">
        <v>1</v>
      </c>
      <c r="K61" s="96" t="b">
        <v>1</v>
      </c>
      <c r="L61" s="96" t="s">
        <v>5987</v>
      </c>
      <c r="M61" s="96" t="s">
        <v>5988</v>
      </c>
      <c r="N61" s="96" t="s">
        <v>5884</v>
      </c>
      <c r="O61" s="95" t="str">
        <f t="shared" si="7"/>
        <v>TRUE</v>
      </c>
      <c r="P61" s="95"/>
      <c r="Q61" s="96">
        <v>1</v>
      </c>
      <c r="R61" s="96">
        <v>4</v>
      </c>
      <c r="S61" s="96">
        <v>13</v>
      </c>
      <c r="T61" s="96">
        <v>15</v>
      </c>
      <c r="U61" s="96"/>
      <c r="V61" s="96"/>
      <c r="W61" s="96">
        <v>0</v>
      </c>
      <c r="X61" s="96">
        <v>1</v>
      </c>
      <c r="Y61" s="96" t="s">
        <v>2470</v>
      </c>
      <c r="Z61" s="96">
        <v>15</v>
      </c>
      <c r="AA61" s="96" t="str">
        <f t="shared" si="2"/>
        <v>DA_WPN_Staff_CruelStaff_o_fin</v>
      </c>
      <c r="AB61" s="90" t="str">
        <f t="shared" si="3"/>
        <v>/Game/DungeonSiege/Items/Weapons/staff/DA_WPN_Staff_CruelStaff_o_fin</v>
      </c>
      <c r="AC61" s="97" t="str">
        <f t="shared" si="4"/>
        <v>Texture2D'/Game/DungeonSiege/art/bitmaps/gui/in_game/inventory/weapons/staff/b_gui_ig_i_w_stf_127.b_gui_ig_i_w_stf_127'</v>
      </c>
      <c r="AD61" s="97" t="str">
        <f t="shared" si="5"/>
        <v>Texture2D'/Game/DungeonSiege/art/bitmaps/gui/in_game/inventory/icons/b_gui_ig_i_ic_stf_004.b_gui_ig_i_ic_stf_004'</v>
      </c>
      <c r="AE61" s="97" t="str">
        <f t="shared" si="6"/>
        <v>StaticMesh'/Game/DungeonSiege/art/meshes/weapons/staff/m_w_stf_070_AspMesh.m_w_stf_070_AspMesh'</v>
      </c>
    </row>
    <row r="62" spans="1:31" ht="15.75" thickBot="1" x14ac:dyDescent="0.3">
      <c r="A62" s="95">
        <v>60</v>
      </c>
      <c r="B62" s="95">
        <f>A62+Items!B$26</f>
        <v>93323324</v>
      </c>
      <c r="C62" s="96" t="s">
        <v>5800</v>
      </c>
      <c r="D62" s="96" t="s">
        <v>5796</v>
      </c>
      <c r="E62" s="96" t="s">
        <v>3524</v>
      </c>
      <c r="F62" s="96" t="s">
        <v>5888</v>
      </c>
      <c r="G62" s="96" t="s">
        <v>3533</v>
      </c>
      <c r="H62" s="96"/>
      <c r="I62" s="96"/>
      <c r="J62" s="96" t="b">
        <v>1</v>
      </c>
      <c r="K62" s="96" t="b">
        <v>1</v>
      </c>
      <c r="L62" s="96" t="s">
        <v>5989</v>
      </c>
      <c r="M62" s="96" t="s">
        <v>5990</v>
      </c>
      <c r="N62" s="96" t="s">
        <v>5884</v>
      </c>
      <c r="O62" s="95" t="str">
        <f t="shared" si="7"/>
        <v>TRUE</v>
      </c>
      <c r="P62" s="95"/>
      <c r="Q62" s="96">
        <v>1</v>
      </c>
      <c r="R62" s="96">
        <v>4</v>
      </c>
      <c r="S62" s="96">
        <v>196</v>
      </c>
      <c r="T62" s="96">
        <v>294</v>
      </c>
      <c r="U62" s="96"/>
      <c r="V62" s="96"/>
      <c r="W62" s="96">
        <v>15</v>
      </c>
      <c r="X62" s="96">
        <v>49</v>
      </c>
      <c r="Y62" s="96" t="s">
        <v>2470</v>
      </c>
      <c r="Z62" s="96">
        <v>32</v>
      </c>
      <c r="AA62" s="96" t="str">
        <f t="shared" si="2"/>
        <v>DA_WPN_Staff_CruelStaff_o_mag</v>
      </c>
      <c r="AB62" s="90" t="str">
        <f t="shared" si="3"/>
        <v>/Game/DungeonSiege/Items/Weapons/staff/DA_WPN_Staff_CruelStaff_o_mag</v>
      </c>
      <c r="AC62" s="97" t="str">
        <f t="shared" si="4"/>
        <v>Texture2D'/Game/DungeonSiege/art/bitmaps/gui/in_game/inventory/weapons/staff/b_gui_ig_i_w_stf_131.b_gui_ig_i_w_stf_131'</v>
      </c>
      <c r="AD62" s="97" t="str">
        <f t="shared" si="5"/>
        <v>Texture2D'/Game/DungeonSiege/art/bitmaps/gui/in_game/inventory/icons/b_gui_ig_i_ic_stf_004.b_gui_ig_i_ic_stf_004'</v>
      </c>
      <c r="AE62" s="97" t="str">
        <f t="shared" si="6"/>
        <v>StaticMesh'/Game/DungeonSiege/art/meshes/weapons/staff/m_w_stf_072_AspMesh.m_w_stf_072_AspMesh'</v>
      </c>
    </row>
    <row r="63" spans="1:31" ht="15.75" thickBot="1" x14ac:dyDescent="0.3">
      <c r="A63" s="95">
        <v>61</v>
      </c>
      <c r="B63" s="95">
        <f>A63+Items!B$26</f>
        <v>93323325</v>
      </c>
      <c r="C63" s="96" t="s">
        <v>5801</v>
      </c>
      <c r="D63" s="96" t="s">
        <v>5796</v>
      </c>
      <c r="E63" s="96" t="s">
        <v>3524</v>
      </c>
      <c r="F63" s="96" t="s">
        <v>5891</v>
      </c>
      <c r="G63" s="96" t="s">
        <v>3534</v>
      </c>
      <c r="H63" s="96"/>
      <c r="I63" s="96"/>
      <c r="J63" s="96" t="b">
        <v>1</v>
      </c>
      <c r="K63" s="96" t="b">
        <v>1</v>
      </c>
      <c r="L63" s="96" t="s">
        <v>5991</v>
      </c>
      <c r="M63" s="96" t="s">
        <v>5992</v>
      </c>
      <c r="N63" s="96" t="s">
        <v>5884</v>
      </c>
      <c r="O63" s="95" t="str">
        <f t="shared" si="7"/>
        <v>TRUE</v>
      </c>
      <c r="P63" s="95"/>
      <c r="Q63" s="96">
        <v>1</v>
      </c>
      <c r="R63" s="96">
        <v>4</v>
      </c>
      <c r="S63" s="96">
        <v>98</v>
      </c>
      <c r="T63" s="96">
        <v>146</v>
      </c>
      <c r="U63" s="96"/>
      <c r="V63" s="96"/>
      <c r="W63" s="96">
        <v>7</v>
      </c>
      <c r="X63" s="96">
        <v>24</v>
      </c>
      <c r="Y63" s="96" t="s">
        <v>2470</v>
      </c>
      <c r="Z63" s="96">
        <v>23</v>
      </c>
      <c r="AA63" s="96" t="str">
        <f t="shared" si="2"/>
        <v>DA_WPN_Staff_CruelStaff_o_str</v>
      </c>
      <c r="AB63" s="90" t="str">
        <f t="shared" si="3"/>
        <v>/Game/DungeonSiege/Items/Weapons/staff/DA_WPN_Staff_CruelStaff_o_str</v>
      </c>
      <c r="AC63" s="97" t="str">
        <f t="shared" si="4"/>
        <v>Texture2D'/Game/DungeonSiege/art/bitmaps/gui/in_game/inventory/weapons/staff/b_gui_ig_i_w_stf_129.b_gui_ig_i_w_stf_129'</v>
      </c>
      <c r="AD63" s="97" t="str">
        <f t="shared" si="5"/>
        <v>Texture2D'/Game/DungeonSiege/art/bitmaps/gui/in_game/inventory/icons/b_gui_ig_i_ic_stf_004.b_gui_ig_i_ic_stf_004'</v>
      </c>
      <c r="AE63" s="97" t="str">
        <f t="shared" si="6"/>
        <v>StaticMesh'/Game/DungeonSiege/art/meshes/weapons/staff/m_w_stf_071_AspMesh.m_w_stf_071_AspMesh'</v>
      </c>
    </row>
    <row r="64" spans="1:31" ht="15.75" thickBot="1" x14ac:dyDescent="0.3">
      <c r="A64" s="95">
        <v>62</v>
      </c>
      <c r="B64" s="95">
        <f>A64+Items!B$26</f>
        <v>93323326</v>
      </c>
      <c r="C64" s="96" t="s">
        <v>5802</v>
      </c>
      <c r="D64" s="96" t="s">
        <v>5802</v>
      </c>
      <c r="E64" s="96" t="s">
        <v>3524</v>
      </c>
      <c r="F64" s="96" t="s">
        <v>5904</v>
      </c>
      <c r="G64" s="96"/>
      <c r="H64" s="96"/>
      <c r="I64" s="96" t="b">
        <v>1</v>
      </c>
      <c r="J64" s="96"/>
      <c r="K64" s="96"/>
      <c r="L64" s="96" t="s">
        <v>5993</v>
      </c>
      <c r="M64" s="96" t="s">
        <v>5982</v>
      </c>
      <c r="N64" s="96" t="s">
        <v>5828</v>
      </c>
      <c r="O64" s="95" t="str">
        <f t="shared" si="7"/>
        <v>TRUE</v>
      </c>
      <c r="P64" s="95"/>
      <c r="Q64" s="96">
        <v>1</v>
      </c>
      <c r="R64" s="96">
        <v>4</v>
      </c>
      <c r="S64" s="96">
        <v>151</v>
      </c>
      <c r="T64" s="96">
        <v>227</v>
      </c>
      <c r="U64" s="96"/>
      <c r="V64" s="96"/>
      <c r="W64" s="96">
        <v>18</v>
      </c>
      <c r="X64" s="96">
        <v>44</v>
      </c>
      <c r="Y64" s="96" t="s">
        <v>2470</v>
      </c>
      <c r="Z64" s="96">
        <v>12</v>
      </c>
      <c r="AA64" s="96" t="str">
        <f t="shared" si="2"/>
        <v>DA_WPN_Staff_PullerStaff</v>
      </c>
      <c r="AB64" s="90" t="str">
        <f t="shared" si="3"/>
        <v>/Game/DungeonSiege/Items/Weapons/staff/DA_WPN_Staff_PullerStaff</v>
      </c>
      <c r="AC64" s="97" t="str">
        <f t="shared" si="4"/>
        <v>Texture2D'/Game/DungeonSiege/art/bitmaps/gui/in_game/inventory/weapons/staff/b_gui_ig_i_w_stf_126.b_gui_ig_i_w_stf_126'</v>
      </c>
      <c r="AD64" s="97" t="str">
        <f t="shared" si="5"/>
        <v>Texture2D'/Game/DungeonSiege/art/bitmaps/gui/in_game/inventory/icons/b_gui_ig_i_ic_stf_001.b_gui_ig_i_ic_stf_001'</v>
      </c>
      <c r="AE64" s="97" t="str">
        <f t="shared" si="6"/>
        <v>StaticMesh'/Game/DungeonSiege/art/meshes/weapons/staff/m_w_stf_050_AspMesh.m_w_stf_050_AspMesh'</v>
      </c>
    </row>
    <row r="65" spans="1:31" ht="15.75" thickBot="1" x14ac:dyDescent="0.3">
      <c r="A65" s="95">
        <v>63</v>
      </c>
      <c r="B65" s="95">
        <f>A65+Items!B$26</f>
        <v>93323327</v>
      </c>
      <c r="C65" s="96" t="s">
        <v>5803</v>
      </c>
      <c r="D65" s="96" t="s">
        <v>5803</v>
      </c>
      <c r="E65" s="96" t="s">
        <v>3524</v>
      </c>
      <c r="F65" s="96" t="s">
        <v>5994</v>
      </c>
      <c r="G65" s="96"/>
      <c r="H65" s="96"/>
      <c r="I65" s="96"/>
      <c r="J65" s="96"/>
      <c r="K65" s="96" t="b">
        <v>1</v>
      </c>
      <c r="L65" s="96" t="s">
        <v>5995</v>
      </c>
      <c r="M65" s="96" t="s">
        <v>5996</v>
      </c>
      <c r="N65" s="96" t="s">
        <v>5997</v>
      </c>
      <c r="O65" s="95" t="str">
        <f t="shared" si="7"/>
        <v>TRUE</v>
      </c>
      <c r="P65" s="95"/>
      <c r="Q65" s="96">
        <v>1</v>
      </c>
      <c r="R65" s="96">
        <v>4</v>
      </c>
      <c r="S65" s="96">
        <v>223</v>
      </c>
      <c r="T65" s="96">
        <v>335</v>
      </c>
      <c r="U65" s="96"/>
      <c r="V65" s="96"/>
      <c r="W65" s="96">
        <v>38</v>
      </c>
      <c r="X65" s="96">
        <v>67</v>
      </c>
      <c r="Y65" s="96" t="s">
        <v>2470</v>
      </c>
      <c r="Z65" s="96">
        <v>63</v>
      </c>
      <c r="AA65" s="96" t="str">
        <f t="shared" si="2"/>
        <v>DA_WPN_Staff_AxeStaff</v>
      </c>
      <c r="AB65" s="90" t="str">
        <f t="shared" si="3"/>
        <v>/Game/DungeonSiege/Items/Weapons/staff/DA_WPN_Staff_AxeStaff</v>
      </c>
      <c r="AC65" s="97" t="str">
        <f t="shared" si="4"/>
        <v>Texture2D'/Game/DungeonSiege/art/bitmaps/gui/in_game/inventory/weapons/staff/b_gui_ig_i_w_stf_078.b_gui_ig_i_w_stf_078'</v>
      </c>
      <c r="AD65" s="97" t="str">
        <f t="shared" si="5"/>
        <v>Texture2D'/Game/DungeonSiege/art/bitmaps/gui/in_game/inventory/icons/b_gui_ig_i_ic_stf_007.b_gui_ig_i_ic_stf_007'</v>
      </c>
      <c r="AE65" s="97" t="str">
        <f t="shared" si="6"/>
        <v>StaticMesh'/Game/DungeonSiege/art/meshes/weapons/staff/m_w_stf_038_AspMesh.m_w_stf_038_AspMesh'</v>
      </c>
    </row>
    <row r="66" spans="1:31" ht="15.75" thickBot="1" x14ac:dyDescent="0.3">
      <c r="A66" s="95">
        <v>64</v>
      </c>
      <c r="B66" s="95">
        <f>A66+Items!B$26</f>
        <v>93323328</v>
      </c>
      <c r="C66" s="96" t="s">
        <v>5746</v>
      </c>
      <c r="D66" s="96" t="s">
        <v>5746</v>
      </c>
      <c r="E66" s="96" t="s">
        <v>3524</v>
      </c>
      <c r="F66" s="96" t="s">
        <v>5998</v>
      </c>
      <c r="G66" s="96"/>
      <c r="H66" s="96"/>
      <c r="I66" s="96"/>
      <c r="J66" s="96"/>
      <c r="K66" s="96" t="b">
        <v>1</v>
      </c>
      <c r="L66" s="96" t="s">
        <v>5999</v>
      </c>
      <c r="M66" s="96" t="s">
        <v>6000</v>
      </c>
      <c r="N66" s="96" t="s">
        <v>5853</v>
      </c>
      <c r="O66" s="95" t="str">
        <f t="shared" si="7"/>
        <v>TRUE</v>
      </c>
      <c r="P66" s="95"/>
      <c r="Q66" s="96">
        <v>1</v>
      </c>
      <c r="R66" s="96">
        <v>4</v>
      </c>
      <c r="S66" s="96">
        <v>80</v>
      </c>
      <c r="T66" s="96">
        <v>108</v>
      </c>
      <c r="U66" s="96"/>
      <c r="V66" s="96"/>
      <c r="W66" s="96">
        <v>9</v>
      </c>
      <c r="X66" s="96">
        <v>22</v>
      </c>
      <c r="Y66" s="96" t="s">
        <v>2470</v>
      </c>
      <c r="Z66" s="96">
        <v>35</v>
      </c>
      <c r="AA66" s="96" t="str">
        <f t="shared" si="2"/>
        <v>DA_WPN_Staff_BladedStaff</v>
      </c>
      <c r="AB66" s="90" t="str">
        <f t="shared" si="3"/>
        <v>/Game/DungeonSiege/Items/Weapons/staff/DA_WPN_Staff_BladedStaff</v>
      </c>
      <c r="AC66" s="97" t="str">
        <f t="shared" si="4"/>
        <v>Texture2D'/Game/DungeonSiege/art/bitmaps/gui/in_game/inventory/weapons/staff/b_gui_ig_i_w_stf_087.b_gui_ig_i_w_stf_087'</v>
      </c>
      <c r="AD66" s="97" t="str">
        <f t="shared" si="5"/>
        <v>Texture2D'/Game/DungeonSiege/art/bitmaps/gui/in_game/inventory/icons/b_gui_ig_i_ic_stf_006.b_gui_ig_i_ic_stf_006'</v>
      </c>
      <c r="AE66" s="97" t="str">
        <f t="shared" si="6"/>
        <v>StaticMesh'/Game/DungeonSiege/art/meshes/weapons/staff/m_w_stf_046_AspMesh.m_w_stf_046_AspMesh'</v>
      </c>
    </row>
    <row r="67" spans="1:31" ht="15.75" thickBot="1" x14ac:dyDescent="0.3">
      <c r="A67" s="95">
        <v>65</v>
      </c>
      <c r="B67" s="95">
        <f>A67+Items!B$26</f>
        <v>93323329</v>
      </c>
      <c r="C67" s="96" t="s">
        <v>5804</v>
      </c>
      <c r="D67" s="96" t="s">
        <v>5804</v>
      </c>
      <c r="E67" s="96" t="s">
        <v>3524</v>
      </c>
      <c r="F67" s="96" t="s">
        <v>6001</v>
      </c>
      <c r="G67" s="96"/>
      <c r="H67" s="96"/>
      <c r="I67" s="96"/>
      <c r="J67" s="96"/>
      <c r="K67" s="96" t="b">
        <v>1</v>
      </c>
      <c r="L67" s="96" t="s">
        <v>6002</v>
      </c>
      <c r="M67" s="96" t="s">
        <v>6003</v>
      </c>
      <c r="N67" s="96" t="s">
        <v>5853</v>
      </c>
      <c r="O67" s="95" t="str">
        <f t="shared" si="7"/>
        <v>TRUE</v>
      </c>
      <c r="P67" s="95"/>
      <c r="Q67" s="96">
        <v>1</v>
      </c>
      <c r="R67" s="96">
        <v>4</v>
      </c>
      <c r="S67" s="96">
        <v>151</v>
      </c>
      <c r="T67" s="96">
        <v>227</v>
      </c>
      <c r="U67" s="96"/>
      <c r="V67" s="96"/>
      <c r="W67" s="96">
        <v>18</v>
      </c>
      <c r="X67" s="96">
        <v>44</v>
      </c>
      <c r="Y67" s="96" t="s">
        <v>2470</v>
      </c>
      <c r="Z67" s="96">
        <v>50</v>
      </c>
      <c r="AA67" s="96" t="str">
        <f t="shared" ref="AA67:AA82" si="8">CONCATENATE("DA_WPN_Staff_",SUBSTITUTE(SUBSTITUTE(SUBSTITUTE(C67," ",""),"(","_"),")",""))</f>
        <v>DA_WPN_Staff_HookedStaff</v>
      </c>
      <c r="AB67" s="90" t="str">
        <f t="shared" ref="AB67:AB82" si="9">"/Game/DungeonSiege/Items/Weapons/staff/" &amp; AA67</f>
        <v>/Game/DungeonSiege/Items/Weapons/staff/DA_WPN_Staff_HookedStaff</v>
      </c>
      <c r="AC67" s="97" t="str">
        <f t="shared" ref="AC67:AC82" si="10">CONCATENATE("Texture2D'/Game/DungeonSiege/art/bitmaps/gui/in_game/inventory/weapons/staff/",M67,".",M67,"'")</f>
        <v>Texture2D'/Game/DungeonSiege/art/bitmaps/gui/in_game/inventory/weapons/staff/b_gui_ig_i_w_stf_084.b_gui_ig_i_w_stf_084'</v>
      </c>
      <c r="AD67" s="97" t="str">
        <f t="shared" si="5"/>
        <v>Texture2D'/Game/DungeonSiege/art/bitmaps/gui/in_game/inventory/icons/b_gui_ig_i_ic_stf_006.b_gui_ig_i_ic_stf_006'</v>
      </c>
      <c r="AE67" s="97" t="str">
        <f t="shared" si="6"/>
        <v>StaticMesh'/Game/DungeonSiege/art/meshes/weapons/staff/m_w_stf_043_AspMesh.m_w_stf_043_AspMesh'</v>
      </c>
    </row>
    <row r="68" spans="1:31" ht="15.75" thickBot="1" x14ac:dyDescent="0.3">
      <c r="A68" s="95">
        <v>66</v>
      </c>
      <c r="B68" s="95">
        <f>A68+Items!B$26</f>
        <v>93323330</v>
      </c>
      <c r="C68" s="96" t="s">
        <v>5805</v>
      </c>
      <c r="D68" s="96" t="s">
        <v>5805</v>
      </c>
      <c r="E68" s="96" t="s">
        <v>3524</v>
      </c>
      <c r="F68" s="96" t="s">
        <v>6001</v>
      </c>
      <c r="G68" s="96"/>
      <c r="H68" s="96"/>
      <c r="I68" s="96"/>
      <c r="J68" s="96"/>
      <c r="K68" s="96" t="b">
        <v>1</v>
      </c>
      <c r="L68" s="96" t="s">
        <v>6004</v>
      </c>
      <c r="M68" s="96" t="s">
        <v>6005</v>
      </c>
      <c r="N68" s="96" t="s">
        <v>5853</v>
      </c>
      <c r="O68" s="95" t="str">
        <f t="shared" si="7"/>
        <v>TRUE</v>
      </c>
      <c r="P68" s="95"/>
      <c r="Q68" s="96">
        <v>1</v>
      </c>
      <c r="R68" s="96">
        <v>4</v>
      </c>
      <c r="S68" s="96">
        <v>223</v>
      </c>
      <c r="T68" s="96">
        <v>335</v>
      </c>
      <c r="U68" s="96"/>
      <c r="V68" s="96"/>
      <c r="W68" s="96">
        <v>38</v>
      </c>
      <c r="X68" s="96">
        <v>67</v>
      </c>
      <c r="Y68" s="96" t="s">
        <v>2470</v>
      </c>
      <c r="Z68" s="96">
        <v>70</v>
      </c>
      <c r="AA68" s="96" t="str">
        <f t="shared" si="8"/>
        <v>DA_WPN_Staff_WingStaff</v>
      </c>
      <c r="AB68" s="90" t="str">
        <f t="shared" si="9"/>
        <v>/Game/DungeonSiege/Items/Weapons/staff/DA_WPN_Staff_WingStaff</v>
      </c>
      <c r="AC68" s="97" t="str">
        <f t="shared" si="10"/>
        <v>Texture2D'/Game/DungeonSiege/art/bitmaps/gui/in_game/inventory/weapons/staff/b_gui_ig_i_w_stf_083.b_gui_ig_i_w_stf_083'</v>
      </c>
      <c r="AD68" s="97" t="str">
        <f t="shared" si="5"/>
        <v>Texture2D'/Game/DungeonSiege/art/bitmaps/gui/in_game/inventory/icons/b_gui_ig_i_ic_stf_006.b_gui_ig_i_ic_stf_006'</v>
      </c>
      <c r="AE68" s="97" t="str">
        <f t="shared" si="6"/>
        <v>StaticMesh'/Game/DungeonSiege/art/meshes/weapons/staff/m_w_stf_043_AspMesh.m_w_stf_043_AspMesh'</v>
      </c>
    </row>
    <row r="69" spans="1:31" ht="15.75" thickBot="1" x14ac:dyDescent="0.3">
      <c r="A69" s="95">
        <v>67</v>
      </c>
      <c r="B69" s="95">
        <f>A69+Items!B$26</f>
        <v>93323331</v>
      </c>
      <c r="C69" s="96" t="s">
        <v>5806</v>
      </c>
      <c r="D69" s="96" t="s">
        <v>5806</v>
      </c>
      <c r="E69" s="96" t="s">
        <v>3524</v>
      </c>
      <c r="F69" s="96" t="s">
        <v>6006</v>
      </c>
      <c r="G69" s="96"/>
      <c r="H69" s="96"/>
      <c r="I69" s="96"/>
      <c r="J69" s="96"/>
      <c r="K69" s="96" t="b">
        <v>1</v>
      </c>
      <c r="L69" s="96" t="s">
        <v>6007</v>
      </c>
      <c r="M69" s="96" t="s">
        <v>6008</v>
      </c>
      <c r="N69" s="96" t="s">
        <v>5916</v>
      </c>
      <c r="O69" s="95" t="str">
        <f t="shared" si="7"/>
        <v>TRUE</v>
      </c>
      <c r="P69" s="95"/>
      <c r="Q69" s="96">
        <v>1</v>
      </c>
      <c r="R69" s="96">
        <v>4</v>
      </c>
      <c r="S69" s="96">
        <v>80</v>
      </c>
      <c r="T69" s="96">
        <v>108</v>
      </c>
      <c r="U69" s="96"/>
      <c r="V69" s="96"/>
      <c r="W69" s="96">
        <v>9</v>
      </c>
      <c r="X69" s="96">
        <v>22</v>
      </c>
      <c r="Y69" s="96" t="s">
        <v>2470</v>
      </c>
      <c r="Z69" s="96">
        <v>29</v>
      </c>
      <c r="AA69" s="96" t="str">
        <f t="shared" si="8"/>
        <v>DA_WPN_Staff_HandStaff</v>
      </c>
      <c r="AB69" s="90" t="str">
        <f t="shared" si="9"/>
        <v>/Game/DungeonSiege/Items/Weapons/staff/DA_WPN_Staff_HandStaff</v>
      </c>
      <c r="AC69" s="97" t="str">
        <f t="shared" si="10"/>
        <v>Texture2D'/Game/DungeonSiege/art/bitmaps/gui/in_game/inventory/weapons/staff/b_gui_ig_i_w_stf_081.b_gui_ig_i_w_stf_081'</v>
      </c>
      <c r="AD69" s="97" t="str">
        <f t="shared" si="5"/>
        <v>Texture2D'/Game/DungeonSiege/art/bitmaps/gui/in_game/inventory/icons/b_gui_ig_i_ic_stf_005.b_gui_ig_i_ic_stf_005'</v>
      </c>
      <c r="AE69" s="97" t="str">
        <f t="shared" si="6"/>
        <v>StaticMesh'/Game/DungeonSiege/art/meshes/weapons/staff/m_w_stf_041_AspMesh.m_w_stf_041_AspMesh'</v>
      </c>
    </row>
    <row r="70" spans="1:31" ht="15.75" thickBot="1" x14ac:dyDescent="0.3">
      <c r="A70" s="95">
        <v>68</v>
      </c>
      <c r="B70" s="95">
        <f>A70+Items!B$26</f>
        <v>93323332</v>
      </c>
      <c r="C70" s="96" t="s">
        <v>5807</v>
      </c>
      <c r="D70" s="96" t="s">
        <v>5807</v>
      </c>
      <c r="E70" s="96" t="s">
        <v>3524</v>
      </c>
      <c r="F70" s="96" t="s">
        <v>6009</v>
      </c>
      <c r="G70" s="96"/>
      <c r="H70" s="96" t="b">
        <v>1</v>
      </c>
      <c r="I70" s="96" t="b">
        <v>1</v>
      </c>
      <c r="J70" s="96"/>
      <c r="K70" s="96"/>
      <c r="L70" s="96" t="s">
        <v>6010</v>
      </c>
      <c r="M70" s="96" t="s">
        <v>6011</v>
      </c>
      <c r="N70" s="96" t="s">
        <v>5853</v>
      </c>
      <c r="O70" s="95" t="str">
        <f t="shared" si="7"/>
        <v>TRUE</v>
      </c>
      <c r="P70" s="95"/>
      <c r="Q70" s="96">
        <v>1</v>
      </c>
      <c r="R70" s="96">
        <v>4</v>
      </c>
      <c r="S70" s="96">
        <v>70</v>
      </c>
      <c r="T70" s="96">
        <v>106</v>
      </c>
      <c r="U70" s="96"/>
      <c r="V70" s="96"/>
      <c r="W70" s="96">
        <v>0</v>
      </c>
      <c r="X70" s="96">
        <v>1</v>
      </c>
      <c r="Y70" s="96" t="s">
        <v>2470</v>
      </c>
      <c r="Z70" s="96">
        <v>23</v>
      </c>
      <c r="AA70" s="96" t="str">
        <f t="shared" si="8"/>
        <v>DA_WPN_Staff_IceStaff</v>
      </c>
      <c r="AB70" s="90" t="str">
        <f t="shared" si="9"/>
        <v>/Game/DungeonSiege/Items/Weapons/staff/DA_WPN_Staff_IceStaff</v>
      </c>
      <c r="AC70" s="97" t="str">
        <f t="shared" si="10"/>
        <v>Texture2D'/Game/DungeonSiege/art/bitmaps/gui/in_game/inventory/weapons/staff/b_gui_ig_i_w_stf_013.b_gui_ig_i_w_stf_013'</v>
      </c>
      <c r="AD70" s="97" t="str">
        <f t="shared" si="5"/>
        <v>Texture2D'/Game/DungeonSiege/art/bitmaps/gui/in_game/inventory/icons/b_gui_ig_i_ic_stf_006.b_gui_ig_i_ic_stf_006'</v>
      </c>
      <c r="AE70" s="97" t="str">
        <f t="shared" si="6"/>
        <v>StaticMesh'/Game/DungeonSiege/art/meshes/weapons/staff/m_w_stf_013_AspMesh.m_w_stf_013_AspMesh'</v>
      </c>
    </row>
    <row r="71" spans="1:31" ht="15.75" thickBot="1" x14ac:dyDescent="0.3">
      <c r="A71" s="95">
        <v>69</v>
      </c>
      <c r="B71" s="95">
        <f>A71+Items!B$26</f>
        <v>93323333</v>
      </c>
      <c r="C71" s="96" t="s">
        <v>5808</v>
      </c>
      <c r="D71" s="96" t="s">
        <v>5808</v>
      </c>
      <c r="E71" s="96" t="s">
        <v>3524</v>
      </c>
      <c r="F71" s="96" t="s">
        <v>6012</v>
      </c>
      <c r="G71" s="96"/>
      <c r="H71" s="96"/>
      <c r="I71" s="96"/>
      <c r="J71" s="96"/>
      <c r="K71" s="96" t="b">
        <v>1</v>
      </c>
      <c r="L71" s="96" t="s">
        <v>6013</v>
      </c>
      <c r="M71" s="96" t="s">
        <v>6014</v>
      </c>
      <c r="N71" s="96" t="s">
        <v>5916</v>
      </c>
      <c r="O71" s="95" t="str">
        <f t="shared" si="7"/>
        <v>TRUE</v>
      </c>
      <c r="P71" s="95"/>
      <c r="Q71" s="96">
        <v>1</v>
      </c>
      <c r="R71" s="96">
        <v>4</v>
      </c>
      <c r="S71" s="96">
        <v>223</v>
      </c>
      <c r="T71" s="96">
        <v>335</v>
      </c>
      <c r="U71" s="96"/>
      <c r="V71" s="96"/>
      <c r="W71" s="96">
        <v>38</v>
      </c>
      <c r="X71" s="96">
        <v>67</v>
      </c>
      <c r="Y71" s="96" t="s">
        <v>2470</v>
      </c>
      <c r="Z71" s="96">
        <v>32</v>
      </c>
      <c r="AA71" s="96" t="str">
        <f t="shared" si="8"/>
        <v>DA_WPN_Staff_MaceStaff</v>
      </c>
      <c r="AB71" s="90" t="str">
        <f t="shared" si="9"/>
        <v>/Game/DungeonSiege/Items/Weapons/staff/DA_WPN_Staff_MaceStaff</v>
      </c>
      <c r="AC71" s="97" t="str">
        <f t="shared" si="10"/>
        <v>Texture2D'/Game/DungeonSiege/art/bitmaps/gui/in_game/inventory/weapons/staff/b_gui_ig_i_w_stf_085.b_gui_ig_i_w_stf_085'</v>
      </c>
      <c r="AD71" s="97" t="str">
        <f t="shared" ref="AD71:AD82" si="11">CONCATENATE("Texture2D'/Game/DungeonSiege/art/bitmaps/gui/in_game/inventory/icons/",N71,".",N71,"'")</f>
        <v>Texture2D'/Game/DungeonSiege/art/bitmaps/gui/in_game/inventory/icons/b_gui_ig_i_ic_stf_005.b_gui_ig_i_ic_stf_005'</v>
      </c>
      <c r="AE71" s="97" t="str">
        <f t="shared" ref="AE71:AE82" si="12">CONCATENATE("StaticMesh'/Game/DungeonSiege/art/meshes/weapons/staff/",F71,"_AspMesh.",F71,"_AspMesh'")</f>
        <v>StaticMesh'/Game/DungeonSiege/art/meshes/weapons/staff/m_w_stf_044_AspMesh.m_w_stf_044_AspMesh'</v>
      </c>
    </row>
    <row r="72" spans="1:31" ht="15.75" thickBot="1" x14ac:dyDescent="0.3">
      <c r="A72" s="95">
        <v>70</v>
      </c>
      <c r="B72" s="95">
        <f>A72+Items!B$26</f>
        <v>93323334</v>
      </c>
      <c r="C72" s="96" t="s">
        <v>5809</v>
      </c>
      <c r="D72" s="96" t="s">
        <v>5809</v>
      </c>
      <c r="E72" s="96" t="s">
        <v>3524</v>
      </c>
      <c r="F72" s="96" t="s">
        <v>6015</v>
      </c>
      <c r="G72" s="96"/>
      <c r="H72" s="96"/>
      <c r="I72" s="96" t="b">
        <v>1</v>
      </c>
      <c r="J72" s="96"/>
      <c r="K72" s="96"/>
      <c r="L72" s="96" t="s">
        <v>6016</v>
      </c>
      <c r="M72" s="96" t="s">
        <v>6017</v>
      </c>
      <c r="N72" s="96" t="s">
        <v>5916</v>
      </c>
      <c r="O72" s="95" t="str">
        <f t="shared" si="7"/>
        <v>TRUE</v>
      </c>
      <c r="P72" s="95"/>
      <c r="Q72" s="96">
        <v>1</v>
      </c>
      <c r="R72" s="96">
        <v>4</v>
      </c>
      <c r="S72" s="96">
        <v>80</v>
      </c>
      <c r="T72" s="96">
        <v>108</v>
      </c>
      <c r="U72" s="96"/>
      <c r="V72" s="96"/>
      <c r="W72" s="96">
        <v>0</v>
      </c>
      <c r="X72" s="96">
        <v>0</v>
      </c>
      <c r="Y72" s="96" t="s">
        <v>2470</v>
      </c>
      <c r="Z72" s="96">
        <v>28</v>
      </c>
      <c r="AA72" s="96" t="str">
        <f t="shared" si="8"/>
        <v>DA_WPN_Staff_Merik'sStaff</v>
      </c>
      <c r="AB72" s="90" t="str">
        <f t="shared" si="9"/>
        <v>/Game/DungeonSiege/Items/Weapons/staff/DA_WPN_Staff_Merik'sStaff</v>
      </c>
      <c r="AC72" s="97" t="str">
        <f t="shared" si="10"/>
        <v>Texture2D'/Game/DungeonSiege/art/bitmaps/gui/in_game/inventory/weapons/staff/b_gui_ig_i_w_stf_014.b_gui_ig_i_w_stf_014'</v>
      </c>
      <c r="AD72" s="97" t="str">
        <f t="shared" si="11"/>
        <v>Texture2D'/Game/DungeonSiege/art/bitmaps/gui/in_game/inventory/icons/b_gui_ig_i_ic_stf_005.b_gui_ig_i_ic_stf_005'</v>
      </c>
      <c r="AE72" s="97" t="str">
        <f t="shared" si="12"/>
        <v>StaticMesh'/Game/DungeonSiege/art/meshes/weapons/staff/m_w_stf_014_AspMesh.m_w_stf_014_AspMesh'</v>
      </c>
    </row>
    <row r="73" spans="1:31" ht="15.75" thickBot="1" x14ac:dyDescent="0.3">
      <c r="A73" s="95">
        <v>71</v>
      </c>
      <c r="B73" s="95">
        <f>A73+Items!B$26</f>
        <v>93323335</v>
      </c>
      <c r="C73" s="96" t="s">
        <v>5810</v>
      </c>
      <c r="D73" s="96" t="s">
        <v>5810</v>
      </c>
      <c r="E73" s="96" t="s">
        <v>3524</v>
      </c>
      <c r="F73" s="96" t="s">
        <v>6018</v>
      </c>
      <c r="G73" s="96"/>
      <c r="H73" s="96"/>
      <c r="I73" s="96"/>
      <c r="J73" s="96"/>
      <c r="K73" s="96" t="b">
        <v>1</v>
      </c>
      <c r="L73" s="96" t="s">
        <v>6019</v>
      </c>
      <c r="M73" s="96" t="s">
        <v>6020</v>
      </c>
      <c r="N73" s="96" t="s">
        <v>5853</v>
      </c>
      <c r="O73" s="95" t="str">
        <f t="shared" si="7"/>
        <v>TRUE</v>
      </c>
      <c r="P73" s="95"/>
      <c r="Q73" s="96">
        <v>1</v>
      </c>
      <c r="R73" s="96">
        <v>4</v>
      </c>
      <c r="S73" s="96">
        <v>85</v>
      </c>
      <c r="T73" s="96">
        <v>115</v>
      </c>
      <c r="U73" s="96"/>
      <c r="V73" s="96"/>
      <c r="W73" s="96">
        <v>9</v>
      </c>
      <c r="X73" s="96">
        <v>23</v>
      </c>
      <c r="Y73" s="96" t="s">
        <v>2470</v>
      </c>
      <c r="Z73" s="96">
        <v>31</v>
      </c>
      <c r="AA73" s="96" t="str">
        <f t="shared" si="8"/>
        <v>DA_WPN_Staff_SharpStaff</v>
      </c>
      <c r="AB73" s="90" t="str">
        <f t="shared" si="9"/>
        <v>/Game/DungeonSiege/Items/Weapons/staff/DA_WPN_Staff_SharpStaff</v>
      </c>
      <c r="AC73" s="97" t="str">
        <f t="shared" si="10"/>
        <v>Texture2D'/Game/DungeonSiege/art/bitmaps/gui/in_game/inventory/weapons/staff/b_gui_ig_i_w_stf_089.b_gui_ig_i_w_stf_089'</v>
      </c>
      <c r="AD73" s="97" t="str">
        <f t="shared" si="11"/>
        <v>Texture2D'/Game/DungeonSiege/art/bitmaps/gui/in_game/inventory/icons/b_gui_ig_i_ic_stf_006.b_gui_ig_i_ic_stf_006'</v>
      </c>
      <c r="AE73" s="97" t="str">
        <f t="shared" si="12"/>
        <v>StaticMesh'/Game/DungeonSiege/art/meshes/weapons/staff/m_w_stf_048_AspMesh.m_w_stf_048_AspMesh'</v>
      </c>
    </row>
    <row r="74" spans="1:31" ht="15.75" thickBot="1" x14ac:dyDescent="0.3">
      <c r="A74" s="95">
        <v>72</v>
      </c>
      <c r="B74" s="95">
        <f>A74+Items!B$26</f>
        <v>93323336</v>
      </c>
      <c r="C74" s="96" t="s">
        <v>5811</v>
      </c>
      <c r="D74" s="96" t="s">
        <v>5811</v>
      </c>
      <c r="E74" s="96" t="s">
        <v>3524</v>
      </c>
      <c r="F74" s="96" t="s">
        <v>6021</v>
      </c>
      <c r="G74" s="96"/>
      <c r="H74" s="96"/>
      <c r="I74" s="96"/>
      <c r="J74" s="96"/>
      <c r="K74" s="96" t="b">
        <v>1</v>
      </c>
      <c r="L74" s="96" t="s">
        <v>6022</v>
      </c>
      <c r="M74" s="96" t="s">
        <v>6023</v>
      </c>
      <c r="N74" s="96" t="s">
        <v>5884</v>
      </c>
      <c r="O74" s="95" t="str">
        <f t="shared" si="7"/>
        <v>TRUE</v>
      </c>
      <c r="P74" s="95"/>
      <c r="Q74" s="96">
        <v>1</v>
      </c>
      <c r="R74" s="96">
        <v>4</v>
      </c>
      <c r="S74" s="96">
        <v>43</v>
      </c>
      <c r="T74" s="96">
        <v>53</v>
      </c>
      <c r="U74" s="96"/>
      <c r="V74" s="96"/>
      <c r="W74" s="96">
        <v>3</v>
      </c>
      <c r="X74" s="96">
        <v>9</v>
      </c>
      <c r="Y74" s="96" t="s">
        <v>2470</v>
      </c>
      <c r="Z74" s="96">
        <v>19</v>
      </c>
      <c r="AA74" s="96" t="str">
        <f t="shared" si="8"/>
        <v>DA_WPN_Staff_PudgelStaff</v>
      </c>
      <c r="AB74" s="90" t="str">
        <f t="shared" si="9"/>
        <v>/Game/DungeonSiege/Items/Weapons/staff/DA_WPN_Staff_PudgelStaff</v>
      </c>
      <c r="AC74" s="97" t="str">
        <f t="shared" si="10"/>
        <v>Texture2D'/Game/DungeonSiege/art/bitmaps/gui/in_game/inventory/weapons/staff/b_gui_ig_i_w_stf_079.b_gui_ig_i_w_stf_079'</v>
      </c>
      <c r="AD74" s="97" t="str">
        <f t="shared" si="11"/>
        <v>Texture2D'/Game/DungeonSiege/art/bitmaps/gui/in_game/inventory/icons/b_gui_ig_i_ic_stf_004.b_gui_ig_i_ic_stf_004'</v>
      </c>
      <c r="AE74" s="97" t="str">
        <f t="shared" si="12"/>
        <v>StaticMesh'/Game/DungeonSiege/art/meshes/weapons/staff/m_w_stf_039_AspMesh.m_w_stf_039_AspMesh'</v>
      </c>
    </row>
    <row r="75" spans="1:31" ht="15.75" thickBot="1" x14ac:dyDescent="0.3">
      <c r="A75" s="95">
        <v>73</v>
      </c>
      <c r="B75" s="95">
        <f>A75+Items!B$26</f>
        <v>93323337</v>
      </c>
      <c r="C75" s="96" t="s">
        <v>5812</v>
      </c>
      <c r="D75" s="96" t="s">
        <v>5812</v>
      </c>
      <c r="E75" s="96" t="s">
        <v>3524</v>
      </c>
      <c r="F75" s="96" t="s">
        <v>6024</v>
      </c>
      <c r="G75" s="96"/>
      <c r="H75" s="96" t="b">
        <v>1</v>
      </c>
      <c r="I75" s="96"/>
      <c r="J75" s="96"/>
      <c r="K75" s="96"/>
      <c r="L75" s="96" t="s">
        <v>6025</v>
      </c>
      <c r="M75" s="96" t="s">
        <v>6026</v>
      </c>
      <c r="N75" s="96" t="s">
        <v>5884</v>
      </c>
      <c r="O75" s="95" t="str">
        <f t="shared" si="7"/>
        <v>FALSE</v>
      </c>
      <c r="P75" s="95"/>
      <c r="Q75" s="96">
        <v>1</v>
      </c>
      <c r="R75" s="96">
        <v>4</v>
      </c>
      <c r="S75" s="96">
        <v>25</v>
      </c>
      <c r="T75" s="96">
        <v>35</v>
      </c>
      <c r="U75" s="96"/>
      <c r="V75" s="96"/>
      <c r="W75" s="96">
        <v>0</v>
      </c>
      <c r="X75" s="96">
        <v>0</v>
      </c>
      <c r="Y75" s="96"/>
      <c r="Z75" s="96"/>
      <c r="AA75" s="96" t="str">
        <f t="shared" si="8"/>
        <v>DA_WPN_Staff_Reaper</v>
      </c>
      <c r="AB75" s="90" t="str">
        <f t="shared" si="9"/>
        <v>/Game/DungeonSiege/Items/Weapons/staff/DA_WPN_Staff_Reaper</v>
      </c>
      <c r="AC75" s="97" t="str">
        <f t="shared" si="10"/>
        <v>Texture2D'/Game/DungeonSiege/art/bitmaps/gui/in_game/inventory/weapons/staff/b_gui_ig_i_w_stf_082.b_gui_ig_i_w_stf_082'</v>
      </c>
      <c r="AD75" s="97" t="str">
        <f t="shared" si="11"/>
        <v>Texture2D'/Game/DungeonSiege/art/bitmaps/gui/in_game/inventory/icons/b_gui_ig_i_ic_stf_004.b_gui_ig_i_ic_stf_004'</v>
      </c>
      <c r="AE75" s="97" t="str">
        <f t="shared" si="12"/>
        <v>StaticMesh'/Game/DungeonSiege/art/meshes/weapons/staff/m_w_stf_035_AspMesh.m_w_stf_035_AspMesh'</v>
      </c>
    </row>
    <row r="76" spans="1:31" ht="15.75" thickBot="1" x14ac:dyDescent="0.3">
      <c r="A76" s="95">
        <v>74</v>
      </c>
      <c r="B76" s="95">
        <f>A76+Items!B$26</f>
        <v>93323338</v>
      </c>
      <c r="C76" s="96" t="s">
        <v>5813</v>
      </c>
      <c r="D76" s="96" t="s">
        <v>5813</v>
      </c>
      <c r="E76" s="96" t="s">
        <v>3524</v>
      </c>
      <c r="F76" s="96" t="s">
        <v>6027</v>
      </c>
      <c r="G76" s="96"/>
      <c r="H76" s="96" t="b">
        <v>1</v>
      </c>
      <c r="I76" s="96"/>
      <c r="J76" s="96"/>
      <c r="K76" s="96"/>
      <c r="L76" s="96" t="s">
        <v>6028</v>
      </c>
      <c r="M76" s="96" t="s">
        <v>6029</v>
      </c>
      <c r="N76" s="96" t="s">
        <v>5884</v>
      </c>
      <c r="O76" s="95" t="str">
        <f t="shared" si="7"/>
        <v>FALSE</v>
      </c>
      <c r="P76" s="95"/>
      <c r="Q76" s="96">
        <v>2</v>
      </c>
      <c r="R76" s="96">
        <v>4</v>
      </c>
      <c r="S76" s="96">
        <v>130</v>
      </c>
      <c r="T76" s="96">
        <v>170</v>
      </c>
      <c r="U76" s="96"/>
      <c r="V76" s="96"/>
      <c r="W76" s="96">
        <v>0</v>
      </c>
      <c r="X76" s="96">
        <v>0</v>
      </c>
      <c r="Y76" s="96" t="s">
        <v>2384</v>
      </c>
      <c r="Z76" s="96">
        <v>45</v>
      </c>
      <c r="AA76" s="96" t="str">
        <f t="shared" si="8"/>
        <v>DA_WPN_Staff_Gom'sStaff</v>
      </c>
      <c r="AB76" s="90" t="str">
        <f t="shared" si="9"/>
        <v>/Game/DungeonSiege/Items/Weapons/staff/DA_WPN_Staff_Gom'sStaff</v>
      </c>
      <c r="AC76" s="97" t="str">
        <f t="shared" si="10"/>
        <v>Texture2D'/Game/DungeonSiege/art/bitmaps/gui/in_game/inventory/weapons/staff/b_gui_ig_i_w_stf_077.b_gui_ig_i_w_stf_077'</v>
      </c>
      <c r="AD76" s="97" t="str">
        <f t="shared" si="11"/>
        <v>Texture2D'/Game/DungeonSiege/art/bitmaps/gui/in_game/inventory/icons/b_gui_ig_i_ic_stf_004.b_gui_ig_i_ic_stf_004'</v>
      </c>
      <c r="AE76" s="97" t="str">
        <f t="shared" si="12"/>
        <v>StaticMesh'/Game/DungeonSiege/art/meshes/weapons/staff/m_w_stf_037_AspMesh.m_w_stf_037_AspMesh'</v>
      </c>
    </row>
    <row r="77" spans="1:31" ht="15.75" thickBot="1" x14ac:dyDescent="0.3">
      <c r="A77" s="95">
        <v>75</v>
      </c>
      <c r="B77" s="95">
        <f>A77+Items!B$26</f>
        <v>93323339</v>
      </c>
      <c r="C77" s="96" t="s">
        <v>5814</v>
      </c>
      <c r="D77" s="96" t="s">
        <v>5814</v>
      </c>
      <c r="E77" s="96" t="s">
        <v>3524</v>
      </c>
      <c r="F77" s="96" t="s">
        <v>6030</v>
      </c>
      <c r="G77" s="96"/>
      <c r="H77" s="96" t="b">
        <v>1</v>
      </c>
      <c r="I77" s="96"/>
      <c r="J77" s="96"/>
      <c r="K77" s="96"/>
      <c r="L77" s="96" t="s">
        <v>6031</v>
      </c>
      <c r="M77" s="96" t="s">
        <v>6032</v>
      </c>
      <c r="N77" s="96" t="s">
        <v>5884</v>
      </c>
      <c r="O77" s="95" t="str">
        <f t="shared" si="7"/>
        <v>FALSE</v>
      </c>
      <c r="P77" s="95"/>
      <c r="Q77" s="96">
        <v>1</v>
      </c>
      <c r="R77" s="96">
        <v>4</v>
      </c>
      <c r="S77" s="96">
        <v>125</v>
      </c>
      <c r="T77" s="96">
        <v>145</v>
      </c>
      <c r="U77" s="96"/>
      <c r="V77" s="96"/>
      <c r="W77" s="96">
        <v>0</v>
      </c>
      <c r="X77" s="96">
        <v>0</v>
      </c>
      <c r="Y77" s="96" t="s">
        <v>2384</v>
      </c>
      <c r="Z77" s="96">
        <v>41</v>
      </c>
      <c r="AA77" s="96" t="str">
        <f t="shared" si="8"/>
        <v>DA_WPN_Staff_SeckMageStaff</v>
      </c>
      <c r="AB77" s="90" t="str">
        <f t="shared" si="9"/>
        <v>/Game/DungeonSiege/Items/Weapons/staff/DA_WPN_Staff_SeckMageStaff</v>
      </c>
      <c r="AC77" s="97" t="str">
        <f t="shared" si="10"/>
        <v>Texture2D'/Game/DungeonSiege/art/bitmaps/gui/in_game/inventory/weapons/staff/b_gui_ig_i_w_stf_076.b_gui_ig_i_w_stf_076'</v>
      </c>
      <c r="AD77" s="97" t="str">
        <f t="shared" si="11"/>
        <v>Texture2D'/Game/DungeonSiege/art/bitmaps/gui/in_game/inventory/icons/b_gui_ig_i_ic_stf_004.b_gui_ig_i_ic_stf_004'</v>
      </c>
      <c r="AE77" s="97" t="str">
        <f t="shared" si="12"/>
        <v>StaticMesh'/Game/DungeonSiege/art/meshes/weapons/staff/m_w_stf_036_AspMesh.m_w_stf_036_AspMesh'</v>
      </c>
    </row>
    <row r="78" spans="1:31" ht="15.75" thickBot="1" x14ac:dyDescent="0.3">
      <c r="A78" s="95">
        <v>76</v>
      </c>
      <c r="B78" s="95">
        <f>A78+Items!B$26</f>
        <v>93323340</v>
      </c>
      <c r="C78" s="96" t="s">
        <v>5815</v>
      </c>
      <c r="D78" s="96" t="s">
        <v>5815</v>
      </c>
      <c r="E78" s="96" t="s">
        <v>3524</v>
      </c>
      <c r="F78" s="96" t="s">
        <v>6033</v>
      </c>
      <c r="G78" s="96"/>
      <c r="H78" s="96"/>
      <c r="I78" s="96"/>
      <c r="J78" s="96"/>
      <c r="K78" s="96" t="b">
        <v>1</v>
      </c>
      <c r="L78" s="96" t="s">
        <v>6034</v>
      </c>
      <c r="M78" s="96" t="s">
        <v>6035</v>
      </c>
      <c r="N78" s="96" t="s">
        <v>5884</v>
      </c>
      <c r="O78" s="95" t="str">
        <f t="shared" si="7"/>
        <v>TRUE</v>
      </c>
      <c r="P78" s="95"/>
      <c r="Q78" s="96">
        <v>1</v>
      </c>
      <c r="R78" s="96">
        <v>4</v>
      </c>
      <c r="S78" s="96">
        <v>72</v>
      </c>
      <c r="T78" s="96">
        <v>88</v>
      </c>
      <c r="U78" s="96"/>
      <c r="V78" s="96"/>
      <c r="W78" s="96">
        <v>5</v>
      </c>
      <c r="X78" s="96">
        <v>16</v>
      </c>
      <c r="Y78" s="96" t="s">
        <v>2470</v>
      </c>
      <c r="Z78" s="96">
        <v>26</v>
      </c>
      <c r="AA78" s="96" t="str">
        <f t="shared" si="8"/>
        <v>DA_WPN_Staff_SkullStaff</v>
      </c>
      <c r="AB78" s="90" t="str">
        <f t="shared" si="9"/>
        <v>/Game/DungeonSiege/Items/Weapons/staff/DA_WPN_Staff_SkullStaff</v>
      </c>
      <c r="AC78" s="97" t="str">
        <f t="shared" si="10"/>
        <v>Texture2D'/Game/DungeonSiege/art/bitmaps/gui/in_game/inventory/weapons/staff/b_gui_ig_i_w_stf_080.b_gui_ig_i_w_stf_080'</v>
      </c>
      <c r="AD78" s="97" t="str">
        <f t="shared" si="11"/>
        <v>Texture2D'/Game/DungeonSiege/art/bitmaps/gui/in_game/inventory/icons/b_gui_ig_i_ic_stf_004.b_gui_ig_i_ic_stf_004'</v>
      </c>
      <c r="AE78" s="97" t="str">
        <f t="shared" si="12"/>
        <v>StaticMesh'/Game/DungeonSiege/art/meshes/weapons/staff/m_w_stf_040_AspMesh.m_w_stf_040_AspMesh'</v>
      </c>
    </row>
    <row r="79" spans="1:31" ht="15.75" thickBot="1" x14ac:dyDescent="0.3">
      <c r="A79" s="95">
        <v>77</v>
      </c>
      <c r="B79" s="95">
        <f>A79+Items!B$26</f>
        <v>93323341</v>
      </c>
      <c r="C79" s="96" t="s">
        <v>5816</v>
      </c>
      <c r="D79" s="96" t="s">
        <v>5816</v>
      </c>
      <c r="E79" s="96" t="s">
        <v>3524</v>
      </c>
      <c r="F79" s="96" t="s">
        <v>6036</v>
      </c>
      <c r="G79" s="96"/>
      <c r="H79" s="96"/>
      <c r="I79" s="96"/>
      <c r="J79" s="96"/>
      <c r="K79" s="96" t="b">
        <v>1</v>
      </c>
      <c r="L79" s="96" t="s">
        <v>6037</v>
      </c>
      <c r="M79" s="96" t="s">
        <v>6038</v>
      </c>
      <c r="N79" s="96" t="s">
        <v>5884</v>
      </c>
      <c r="O79" s="95" t="str">
        <f t="shared" ref="O79:O82" si="13">IF(OR(I79=TRUE,J79=TRUE,K79=TRUE),"TRUE","FALSE")</f>
        <v>TRUE</v>
      </c>
      <c r="P79" s="95"/>
      <c r="Q79" s="96">
        <v>1</v>
      </c>
      <c r="R79" s="96">
        <v>4</v>
      </c>
      <c r="S79" s="96">
        <v>60</v>
      </c>
      <c r="T79" s="96">
        <v>74</v>
      </c>
      <c r="U79" s="96"/>
      <c r="V79" s="96"/>
      <c r="W79" s="96">
        <v>4</v>
      </c>
      <c r="X79" s="96">
        <v>13</v>
      </c>
      <c r="Y79" s="96" t="s">
        <v>2470</v>
      </c>
      <c r="Z79" s="96">
        <v>23</v>
      </c>
      <c r="AA79" s="96" t="str">
        <f t="shared" si="8"/>
        <v>DA_WPN_Staff_TigerStaff</v>
      </c>
      <c r="AB79" s="90" t="str">
        <f t="shared" si="9"/>
        <v>/Game/DungeonSiege/Items/Weapons/staff/DA_WPN_Staff_TigerStaff</v>
      </c>
      <c r="AC79" s="97" t="str">
        <f t="shared" si="10"/>
        <v>Texture2D'/Game/DungeonSiege/art/bitmaps/gui/in_game/inventory/weapons/staff/b_gui_ig_i_w_stf_088.b_gui_ig_i_w_stf_088'</v>
      </c>
      <c r="AD79" s="97" t="str">
        <f t="shared" si="11"/>
        <v>Texture2D'/Game/DungeonSiege/art/bitmaps/gui/in_game/inventory/icons/b_gui_ig_i_ic_stf_004.b_gui_ig_i_ic_stf_004'</v>
      </c>
      <c r="AE79" s="97" t="str">
        <f t="shared" si="12"/>
        <v>StaticMesh'/Game/DungeonSiege/art/meshes/weapons/staff/m_w_stf_047_AspMesh.m_w_stf_047_AspMesh'</v>
      </c>
    </row>
    <row r="80" spans="1:31" ht="15.75" thickBot="1" x14ac:dyDescent="0.3">
      <c r="A80" s="95">
        <v>78</v>
      </c>
      <c r="B80" s="95">
        <f>A80+Items!B$26</f>
        <v>93323342</v>
      </c>
      <c r="C80" s="96" t="s">
        <v>5817</v>
      </c>
      <c r="D80" s="96" t="s">
        <v>5817</v>
      </c>
      <c r="E80" s="96" t="s">
        <v>3524</v>
      </c>
      <c r="F80" s="96" t="s">
        <v>6039</v>
      </c>
      <c r="G80" s="96"/>
      <c r="H80" s="96"/>
      <c r="I80" s="96"/>
      <c r="J80" s="96"/>
      <c r="K80" s="96" t="b">
        <v>1</v>
      </c>
      <c r="L80" s="96" t="s">
        <v>6040</v>
      </c>
      <c r="M80" s="96" t="s">
        <v>6026</v>
      </c>
      <c r="N80" s="96" t="s">
        <v>5828</v>
      </c>
      <c r="O80" s="95" t="str">
        <f t="shared" si="13"/>
        <v>TRUE</v>
      </c>
      <c r="P80" s="95"/>
      <c r="Q80" s="96">
        <v>1</v>
      </c>
      <c r="R80" s="96">
        <v>4</v>
      </c>
      <c r="S80" s="96">
        <v>21</v>
      </c>
      <c r="T80" s="96">
        <v>25</v>
      </c>
      <c r="U80" s="96"/>
      <c r="V80" s="96"/>
      <c r="W80" s="96">
        <v>0</v>
      </c>
      <c r="X80" s="96">
        <v>1</v>
      </c>
      <c r="Y80" s="96" t="s">
        <v>2470</v>
      </c>
      <c r="Z80" s="96">
        <v>13</v>
      </c>
      <c r="AA80" s="96" t="str">
        <f t="shared" si="8"/>
        <v>DA_WPN_Staff_PointedStaff</v>
      </c>
      <c r="AB80" s="90" t="str">
        <f t="shared" si="9"/>
        <v>/Game/DungeonSiege/Items/Weapons/staff/DA_WPN_Staff_PointedStaff</v>
      </c>
      <c r="AC80" s="97" t="str">
        <f t="shared" si="10"/>
        <v>Texture2D'/Game/DungeonSiege/art/bitmaps/gui/in_game/inventory/weapons/staff/b_gui_ig_i_w_stf_082.b_gui_ig_i_w_stf_082'</v>
      </c>
      <c r="AD80" s="97" t="str">
        <f t="shared" si="11"/>
        <v>Texture2D'/Game/DungeonSiege/art/bitmaps/gui/in_game/inventory/icons/b_gui_ig_i_ic_stf_001.b_gui_ig_i_ic_stf_001'</v>
      </c>
      <c r="AE80" s="97" t="str">
        <f t="shared" si="12"/>
        <v>StaticMesh'/Game/DungeonSiege/art/meshes/weapons/staff/m_w_stf_042_AspMesh.m_w_stf_042_AspMesh'</v>
      </c>
    </row>
    <row r="81" spans="1:31" ht="15.75" thickBot="1" x14ac:dyDescent="0.3">
      <c r="A81" s="95">
        <v>79</v>
      </c>
      <c r="B81" s="95">
        <f>A81+Items!B$26</f>
        <v>93323343</v>
      </c>
      <c r="C81" s="96" t="s">
        <v>5818</v>
      </c>
      <c r="D81" s="96" t="s">
        <v>5818</v>
      </c>
      <c r="E81" s="96" t="s">
        <v>3524</v>
      </c>
      <c r="F81" s="96" t="s">
        <v>6041</v>
      </c>
      <c r="G81" s="96"/>
      <c r="H81" s="96" t="b">
        <v>1</v>
      </c>
      <c r="I81" s="96"/>
      <c r="J81" s="96"/>
      <c r="K81" s="96"/>
      <c r="L81" s="96" t="s">
        <v>6042</v>
      </c>
      <c r="M81" s="96" t="s">
        <v>6043</v>
      </c>
      <c r="N81" s="96" t="s">
        <v>5884</v>
      </c>
      <c r="O81" s="95" t="str">
        <f t="shared" si="13"/>
        <v>FALSE</v>
      </c>
      <c r="P81" s="95"/>
      <c r="Q81" s="96">
        <v>1</v>
      </c>
      <c r="R81" s="96">
        <v>4</v>
      </c>
      <c r="S81" s="96">
        <v>130</v>
      </c>
      <c r="T81" s="96">
        <v>150</v>
      </c>
      <c r="U81" s="96"/>
      <c r="V81" s="96"/>
      <c r="W81" s="96">
        <v>0</v>
      </c>
      <c r="X81" s="96">
        <v>0</v>
      </c>
      <c r="Y81" s="96" t="s">
        <v>2384</v>
      </c>
      <c r="Z81" s="96">
        <v>42</v>
      </c>
      <c r="AA81" s="96" t="str">
        <f t="shared" si="8"/>
        <v>DA_WPN_Staff_SickleStaff</v>
      </c>
      <c r="AB81" s="90" t="str">
        <f t="shared" si="9"/>
        <v>/Game/DungeonSiege/Items/Weapons/staff/DA_WPN_Staff_SickleStaff</v>
      </c>
      <c r="AC81" s="97" t="str">
        <f t="shared" si="10"/>
        <v>Texture2D'/Game/DungeonSiege/art/bitmaps/gui/in_game/inventory/weapons/staff/b_gui_ig_i_w_stf_010.b_gui_ig_i_w_stf_010'</v>
      </c>
      <c r="AD81" s="97" t="str">
        <f t="shared" si="11"/>
        <v>Texture2D'/Game/DungeonSiege/art/bitmaps/gui/in_game/inventory/icons/b_gui_ig_i_ic_stf_004.b_gui_ig_i_ic_stf_004'</v>
      </c>
      <c r="AE81" s="97" t="str">
        <f t="shared" si="12"/>
        <v>StaticMesh'/Game/DungeonSiege/art/meshes/weapons/staff/m_w_stf_012_AspMesh.m_w_stf_012_AspMesh'</v>
      </c>
    </row>
    <row r="82" spans="1:31" ht="15.75" thickBot="1" x14ac:dyDescent="0.3">
      <c r="A82" s="95">
        <v>80</v>
      </c>
      <c r="B82" s="95">
        <f>A82+Items!B$26</f>
        <v>93323344</v>
      </c>
      <c r="C82" s="96" t="s">
        <v>5819</v>
      </c>
      <c r="D82" s="96" t="s">
        <v>5819</v>
      </c>
      <c r="E82" s="96" t="s">
        <v>3524</v>
      </c>
      <c r="F82" s="96" t="s">
        <v>6044</v>
      </c>
      <c r="G82" s="96"/>
      <c r="H82" s="96"/>
      <c r="I82" s="96"/>
      <c r="J82" s="96"/>
      <c r="K82" s="96" t="b">
        <v>1</v>
      </c>
      <c r="L82" s="96" t="s">
        <v>6045</v>
      </c>
      <c r="M82" s="96" t="s">
        <v>6046</v>
      </c>
      <c r="N82" s="96" t="s">
        <v>5916</v>
      </c>
      <c r="O82" s="95" t="str">
        <f t="shared" si="13"/>
        <v>TRUE</v>
      </c>
      <c r="P82" s="95"/>
      <c r="Q82" s="96">
        <v>1</v>
      </c>
      <c r="R82" s="96">
        <v>4</v>
      </c>
      <c r="S82" s="96">
        <v>79</v>
      </c>
      <c r="T82" s="96">
        <v>97</v>
      </c>
      <c r="U82" s="96"/>
      <c r="V82" s="96"/>
      <c r="W82" s="96">
        <v>8</v>
      </c>
      <c r="X82" s="96">
        <v>20</v>
      </c>
      <c r="Y82" s="96" t="s">
        <v>2470</v>
      </c>
      <c r="Z82" s="96">
        <v>28</v>
      </c>
      <c r="AA82" s="96" t="str">
        <f t="shared" si="8"/>
        <v>DA_WPN_Staff_TwirledStaff</v>
      </c>
      <c r="AB82" s="90" t="str">
        <f t="shared" si="9"/>
        <v>/Game/DungeonSiege/Items/Weapons/staff/DA_WPN_Staff_TwirledStaff</v>
      </c>
      <c r="AC82" s="97" t="str">
        <f t="shared" si="10"/>
        <v>Texture2D'/Game/DungeonSiege/art/bitmaps/gui/in_game/inventory/weapons/staff/b_gui_ig_i_w_stf_086.b_gui_ig_i_w_stf_086'</v>
      </c>
      <c r="AD82" s="97" t="str">
        <f t="shared" si="11"/>
        <v>Texture2D'/Game/DungeonSiege/art/bitmaps/gui/in_game/inventory/icons/b_gui_ig_i_ic_stf_005.b_gui_ig_i_ic_stf_005'</v>
      </c>
      <c r="AE82" s="97" t="str">
        <f t="shared" si="12"/>
        <v>StaticMesh'/Game/DungeonSiege/art/meshes/weapons/staff/m_w_stf_045_AspMesh.m_w_stf_045_AspMesh'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print="0" autoFill="0" autoPict="0" macro="[0]!ExportWeapons_Staff">
                <anchor moveWithCells="1" sizeWithCells="1">
                  <from>
                    <xdr:col>0</xdr:col>
                    <xdr:colOff>0</xdr:colOff>
                    <xdr:row>0</xdr:row>
                    <xdr:rowOff>28575</xdr:rowOff>
                  </from>
                  <to>
                    <xdr:col>0</xdr:col>
                    <xdr:colOff>838200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78179-1B96-4C5A-80D0-6C96585B218D}">
  <sheetPr codeName="Sheet24"/>
  <dimension ref="A1:AE67"/>
  <sheetViews>
    <sheetView zoomScale="190" zoomScaleNormal="190" workbookViewId="0">
      <selection activeCell="C7" sqref="C7"/>
    </sheetView>
  </sheetViews>
  <sheetFormatPr defaultRowHeight="15" x14ac:dyDescent="0.25"/>
  <cols>
    <col min="1" max="1" width="14.85546875" style="1" customWidth="1"/>
    <col min="2" max="2" width="11.140625" style="1" customWidth="1"/>
    <col min="3" max="3" width="18.85546875" style="1" bestFit="1" customWidth="1"/>
    <col min="4" max="4" width="17" style="1" bestFit="1" customWidth="1"/>
    <col min="5" max="5" width="4.28515625" style="1" bestFit="1" customWidth="1"/>
    <col min="6" max="6" width="17.42578125" style="1" bestFit="1" customWidth="1"/>
    <col min="7" max="7" width="5.5703125" style="1" bestFit="1" customWidth="1"/>
    <col min="8" max="8" width="7" style="1" bestFit="1" customWidth="1"/>
    <col min="9" max="11" width="4.7109375" style="1" bestFit="1" customWidth="1"/>
    <col min="12" max="12" width="22.42578125" style="1" bestFit="1" customWidth="1"/>
    <col min="13" max="13" width="17.5703125" style="1" bestFit="1" customWidth="1"/>
    <col min="14" max="14" width="17.28515625" style="1" bestFit="1" customWidth="1"/>
    <col min="15" max="15" width="9.7109375" style="1" customWidth="1"/>
    <col min="16" max="16" width="6.28515625" style="1" bestFit="1" customWidth="1"/>
    <col min="17" max="18" width="8.42578125" style="1" bestFit="1" customWidth="1"/>
    <col min="19" max="19" width="9.140625" style="1"/>
    <col min="20" max="20" width="8.5703125" style="1" bestFit="1" customWidth="1"/>
    <col min="21" max="21" width="6" style="1" bestFit="1" customWidth="1"/>
    <col min="22" max="22" width="5.85546875" style="1" bestFit="1" customWidth="1"/>
    <col min="23" max="23" width="9" style="1" bestFit="1" customWidth="1"/>
    <col min="24" max="24" width="8.5703125" style="1" bestFit="1" customWidth="1"/>
    <col min="25" max="26" width="9.28515625" style="1" bestFit="1" customWidth="1"/>
    <col min="27" max="27" width="28" style="1" bestFit="1" customWidth="1"/>
    <col min="28" max="28" width="59" style="91" bestFit="1" customWidth="1"/>
    <col min="29" max="29" width="82.140625" style="91" bestFit="1" customWidth="1"/>
    <col min="30" max="30" width="75.5703125" style="91" bestFit="1" customWidth="1"/>
    <col min="31" max="31" width="81" style="91" bestFit="1" customWidth="1"/>
    <col min="32" max="16384" width="9.140625" style="1"/>
  </cols>
  <sheetData>
    <row r="1" spans="1:31" s="84" customFormat="1" ht="34.5" thickBot="1" x14ac:dyDescent="0.3">
      <c r="A1" s="30"/>
      <c r="B1" s="30" t="s">
        <v>28</v>
      </c>
      <c r="C1" s="30" t="s">
        <v>0</v>
      </c>
      <c r="D1" s="30" t="s">
        <v>3401</v>
      </c>
      <c r="E1" s="30" t="s">
        <v>3391</v>
      </c>
      <c r="F1" s="93" t="s">
        <v>3400</v>
      </c>
      <c r="G1" s="93" t="s">
        <v>3526</v>
      </c>
      <c r="H1" s="80" t="s">
        <v>2908</v>
      </c>
      <c r="I1" s="80" t="s">
        <v>2909</v>
      </c>
      <c r="J1" s="80" t="s">
        <v>2910</v>
      </c>
      <c r="K1" s="80" t="s">
        <v>2911</v>
      </c>
      <c r="L1" s="30" t="s">
        <v>2495</v>
      </c>
      <c r="M1" s="93" t="s">
        <v>406</v>
      </c>
      <c r="N1" s="93" t="s">
        <v>3399</v>
      </c>
      <c r="O1" s="93" t="s">
        <v>3398</v>
      </c>
      <c r="P1" s="93" t="s">
        <v>678</v>
      </c>
      <c r="Q1" s="93" t="s">
        <v>2502</v>
      </c>
      <c r="R1" s="93" t="s">
        <v>2501</v>
      </c>
      <c r="S1" s="30" t="s">
        <v>3392</v>
      </c>
      <c r="T1" s="30" t="s">
        <v>3393</v>
      </c>
      <c r="U1" s="30" t="s">
        <v>3394</v>
      </c>
      <c r="V1" s="30" t="s">
        <v>3395</v>
      </c>
      <c r="W1" s="30" t="s">
        <v>3397</v>
      </c>
      <c r="X1" s="30" t="s">
        <v>3396</v>
      </c>
      <c r="Y1" s="30" t="s">
        <v>2906</v>
      </c>
      <c r="Z1" s="30" t="s">
        <v>2907</v>
      </c>
      <c r="AA1" s="89" t="s">
        <v>335</v>
      </c>
      <c r="AB1" s="93" t="s">
        <v>334</v>
      </c>
      <c r="AC1" s="95" t="s">
        <v>5628</v>
      </c>
      <c r="AD1" s="95" t="s">
        <v>5629</v>
      </c>
      <c r="AE1" s="95" t="s">
        <v>5630</v>
      </c>
    </row>
    <row r="2" spans="1:31" ht="15.75" thickBot="1" x14ac:dyDescent="0.3">
      <c r="A2" s="95">
        <v>0</v>
      </c>
      <c r="B2" s="95">
        <f>A2+Items!B$23</f>
        <v>90177536</v>
      </c>
      <c r="C2" s="96" t="s">
        <v>3985</v>
      </c>
      <c r="D2" s="96" t="s">
        <v>3985</v>
      </c>
      <c r="E2" s="85" t="s">
        <v>3525</v>
      </c>
      <c r="F2" s="95" t="s">
        <v>4080</v>
      </c>
      <c r="G2" s="95"/>
      <c r="H2" s="82" t="b">
        <v>1</v>
      </c>
      <c r="I2" s="82" t="b">
        <v>1</v>
      </c>
      <c r="J2" s="82"/>
      <c r="K2" s="82"/>
      <c r="L2" s="86" t="s">
        <v>4014</v>
      </c>
      <c r="M2" s="95" t="s">
        <v>4082</v>
      </c>
      <c r="N2" s="95" t="s">
        <v>4081</v>
      </c>
      <c r="O2" s="95" t="b">
        <v>1</v>
      </c>
      <c r="P2" s="95"/>
      <c r="Q2" s="95">
        <v>1</v>
      </c>
      <c r="R2" s="95">
        <v>3</v>
      </c>
      <c r="S2" s="83">
        <v>66</v>
      </c>
      <c r="T2" s="82">
        <v>86</v>
      </c>
      <c r="U2" s="95"/>
      <c r="V2" s="95">
        <v>0.5</v>
      </c>
      <c r="W2" s="95">
        <v>5</v>
      </c>
      <c r="X2" s="95">
        <v>17</v>
      </c>
      <c r="Y2" s="95" t="s">
        <v>2384</v>
      </c>
      <c r="Z2" s="95">
        <v>26</v>
      </c>
      <c r="AA2" s="95" t="str">
        <f>CONCATENATE("DA_WPN_MC_",SUBSTITUTE(SUBSTITUTE(SUBSTITUTE(C2," ",""),"(","_"),")",""))</f>
        <v>DA_WPN_MC_WingMace</v>
      </c>
      <c r="AB2" s="90" t="str">
        <f>"/Game/DungeonSiege/Items/Weapons/Mace/" &amp; AA2</f>
        <v>/Game/DungeonSiege/Items/Weapons/Mace/DA_WPN_MC_WingMace</v>
      </c>
      <c r="AC2" s="97" t="str">
        <f>CONCATENATE("Texture2D'/Game/DungeonSiege/art/bitmaps/gui/in_game/inventory/weapons/mace/",M2,".",M2,"'")</f>
        <v>Texture2D'/Game/DungeonSiege/art/bitmaps/gui/in_game/inventory/weapons/mace/b_gui_ig_i_w_mce_060.b_gui_ig_i_w_mce_060'</v>
      </c>
      <c r="AD2" s="97" t="str">
        <f t="shared" ref="AD2:AD8" si="0">CONCATENATE("Texture2D'/Game/DungeonSiege/art/bitmaps/gui/in_game/inventory/icons/",N2,".",N2,"'")</f>
        <v>Texture2D'/Game/DungeonSiege/art/bitmaps/gui/in_game/inventory/icons/b_gui_ig_i_ic_mce_002.b_gui_ig_i_ic_mce_002'</v>
      </c>
      <c r="AE2" s="97" t="str">
        <f>CONCATENATE("StaticMesh'/Game/DungeonSiege/art/meshes/weapons/mace/",F2,"_AspMesh.",F2,"_AspMesh'")</f>
        <v>StaticMesh'/Game/DungeonSiege/art/meshes/weapons/mace/m_w_mce_060_AspMesh.m_w_mce_060_AspMesh'</v>
      </c>
    </row>
    <row r="3" spans="1:31" ht="15.75" thickBot="1" x14ac:dyDescent="0.3">
      <c r="A3" s="95">
        <v>1</v>
      </c>
      <c r="B3" s="95">
        <f>A3+Items!B$23</f>
        <v>90177537</v>
      </c>
      <c r="C3" s="96" t="s">
        <v>3986</v>
      </c>
      <c r="D3" s="96" t="s">
        <v>3986</v>
      </c>
      <c r="E3" s="85" t="s">
        <v>3525</v>
      </c>
      <c r="F3" s="95" t="s">
        <v>4085</v>
      </c>
      <c r="G3" s="95"/>
      <c r="H3" s="82" t="b">
        <v>1</v>
      </c>
      <c r="I3" s="82" t="b">
        <v>1</v>
      </c>
      <c r="J3" s="82"/>
      <c r="K3" s="82"/>
      <c r="L3" s="86" t="s">
        <v>4015</v>
      </c>
      <c r="M3" s="95" t="s">
        <v>4084</v>
      </c>
      <c r="N3" s="95" t="s">
        <v>4083</v>
      </c>
      <c r="O3" s="95" t="b">
        <v>1</v>
      </c>
      <c r="P3" s="95"/>
      <c r="Q3" s="95">
        <v>1</v>
      </c>
      <c r="R3" s="95">
        <v>3</v>
      </c>
      <c r="S3" s="83">
        <v>85</v>
      </c>
      <c r="T3" s="82">
        <v>111</v>
      </c>
      <c r="U3" s="95"/>
      <c r="V3" s="95">
        <v>0.5</v>
      </c>
      <c r="W3" s="95">
        <v>7</v>
      </c>
      <c r="X3" s="95">
        <v>23</v>
      </c>
      <c r="Y3" s="95" t="s">
        <v>2384</v>
      </c>
      <c r="Z3" s="95">
        <v>31</v>
      </c>
      <c r="AA3" s="95" t="str">
        <f t="shared" ref="AA3:AA16" si="1">CONCATENATE("DA_WPN_MC_",SUBSTITUTE(SUBSTITUTE(SUBSTITUTE(C3," ",""),"(","_"),")",""))</f>
        <v>DA_WPN_MC_HornedMace</v>
      </c>
      <c r="AB3" s="90" t="str">
        <f t="shared" ref="AB3:AB66" si="2">"/Game/DungeonSiege/Items/Weapons/Mace/" &amp; AA3</f>
        <v>/Game/DungeonSiege/Items/Weapons/Mace/DA_WPN_MC_HornedMace</v>
      </c>
      <c r="AC3" s="97" t="str">
        <f t="shared" ref="AC3:AC66" si="3">CONCATENATE("Texture2D'/Game/DungeonSiege/art/bitmaps/gui/in_game/inventory/weapons/mace/",M3,".",M3,"'")</f>
        <v>Texture2D'/Game/DungeonSiege/art/bitmaps/gui/in_game/inventory/weapons/mace/b_gui_ig_i_w_mce_057.b_gui_ig_i_w_mce_057'</v>
      </c>
      <c r="AD3" s="97" t="str">
        <f t="shared" si="0"/>
        <v>Texture2D'/Game/DungeonSiege/art/bitmaps/gui/in_game/inventory/icons/b_gui_ig_i_ic_mce_003.b_gui_ig_i_ic_mce_003'</v>
      </c>
      <c r="AE3" s="97" t="str">
        <f t="shared" ref="AE3:AE66" si="4">CONCATENATE("StaticMesh'/Game/DungeonSiege/art/meshes/weapons/mace/",F3,"_AspMesh.",F3,"_AspMesh'")</f>
        <v>StaticMesh'/Game/DungeonSiege/art/meshes/weapons/mace/m_w_mce_057_AspMesh.m_w_mce_057_AspMesh'</v>
      </c>
    </row>
    <row r="4" spans="1:31" ht="15.75" thickBot="1" x14ac:dyDescent="0.3">
      <c r="A4" s="95">
        <v>2</v>
      </c>
      <c r="B4" s="95">
        <f>A4+Items!B$23</f>
        <v>90177538</v>
      </c>
      <c r="C4" s="96" t="s">
        <v>3987</v>
      </c>
      <c r="D4" s="96" t="s">
        <v>3987</v>
      </c>
      <c r="E4" s="85" t="s">
        <v>3525</v>
      </c>
      <c r="F4" s="95" t="s">
        <v>4086</v>
      </c>
      <c r="G4" s="95"/>
      <c r="H4" s="82" t="b">
        <v>1</v>
      </c>
      <c r="I4" s="82" t="b">
        <v>1</v>
      </c>
      <c r="J4" s="82"/>
      <c r="K4" s="82"/>
      <c r="L4" s="86" t="s">
        <v>4016</v>
      </c>
      <c r="M4" s="95" t="s">
        <v>4097</v>
      </c>
      <c r="N4" s="95" t="s">
        <v>4081</v>
      </c>
      <c r="O4" s="95" t="b">
        <v>1</v>
      </c>
      <c r="P4" s="95"/>
      <c r="Q4" s="95">
        <v>1</v>
      </c>
      <c r="R4" s="95">
        <v>3</v>
      </c>
      <c r="S4" s="83">
        <v>15</v>
      </c>
      <c r="T4" s="82">
        <v>19</v>
      </c>
      <c r="U4" s="95"/>
      <c r="V4" s="95">
        <v>0.5</v>
      </c>
      <c r="W4" s="95">
        <v>0</v>
      </c>
      <c r="X4" s="95">
        <v>1</v>
      </c>
      <c r="Y4" s="95" t="s">
        <v>2384</v>
      </c>
      <c r="Z4" s="95">
        <v>13</v>
      </c>
      <c r="AA4" s="95" t="str">
        <f t="shared" si="1"/>
        <v>DA_WPN_MC_FlangedMace</v>
      </c>
      <c r="AB4" s="90" t="str">
        <f t="shared" si="2"/>
        <v>/Game/DungeonSiege/Items/Weapons/Mace/DA_WPN_MC_FlangedMace</v>
      </c>
      <c r="AC4" s="97" t="str">
        <f t="shared" si="3"/>
        <v>Texture2D'/Game/DungeonSiege/art/bitmaps/gui/in_game/inventory/weapons/mace/b_gui_ig_i_w_mce_046.b_gui_ig_i_w_mce_046'</v>
      </c>
      <c r="AD4" s="97" t="str">
        <f t="shared" si="0"/>
        <v>Texture2D'/Game/DungeonSiege/art/bitmaps/gui/in_game/inventory/icons/b_gui_ig_i_ic_mce_002.b_gui_ig_i_ic_mce_002'</v>
      </c>
      <c r="AE4" s="97" t="str">
        <f t="shared" si="4"/>
        <v>StaticMesh'/Game/DungeonSiege/art/meshes/weapons/mace/m_w_mce_046_AspMesh.m_w_mce_046_AspMesh'</v>
      </c>
    </row>
    <row r="5" spans="1:31" ht="15.75" thickBot="1" x14ac:dyDescent="0.3">
      <c r="A5" s="95">
        <v>3</v>
      </c>
      <c r="B5" s="95">
        <f>A5+Items!B$23</f>
        <v>90177539</v>
      </c>
      <c r="C5" s="96" t="s">
        <v>5657</v>
      </c>
      <c r="D5" s="96" t="s">
        <v>3987</v>
      </c>
      <c r="E5" s="85" t="s">
        <v>3525</v>
      </c>
      <c r="F5" s="95" t="s">
        <v>4087</v>
      </c>
      <c r="G5" s="95"/>
      <c r="H5" s="82" t="b">
        <v>1</v>
      </c>
      <c r="I5" s="82" t="b">
        <v>1</v>
      </c>
      <c r="J5" s="82"/>
      <c r="K5" s="82"/>
      <c r="L5" s="86" t="s">
        <v>4017</v>
      </c>
      <c r="M5" s="95" t="s">
        <v>4098</v>
      </c>
      <c r="N5" s="95" t="s">
        <v>4081</v>
      </c>
      <c r="O5" s="95" t="b">
        <v>1</v>
      </c>
      <c r="P5" s="95"/>
      <c r="Q5" s="95">
        <v>1</v>
      </c>
      <c r="R5" s="95">
        <v>3</v>
      </c>
      <c r="S5" s="83">
        <v>17</v>
      </c>
      <c r="T5" s="82">
        <v>22</v>
      </c>
      <c r="U5" s="95"/>
      <c r="V5" s="95">
        <v>0.5</v>
      </c>
      <c r="W5" s="95">
        <v>1</v>
      </c>
      <c r="X5" s="95">
        <v>5</v>
      </c>
      <c r="Y5" s="95" t="s">
        <v>2384</v>
      </c>
      <c r="Z5" s="95">
        <v>13</v>
      </c>
      <c r="AA5" s="95" t="str">
        <f t="shared" si="1"/>
        <v>DA_WPN_MC_FlangedMace_c_fin</v>
      </c>
      <c r="AB5" s="90" t="str">
        <f t="shared" si="2"/>
        <v>/Game/DungeonSiege/Items/Weapons/Mace/DA_WPN_MC_FlangedMace_c_fin</v>
      </c>
      <c r="AC5" s="97" t="str">
        <f t="shared" si="3"/>
        <v>Texture2D'/Game/DungeonSiege/art/bitmaps/gui/in_game/inventory/weapons/mace/b_gui_ig_i_w_mce_049.b_gui_ig_i_w_mce_049'</v>
      </c>
      <c r="AD5" s="97" t="str">
        <f t="shared" si="0"/>
        <v>Texture2D'/Game/DungeonSiege/art/bitmaps/gui/in_game/inventory/icons/b_gui_ig_i_ic_mce_002.b_gui_ig_i_ic_mce_002'</v>
      </c>
      <c r="AE5" s="97" t="str">
        <f t="shared" si="4"/>
        <v>StaticMesh'/Game/DungeonSiege/art/meshes/weapons/mace/m_w_mce_049_AspMesh.m_w_mce_049_AspMesh'</v>
      </c>
    </row>
    <row r="6" spans="1:31" ht="15.75" thickBot="1" x14ac:dyDescent="0.3">
      <c r="A6" s="95">
        <v>4</v>
      </c>
      <c r="B6" s="95">
        <f>A6+Items!B$23</f>
        <v>90177540</v>
      </c>
      <c r="C6" s="96" t="s">
        <v>5658</v>
      </c>
      <c r="D6" s="96" t="s">
        <v>3987</v>
      </c>
      <c r="E6" s="85" t="s">
        <v>3525</v>
      </c>
      <c r="F6" s="95" t="s">
        <v>4088</v>
      </c>
      <c r="G6" s="95"/>
      <c r="H6" s="82" t="b">
        <v>1</v>
      </c>
      <c r="I6" s="82" t="b">
        <v>1</v>
      </c>
      <c r="J6" s="82"/>
      <c r="K6" s="82"/>
      <c r="L6" s="86" t="s">
        <v>4018</v>
      </c>
      <c r="M6" s="95" t="s">
        <v>4099</v>
      </c>
      <c r="N6" s="95" t="s">
        <v>4081</v>
      </c>
      <c r="O6" s="95" t="b">
        <v>1</v>
      </c>
      <c r="P6" s="95"/>
      <c r="Q6" s="95">
        <v>1</v>
      </c>
      <c r="R6" s="95">
        <v>3</v>
      </c>
      <c r="S6" s="83">
        <v>69</v>
      </c>
      <c r="T6" s="82">
        <v>90</v>
      </c>
      <c r="U6" s="95"/>
      <c r="V6" s="95">
        <v>0.5</v>
      </c>
      <c r="W6" s="95">
        <v>17</v>
      </c>
      <c r="X6" s="95">
        <v>25</v>
      </c>
      <c r="Y6" s="95" t="s">
        <v>2384</v>
      </c>
      <c r="Z6" s="95">
        <v>27</v>
      </c>
      <c r="AA6" s="95" t="str">
        <f t="shared" si="1"/>
        <v>DA_WPN_MC_FlangedMace_c_mag</v>
      </c>
      <c r="AB6" s="90" t="str">
        <f t="shared" si="2"/>
        <v>/Game/DungeonSiege/Items/Weapons/Mace/DA_WPN_MC_FlangedMace_c_mag</v>
      </c>
      <c r="AC6" s="97" t="str">
        <f t="shared" si="3"/>
        <v>Texture2D'/Game/DungeonSiege/art/bitmaps/gui/in_game/inventory/weapons/mace/b_gui_ig_i_w_mce_050.b_gui_ig_i_w_mce_050'</v>
      </c>
      <c r="AD6" s="97" t="str">
        <f t="shared" si="0"/>
        <v>Texture2D'/Game/DungeonSiege/art/bitmaps/gui/in_game/inventory/icons/b_gui_ig_i_ic_mce_002.b_gui_ig_i_ic_mce_002'</v>
      </c>
      <c r="AE6" s="97" t="str">
        <f t="shared" si="4"/>
        <v>StaticMesh'/Game/DungeonSiege/art/meshes/weapons/mace/m_w_mce_050_AspMesh.m_w_mce_050_AspMesh'</v>
      </c>
    </row>
    <row r="7" spans="1:31" ht="15.75" thickBot="1" x14ac:dyDescent="0.3">
      <c r="A7" s="95">
        <v>5</v>
      </c>
      <c r="B7" s="95">
        <f>A7+Items!B$23</f>
        <v>90177541</v>
      </c>
      <c r="C7" s="96" t="s">
        <v>5659</v>
      </c>
      <c r="D7" s="96" t="s">
        <v>3987</v>
      </c>
      <c r="E7" s="85" t="s">
        <v>3525</v>
      </c>
      <c r="F7" s="95" t="s">
        <v>4089</v>
      </c>
      <c r="G7" s="95"/>
      <c r="H7" s="82" t="b">
        <v>1</v>
      </c>
      <c r="I7" s="82" t="b">
        <v>1</v>
      </c>
      <c r="J7" s="82"/>
      <c r="K7" s="82"/>
      <c r="L7" s="86" t="s">
        <v>4019</v>
      </c>
      <c r="M7" s="95" t="s">
        <v>4100</v>
      </c>
      <c r="N7" s="95" t="s">
        <v>4081</v>
      </c>
      <c r="O7" s="95" t="b">
        <v>1</v>
      </c>
      <c r="P7" s="95"/>
      <c r="Q7" s="95">
        <v>1</v>
      </c>
      <c r="R7" s="95">
        <v>3</v>
      </c>
      <c r="S7" s="83">
        <v>43</v>
      </c>
      <c r="T7" s="82">
        <v>56</v>
      </c>
      <c r="U7" s="95"/>
      <c r="V7" s="95">
        <v>0.5</v>
      </c>
      <c r="W7" s="95">
        <v>10</v>
      </c>
      <c r="X7" s="95">
        <v>16</v>
      </c>
      <c r="Y7" s="95" t="s">
        <v>2384</v>
      </c>
      <c r="Z7" s="95">
        <v>20</v>
      </c>
      <c r="AA7" s="95" t="str">
        <f t="shared" si="1"/>
        <v>DA_WPN_MC_FlangedMace_c_str</v>
      </c>
      <c r="AB7" s="90" t="str">
        <f t="shared" si="2"/>
        <v>/Game/DungeonSiege/Items/Weapons/Mace/DA_WPN_MC_FlangedMace_c_str</v>
      </c>
      <c r="AC7" s="97" t="str">
        <f t="shared" si="3"/>
        <v>Texture2D'/Game/DungeonSiege/art/bitmaps/gui/in_game/inventory/weapons/mace/b_gui_ig_i_w_mce_047.b_gui_ig_i_w_mce_047'</v>
      </c>
      <c r="AD7" s="97" t="str">
        <f t="shared" si="0"/>
        <v>Texture2D'/Game/DungeonSiege/art/bitmaps/gui/in_game/inventory/icons/b_gui_ig_i_ic_mce_002.b_gui_ig_i_ic_mce_002'</v>
      </c>
      <c r="AE7" s="97" t="str">
        <f t="shared" si="4"/>
        <v>StaticMesh'/Game/DungeonSiege/art/meshes/weapons/mace/m_w_mce_047_AspMesh.m_w_mce_047_AspMesh'</v>
      </c>
    </row>
    <row r="8" spans="1:31" ht="15.75" thickBot="1" x14ac:dyDescent="0.3">
      <c r="A8" s="95">
        <v>6</v>
      </c>
      <c r="B8" s="95">
        <f>A8+Items!B$23</f>
        <v>90177542</v>
      </c>
      <c r="C8" s="96" t="s">
        <v>5660</v>
      </c>
      <c r="D8" s="96" t="s">
        <v>3987</v>
      </c>
      <c r="E8" s="85" t="s">
        <v>3525</v>
      </c>
      <c r="F8" s="95" t="s">
        <v>4090</v>
      </c>
      <c r="G8" s="95"/>
      <c r="H8" s="82" t="b">
        <v>1</v>
      </c>
      <c r="I8" s="82" t="b">
        <v>1</v>
      </c>
      <c r="J8" s="82"/>
      <c r="K8" s="82"/>
      <c r="L8" s="86" t="s">
        <v>4020</v>
      </c>
      <c r="M8" s="95" t="s">
        <v>4101</v>
      </c>
      <c r="N8" s="95" t="s">
        <v>4096</v>
      </c>
      <c r="O8" s="95" t="b">
        <v>1</v>
      </c>
      <c r="P8" s="95"/>
      <c r="Q8" s="95">
        <v>1</v>
      </c>
      <c r="R8" s="95">
        <v>3</v>
      </c>
      <c r="S8" s="83">
        <v>24</v>
      </c>
      <c r="T8" s="82">
        <v>31</v>
      </c>
      <c r="U8" s="95"/>
      <c r="V8" s="95">
        <v>0.5</v>
      </c>
      <c r="W8" s="95">
        <v>2</v>
      </c>
      <c r="X8" s="95">
        <v>9</v>
      </c>
      <c r="Y8" s="95" t="s">
        <v>2384</v>
      </c>
      <c r="Z8" s="95">
        <v>15</v>
      </c>
      <c r="AA8" s="95" t="str">
        <f t="shared" si="1"/>
        <v>DA_WPN_MC_FlangedMace_o_avg</v>
      </c>
      <c r="AB8" s="90" t="str">
        <f t="shared" si="2"/>
        <v>/Game/DungeonSiege/Items/Weapons/Mace/DA_WPN_MC_FlangedMace_o_avg</v>
      </c>
      <c r="AC8" s="97" t="str">
        <f t="shared" si="3"/>
        <v>Texture2D'/Game/DungeonSiege/art/bitmaps/gui/in_game/inventory/weapons/mace/b_gui_ig_i_w_mce_066.b_gui_ig_i_w_mce_066'</v>
      </c>
      <c r="AD8" s="97" t="str">
        <f t="shared" si="0"/>
        <v>Texture2D'/Game/DungeonSiege/art/bitmaps/gui/in_game/inventory/icons/b_gui_ig_i_ic_mce_005.b_gui_ig_i_ic_mce_005'</v>
      </c>
      <c r="AE8" s="97" t="str">
        <f t="shared" si="4"/>
        <v>StaticMesh'/Game/DungeonSiege/art/meshes/weapons/mace/m_w_mce_066_AspMesh.m_w_mce_066_AspMesh'</v>
      </c>
    </row>
    <row r="9" spans="1:31" ht="15.75" thickBot="1" x14ac:dyDescent="0.3">
      <c r="A9" s="95">
        <v>7</v>
      </c>
      <c r="B9" s="95">
        <f>A9+Items!B$23</f>
        <v>90177543</v>
      </c>
      <c r="C9" s="96" t="s">
        <v>5661</v>
      </c>
      <c r="D9" s="96" t="s">
        <v>3987</v>
      </c>
      <c r="E9" s="85" t="s">
        <v>3525</v>
      </c>
      <c r="F9" s="95" t="s">
        <v>4091</v>
      </c>
      <c r="G9" s="95"/>
      <c r="H9" s="82" t="b">
        <v>1</v>
      </c>
      <c r="I9" s="82" t="b">
        <v>1</v>
      </c>
      <c r="J9" s="82"/>
      <c r="K9" s="82"/>
      <c r="L9" s="86" t="s">
        <v>4021</v>
      </c>
      <c r="M9" s="95" t="s">
        <v>4102</v>
      </c>
      <c r="N9" s="95" t="s">
        <v>4096</v>
      </c>
      <c r="O9" s="95" t="b">
        <v>1</v>
      </c>
      <c r="P9" s="95"/>
      <c r="Q9" s="95">
        <v>1</v>
      </c>
      <c r="R9" s="95">
        <v>3</v>
      </c>
      <c r="S9" s="83">
        <v>34</v>
      </c>
      <c r="T9" s="82">
        <v>44</v>
      </c>
      <c r="U9" s="95"/>
      <c r="V9" s="95">
        <v>0.5</v>
      </c>
      <c r="W9" s="95">
        <v>6</v>
      </c>
      <c r="X9" s="95">
        <v>13</v>
      </c>
      <c r="Y9" s="95" t="s">
        <v>2384</v>
      </c>
      <c r="Z9" s="95">
        <v>18</v>
      </c>
      <c r="AA9" s="95" t="str">
        <f t="shared" si="1"/>
        <v>DA_WPN_MC_FlangedMace_o_fin</v>
      </c>
      <c r="AB9" s="90" t="str">
        <f t="shared" si="2"/>
        <v>/Game/DungeonSiege/Items/Weapons/Mace/DA_WPN_MC_FlangedMace_o_fin</v>
      </c>
      <c r="AC9" s="97" t="str">
        <f t="shared" si="3"/>
        <v>Texture2D'/Game/DungeonSiege/art/bitmaps/gui/in_game/inventory/weapons/mace/b_gui_ig_i_w_mce_067.b_gui_ig_i_w_mce_067'</v>
      </c>
      <c r="AD9" s="97" t="str">
        <f t="shared" ref="AD9:AD67" si="5">CONCATENATE("Texture2D'/Game/DungeonSiege/art/bitmaps/gui/in_game/inventory/icons/",N9,".",N9,"'")</f>
        <v>Texture2D'/Game/DungeonSiege/art/bitmaps/gui/in_game/inventory/icons/b_gui_ig_i_ic_mce_005.b_gui_ig_i_ic_mce_005'</v>
      </c>
      <c r="AE9" s="97" t="str">
        <f t="shared" si="4"/>
        <v>StaticMesh'/Game/DungeonSiege/art/meshes/weapons/mace/m_w_mce_067_AspMesh.m_w_mce_067_AspMesh'</v>
      </c>
    </row>
    <row r="10" spans="1:31" ht="15.75" thickBot="1" x14ac:dyDescent="0.3">
      <c r="A10" s="95">
        <v>8</v>
      </c>
      <c r="B10" s="95">
        <f>A10+Items!B$23</f>
        <v>90177544</v>
      </c>
      <c r="C10" s="96" t="s">
        <v>5662</v>
      </c>
      <c r="D10" s="96" t="s">
        <v>3987</v>
      </c>
      <c r="E10" s="85" t="s">
        <v>3525</v>
      </c>
      <c r="F10" s="95" t="s">
        <v>4092</v>
      </c>
      <c r="G10" s="95"/>
      <c r="H10" s="82" t="b">
        <v>1</v>
      </c>
      <c r="I10" s="82" t="b">
        <v>1</v>
      </c>
      <c r="J10" s="82"/>
      <c r="K10" s="82"/>
      <c r="L10" s="86" t="s">
        <v>4022</v>
      </c>
      <c r="M10" s="95" t="s">
        <v>4095</v>
      </c>
      <c r="N10" s="95" t="s">
        <v>4096</v>
      </c>
      <c r="O10" s="95" t="b">
        <v>1</v>
      </c>
      <c r="P10" s="95"/>
      <c r="Q10" s="95">
        <v>1</v>
      </c>
      <c r="R10" s="95">
        <v>3</v>
      </c>
      <c r="S10" s="83">
        <v>86</v>
      </c>
      <c r="T10" s="82">
        <v>111</v>
      </c>
      <c r="U10" s="95"/>
      <c r="V10" s="95">
        <v>0.5</v>
      </c>
      <c r="W10" s="95">
        <v>22</v>
      </c>
      <c r="X10" s="95">
        <v>28</v>
      </c>
      <c r="Y10" s="95" t="s">
        <v>2384</v>
      </c>
      <c r="Z10" s="95">
        <v>32</v>
      </c>
      <c r="AA10" s="95" t="str">
        <f t="shared" si="1"/>
        <v>DA_WPN_MC_FlangedMace_o_mag</v>
      </c>
      <c r="AB10" s="90" t="str">
        <f t="shared" si="2"/>
        <v>/Game/DungeonSiege/Items/Weapons/Mace/DA_WPN_MC_FlangedMace_o_mag</v>
      </c>
      <c r="AC10" s="97" t="str">
        <f t="shared" si="3"/>
        <v>Texture2D'/Game/DungeonSiege/art/bitmaps/gui/in_game/inventory/weapons/mace/b_gui_ig_i_w_mce_069.b_gui_ig_i_w_mce_069'</v>
      </c>
      <c r="AD10" s="97" t="str">
        <f t="shared" si="5"/>
        <v>Texture2D'/Game/DungeonSiege/art/bitmaps/gui/in_game/inventory/icons/b_gui_ig_i_ic_mce_005.b_gui_ig_i_ic_mce_005'</v>
      </c>
      <c r="AE10" s="97" t="str">
        <f t="shared" si="4"/>
        <v>StaticMesh'/Game/DungeonSiege/art/meshes/weapons/mace/m_w_mce_069_AspMesh.m_w_mce_069_AspMesh'</v>
      </c>
    </row>
    <row r="11" spans="1:31" ht="15.75" thickBot="1" x14ac:dyDescent="0.3">
      <c r="A11" s="95">
        <v>9</v>
      </c>
      <c r="B11" s="95">
        <f>A11+Items!B$23</f>
        <v>90177545</v>
      </c>
      <c r="C11" s="96" t="s">
        <v>5663</v>
      </c>
      <c r="D11" s="96" t="s">
        <v>3987</v>
      </c>
      <c r="E11" s="85" t="s">
        <v>3525</v>
      </c>
      <c r="F11" s="95" t="s">
        <v>4093</v>
      </c>
      <c r="G11" s="95"/>
      <c r="H11" s="82" t="b">
        <v>1</v>
      </c>
      <c r="I11" s="82" t="b">
        <v>1</v>
      </c>
      <c r="J11" s="82"/>
      <c r="K11" s="82"/>
      <c r="L11" s="86" t="s">
        <v>4023</v>
      </c>
      <c r="M11" s="95" t="s">
        <v>4094</v>
      </c>
      <c r="N11" s="95" t="s">
        <v>4096</v>
      </c>
      <c r="O11" s="95" t="b">
        <v>1</v>
      </c>
      <c r="P11" s="95"/>
      <c r="Q11" s="95">
        <v>1</v>
      </c>
      <c r="R11" s="95">
        <v>3</v>
      </c>
      <c r="S11" s="83">
        <v>55</v>
      </c>
      <c r="T11" s="82">
        <v>71</v>
      </c>
      <c r="U11" s="95"/>
      <c r="V11" s="95">
        <v>0.5</v>
      </c>
      <c r="W11" s="95">
        <v>14</v>
      </c>
      <c r="X11" s="95">
        <v>21</v>
      </c>
      <c r="Y11" s="95" t="s">
        <v>2384</v>
      </c>
      <c r="Z11" s="95">
        <v>24</v>
      </c>
      <c r="AA11" s="95" t="str">
        <f t="shared" si="1"/>
        <v>DA_WPN_MC_FlangedMace_o_str</v>
      </c>
      <c r="AB11" s="90" t="str">
        <f t="shared" si="2"/>
        <v>/Game/DungeonSiege/Items/Weapons/Mace/DA_WPN_MC_FlangedMace_o_str</v>
      </c>
      <c r="AC11" s="97" t="str">
        <f t="shared" si="3"/>
        <v>Texture2D'/Game/DungeonSiege/art/bitmaps/gui/in_game/inventory/weapons/mace/b_gui_ig_i_w_mce_068.b_gui_ig_i_w_mce_068'</v>
      </c>
      <c r="AD11" s="97" t="str">
        <f t="shared" si="5"/>
        <v>Texture2D'/Game/DungeonSiege/art/bitmaps/gui/in_game/inventory/icons/b_gui_ig_i_ic_mce_005.b_gui_ig_i_ic_mce_005'</v>
      </c>
      <c r="AE11" s="97" t="str">
        <f t="shared" si="4"/>
        <v>StaticMesh'/Game/DungeonSiege/art/meshes/weapons/mace/m_w_mce_068_AspMesh.m_w_mce_068_AspMesh'</v>
      </c>
    </row>
    <row r="12" spans="1:31" ht="15.75" thickBot="1" x14ac:dyDescent="0.3">
      <c r="A12" s="95">
        <v>10</v>
      </c>
      <c r="B12" s="95">
        <f>A12+Items!B$23</f>
        <v>90177546</v>
      </c>
      <c r="C12" s="96" t="s">
        <v>3988</v>
      </c>
      <c r="D12" s="96" t="s">
        <v>3988</v>
      </c>
      <c r="E12" s="85" t="s">
        <v>3525</v>
      </c>
      <c r="F12" s="95" t="s">
        <v>4109</v>
      </c>
      <c r="G12" s="95"/>
      <c r="H12" s="82" t="b">
        <v>1</v>
      </c>
      <c r="I12" s="82"/>
      <c r="J12" s="82"/>
      <c r="K12" s="82"/>
      <c r="L12" s="86" t="s">
        <v>4024</v>
      </c>
      <c r="M12" s="95" t="s">
        <v>4103</v>
      </c>
      <c r="N12" s="95" t="s">
        <v>4081</v>
      </c>
      <c r="O12" s="95" t="str">
        <f t="shared" ref="O12:O15" si="6">IF(OR(I12=TRUE,J12=TRUE,K12=TRUE),"TRUE","FALSE")</f>
        <v>FALSE</v>
      </c>
      <c r="P12" s="95"/>
      <c r="Q12" s="95">
        <v>1</v>
      </c>
      <c r="R12" s="95">
        <v>3</v>
      </c>
      <c r="S12" s="83">
        <v>12</v>
      </c>
      <c r="T12" s="82">
        <v>16</v>
      </c>
      <c r="U12" s="95"/>
      <c r="V12" s="95">
        <v>0.5</v>
      </c>
      <c r="W12" s="95"/>
      <c r="X12" s="95"/>
      <c r="Y12" s="95" t="s">
        <v>2384</v>
      </c>
      <c r="Z12" s="95">
        <v>12</v>
      </c>
      <c r="AA12" s="95" t="str">
        <f t="shared" si="1"/>
        <v>DA_WPN_MC_WornFlangedMace</v>
      </c>
      <c r="AB12" s="90" t="str">
        <f t="shared" si="2"/>
        <v>/Game/DungeonSiege/Items/Weapons/Mace/DA_WPN_MC_WornFlangedMace</v>
      </c>
      <c r="AC12" s="97" t="str">
        <f t="shared" si="3"/>
        <v>Texture2D'/Game/DungeonSiege/art/bitmaps/gui/in_game/inventory/weapons/mace/b_gui_ig_i_w_mce_048.b_gui_ig_i_w_mce_048'</v>
      </c>
      <c r="AD12" s="97" t="str">
        <f t="shared" si="5"/>
        <v>Texture2D'/Game/DungeonSiege/art/bitmaps/gui/in_game/inventory/icons/b_gui_ig_i_ic_mce_002.b_gui_ig_i_ic_mce_002'</v>
      </c>
      <c r="AE12" s="97" t="str">
        <f t="shared" si="4"/>
        <v>StaticMesh'/Game/DungeonSiege/art/meshes/weapons/mace/m_w_mce_048_AspMesh.m_w_mce_048_AspMesh'</v>
      </c>
    </row>
    <row r="13" spans="1:31" ht="15.75" thickBot="1" x14ac:dyDescent="0.3">
      <c r="A13" s="95">
        <v>11</v>
      </c>
      <c r="B13" s="95">
        <f>A13+Items!B$23</f>
        <v>90177547</v>
      </c>
      <c r="C13" s="96" t="s">
        <v>3989</v>
      </c>
      <c r="D13" s="96" t="s">
        <v>3989</v>
      </c>
      <c r="E13" s="85" t="s">
        <v>3525</v>
      </c>
      <c r="F13" s="95" t="s">
        <v>4108</v>
      </c>
      <c r="G13" s="95"/>
      <c r="H13" s="82" t="b">
        <v>1</v>
      </c>
      <c r="I13" s="82"/>
      <c r="J13" s="82"/>
      <c r="K13" s="82"/>
      <c r="L13" s="86" t="s">
        <v>4025</v>
      </c>
      <c r="M13" s="95" t="s">
        <v>4107</v>
      </c>
      <c r="N13" s="95" t="s">
        <v>4081</v>
      </c>
      <c r="O13" s="95" t="str">
        <f t="shared" si="6"/>
        <v>FALSE</v>
      </c>
      <c r="P13" s="95"/>
      <c r="Q13" s="95">
        <v>1</v>
      </c>
      <c r="R13" s="95">
        <v>3</v>
      </c>
      <c r="S13" s="83">
        <v>10</v>
      </c>
      <c r="T13" s="82">
        <v>13</v>
      </c>
      <c r="U13" s="95"/>
      <c r="V13" s="95">
        <v>0.5</v>
      </c>
      <c r="W13" s="95"/>
      <c r="X13" s="95"/>
      <c r="Y13" s="95"/>
      <c r="Z13" s="95"/>
      <c r="AA13" s="95" t="str">
        <f t="shared" si="1"/>
        <v>DA_WPN_MC_BentFlangedMace</v>
      </c>
      <c r="AB13" s="90" t="str">
        <f t="shared" si="2"/>
        <v>/Game/DungeonSiege/Items/Weapons/Mace/DA_WPN_MC_BentFlangedMace</v>
      </c>
      <c r="AC13" s="97" t="str">
        <f t="shared" si="3"/>
        <v>Texture2D'/Game/DungeonSiege/art/bitmaps/gui/in_game/inventory/weapons/mace/b_gui_ig_i_w_mce_045.b_gui_ig_i_w_mce_045'</v>
      </c>
      <c r="AD13" s="97" t="str">
        <f t="shared" si="5"/>
        <v>Texture2D'/Game/DungeonSiege/art/bitmaps/gui/in_game/inventory/icons/b_gui_ig_i_ic_mce_002.b_gui_ig_i_ic_mce_002'</v>
      </c>
      <c r="AE13" s="97" t="str">
        <f t="shared" si="4"/>
        <v>StaticMesh'/Game/DungeonSiege/art/meshes/weapons/mace/m_w_mce_045_AspMesh.m_w_mce_045_AspMesh'</v>
      </c>
    </row>
    <row r="14" spans="1:31" ht="15.75" thickBot="1" x14ac:dyDescent="0.3">
      <c r="A14" s="95">
        <v>12</v>
      </c>
      <c r="B14" s="95">
        <f>A14+Items!B$23</f>
        <v>90177548</v>
      </c>
      <c r="C14" s="96" t="s">
        <v>3990</v>
      </c>
      <c r="D14" s="96" t="s">
        <v>3990</v>
      </c>
      <c r="E14" s="85" t="s">
        <v>3525</v>
      </c>
      <c r="F14" s="95" t="s">
        <v>4111</v>
      </c>
      <c r="G14" s="95"/>
      <c r="H14" s="82" t="b">
        <v>1</v>
      </c>
      <c r="I14" s="82" t="b">
        <v>1</v>
      </c>
      <c r="J14" s="82"/>
      <c r="K14" s="82"/>
      <c r="L14" s="86" t="s">
        <v>4026</v>
      </c>
      <c r="M14" s="95" t="s">
        <v>4110</v>
      </c>
      <c r="N14" s="95" t="s">
        <v>4079</v>
      </c>
      <c r="O14" s="95" t="str">
        <f t="shared" si="6"/>
        <v>TRUE</v>
      </c>
      <c r="P14" s="95"/>
      <c r="Q14" s="95">
        <v>1</v>
      </c>
      <c r="R14" s="95">
        <v>3</v>
      </c>
      <c r="S14" s="83">
        <v>10</v>
      </c>
      <c r="T14" s="82">
        <v>13</v>
      </c>
      <c r="U14" s="95"/>
      <c r="V14" s="95">
        <v>0.5</v>
      </c>
      <c r="W14" s="95">
        <v>0</v>
      </c>
      <c r="X14" s="95">
        <v>1</v>
      </c>
      <c r="Y14" s="95"/>
      <c r="Z14" s="95"/>
      <c r="AA14" s="95" t="str">
        <f t="shared" si="1"/>
        <v>DA_WPN_MC_Mace</v>
      </c>
      <c r="AB14" s="90" t="str">
        <f t="shared" si="2"/>
        <v>/Game/DungeonSiege/Items/Weapons/Mace/DA_WPN_MC_Mace</v>
      </c>
      <c r="AC14" s="97" t="str">
        <f t="shared" si="3"/>
        <v>Texture2D'/Game/DungeonSiege/art/bitmaps/gui/in_game/inventory/weapons/mace/b_gui_ig_i_w_mce_040.b_gui_ig_i_w_mce_040'</v>
      </c>
      <c r="AD14" s="97" t="str">
        <f t="shared" si="5"/>
        <v>Texture2D'/Game/DungeonSiege/art/bitmaps/gui/in_game/inventory/icons/b_gui_ig_i_ic_mce_001.b_gui_ig_i_ic_mce_001'</v>
      </c>
      <c r="AE14" s="97" t="str">
        <f t="shared" si="4"/>
        <v>StaticMesh'/Game/DungeonSiege/art/meshes/weapons/mace/m_w_mce_040_AspMesh.m_w_mce_040_AspMesh'</v>
      </c>
    </row>
    <row r="15" spans="1:31" ht="15.75" thickBot="1" x14ac:dyDescent="0.3">
      <c r="A15" s="95">
        <v>13</v>
      </c>
      <c r="B15" s="95">
        <f>A15+Items!B$23</f>
        <v>90177549</v>
      </c>
      <c r="C15" s="96" t="s">
        <v>5664</v>
      </c>
      <c r="D15" s="96" t="s">
        <v>3990</v>
      </c>
      <c r="E15" s="85" t="s">
        <v>3525</v>
      </c>
      <c r="F15" s="95" t="s">
        <v>4114</v>
      </c>
      <c r="G15" s="95"/>
      <c r="H15" s="82" t="b">
        <v>1</v>
      </c>
      <c r="I15" s="82" t="b">
        <v>1</v>
      </c>
      <c r="J15" s="82"/>
      <c r="K15" s="82"/>
      <c r="L15" s="86" t="s">
        <v>4027</v>
      </c>
      <c r="M15" s="95" t="s">
        <v>4112</v>
      </c>
      <c r="N15" s="95" t="s">
        <v>4079</v>
      </c>
      <c r="O15" s="95" t="str">
        <f t="shared" si="6"/>
        <v>TRUE</v>
      </c>
      <c r="P15" s="95"/>
      <c r="Q15" s="95">
        <v>1</v>
      </c>
      <c r="R15" s="95">
        <v>3</v>
      </c>
      <c r="S15" s="83">
        <v>15</v>
      </c>
      <c r="T15" s="82">
        <v>19</v>
      </c>
      <c r="U15" s="95"/>
      <c r="V15" s="95">
        <v>0.5</v>
      </c>
      <c r="W15" s="95">
        <v>1</v>
      </c>
      <c r="X15" s="95">
        <v>4</v>
      </c>
      <c r="Y15" s="95" t="s">
        <v>2384</v>
      </c>
      <c r="Z15" s="95">
        <v>13</v>
      </c>
      <c r="AA15" s="95" t="str">
        <f t="shared" si="1"/>
        <v>DA_WPN_MC_Mace_c_fin</v>
      </c>
      <c r="AB15" s="90" t="str">
        <f t="shared" si="2"/>
        <v>/Game/DungeonSiege/Items/Weapons/Mace/DA_WPN_MC_Mace_c_fin</v>
      </c>
      <c r="AC15" s="97" t="str">
        <f t="shared" si="3"/>
        <v>Texture2D'/Game/DungeonSiege/art/bitmaps/gui/in_game/inventory/weapons/mace/b_gui_ig_i_w_mce_043.b_gui_ig_i_w_mce_043'</v>
      </c>
      <c r="AD15" s="97" t="str">
        <f t="shared" si="5"/>
        <v>Texture2D'/Game/DungeonSiege/art/bitmaps/gui/in_game/inventory/icons/b_gui_ig_i_ic_mce_001.b_gui_ig_i_ic_mce_001'</v>
      </c>
      <c r="AE15" s="97" t="str">
        <f t="shared" si="4"/>
        <v>StaticMesh'/Game/DungeonSiege/art/meshes/weapons/mace/m_w_mce_043_AspMesh.m_w_mce_043_AspMesh'</v>
      </c>
    </row>
    <row r="16" spans="1:31" ht="15.75" thickBot="1" x14ac:dyDescent="0.3">
      <c r="A16" s="95">
        <v>14</v>
      </c>
      <c r="B16" s="95">
        <f>A16+Items!B$23</f>
        <v>90177550</v>
      </c>
      <c r="C16" s="96" t="s">
        <v>5665</v>
      </c>
      <c r="D16" s="96" t="s">
        <v>3990</v>
      </c>
      <c r="E16" s="85" t="s">
        <v>3525</v>
      </c>
      <c r="F16" s="95" t="s">
        <v>4115</v>
      </c>
      <c r="G16" s="95"/>
      <c r="H16" s="82" t="b">
        <v>1</v>
      </c>
      <c r="I16" s="82" t="b">
        <v>1</v>
      </c>
      <c r="J16" s="82"/>
      <c r="K16" s="82"/>
      <c r="L16" s="86" t="s">
        <v>4028</v>
      </c>
      <c r="M16" s="95" t="s">
        <v>4113</v>
      </c>
      <c r="N16" s="95" t="s">
        <v>4079</v>
      </c>
      <c r="O16" s="95" t="str">
        <f>IF(OR(I16=TRUE,J16=TRUE,K16=TRUE),"TRUE","FALSE")</f>
        <v>TRUE</v>
      </c>
      <c r="P16" s="95"/>
      <c r="Q16" s="95">
        <v>1</v>
      </c>
      <c r="R16" s="95">
        <v>3</v>
      </c>
      <c r="S16" s="83">
        <v>67</v>
      </c>
      <c r="T16" s="82">
        <v>81</v>
      </c>
      <c r="U16" s="95"/>
      <c r="V16" s="95">
        <v>0.5</v>
      </c>
      <c r="W16" s="95">
        <v>16</v>
      </c>
      <c r="X16" s="95">
        <v>23</v>
      </c>
      <c r="Y16" s="95" t="s">
        <v>2384</v>
      </c>
      <c r="Z16" s="95">
        <v>26</v>
      </c>
      <c r="AA16" s="95" t="str">
        <f t="shared" si="1"/>
        <v>DA_WPN_MC_Mace_c_mag</v>
      </c>
      <c r="AB16" s="90" t="str">
        <f t="shared" si="2"/>
        <v>/Game/DungeonSiege/Items/Weapons/Mace/DA_WPN_MC_Mace_c_mag</v>
      </c>
      <c r="AC16" s="97" t="str">
        <f t="shared" si="3"/>
        <v>Texture2D'/Game/DungeonSiege/art/bitmaps/gui/in_game/inventory/weapons/mace/b_gui_ig_i_w_mce_044.b_gui_ig_i_w_mce_044'</v>
      </c>
      <c r="AD16" s="97" t="str">
        <f t="shared" si="5"/>
        <v>Texture2D'/Game/DungeonSiege/art/bitmaps/gui/in_game/inventory/icons/b_gui_ig_i_ic_mce_001.b_gui_ig_i_ic_mce_001'</v>
      </c>
      <c r="AE16" s="97" t="str">
        <f t="shared" si="4"/>
        <v>StaticMesh'/Game/DungeonSiege/art/meshes/weapons/mace/m_w_mce_044_AspMesh.m_w_mce_044_AspMesh'</v>
      </c>
    </row>
    <row r="17" spans="1:31" ht="15.75" thickBot="1" x14ac:dyDescent="0.3">
      <c r="A17" s="95">
        <v>15</v>
      </c>
      <c r="B17" s="95">
        <f>A17+Items!B$23</f>
        <v>90177551</v>
      </c>
      <c r="C17" s="96" t="s">
        <v>5666</v>
      </c>
      <c r="D17" s="96" t="s">
        <v>3990</v>
      </c>
      <c r="E17" s="85" t="s">
        <v>3525</v>
      </c>
      <c r="F17" s="95" t="s">
        <v>4120</v>
      </c>
      <c r="G17" s="95"/>
      <c r="H17" s="82" t="b">
        <v>1</v>
      </c>
      <c r="I17" s="82" t="b">
        <v>1</v>
      </c>
      <c r="J17" s="82"/>
      <c r="K17" s="82"/>
      <c r="L17" s="86" t="s">
        <v>4029</v>
      </c>
      <c r="M17" s="95" t="s">
        <v>4116</v>
      </c>
      <c r="N17" s="95" t="s">
        <v>4079</v>
      </c>
      <c r="O17" s="95" t="str">
        <f t="shared" ref="O17:O67" si="7">IF(OR(I17=TRUE,J17=TRUE,K17=TRUE),"TRUE","FALSE")</f>
        <v>TRUE</v>
      </c>
      <c r="P17" s="95"/>
      <c r="Q17" s="95">
        <v>1</v>
      </c>
      <c r="R17" s="95">
        <v>3</v>
      </c>
      <c r="S17" s="83">
        <v>40</v>
      </c>
      <c r="T17" s="82">
        <v>48</v>
      </c>
      <c r="U17" s="95"/>
      <c r="V17" s="95">
        <v>0.5</v>
      </c>
      <c r="W17" s="95">
        <v>9</v>
      </c>
      <c r="X17" s="95">
        <v>15</v>
      </c>
      <c r="Y17" s="95" t="s">
        <v>2384</v>
      </c>
      <c r="Z17" s="95">
        <v>19</v>
      </c>
      <c r="AA17" s="95" t="str">
        <f>CONCATENATE("DA_WPN_MC_",SUBSTITUTE(SUBSTITUTE(SUBSTITUTE(C17," ",""),"(","_"),")",""))</f>
        <v>DA_WPN_MC_Mace_c_str</v>
      </c>
      <c r="AB17" s="90" t="str">
        <f>"/Game/DungeonSiege/Items/Weapons/Mace/" &amp; AA17</f>
        <v>/Game/DungeonSiege/Items/Weapons/Mace/DA_WPN_MC_Mace_c_str</v>
      </c>
      <c r="AC17" s="97" t="str">
        <f t="shared" si="3"/>
        <v>Texture2D'/Game/DungeonSiege/art/bitmaps/gui/in_game/inventory/weapons/mace/b_gui_ig_i_w_mce_041.b_gui_ig_i_w_mce_041'</v>
      </c>
      <c r="AD17" s="97" t="str">
        <f t="shared" si="5"/>
        <v>Texture2D'/Game/DungeonSiege/art/bitmaps/gui/in_game/inventory/icons/b_gui_ig_i_ic_mce_001.b_gui_ig_i_ic_mce_001'</v>
      </c>
      <c r="AE17" s="97" t="str">
        <f t="shared" si="4"/>
        <v>StaticMesh'/Game/DungeonSiege/art/meshes/weapons/mace/m_w_mce_041_AspMesh.m_w_mce_041_AspMesh'</v>
      </c>
    </row>
    <row r="18" spans="1:31" ht="15.75" thickBot="1" x14ac:dyDescent="0.3">
      <c r="A18" s="95">
        <v>16</v>
      </c>
      <c r="B18" s="95">
        <f>A18+Items!B$23</f>
        <v>90177552</v>
      </c>
      <c r="C18" s="96" t="s">
        <v>5667</v>
      </c>
      <c r="D18" s="96" t="s">
        <v>3990</v>
      </c>
      <c r="E18" s="85" t="s">
        <v>3525</v>
      </c>
      <c r="F18" s="95" t="s">
        <v>4119</v>
      </c>
      <c r="G18" s="95"/>
      <c r="H18" s="82" t="b">
        <v>1</v>
      </c>
      <c r="I18" s="82" t="b">
        <v>1</v>
      </c>
      <c r="J18" s="82"/>
      <c r="K18" s="82"/>
      <c r="L18" s="86" t="s">
        <v>4030</v>
      </c>
      <c r="M18" s="95" t="s">
        <v>4118</v>
      </c>
      <c r="N18" s="95" t="s">
        <v>4117</v>
      </c>
      <c r="O18" s="95" t="str">
        <f t="shared" si="7"/>
        <v>TRUE</v>
      </c>
      <c r="P18" s="95"/>
      <c r="Q18" s="95">
        <v>1</v>
      </c>
      <c r="R18" s="95">
        <v>3</v>
      </c>
      <c r="S18" s="83">
        <v>20</v>
      </c>
      <c r="T18" s="82">
        <v>25</v>
      </c>
      <c r="U18" s="95"/>
      <c r="V18" s="95">
        <v>0.5</v>
      </c>
      <c r="W18" s="95">
        <v>2</v>
      </c>
      <c r="X18" s="95">
        <v>7</v>
      </c>
      <c r="Y18" s="95" t="s">
        <v>2384</v>
      </c>
      <c r="Z18" s="95">
        <v>14</v>
      </c>
      <c r="AA18" s="95" t="str">
        <f t="shared" ref="AA18:AA26" si="8">CONCATENATE("DA_WPN_MC_",SUBSTITUTE(SUBSTITUTE(SUBSTITUTE(C18," ",""),"(","_"),")",""))</f>
        <v>DA_WPN_MC_Mace_o_avg</v>
      </c>
      <c r="AB18" s="90" t="str">
        <f t="shared" si="2"/>
        <v>/Game/DungeonSiege/Items/Weapons/Mace/DA_WPN_MC_Mace_o_avg</v>
      </c>
      <c r="AC18" s="97" t="str">
        <f t="shared" si="3"/>
        <v>Texture2D'/Game/DungeonSiege/art/bitmaps/gui/in_game/inventory/weapons/mace/b_gui_ig_i_w_mce_062.b_gui_ig_i_w_mce_062'</v>
      </c>
      <c r="AD18" s="97" t="str">
        <f t="shared" si="5"/>
        <v>Texture2D'/Game/DungeonSiege/art/bitmaps/gui/in_game/inventory/icons/b_gui_ig_i_ic_mce_004.b_gui_ig_i_ic_mce_004'</v>
      </c>
      <c r="AE18" s="97" t="str">
        <f t="shared" si="4"/>
        <v>StaticMesh'/Game/DungeonSiege/art/meshes/weapons/mace/m_w_mce_062_AspMesh.m_w_mce_062_AspMesh'</v>
      </c>
    </row>
    <row r="19" spans="1:31" ht="15.75" thickBot="1" x14ac:dyDescent="0.3">
      <c r="A19" s="95">
        <v>17</v>
      </c>
      <c r="B19" s="95">
        <f>A19+Items!B$23</f>
        <v>90177553</v>
      </c>
      <c r="C19" s="96" t="s">
        <v>5668</v>
      </c>
      <c r="D19" s="96" t="s">
        <v>3990</v>
      </c>
      <c r="E19" s="85" t="s">
        <v>3525</v>
      </c>
      <c r="F19" s="95" t="s">
        <v>4121</v>
      </c>
      <c r="G19" s="95"/>
      <c r="H19" s="82" t="b">
        <v>1</v>
      </c>
      <c r="I19" s="82" t="b">
        <v>1</v>
      </c>
      <c r="J19" s="82"/>
      <c r="K19" s="82"/>
      <c r="L19" s="86" t="s">
        <v>4031</v>
      </c>
      <c r="M19" s="95" t="s">
        <v>4126</v>
      </c>
      <c r="N19" s="95" t="s">
        <v>4117</v>
      </c>
      <c r="O19" s="95" t="str">
        <f t="shared" si="7"/>
        <v>TRUE</v>
      </c>
      <c r="P19" s="95"/>
      <c r="Q19" s="95">
        <v>1</v>
      </c>
      <c r="R19" s="95">
        <v>3</v>
      </c>
      <c r="S19" s="83">
        <v>30</v>
      </c>
      <c r="T19" s="82">
        <v>37</v>
      </c>
      <c r="U19" s="95"/>
      <c r="V19" s="95">
        <v>0.5</v>
      </c>
      <c r="W19" s="95">
        <v>5</v>
      </c>
      <c r="X19" s="95">
        <v>11</v>
      </c>
      <c r="Y19" s="95" t="s">
        <v>2384</v>
      </c>
      <c r="Z19" s="95">
        <v>17</v>
      </c>
      <c r="AA19" s="95" t="str">
        <f t="shared" si="8"/>
        <v>DA_WPN_MC_Mace_o_fin</v>
      </c>
      <c r="AB19" s="90" t="str">
        <f t="shared" si="2"/>
        <v>/Game/DungeonSiege/Items/Weapons/Mace/DA_WPN_MC_Mace_o_fin</v>
      </c>
      <c r="AC19" s="97" t="str">
        <f t="shared" si="3"/>
        <v>Texture2D'/Game/DungeonSiege/art/bitmaps/gui/in_game/inventory/weapons/mace/b_gui_ig_i_w_mce_063.b_gui_ig_i_w_mce_063'</v>
      </c>
      <c r="AD19" s="97" t="str">
        <f t="shared" si="5"/>
        <v>Texture2D'/Game/DungeonSiege/art/bitmaps/gui/in_game/inventory/icons/b_gui_ig_i_ic_mce_004.b_gui_ig_i_ic_mce_004'</v>
      </c>
      <c r="AE19" s="97" t="str">
        <f t="shared" si="4"/>
        <v>StaticMesh'/Game/DungeonSiege/art/meshes/weapons/mace/m_w_mce_063_AspMesh.m_w_mce_063_AspMesh'</v>
      </c>
    </row>
    <row r="20" spans="1:31" ht="15.75" thickBot="1" x14ac:dyDescent="0.3">
      <c r="A20" s="95">
        <v>18</v>
      </c>
      <c r="B20" s="95">
        <f>A20+Items!B$23</f>
        <v>90177554</v>
      </c>
      <c r="C20" s="96" t="s">
        <v>5669</v>
      </c>
      <c r="D20" s="96" t="s">
        <v>3990</v>
      </c>
      <c r="E20" s="85" t="s">
        <v>3525</v>
      </c>
      <c r="F20" s="95" t="s">
        <v>4122</v>
      </c>
      <c r="G20" s="95"/>
      <c r="H20" s="82" t="b">
        <v>1</v>
      </c>
      <c r="I20" s="82" t="b">
        <v>1</v>
      </c>
      <c r="J20" s="82"/>
      <c r="K20" s="82"/>
      <c r="L20" s="86" t="s">
        <v>4032</v>
      </c>
      <c r="M20" s="95" t="s">
        <v>4125</v>
      </c>
      <c r="N20" s="95" t="s">
        <v>4117</v>
      </c>
      <c r="O20" s="95" t="str">
        <f t="shared" si="7"/>
        <v>TRUE</v>
      </c>
      <c r="P20" s="95"/>
      <c r="Q20" s="95">
        <v>1</v>
      </c>
      <c r="R20" s="95">
        <v>3</v>
      </c>
      <c r="S20" s="83">
        <v>84</v>
      </c>
      <c r="T20" s="82">
        <v>102</v>
      </c>
      <c r="U20" s="95"/>
      <c r="V20" s="95">
        <v>0.5</v>
      </c>
      <c r="W20" s="95">
        <v>20</v>
      </c>
      <c r="X20" s="95">
        <v>26</v>
      </c>
      <c r="Y20" s="95" t="s">
        <v>2384</v>
      </c>
      <c r="Z20" s="95">
        <v>31</v>
      </c>
      <c r="AA20" s="95" t="str">
        <f t="shared" si="8"/>
        <v>DA_WPN_MC_Mace_o_mag</v>
      </c>
      <c r="AB20" s="90" t="str">
        <f t="shared" si="2"/>
        <v>/Game/DungeonSiege/Items/Weapons/Mace/DA_WPN_MC_Mace_o_mag</v>
      </c>
      <c r="AC20" s="97" t="str">
        <f t="shared" si="3"/>
        <v>Texture2D'/Game/DungeonSiege/art/bitmaps/gui/in_game/inventory/weapons/mace/b_gui_ig_i_w_mce_065.b_gui_ig_i_w_mce_065'</v>
      </c>
      <c r="AD20" s="97" t="str">
        <f t="shared" si="5"/>
        <v>Texture2D'/Game/DungeonSiege/art/bitmaps/gui/in_game/inventory/icons/b_gui_ig_i_ic_mce_004.b_gui_ig_i_ic_mce_004'</v>
      </c>
      <c r="AE20" s="97" t="str">
        <f t="shared" si="4"/>
        <v>StaticMesh'/Game/DungeonSiege/art/meshes/weapons/mace/m_w_mce_065_AspMesh.m_w_mce_065_AspMesh'</v>
      </c>
    </row>
    <row r="21" spans="1:31" ht="15.75" thickBot="1" x14ac:dyDescent="0.3">
      <c r="A21" s="95">
        <v>19</v>
      </c>
      <c r="B21" s="95">
        <f>A21+Items!B$23</f>
        <v>90177555</v>
      </c>
      <c r="C21" s="96" t="s">
        <v>5670</v>
      </c>
      <c r="D21" s="96" t="s">
        <v>3990</v>
      </c>
      <c r="E21" s="85" t="s">
        <v>3525</v>
      </c>
      <c r="F21" s="95" t="s">
        <v>4123</v>
      </c>
      <c r="G21" s="95"/>
      <c r="H21" s="82" t="b">
        <v>1</v>
      </c>
      <c r="I21" s="82" t="b">
        <v>1</v>
      </c>
      <c r="J21" s="82"/>
      <c r="K21" s="82"/>
      <c r="L21" s="86" t="s">
        <v>4033</v>
      </c>
      <c r="M21" s="95" t="s">
        <v>4124</v>
      </c>
      <c r="N21" s="95" t="s">
        <v>4117</v>
      </c>
      <c r="O21" s="95" t="str">
        <f t="shared" si="7"/>
        <v>TRUE</v>
      </c>
      <c r="P21" s="95"/>
      <c r="Q21" s="95">
        <v>1</v>
      </c>
      <c r="R21" s="95">
        <v>3</v>
      </c>
      <c r="S21" s="83">
        <v>52</v>
      </c>
      <c r="T21" s="82">
        <v>63</v>
      </c>
      <c r="U21" s="95"/>
      <c r="V21" s="95">
        <v>0.5</v>
      </c>
      <c r="W21" s="95">
        <v>13</v>
      </c>
      <c r="X21" s="95">
        <v>19</v>
      </c>
      <c r="Y21" s="95" t="s">
        <v>2384</v>
      </c>
      <c r="Z21" s="95">
        <v>22</v>
      </c>
      <c r="AA21" s="95" t="str">
        <f t="shared" si="8"/>
        <v>DA_WPN_MC_Mace_o_str</v>
      </c>
      <c r="AB21" s="90" t="str">
        <f t="shared" si="2"/>
        <v>/Game/DungeonSiege/Items/Weapons/Mace/DA_WPN_MC_Mace_o_str</v>
      </c>
      <c r="AC21" s="97" t="str">
        <f t="shared" si="3"/>
        <v>Texture2D'/Game/DungeonSiege/art/bitmaps/gui/in_game/inventory/weapons/mace/b_gui_ig_i_w_mce_064.b_gui_ig_i_w_mce_064'</v>
      </c>
      <c r="AD21" s="97" t="str">
        <f t="shared" si="5"/>
        <v>Texture2D'/Game/DungeonSiege/art/bitmaps/gui/in_game/inventory/icons/b_gui_ig_i_ic_mce_004.b_gui_ig_i_ic_mce_004'</v>
      </c>
      <c r="AE21" s="97" t="str">
        <f t="shared" si="4"/>
        <v>StaticMesh'/Game/DungeonSiege/art/meshes/weapons/mace/m_w_mce_064_AspMesh.m_w_mce_064_AspMesh'</v>
      </c>
    </row>
    <row r="22" spans="1:31" ht="15.75" thickBot="1" x14ac:dyDescent="0.3">
      <c r="A22" s="95">
        <v>20</v>
      </c>
      <c r="B22" s="95">
        <f>A22+Items!B$23</f>
        <v>90177556</v>
      </c>
      <c r="C22" s="96" t="s">
        <v>3991</v>
      </c>
      <c r="D22" s="96" t="s">
        <v>3991</v>
      </c>
      <c r="E22" s="85" t="s">
        <v>3525</v>
      </c>
      <c r="F22" s="95" t="s">
        <v>4127</v>
      </c>
      <c r="G22" s="95"/>
      <c r="H22" s="82" t="b">
        <v>1</v>
      </c>
      <c r="I22" s="82"/>
      <c r="J22" s="82"/>
      <c r="K22" s="82"/>
      <c r="L22" s="86" t="s">
        <v>4034</v>
      </c>
      <c r="M22" s="95" t="s">
        <v>4129</v>
      </c>
      <c r="N22" s="95" t="s">
        <v>4079</v>
      </c>
      <c r="O22" s="95" t="str">
        <f t="shared" si="7"/>
        <v>FALSE</v>
      </c>
      <c r="P22" s="95"/>
      <c r="Q22" s="95">
        <v>1</v>
      </c>
      <c r="R22" s="95">
        <v>3</v>
      </c>
      <c r="S22" s="83">
        <v>8</v>
      </c>
      <c r="T22" s="82">
        <v>10</v>
      </c>
      <c r="U22" s="95"/>
      <c r="V22" s="95">
        <v>0.5</v>
      </c>
      <c r="W22" s="95"/>
      <c r="X22" s="95"/>
      <c r="Y22" s="95"/>
      <c r="Z22" s="95"/>
      <c r="AA22" s="95" t="str">
        <f t="shared" si="8"/>
        <v>DA_WPN_MC_DentedMace</v>
      </c>
      <c r="AB22" s="90" t="str">
        <f t="shared" si="2"/>
        <v>/Game/DungeonSiege/Items/Weapons/Mace/DA_WPN_MC_DentedMace</v>
      </c>
      <c r="AC22" s="97" t="str">
        <f t="shared" si="3"/>
        <v>Texture2D'/Game/DungeonSiege/art/bitmaps/gui/in_game/inventory/weapons/mace/b_gui_ig_i_w_mce_042.b_gui_ig_i_w_mce_042'</v>
      </c>
      <c r="AD22" s="97" t="str">
        <f t="shared" si="5"/>
        <v>Texture2D'/Game/DungeonSiege/art/bitmaps/gui/in_game/inventory/icons/b_gui_ig_i_ic_mce_001.b_gui_ig_i_ic_mce_001'</v>
      </c>
      <c r="AE22" s="97" t="str">
        <f t="shared" si="4"/>
        <v>StaticMesh'/Game/DungeonSiege/art/meshes/weapons/mace/m_w_mce_042_AspMesh.m_w_mce_042_AspMesh'</v>
      </c>
    </row>
    <row r="23" spans="1:31" ht="15.75" thickBot="1" x14ac:dyDescent="0.3">
      <c r="A23" s="95">
        <v>21</v>
      </c>
      <c r="B23" s="95">
        <f>A23+Items!B$23</f>
        <v>90177557</v>
      </c>
      <c r="C23" s="96" t="s">
        <v>3992</v>
      </c>
      <c r="D23" s="96" t="s">
        <v>3992</v>
      </c>
      <c r="E23" s="85" t="s">
        <v>3525</v>
      </c>
      <c r="F23" s="95" t="s">
        <v>4128</v>
      </c>
      <c r="G23" s="95"/>
      <c r="H23" s="82" t="b">
        <v>1</v>
      </c>
      <c r="I23" s="82"/>
      <c r="J23" s="82"/>
      <c r="K23" s="82"/>
      <c r="L23" s="86" t="s">
        <v>4035</v>
      </c>
      <c r="M23" s="95" t="s">
        <v>4130</v>
      </c>
      <c r="N23" s="95" t="s">
        <v>4079</v>
      </c>
      <c r="O23" s="95" t="str">
        <f t="shared" si="7"/>
        <v>FALSE</v>
      </c>
      <c r="P23" s="95"/>
      <c r="Q23" s="95">
        <v>1</v>
      </c>
      <c r="R23" s="95">
        <v>3</v>
      </c>
      <c r="S23" s="83">
        <v>5</v>
      </c>
      <c r="T23" s="82">
        <v>7</v>
      </c>
      <c r="U23" s="95"/>
      <c r="V23" s="95">
        <v>0.5</v>
      </c>
      <c r="W23" s="95"/>
      <c r="X23" s="95"/>
      <c r="Y23" s="95"/>
      <c r="Z23" s="95"/>
      <c r="AA23" s="95" t="str">
        <f t="shared" si="8"/>
        <v>DA_WPN_MC_ChippedMace</v>
      </c>
      <c r="AB23" s="90" t="str">
        <f t="shared" si="2"/>
        <v>/Game/DungeonSiege/Items/Weapons/Mace/DA_WPN_MC_ChippedMace</v>
      </c>
      <c r="AC23" s="97" t="str">
        <f t="shared" si="3"/>
        <v>Texture2D'/Game/DungeonSiege/art/bitmaps/gui/in_game/inventory/weapons/mace/b_gui_ig_i_w_mce_039.b_gui_ig_i_w_mce_039'</v>
      </c>
      <c r="AD23" s="97" t="str">
        <f t="shared" si="5"/>
        <v>Texture2D'/Game/DungeonSiege/art/bitmaps/gui/in_game/inventory/icons/b_gui_ig_i_ic_mce_001.b_gui_ig_i_ic_mce_001'</v>
      </c>
      <c r="AE23" s="97" t="str">
        <f t="shared" si="4"/>
        <v>StaticMesh'/Game/DungeonSiege/art/meshes/weapons/mace/m_w_mce_039_AspMesh.m_w_mce_039_AspMesh'</v>
      </c>
    </row>
    <row r="24" spans="1:31" ht="15.75" thickBot="1" x14ac:dyDescent="0.3">
      <c r="A24" s="95">
        <v>22</v>
      </c>
      <c r="B24" s="95">
        <f>A24+Items!B$23</f>
        <v>90177558</v>
      </c>
      <c r="C24" s="96" t="s">
        <v>3993</v>
      </c>
      <c r="D24" s="96" t="s">
        <v>3993</v>
      </c>
      <c r="E24" s="85" t="s">
        <v>3525</v>
      </c>
      <c r="F24" s="95" t="s">
        <v>4132</v>
      </c>
      <c r="G24" s="95"/>
      <c r="H24" s="82" t="b">
        <v>1</v>
      </c>
      <c r="I24" s="82" t="b">
        <v>1</v>
      </c>
      <c r="J24" s="82"/>
      <c r="K24" s="82"/>
      <c r="L24" s="86" t="s">
        <v>4036</v>
      </c>
      <c r="M24" s="95" t="s">
        <v>4131</v>
      </c>
      <c r="N24" s="95" t="s">
        <v>4083</v>
      </c>
      <c r="O24" s="95" t="str">
        <f t="shared" si="7"/>
        <v>TRUE</v>
      </c>
      <c r="P24" s="95"/>
      <c r="Q24" s="95">
        <v>1</v>
      </c>
      <c r="R24" s="95">
        <v>3</v>
      </c>
      <c r="S24" s="83">
        <v>19</v>
      </c>
      <c r="T24" s="82">
        <v>26</v>
      </c>
      <c r="U24" s="95"/>
      <c r="V24" s="95">
        <v>0.5</v>
      </c>
      <c r="W24" s="95">
        <v>0</v>
      </c>
      <c r="X24" s="95">
        <v>1</v>
      </c>
      <c r="Y24" s="95" t="s">
        <v>2384</v>
      </c>
      <c r="Z24" s="95">
        <v>14</v>
      </c>
      <c r="AA24" s="95" t="str">
        <f t="shared" si="8"/>
        <v>DA_WPN_MC_SpikedMace</v>
      </c>
      <c r="AB24" s="90" t="str">
        <f t="shared" si="2"/>
        <v>/Game/DungeonSiege/Items/Weapons/Mace/DA_WPN_MC_SpikedMace</v>
      </c>
      <c r="AC24" s="97" t="str">
        <f t="shared" si="3"/>
        <v>Texture2D'/Game/DungeonSiege/art/bitmaps/gui/in_game/inventory/weapons/mace/b_gui_ig_i_w_mce_053.b_gui_ig_i_w_mce_053'</v>
      </c>
      <c r="AD24" s="97" t="str">
        <f t="shared" si="5"/>
        <v>Texture2D'/Game/DungeonSiege/art/bitmaps/gui/in_game/inventory/icons/b_gui_ig_i_ic_mce_003.b_gui_ig_i_ic_mce_003'</v>
      </c>
      <c r="AE24" s="97" t="str">
        <f t="shared" si="4"/>
        <v>StaticMesh'/Game/DungeonSiege/art/meshes/weapons/mace/m_w_mce_052_AspMesh.m_w_mce_052_AspMesh'</v>
      </c>
    </row>
    <row r="25" spans="1:31" ht="15.75" thickBot="1" x14ac:dyDescent="0.3">
      <c r="A25" s="95">
        <v>23</v>
      </c>
      <c r="B25" s="95">
        <f>A25+Items!B$23</f>
        <v>90177559</v>
      </c>
      <c r="C25" s="96" t="s">
        <v>5671</v>
      </c>
      <c r="D25" s="96" t="s">
        <v>3993</v>
      </c>
      <c r="E25" s="85" t="s">
        <v>3525</v>
      </c>
      <c r="F25" s="95" t="s">
        <v>4133</v>
      </c>
      <c r="G25" s="95"/>
      <c r="H25" s="82" t="b">
        <v>1</v>
      </c>
      <c r="I25" s="82" t="b">
        <v>1</v>
      </c>
      <c r="J25" s="82"/>
      <c r="K25" s="82"/>
      <c r="L25" s="86" t="s">
        <v>4037</v>
      </c>
      <c r="M25" s="95" t="s">
        <v>4146</v>
      </c>
      <c r="N25" s="95" t="s">
        <v>4079</v>
      </c>
      <c r="O25" s="95" t="str">
        <f t="shared" si="7"/>
        <v>TRUE</v>
      </c>
      <c r="P25" s="95"/>
      <c r="Q25" s="95">
        <v>1</v>
      </c>
      <c r="R25" s="95">
        <v>3</v>
      </c>
      <c r="S25" s="83">
        <v>28</v>
      </c>
      <c r="T25" s="82">
        <v>38</v>
      </c>
      <c r="U25" s="95"/>
      <c r="V25" s="95">
        <v>0.5</v>
      </c>
      <c r="W25" s="95">
        <v>1</v>
      </c>
      <c r="X25" s="95">
        <v>5</v>
      </c>
      <c r="Y25" s="95" t="s">
        <v>2384</v>
      </c>
      <c r="Z25" s="95">
        <v>17</v>
      </c>
      <c r="AA25" s="95" t="str">
        <f t="shared" si="8"/>
        <v>DA_WPN_MC_SpikedMace_c_fin</v>
      </c>
      <c r="AB25" s="90" t="str">
        <f t="shared" si="2"/>
        <v>/Game/DungeonSiege/Items/Weapons/Mace/DA_WPN_MC_SpikedMace_c_fin</v>
      </c>
      <c r="AC25" s="97" t="str">
        <f t="shared" si="3"/>
        <v>Texture2D'/Game/DungeonSiege/art/bitmaps/gui/in_game/inventory/weapons/mace/b_gui_ig_i_w_mce_054.b_gui_ig_i_w_mce_054'</v>
      </c>
      <c r="AD25" s="97" t="str">
        <f t="shared" si="5"/>
        <v>Texture2D'/Game/DungeonSiege/art/bitmaps/gui/in_game/inventory/icons/b_gui_ig_i_ic_mce_001.b_gui_ig_i_ic_mce_001'</v>
      </c>
      <c r="AE25" s="97" t="str">
        <f t="shared" si="4"/>
        <v>StaticMesh'/Game/DungeonSiege/art/meshes/weapons/mace/m_w_mce_053_AspMesh.m_w_mce_053_AspMesh'</v>
      </c>
    </row>
    <row r="26" spans="1:31" ht="15.75" thickBot="1" x14ac:dyDescent="0.3">
      <c r="A26" s="95">
        <v>24</v>
      </c>
      <c r="B26" s="95">
        <f>A26+Items!B$23</f>
        <v>90177560</v>
      </c>
      <c r="C26" s="96" t="s">
        <v>5672</v>
      </c>
      <c r="D26" s="96" t="s">
        <v>3993</v>
      </c>
      <c r="E26" s="85" t="s">
        <v>3525</v>
      </c>
      <c r="F26" s="95" t="s">
        <v>4134</v>
      </c>
      <c r="G26" s="95"/>
      <c r="H26" s="82" t="b">
        <v>1</v>
      </c>
      <c r="I26" s="82" t="b">
        <v>1</v>
      </c>
      <c r="J26" s="82"/>
      <c r="K26" s="82"/>
      <c r="L26" s="86" t="s">
        <v>4038</v>
      </c>
      <c r="M26" s="95" t="s">
        <v>4145</v>
      </c>
      <c r="N26" s="95" t="s">
        <v>4079</v>
      </c>
      <c r="O26" s="95" t="str">
        <f t="shared" si="7"/>
        <v>TRUE</v>
      </c>
      <c r="P26" s="95"/>
      <c r="Q26" s="95">
        <v>1</v>
      </c>
      <c r="R26" s="95">
        <v>3</v>
      </c>
      <c r="S26" s="83">
        <v>111</v>
      </c>
      <c r="T26" s="82">
        <v>151</v>
      </c>
      <c r="U26" s="95"/>
      <c r="V26" s="95">
        <v>0.5</v>
      </c>
      <c r="W26" s="95">
        <v>26</v>
      </c>
      <c r="X26" s="95">
        <v>37</v>
      </c>
      <c r="Y26" s="95" t="s">
        <v>2384</v>
      </c>
      <c r="Z26" s="95">
        <v>40</v>
      </c>
      <c r="AA26" s="95" t="str">
        <f t="shared" si="8"/>
        <v>DA_WPN_MC_SpikedMace_c_mag</v>
      </c>
      <c r="AB26" s="90" t="str">
        <f t="shared" si="2"/>
        <v>/Game/DungeonSiege/Items/Weapons/Mace/DA_WPN_MC_SpikedMace_c_mag</v>
      </c>
      <c r="AC26" s="97" t="str">
        <f t="shared" si="3"/>
        <v>Texture2D'/Game/DungeonSiege/art/bitmaps/gui/in_game/inventory/weapons/mace/b_gui_ig_i_w_mce_056.b_gui_ig_i_w_mce_056'</v>
      </c>
      <c r="AD26" s="97" t="str">
        <f t="shared" si="5"/>
        <v>Texture2D'/Game/DungeonSiege/art/bitmaps/gui/in_game/inventory/icons/b_gui_ig_i_ic_mce_001.b_gui_ig_i_ic_mce_001'</v>
      </c>
      <c r="AE26" s="97" t="str">
        <f t="shared" si="4"/>
        <v>StaticMesh'/Game/DungeonSiege/art/meshes/weapons/mace/m_w_mce_055_AspMesh.m_w_mce_055_AspMesh'</v>
      </c>
    </row>
    <row r="27" spans="1:31" ht="15.75" thickBot="1" x14ac:dyDescent="0.3">
      <c r="A27" s="95">
        <v>25</v>
      </c>
      <c r="B27" s="95">
        <f>A27+Items!B$23</f>
        <v>90177561</v>
      </c>
      <c r="C27" s="96" t="s">
        <v>5673</v>
      </c>
      <c r="D27" s="96" t="s">
        <v>3993</v>
      </c>
      <c r="E27" s="85" t="s">
        <v>3525</v>
      </c>
      <c r="F27" s="95" t="s">
        <v>4135</v>
      </c>
      <c r="G27" s="95"/>
      <c r="H27" s="82" t="b">
        <v>1</v>
      </c>
      <c r="I27" s="82" t="b">
        <v>1</v>
      </c>
      <c r="J27" s="82"/>
      <c r="K27" s="82"/>
      <c r="L27" s="86" t="s">
        <v>4039</v>
      </c>
      <c r="M27" s="95" t="s">
        <v>4144</v>
      </c>
      <c r="N27" s="95" t="s">
        <v>4079</v>
      </c>
      <c r="O27" s="95" t="str">
        <f t="shared" si="7"/>
        <v>TRUE</v>
      </c>
      <c r="P27" s="95"/>
      <c r="Q27" s="95">
        <v>1</v>
      </c>
      <c r="R27" s="95">
        <v>3</v>
      </c>
      <c r="S27" s="83">
        <v>72</v>
      </c>
      <c r="T27" s="82">
        <v>98</v>
      </c>
      <c r="U27" s="95"/>
      <c r="V27" s="95">
        <v>0.5</v>
      </c>
      <c r="W27" s="95">
        <v>13</v>
      </c>
      <c r="X27" s="95">
        <v>23</v>
      </c>
      <c r="Y27" s="95" t="s">
        <v>2384</v>
      </c>
      <c r="Z27" s="95">
        <v>29</v>
      </c>
      <c r="AA27" s="95" t="str">
        <f>CONCATENATE("DA_WPN_MC_",SUBSTITUTE(SUBSTITUTE(SUBSTITUTE(C27," ",""),"(","_"),")",""))</f>
        <v>DA_WPN_MC_SpikedMace_c_str</v>
      </c>
      <c r="AB27" s="90" t="str">
        <f>"/Game/DungeonSiege/Items/Weapons/Mace/" &amp; AA27</f>
        <v>/Game/DungeonSiege/Items/Weapons/Mace/DA_WPN_MC_SpikedMace_c_str</v>
      </c>
      <c r="AC27" s="97" t="str">
        <f t="shared" si="3"/>
        <v>Texture2D'/Game/DungeonSiege/art/bitmaps/gui/in_game/inventory/weapons/mace/b_gui_ig_i_w_mce_055.b_gui_ig_i_w_mce_055'</v>
      </c>
      <c r="AD27" s="97" t="str">
        <f t="shared" si="5"/>
        <v>Texture2D'/Game/DungeonSiege/art/bitmaps/gui/in_game/inventory/icons/b_gui_ig_i_ic_mce_001.b_gui_ig_i_ic_mce_001'</v>
      </c>
      <c r="AE27" s="97" t="str">
        <f t="shared" si="4"/>
        <v>StaticMesh'/Game/DungeonSiege/art/meshes/weapons/mace/m_w_mce_054_AspMesh.m_w_mce_054_AspMesh'</v>
      </c>
    </row>
    <row r="28" spans="1:31" ht="15.75" thickBot="1" x14ac:dyDescent="0.3">
      <c r="A28" s="95">
        <v>26</v>
      </c>
      <c r="B28" s="95">
        <f>A28+Items!B$23</f>
        <v>90177562</v>
      </c>
      <c r="C28" s="96" t="s">
        <v>5674</v>
      </c>
      <c r="D28" s="96" t="s">
        <v>3993</v>
      </c>
      <c r="E28" s="85" t="s">
        <v>3525</v>
      </c>
      <c r="F28" s="95" t="s">
        <v>4136</v>
      </c>
      <c r="G28" s="95"/>
      <c r="H28" s="82" t="b">
        <v>1</v>
      </c>
      <c r="I28" s="82" t="b">
        <v>1</v>
      </c>
      <c r="J28" s="82"/>
      <c r="K28" s="82"/>
      <c r="L28" s="86" t="s">
        <v>4040</v>
      </c>
      <c r="M28" s="95" t="s">
        <v>4143</v>
      </c>
      <c r="N28" s="95" t="s">
        <v>4147</v>
      </c>
      <c r="O28" s="95" t="str">
        <f t="shared" si="7"/>
        <v>TRUE</v>
      </c>
      <c r="P28" s="95"/>
      <c r="Q28" s="95">
        <v>1</v>
      </c>
      <c r="R28" s="95">
        <v>3</v>
      </c>
      <c r="S28" s="83">
        <v>40</v>
      </c>
      <c r="T28" s="82">
        <v>54</v>
      </c>
      <c r="U28" s="95"/>
      <c r="V28" s="95">
        <v>0.5</v>
      </c>
      <c r="W28" s="95">
        <v>4</v>
      </c>
      <c r="X28" s="95">
        <v>10</v>
      </c>
      <c r="Y28" s="95" t="s">
        <v>2384</v>
      </c>
      <c r="Z28" s="95">
        <v>20</v>
      </c>
      <c r="AA28" s="95" t="str">
        <f t="shared" ref="AA28:AA67" si="9">CONCATENATE("DA_WPN_MC_",SUBSTITUTE(SUBSTITUTE(SUBSTITUTE(C28," ",""),"(","_"),")",""))</f>
        <v>DA_WPN_MC_SpikedMace_o_avg</v>
      </c>
      <c r="AB28" s="90" t="str">
        <f t="shared" si="2"/>
        <v>/Game/DungeonSiege/Items/Weapons/Mace/DA_WPN_MC_SpikedMace_o_avg</v>
      </c>
      <c r="AC28" s="97" t="str">
        <f t="shared" si="3"/>
        <v>Texture2D'/Game/DungeonSiege/art/bitmaps/gui/in_game/inventory/weapons/mace/b_gui_ig_i_w_mce_070.b_gui_ig_i_w_mce_070'</v>
      </c>
      <c r="AD28" s="97" t="str">
        <f t="shared" si="5"/>
        <v>Texture2D'/Game/DungeonSiege/art/bitmaps/gui/in_game/inventory/icons/b_gui_ig_i_ic_mce_006.b_gui_ig_i_ic_mce_006'</v>
      </c>
      <c r="AE28" s="97" t="str">
        <f t="shared" si="4"/>
        <v>StaticMesh'/Game/DungeonSiege/art/meshes/weapons/mace/m_w_mce_070_AspMesh.m_w_mce_070_AspMesh'</v>
      </c>
    </row>
    <row r="29" spans="1:31" ht="15.75" thickBot="1" x14ac:dyDescent="0.3">
      <c r="A29" s="95">
        <v>27</v>
      </c>
      <c r="B29" s="95">
        <f>A29+Items!B$23</f>
        <v>90177563</v>
      </c>
      <c r="C29" s="96" t="s">
        <v>5675</v>
      </c>
      <c r="D29" s="96" t="s">
        <v>3993</v>
      </c>
      <c r="E29" s="85" t="s">
        <v>3525</v>
      </c>
      <c r="F29" s="95" t="s">
        <v>4137</v>
      </c>
      <c r="G29" s="95"/>
      <c r="H29" s="82" t="b">
        <v>1</v>
      </c>
      <c r="I29" s="82" t="b">
        <v>1</v>
      </c>
      <c r="J29" s="82"/>
      <c r="K29" s="82"/>
      <c r="L29" s="86" t="s">
        <v>4041</v>
      </c>
      <c r="M29" s="95" t="s">
        <v>4142</v>
      </c>
      <c r="N29" s="95" t="s">
        <v>4147</v>
      </c>
      <c r="O29" s="95" t="str">
        <f t="shared" si="7"/>
        <v>TRUE</v>
      </c>
      <c r="P29" s="95"/>
      <c r="Q29" s="95">
        <v>1</v>
      </c>
      <c r="R29" s="95">
        <v>3</v>
      </c>
      <c r="S29" s="83">
        <v>56</v>
      </c>
      <c r="T29" s="82">
        <v>76</v>
      </c>
      <c r="U29" s="95"/>
      <c r="V29" s="95">
        <v>0.5</v>
      </c>
      <c r="W29" s="95">
        <v>7</v>
      </c>
      <c r="X29" s="95">
        <v>16</v>
      </c>
      <c r="Y29" s="95" t="s">
        <v>2384</v>
      </c>
      <c r="Z29" s="95">
        <v>24</v>
      </c>
      <c r="AA29" s="95" t="str">
        <f t="shared" si="9"/>
        <v>DA_WPN_MC_SpikedMace_o_fin</v>
      </c>
      <c r="AB29" s="90" t="str">
        <f t="shared" si="2"/>
        <v>/Game/DungeonSiege/Items/Weapons/Mace/DA_WPN_MC_SpikedMace_o_fin</v>
      </c>
      <c r="AC29" s="97" t="str">
        <f t="shared" si="3"/>
        <v>Texture2D'/Game/DungeonSiege/art/bitmaps/gui/in_game/inventory/weapons/mace/b_gui_ig_i_w_mce_071.b_gui_ig_i_w_mce_071'</v>
      </c>
      <c r="AD29" s="97" t="str">
        <f t="shared" si="5"/>
        <v>Texture2D'/Game/DungeonSiege/art/bitmaps/gui/in_game/inventory/icons/b_gui_ig_i_ic_mce_006.b_gui_ig_i_ic_mce_006'</v>
      </c>
      <c r="AE29" s="97" t="str">
        <f t="shared" si="4"/>
        <v>StaticMesh'/Game/DungeonSiege/art/meshes/weapons/mace/m_w_mce_071_AspMesh.m_w_mce_071_AspMesh'</v>
      </c>
    </row>
    <row r="30" spans="1:31" ht="15.75" thickBot="1" x14ac:dyDescent="0.3">
      <c r="A30" s="95">
        <v>28</v>
      </c>
      <c r="B30" s="95">
        <f>A30+Items!B$23</f>
        <v>90177564</v>
      </c>
      <c r="C30" s="96" t="s">
        <v>5676</v>
      </c>
      <c r="D30" s="96" t="s">
        <v>3993</v>
      </c>
      <c r="E30" s="85" t="s">
        <v>3525</v>
      </c>
      <c r="F30" s="95" t="s">
        <v>4138</v>
      </c>
      <c r="G30" s="95"/>
      <c r="H30" s="82" t="b">
        <v>1</v>
      </c>
      <c r="I30" s="82" t="b">
        <v>1</v>
      </c>
      <c r="J30" s="82"/>
      <c r="K30" s="82"/>
      <c r="L30" s="86" t="s">
        <v>4042</v>
      </c>
      <c r="M30" s="95" t="s">
        <v>4141</v>
      </c>
      <c r="N30" s="95" t="s">
        <v>4147</v>
      </c>
      <c r="O30" s="95" t="str">
        <f t="shared" si="7"/>
        <v>TRUE</v>
      </c>
      <c r="P30" s="95"/>
      <c r="Q30" s="95">
        <v>1</v>
      </c>
      <c r="R30" s="95">
        <v>3</v>
      </c>
      <c r="S30" s="83">
        <v>137</v>
      </c>
      <c r="T30" s="82">
        <v>185</v>
      </c>
      <c r="U30" s="95"/>
      <c r="V30" s="95">
        <v>0.5</v>
      </c>
      <c r="W30" s="95">
        <v>34</v>
      </c>
      <c r="X30" s="95">
        <v>47</v>
      </c>
      <c r="Y30" s="95" t="s">
        <v>2384</v>
      </c>
      <c r="Z30" s="95">
        <v>47</v>
      </c>
      <c r="AA30" s="95" t="str">
        <f t="shared" si="9"/>
        <v>DA_WPN_MC_SpikedMace_o_mag</v>
      </c>
      <c r="AB30" s="90" t="str">
        <f t="shared" si="2"/>
        <v>/Game/DungeonSiege/Items/Weapons/Mace/DA_WPN_MC_SpikedMace_o_mag</v>
      </c>
      <c r="AC30" s="97" t="str">
        <f t="shared" si="3"/>
        <v>Texture2D'/Game/DungeonSiege/art/bitmaps/gui/in_game/inventory/weapons/mace/b_gui_ig_i_w_mce_073.b_gui_ig_i_w_mce_073'</v>
      </c>
      <c r="AD30" s="97" t="str">
        <f t="shared" si="5"/>
        <v>Texture2D'/Game/DungeonSiege/art/bitmaps/gui/in_game/inventory/icons/b_gui_ig_i_ic_mce_006.b_gui_ig_i_ic_mce_006'</v>
      </c>
      <c r="AE30" s="97" t="str">
        <f t="shared" si="4"/>
        <v>StaticMesh'/Game/DungeonSiege/art/meshes/weapons/mace/m_w_mce_073_AspMesh.m_w_mce_073_AspMesh'</v>
      </c>
    </row>
    <row r="31" spans="1:31" ht="15.75" thickBot="1" x14ac:dyDescent="0.3">
      <c r="A31" s="95">
        <v>29</v>
      </c>
      <c r="B31" s="95">
        <f>A31+Items!B$23</f>
        <v>90177565</v>
      </c>
      <c r="C31" s="96" t="s">
        <v>5677</v>
      </c>
      <c r="D31" s="96" t="s">
        <v>3993</v>
      </c>
      <c r="E31" s="85" t="s">
        <v>3525</v>
      </c>
      <c r="F31" s="95" t="s">
        <v>4139</v>
      </c>
      <c r="G31" s="95"/>
      <c r="H31" s="82" t="b">
        <v>1</v>
      </c>
      <c r="I31" s="82" t="b">
        <v>1</v>
      </c>
      <c r="J31" s="82"/>
      <c r="K31" s="82"/>
      <c r="L31" s="86" t="s">
        <v>4043</v>
      </c>
      <c r="M31" s="95" t="s">
        <v>4140</v>
      </c>
      <c r="N31" s="95" t="s">
        <v>4147</v>
      </c>
      <c r="O31" s="95" t="str">
        <f t="shared" si="7"/>
        <v>TRUE</v>
      </c>
      <c r="P31" s="95"/>
      <c r="Q31" s="95">
        <v>1</v>
      </c>
      <c r="R31" s="95">
        <v>3</v>
      </c>
      <c r="S31" s="83">
        <v>91</v>
      </c>
      <c r="T31" s="82">
        <v>122</v>
      </c>
      <c r="U31" s="95"/>
      <c r="V31" s="95">
        <v>0.5</v>
      </c>
      <c r="W31" s="95">
        <v>20</v>
      </c>
      <c r="X31" s="95">
        <v>30</v>
      </c>
      <c r="Y31" s="95" t="s">
        <v>2384</v>
      </c>
      <c r="Z31" s="95">
        <v>34</v>
      </c>
      <c r="AA31" s="95" t="str">
        <f t="shared" si="9"/>
        <v>DA_WPN_MC_SpikedMace_o_str</v>
      </c>
      <c r="AB31" s="90" t="str">
        <f t="shared" si="2"/>
        <v>/Game/DungeonSiege/Items/Weapons/Mace/DA_WPN_MC_SpikedMace_o_str</v>
      </c>
      <c r="AC31" s="97" t="str">
        <f t="shared" si="3"/>
        <v>Texture2D'/Game/DungeonSiege/art/bitmaps/gui/in_game/inventory/weapons/mace/b_gui_ig_i_w_mce_072.b_gui_ig_i_w_mce_072'</v>
      </c>
      <c r="AD31" s="97" t="str">
        <f t="shared" si="5"/>
        <v>Texture2D'/Game/DungeonSiege/art/bitmaps/gui/in_game/inventory/icons/b_gui_ig_i_ic_mce_006.b_gui_ig_i_ic_mce_006'</v>
      </c>
      <c r="AE31" s="97" t="str">
        <f t="shared" si="4"/>
        <v>StaticMesh'/Game/DungeonSiege/art/meshes/weapons/mace/m_w_mce_072_AspMesh.m_w_mce_072_AspMesh'</v>
      </c>
    </row>
    <row r="32" spans="1:31" ht="15.75" thickBot="1" x14ac:dyDescent="0.3">
      <c r="A32" s="95">
        <v>30</v>
      </c>
      <c r="B32" s="95">
        <f>A32+Items!B$23</f>
        <v>90177566</v>
      </c>
      <c r="C32" s="96" t="s">
        <v>3994</v>
      </c>
      <c r="D32" s="96" t="s">
        <v>3994</v>
      </c>
      <c r="E32" s="85" t="s">
        <v>3525</v>
      </c>
      <c r="F32" s="95" t="s">
        <v>4132</v>
      </c>
      <c r="G32" s="95"/>
      <c r="H32" s="82" t="b">
        <v>1</v>
      </c>
      <c r="I32" s="82"/>
      <c r="J32" s="82"/>
      <c r="K32" s="82"/>
      <c r="L32" s="86" t="s">
        <v>4044</v>
      </c>
      <c r="M32" s="95" t="s">
        <v>4167</v>
      </c>
      <c r="N32" s="95" t="s">
        <v>4083</v>
      </c>
      <c r="O32" s="95" t="str">
        <f t="shared" si="7"/>
        <v>FALSE</v>
      </c>
      <c r="P32" s="95"/>
      <c r="Q32" s="95">
        <v>1</v>
      </c>
      <c r="R32" s="95">
        <v>3</v>
      </c>
      <c r="S32" s="83">
        <v>17</v>
      </c>
      <c r="T32" s="82">
        <v>23</v>
      </c>
      <c r="U32" s="95"/>
      <c r="V32" s="95">
        <v>0.5</v>
      </c>
      <c r="W32" s="95"/>
      <c r="X32" s="95"/>
      <c r="Y32" s="95" t="s">
        <v>2384</v>
      </c>
      <c r="Z32" s="95">
        <v>13</v>
      </c>
      <c r="AA32" s="95" t="str">
        <f t="shared" si="9"/>
        <v>DA_WPN_MC_RustedSpikedMace</v>
      </c>
      <c r="AB32" s="90" t="str">
        <f t="shared" si="2"/>
        <v>/Game/DungeonSiege/Items/Weapons/Mace/DA_WPN_MC_RustedSpikedMace</v>
      </c>
      <c r="AC32" s="97" t="str">
        <f t="shared" si="3"/>
        <v>Texture2D'/Game/DungeonSiege/art/bitmaps/gui/in_game/inventory/weapons/mace/b_gui_ig_i_w_mce_052.b_gui_ig_i_w_mce_052'</v>
      </c>
      <c r="AD32" s="97" t="str">
        <f t="shared" si="5"/>
        <v>Texture2D'/Game/DungeonSiege/art/bitmaps/gui/in_game/inventory/icons/b_gui_ig_i_ic_mce_003.b_gui_ig_i_ic_mce_003'</v>
      </c>
      <c r="AE32" s="97" t="str">
        <f t="shared" si="4"/>
        <v>StaticMesh'/Game/DungeonSiege/art/meshes/weapons/mace/m_w_mce_052_AspMesh.m_w_mce_052_AspMesh'</v>
      </c>
    </row>
    <row r="33" spans="1:31" ht="15.75" thickBot="1" x14ac:dyDescent="0.3">
      <c r="A33" s="95">
        <v>31</v>
      </c>
      <c r="B33" s="95">
        <f>A33+Items!B$23</f>
        <v>90177567</v>
      </c>
      <c r="C33" s="96" t="s">
        <v>3995</v>
      </c>
      <c r="D33" s="96" t="s">
        <v>3995</v>
      </c>
      <c r="E33" s="85" t="s">
        <v>3525</v>
      </c>
      <c r="F33" s="95" t="s">
        <v>4148</v>
      </c>
      <c r="G33" s="95"/>
      <c r="H33" s="82" t="b">
        <v>1</v>
      </c>
      <c r="I33" s="82"/>
      <c r="J33" s="82"/>
      <c r="K33" s="82"/>
      <c r="L33" s="86" t="s">
        <v>4045</v>
      </c>
      <c r="M33" s="95" t="s">
        <v>4168</v>
      </c>
      <c r="N33" s="95" t="s">
        <v>4083</v>
      </c>
      <c r="O33" s="95" t="str">
        <f t="shared" si="7"/>
        <v>FALSE</v>
      </c>
      <c r="P33" s="95"/>
      <c r="Q33" s="95">
        <v>1</v>
      </c>
      <c r="R33" s="95">
        <v>3</v>
      </c>
      <c r="S33" s="83">
        <v>16</v>
      </c>
      <c r="T33" s="82">
        <v>21</v>
      </c>
      <c r="U33" s="95"/>
      <c r="V33" s="95">
        <v>0.5</v>
      </c>
      <c r="W33" s="95"/>
      <c r="X33" s="95"/>
      <c r="Y33" s="95" t="s">
        <v>2384</v>
      </c>
      <c r="Z33" s="95">
        <v>13</v>
      </c>
      <c r="AA33" s="95" t="str">
        <f t="shared" si="9"/>
        <v>DA_WPN_MC_DullSpikedMace</v>
      </c>
      <c r="AB33" s="90" t="str">
        <f t="shared" si="2"/>
        <v>/Game/DungeonSiege/Items/Weapons/Mace/DA_WPN_MC_DullSpikedMace</v>
      </c>
      <c r="AC33" s="97" t="str">
        <f t="shared" si="3"/>
        <v>Texture2D'/Game/DungeonSiege/art/bitmaps/gui/in_game/inventory/weapons/mace/b_gui_ig_i_w_mce_051.b_gui_ig_i_w_mce_051'</v>
      </c>
      <c r="AD33" s="97" t="str">
        <f t="shared" si="5"/>
        <v>Texture2D'/Game/DungeonSiege/art/bitmaps/gui/in_game/inventory/icons/b_gui_ig_i_ic_mce_003.b_gui_ig_i_ic_mce_003'</v>
      </c>
      <c r="AE33" s="97" t="str">
        <f t="shared" si="4"/>
        <v>StaticMesh'/Game/DungeonSiege/art/meshes/weapons/mace/m_w_mce_051_AspMesh.m_w_mce_051_AspMesh'</v>
      </c>
    </row>
    <row r="34" spans="1:31" ht="15.75" thickBot="1" x14ac:dyDescent="0.3">
      <c r="A34" s="95">
        <v>32</v>
      </c>
      <c r="B34" s="95">
        <f>A34+Items!B$23</f>
        <v>90177568</v>
      </c>
      <c r="C34" s="96" t="s">
        <v>3996</v>
      </c>
      <c r="D34" s="96" t="s">
        <v>3996</v>
      </c>
      <c r="E34" s="85" t="s">
        <v>3525</v>
      </c>
      <c r="F34" s="95" t="s">
        <v>4087</v>
      </c>
      <c r="G34" s="95"/>
      <c r="H34" s="82"/>
      <c r="I34" s="82"/>
      <c r="J34" s="82" t="b">
        <v>1</v>
      </c>
      <c r="K34" s="82" t="b">
        <v>1</v>
      </c>
      <c r="L34" s="86" t="s">
        <v>4046</v>
      </c>
      <c r="M34" s="95" t="s">
        <v>4169</v>
      </c>
      <c r="N34" s="95" t="s">
        <v>4081</v>
      </c>
      <c r="O34" s="95" t="str">
        <f t="shared" si="7"/>
        <v>TRUE</v>
      </c>
      <c r="P34" s="95"/>
      <c r="Q34" s="95">
        <v>1</v>
      </c>
      <c r="R34" s="95">
        <v>3</v>
      </c>
      <c r="S34" s="83">
        <v>22</v>
      </c>
      <c r="T34" s="82">
        <v>28</v>
      </c>
      <c r="U34" s="95"/>
      <c r="V34" s="95">
        <v>0.5</v>
      </c>
      <c r="W34" s="95">
        <v>1</v>
      </c>
      <c r="X34" s="95">
        <v>6</v>
      </c>
      <c r="Y34" s="95" t="s">
        <v>2384</v>
      </c>
      <c r="Z34" s="95">
        <v>13</v>
      </c>
      <c r="AA34" s="95" t="str">
        <f t="shared" si="9"/>
        <v>DA_WPN_MC_Mincemeat</v>
      </c>
      <c r="AB34" s="90" t="str">
        <f t="shared" si="2"/>
        <v>/Game/DungeonSiege/Items/Weapons/Mace/DA_WPN_MC_Mincemeat</v>
      </c>
      <c r="AC34" s="97" t="str">
        <f t="shared" si="3"/>
        <v>Texture2D'/Game/DungeonSiege/art/bitmaps/gui/in_game/inventory/weapons/mace/b_gui_ig_i_w_mce_080.b_gui_ig_i_w_mce_080'</v>
      </c>
      <c r="AD34" s="97" t="str">
        <f t="shared" si="5"/>
        <v>Texture2D'/Game/DungeonSiege/art/bitmaps/gui/in_game/inventory/icons/b_gui_ig_i_ic_mce_002.b_gui_ig_i_ic_mce_002'</v>
      </c>
      <c r="AE34" s="97" t="str">
        <f t="shared" si="4"/>
        <v>StaticMesh'/Game/DungeonSiege/art/meshes/weapons/mace/m_w_mce_049_AspMesh.m_w_mce_049_AspMesh'</v>
      </c>
    </row>
    <row r="35" spans="1:31" ht="15.75" thickBot="1" x14ac:dyDescent="0.3">
      <c r="A35" s="95">
        <v>33</v>
      </c>
      <c r="B35" s="95">
        <f>A35+Items!B$23</f>
        <v>90177569</v>
      </c>
      <c r="C35" s="96" t="s">
        <v>5678</v>
      </c>
      <c r="D35" s="96" t="s">
        <v>3996</v>
      </c>
      <c r="E35" s="85" t="s">
        <v>3525</v>
      </c>
      <c r="F35" s="95" t="s">
        <v>4088</v>
      </c>
      <c r="G35" s="95"/>
      <c r="H35" s="82"/>
      <c r="I35" s="82"/>
      <c r="J35" s="82" t="b">
        <v>1</v>
      </c>
      <c r="K35" s="82" t="b">
        <v>1</v>
      </c>
      <c r="L35" s="86" t="s">
        <v>4047</v>
      </c>
      <c r="M35" s="95" t="s">
        <v>4170</v>
      </c>
      <c r="N35" s="95" t="s">
        <v>4081</v>
      </c>
      <c r="O35" s="95" t="str">
        <f t="shared" si="7"/>
        <v>TRUE</v>
      </c>
      <c r="P35" s="95"/>
      <c r="Q35" s="95">
        <v>1</v>
      </c>
      <c r="R35" s="95">
        <v>3</v>
      </c>
      <c r="S35" s="83">
        <v>74</v>
      </c>
      <c r="T35" s="82">
        <v>96</v>
      </c>
      <c r="U35" s="95"/>
      <c r="V35" s="95">
        <v>0.5</v>
      </c>
      <c r="W35" s="95">
        <v>19</v>
      </c>
      <c r="X35" s="95">
        <v>26</v>
      </c>
      <c r="Y35" s="95" t="s">
        <v>2384</v>
      </c>
      <c r="Z35" s="95">
        <v>27</v>
      </c>
      <c r="AA35" s="95" t="str">
        <f t="shared" si="9"/>
        <v>DA_WPN_MC_Mincemeat_c_mag</v>
      </c>
      <c r="AB35" s="90" t="str">
        <f t="shared" si="2"/>
        <v>/Game/DungeonSiege/Items/Weapons/Mace/DA_WPN_MC_Mincemeat_c_mag</v>
      </c>
      <c r="AC35" s="97" t="str">
        <f t="shared" si="3"/>
        <v>Texture2D'/Game/DungeonSiege/art/bitmaps/gui/in_game/inventory/weapons/mace/b_gui_ig_i_w_mce_084.b_gui_ig_i_w_mce_084'</v>
      </c>
      <c r="AD35" s="97" t="str">
        <f t="shared" si="5"/>
        <v>Texture2D'/Game/DungeonSiege/art/bitmaps/gui/in_game/inventory/icons/b_gui_ig_i_ic_mce_002.b_gui_ig_i_ic_mce_002'</v>
      </c>
      <c r="AE35" s="97" t="str">
        <f t="shared" si="4"/>
        <v>StaticMesh'/Game/DungeonSiege/art/meshes/weapons/mace/m_w_mce_050_AspMesh.m_w_mce_050_AspMesh'</v>
      </c>
    </row>
    <row r="36" spans="1:31" ht="15.75" thickBot="1" x14ac:dyDescent="0.3">
      <c r="A36" s="95">
        <v>34</v>
      </c>
      <c r="B36" s="95">
        <f>A36+Items!B$23</f>
        <v>90177570</v>
      </c>
      <c r="C36" s="96" t="s">
        <v>5679</v>
      </c>
      <c r="D36" s="96" t="s">
        <v>3996</v>
      </c>
      <c r="E36" s="85" t="s">
        <v>3525</v>
      </c>
      <c r="F36" s="95" t="s">
        <v>4089</v>
      </c>
      <c r="G36" s="95"/>
      <c r="H36" s="82"/>
      <c r="I36" s="82"/>
      <c r="J36" s="82" t="b">
        <v>1</v>
      </c>
      <c r="K36" s="82" t="b">
        <v>1</v>
      </c>
      <c r="L36" s="86" t="s">
        <v>4048</v>
      </c>
      <c r="M36" s="95" t="s">
        <v>4171</v>
      </c>
      <c r="N36" s="95" t="s">
        <v>4081</v>
      </c>
      <c r="O36" s="95" t="str">
        <f t="shared" si="7"/>
        <v>TRUE</v>
      </c>
      <c r="P36" s="95"/>
      <c r="Q36" s="95">
        <v>1</v>
      </c>
      <c r="R36" s="95">
        <v>3</v>
      </c>
      <c r="S36" s="83">
        <v>48</v>
      </c>
      <c r="T36" s="82">
        <v>62</v>
      </c>
      <c r="U36" s="95"/>
      <c r="V36" s="95">
        <v>0.5</v>
      </c>
      <c r="W36" s="95">
        <v>11</v>
      </c>
      <c r="X36" s="95">
        <v>18</v>
      </c>
      <c r="Y36" s="95" t="s">
        <v>2384</v>
      </c>
      <c r="Z36" s="95">
        <v>20</v>
      </c>
      <c r="AA36" s="95" t="str">
        <f t="shared" si="9"/>
        <v>DA_WPN_MC_Mincemeat_c_str</v>
      </c>
      <c r="AB36" s="90" t="str">
        <f t="shared" si="2"/>
        <v>/Game/DungeonSiege/Items/Weapons/Mace/DA_WPN_MC_Mincemeat_c_str</v>
      </c>
      <c r="AC36" s="97" t="str">
        <f t="shared" si="3"/>
        <v>Texture2D'/Game/DungeonSiege/art/bitmaps/gui/in_game/inventory/weapons/mace/b_gui_ig_i_w_mce_083.b_gui_ig_i_w_mce_083'</v>
      </c>
      <c r="AD36" s="97" t="str">
        <f t="shared" si="5"/>
        <v>Texture2D'/Game/DungeonSiege/art/bitmaps/gui/in_game/inventory/icons/b_gui_ig_i_ic_mce_002.b_gui_ig_i_ic_mce_002'</v>
      </c>
      <c r="AE36" s="97" t="str">
        <f t="shared" si="4"/>
        <v>StaticMesh'/Game/DungeonSiege/art/meshes/weapons/mace/m_w_mce_047_AspMesh.m_w_mce_047_AspMesh'</v>
      </c>
    </row>
    <row r="37" spans="1:31" ht="15.75" thickBot="1" x14ac:dyDescent="0.3">
      <c r="A37" s="95">
        <v>35</v>
      </c>
      <c r="B37" s="95">
        <f>A37+Items!B$23</f>
        <v>90177571</v>
      </c>
      <c r="C37" s="96" t="s">
        <v>5680</v>
      </c>
      <c r="D37" s="96" t="s">
        <v>3996</v>
      </c>
      <c r="E37" s="85" t="s">
        <v>3525</v>
      </c>
      <c r="F37" s="95" t="s">
        <v>4090</v>
      </c>
      <c r="G37" s="95"/>
      <c r="H37" s="82"/>
      <c r="I37" s="82"/>
      <c r="J37" s="82" t="b">
        <v>1</v>
      </c>
      <c r="K37" s="82" t="b">
        <v>1</v>
      </c>
      <c r="L37" s="86" t="s">
        <v>4049</v>
      </c>
      <c r="M37" s="95" t="s">
        <v>4172</v>
      </c>
      <c r="N37" s="95" t="s">
        <v>4096</v>
      </c>
      <c r="O37" s="95" t="str">
        <f t="shared" si="7"/>
        <v>TRUE</v>
      </c>
      <c r="P37" s="95"/>
      <c r="Q37" s="95">
        <v>1</v>
      </c>
      <c r="R37" s="95">
        <v>3</v>
      </c>
      <c r="S37" s="83">
        <v>29</v>
      </c>
      <c r="T37" s="82">
        <v>38</v>
      </c>
      <c r="U37" s="95"/>
      <c r="V37" s="95">
        <v>0.5</v>
      </c>
      <c r="W37" s="95">
        <v>3</v>
      </c>
      <c r="X37" s="95">
        <v>11</v>
      </c>
      <c r="Y37" s="95" t="s">
        <v>2384</v>
      </c>
      <c r="Z37" s="95">
        <v>15</v>
      </c>
      <c r="AA37" s="95" t="str">
        <f t="shared" si="9"/>
        <v>DA_WPN_MC_Mincemeat_o_avg</v>
      </c>
      <c r="AB37" s="90" t="str">
        <f t="shared" si="2"/>
        <v>/Game/DungeonSiege/Items/Weapons/Mace/DA_WPN_MC_Mincemeat_o_avg</v>
      </c>
      <c r="AC37" s="97" t="str">
        <f t="shared" si="3"/>
        <v>Texture2D'/Game/DungeonSiege/art/bitmaps/gui/in_game/inventory/weapons/mace/b_gui_ig_i_w_mce_081.b_gui_ig_i_w_mce_081'</v>
      </c>
      <c r="AD37" s="97" t="str">
        <f t="shared" si="5"/>
        <v>Texture2D'/Game/DungeonSiege/art/bitmaps/gui/in_game/inventory/icons/b_gui_ig_i_ic_mce_005.b_gui_ig_i_ic_mce_005'</v>
      </c>
      <c r="AE37" s="97" t="str">
        <f t="shared" si="4"/>
        <v>StaticMesh'/Game/DungeonSiege/art/meshes/weapons/mace/m_w_mce_066_AspMesh.m_w_mce_066_AspMesh'</v>
      </c>
    </row>
    <row r="38" spans="1:31" ht="15.75" thickBot="1" x14ac:dyDescent="0.3">
      <c r="A38" s="95">
        <v>36</v>
      </c>
      <c r="B38" s="95">
        <f>A38+Items!B$23</f>
        <v>90177572</v>
      </c>
      <c r="C38" s="96" t="s">
        <v>5681</v>
      </c>
      <c r="D38" s="96" t="s">
        <v>3996</v>
      </c>
      <c r="E38" s="85" t="s">
        <v>3525</v>
      </c>
      <c r="F38" s="95" t="s">
        <v>4091</v>
      </c>
      <c r="G38" s="95"/>
      <c r="H38" s="82"/>
      <c r="I38" s="82"/>
      <c r="J38" s="82" t="b">
        <v>1</v>
      </c>
      <c r="K38" s="82" t="b">
        <v>1</v>
      </c>
      <c r="L38" s="86" t="s">
        <v>4050</v>
      </c>
      <c r="M38" s="95" t="s">
        <v>4173</v>
      </c>
      <c r="N38" s="95" t="s">
        <v>4096</v>
      </c>
      <c r="O38" s="95" t="str">
        <f t="shared" si="7"/>
        <v>TRUE</v>
      </c>
      <c r="P38" s="95"/>
      <c r="Q38" s="95">
        <v>1</v>
      </c>
      <c r="R38" s="95">
        <v>3</v>
      </c>
      <c r="S38" s="83">
        <v>37</v>
      </c>
      <c r="T38" s="82">
        <v>48</v>
      </c>
      <c r="U38" s="95"/>
      <c r="V38" s="95">
        <v>0.5</v>
      </c>
      <c r="W38" s="95">
        <v>6</v>
      </c>
      <c r="X38" s="95">
        <v>14</v>
      </c>
      <c r="Y38" s="95" t="s">
        <v>2384</v>
      </c>
      <c r="Z38" s="95">
        <v>18</v>
      </c>
      <c r="AA38" s="95" t="str">
        <f t="shared" si="9"/>
        <v>DA_WPN_MC_Mincemeat_o_fin</v>
      </c>
      <c r="AB38" s="90" t="str">
        <f t="shared" si="2"/>
        <v>/Game/DungeonSiege/Items/Weapons/Mace/DA_WPN_MC_Mincemeat_o_fin</v>
      </c>
      <c r="AC38" s="97" t="str">
        <f t="shared" si="3"/>
        <v>Texture2D'/Game/DungeonSiege/art/bitmaps/gui/in_game/inventory/weapons/mace/b_gui_ig_i_w_mce_082.b_gui_ig_i_w_mce_082'</v>
      </c>
      <c r="AD38" s="97" t="str">
        <f t="shared" si="5"/>
        <v>Texture2D'/Game/DungeonSiege/art/bitmaps/gui/in_game/inventory/icons/b_gui_ig_i_ic_mce_005.b_gui_ig_i_ic_mce_005'</v>
      </c>
      <c r="AE38" s="97" t="str">
        <f t="shared" si="4"/>
        <v>StaticMesh'/Game/DungeonSiege/art/meshes/weapons/mace/m_w_mce_067_AspMesh.m_w_mce_067_AspMesh'</v>
      </c>
    </row>
    <row r="39" spans="1:31" ht="15.75" thickBot="1" x14ac:dyDescent="0.3">
      <c r="A39" s="95">
        <v>37</v>
      </c>
      <c r="B39" s="95">
        <f>A39+Items!B$23</f>
        <v>90177573</v>
      </c>
      <c r="C39" s="96" t="s">
        <v>5682</v>
      </c>
      <c r="D39" s="96" t="s">
        <v>3996</v>
      </c>
      <c r="E39" s="85" t="s">
        <v>3525</v>
      </c>
      <c r="F39" s="95" t="s">
        <v>4092</v>
      </c>
      <c r="G39" s="95"/>
      <c r="H39" s="82"/>
      <c r="I39" s="82"/>
      <c r="J39" s="82" t="b">
        <v>1</v>
      </c>
      <c r="K39" s="82" t="b">
        <v>1</v>
      </c>
      <c r="L39" s="86" t="s">
        <v>4051</v>
      </c>
      <c r="M39" s="95" t="s">
        <v>4174</v>
      </c>
      <c r="N39" s="95" t="s">
        <v>4096</v>
      </c>
      <c r="O39" s="95" t="str">
        <f t="shared" si="7"/>
        <v>TRUE</v>
      </c>
      <c r="P39" s="95"/>
      <c r="Q39" s="95">
        <v>1</v>
      </c>
      <c r="R39" s="95">
        <v>3</v>
      </c>
      <c r="S39" s="83">
        <v>88</v>
      </c>
      <c r="T39" s="82">
        <v>114</v>
      </c>
      <c r="U39" s="95"/>
      <c r="V39" s="95">
        <v>0.5</v>
      </c>
      <c r="W39" s="95">
        <v>22</v>
      </c>
      <c r="X39" s="95">
        <v>28</v>
      </c>
      <c r="Y39" s="95" t="s">
        <v>2384</v>
      </c>
      <c r="Z39" s="95">
        <v>32</v>
      </c>
      <c r="AA39" s="95" t="str">
        <f t="shared" si="9"/>
        <v>DA_WPN_MC_Mincemeat_o_mag</v>
      </c>
      <c r="AB39" s="90" t="str">
        <f t="shared" si="2"/>
        <v>/Game/DungeonSiege/Items/Weapons/Mace/DA_WPN_MC_Mincemeat_o_mag</v>
      </c>
      <c r="AC39" s="97" t="str">
        <f t="shared" si="3"/>
        <v>Texture2D'/Game/DungeonSiege/art/bitmaps/gui/in_game/inventory/weapons/mace/b_gui_ig_i_w_mce_085.b_gui_ig_i_w_mce_085'</v>
      </c>
      <c r="AD39" s="97" t="str">
        <f t="shared" si="5"/>
        <v>Texture2D'/Game/DungeonSiege/art/bitmaps/gui/in_game/inventory/icons/b_gui_ig_i_ic_mce_005.b_gui_ig_i_ic_mce_005'</v>
      </c>
      <c r="AE39" s="97" t="str">
        <f t="shared" si="4"/>
        <v>StaticMesh'/Game/DungeonSiege/art/meshes/weapons/mace/m_w_mce_069_AspMesh.m_w_mce_069_AspMesh'</v>
      </c>
    </row>
    <row r="40" spans="1:31" ht="15.75" thickBot="1" x14ac:dyDescent="0.3">
      <c r="A40" s="95">
        <v>38</v>
      </c>
      <c r="B40" s="95">
        <f>A40+Items!B$23</f>
        <v>90177574</v>
      </c>
      <c r="C40" s="96" t="s">
        <v>3997</v>
      </c>
      <c r="D40" s="96" t="s">
        <v>3997</v>
      </c>
      <c r="E40" s="85" t="s">
        <v>3525</v>
      </c>
      <c r="F40" s="95" t="s">
        <v>4123</v>
      </c>
      <c r="G40" s="95"/>
      <c r="H40" s="82"/>
      <c r="I40" s="82"/>
      <c r="J40" s="82" t="b">
        <v>1</v>
      </c>
      <c r="K40" s="82" t="b">
        <v>1</v>
      </c>
      <c r="L40" s="86" t="s">
        <v>4052</v>
      </c>
      <c r="M40" s="95" t="s">
        <v>4175</v>
      </c>
      <c r="N40" s="95" t="s">
        <v>4079</v>
      </c>
      <c r="O40" s="95" t="str">
        <f t="shared" si="7"/>
        <v>TRUE</v>
      </c>
      <c r="P40" s="95"/>
      <c r="Q40" s="95">
        <v>1</v>
      </c>
      <c r="R40" s="95">
        <v>3</v>
      </c>
      <c r="S40" s="83">
        <v>16</v>
      </c>
      <c r="T40" s="82">
        <v>20</v>
      </c>
      <c r="U40" s="95"/>
      <c r="V40" s="95">
        <v>0.5</v>
      </c>
      <c r="W40" s="95">
        <v>1</v>
      </c>
      <c r="X40" s="95">
        <v>4</v>
      </c>
      <c r="Y40" s="95" t="s">
        <v>2384</v>
      </c>
      <c r="Z40" s="95">
        <v>12</v>
      </c>
      <c r="AA40" s="95" t="str">
        <f t="shared" si="9"/>
        <v>DA_WPN_MC_Squasher</v>
      </c>
      <c r="AB40" s="90" t="str">
        <f t="shared" si="2"/>
        <v>/Game/DungeonSiege/Items/Weapons/Mace/DA_WPN_MC_Squasher</v>
      </c>
      <c r="AC40" s="97" t="str">
        <f t="shared" si="3"/>
        <v>Texture2D'/Game/DungeonSiege/art/bitmaps/gui/in_game/inventory/weapons/mace/b_gui_ig_i_w_mce_078.b_gui_ig_i_w_mce_078'</v>
      </c>
      <c r="AD40" s="97" t="str">
        <f t="shared" si="5"/>
        <v>Texture2D'/Game/DungeonSiege/art/bitmaps/gui/in_game/inventory/icons/b_gui_ig_i_ic_mce_001.b_gui_ig_i_ic_mce_001'</v>
      </c>
      <c r="AE40" s="97" t="str">
        <f t="shared" si="4"/>
        <v>StaticMesh'/Game/DungeonSiege/art/meshes/weapons/mace/m_w_mce_064_AspMesh.m_w_mce_064_AspMesh'</v>
      </c>
    </row>
    <row r="41" spans="1:31" ht="15.75" thickBot="1" x14ac:dyDescent="0.3">
      <c r="A41" s="95">
        <v>39</v>
      </c>
      <c r="B41" s="95">
        <f>A41+Items!B$23</f>
        <v>90177575</v>
      </c>
      <c r="C41" s="96" t="s">
        <v>5683</v>
      </c>
      <c r="D41" s="96" t="s">
        <v>3997</v>
      </c>
      <c r="E41" s="85" t="s">
        <v>3525</v>
      </c>
      <c r="F41" s="95" t="s">
        <v>4115</v>
      </c>
      <c r="G41" s="95"/>
      <c r="H41" s="82"/>
      <c r="I41" s="82"/>
      <c r="J41" s="82" t="b">
        <v>1</v>
      </c>
      <c r="K41" s="82" t="b">
        <v>1</v>
      </c>
      <c r="L41" s="86" t="s">
        <v>4053</v>
      </c>
      <c r="M41" s="95" t="s">
        <v>4176</v>
      </c>
      <c r="N41" s="95" t="s">
        <v>4079</v>
      </c>
      <c r="O41" s="95" t="str">
        <f t="shared" si="7"/>
        <v>TRUE</v>
      </c>
      <c r="P41" s="95"/>
      <c r="Q41" s="95">
        <v>1</v>
      </c>
      <c r="R41" s="95">
        <v>3</v>
      </c>
      <c r="S41" s="83">
        <v>71</v>
      </c>
      <c r="T41" s="82">
        <v>87</v>
      </c>
      <c r="U41" s="95"/>
      <c r="V41" s="95">
        <v>0.5</v>
      </c>
      <c r="W41" s="95">
        <v>17</v>
      </c>
      <c r="X41" s="95">
        <v>25</v>
      </c>
      <c r="Y41" s="95" t="s">
        <v>2384</v>
      </c>
      <c r="Z41" s="95">
        <v>26</v>
      </c>
      <c r="AA41" s="95" t="str">
        <f t="shared" si="9"/>
        <v>DA_WPN_MC_Squasher_c_mag</v>
      </c>
      <c r="AB41" s="90" t="str">
        <f t="shared" si="2"/>
        <v>/Game/DungeonSiege/Items/Weapons/Mace/DA_WPN_MC_Squasher_c_mag</v>
      </c>
      <c r="AC41" s="97" t="str">
        <f t="shared" si="3"/>
        <v>Texture2D'/Game/DungeonSiege/art/bitmaps/gui/in_game/inventory/weapons/mace/b_gui_ig_i_w_mce_079.b_gui_ig_i_w_mce_079'</v>
      </c>
      <c r="AD41" s="97" t="str">
        <f t="shared" si="5"/>
        <v>Texture2D'/Game/DungeonSiege/art/bitmaps/gui/in_game/inventory/icons/b_gui_ig_i_ic_mce_001.b_gui_ig_i_ic_mce_001'</v>
      </c>
      <c r="AE41" s="97" t="str">
        <f t="shared" si="4"/>
        <v>StaticMesh'/Game/DungeonSiege/art/meshes/weapons/mace/m_w_mce_044_AspMesh.m_w_mce_044_AspMesh'</v>
      </c>
    </row>
    <row r="42" spans="1:31" ht="15.75" thickBot="1" x14ac:dyDescent="0.3">
      <c r="A42" s="95">
        <v>40</v>
      </c>
      <c r="B42" s="95">
        <f>A42+Items!B$23</f>
        <v>90177576</v>
      </c>
      <c r="C42" s="96" t="s">
        <v>5684</v>
      </c>
      <c r="D42" s="96" t="s">
        <v>3997</v>
      </c>
      <c r="E42" s="85" t="s">
        <v>3525</v>
      </c>
      <c r="F42" s="95" t="s">
        <v>4120</v>
      </c>
      <c r="G42" s="95"/>
      <c r="H42" s="82"/>
      <c r="I42" s="82"/>
      <c r="J42" s="82" t="b">
        <v>1</v>
      </c>
      <c r="K42" s="82" t="b">
        <v>1</v>
      </c>
      <c r="L42" s="86" t="s">
        <v>4054</v>
      </c>
      <c r="M42" s="95" t="s">
        <v>4177</v>
      </c>
      <c r="N42" s="95" t="s">
        <v>4079</v>
      </c>
      <c r="O42" s="95" t="str">
        <f t="shared" si="7"/>
        <v>TRUE</v>
      </c>
      <c r="P42" s="95"/>
      <c r="Q42" s="95">
        <v>1</v>
      </c>
      <c r="R42" s="95">
        <v>3</v>
      </c>
      <c r="S42" s="83">
        <v>45</v>
      </c>
      <c r="T42" s="82">
        <v>54</v>
      </c>
      <c r="U42" s="95"/>
      <c r="V42" s="95">
        <v>0.5</v>
      </c>
      <c r="W42" s="95">
        <v>10</v>
      </c>
      <c r="X42" s="95">
        <v>16</v>
      </c>
      <c r="Y42" s="95" t="s">
        <v>2384</v>
      </c>
      <c r="Z42" s="95">
        <v>19</v>
      </c>
      <c r="AA42" s="95" t="str">
        <f t="shared" si="9"/>
        <v>DA_WPN_MC_Squasher_c_str</v>
      </c>
      <c r="AB42" s="90" t="str">
        <f t="shared" si="2"/>
        <v>/Game/DungeonSiege/Items/Weapons/Mace/DA_WPN_MC_Squasher_c_str</v>
      </c>
      <c r="AC42" s="97" t="str">
        <f t="shared" si="3"/>
        <v>Texture2D'/Game/DungeonSiege/art/bitmaps/gui/in_game/inventory/weapons/mace/b_gui_ig_i_w_mce_077.b_gui_ig_i_w_mce_077'</v>
      </c>
      <c r="AD42" s="97" t="str">
        <f t="shared" si="5"/>
        <v>Texture2D'/Game/DungeonSiege/art/bitmaps/gui/in_game/inventory/icons/b_gui_ig_i_ic_mce_001.b_gui_ig_i_ic_mce_001'</v>
      </c>
      <c r="AE42" s="97" t="str">
        <f t="shared" si="4"/>
        <v>StaticMesh'/Game/DungeonSiege/art/meshes/weapons/mace/m_w_mce_041_AspMesh.m_w_mce_041_AspMesh'</v>
      </c>
    </row>
    <row r="43" spans="1:31" ht="15.75" thickBot="1" x14ac:dyDescent="0.3">
      <c r="A43" s="95">
        <v>41</v>
      </c>
      <c r="B43" s="95">
        <f>A43+Items!B$23</f>
        <v>90177577</v>
      </c>
      <c r="C43" s="96" t="s">
        <v>5685</v>
      </c>
      <c r="D43" s="96" t="s">
        <v>3997</v>
      </c>
      <c r="E43" s="85" t="s">
        <v>3525</v>
      </c>
      <c r="F43" s="95" t="s">
        <v>4119</v>
      </c>
      <c r="G43" s="95"/>
      <c r="H43" s="82"/>
      <c r="I43" s="82"/>
      <c r="J43" s="82" t="b">
        <v>1</v>
      </c>
      <c r="K43" s="82" t="b">
        <v>1</v>
      </c>
      <c r="L43" s="86" t="s">
        <v>4055</v>
      </c>
      <c r="M43" s="95" t="s">
        <v>4178</v>
      </c>
      <c r="N43" s="95" t="s">
        <v>4117</v>
      </c>
      <c r="O43" s="95" t="str">
        <f t="shared" si="7"/>
        <v>TRUE</v>
      </c>
      <c r="P43" s="95"/>
      <c r="Q43" s="95">
        <v>1</v>
      </c>
      <c r="R43" s="95">
        <v>3</v>
      </c>
      <c r="S43" s="83">
        <v>25</v>
      </c>
      <c r="T43" s="82">
        <v>30</v>
      </c>
      <c r="U43" s="95"/>
      <c r="V43" s="95">
        <v>0.5</v>
      </c>
      <c r="W43" s="95">
        <v>2</v>
      </c>
      <c r="X43" s="95">
        <v>9</v>
      </c>
      <c r="Y43" s="95" t="s">
        <v>2384</v>
      </c>
      <c r="Z43" s="95">
        <v>14</v>
      </c>
      <c r="AA43" s="95" t="str">
        <f t="shared" si="9"/>
        <v>DA_WPN_MC_Squasher_o_avg</v>
      </c>
      <c r="AB43" s="90" t="str">
        <f t="shared" si="2"/>
        <v>/Game/DungeonSiege/Items/Weapons/Mace/DA_WPN_MC_Squasher_o_avg</v>
      </c>
      <c r="AC43" s="97" t="str">
        <f t="shared" si="3"/>
        <v>Texture2D'/Game/DungeonSiege/art/bitmaps/gui/in_game/inventory/weapons/mace/b_gui_ig_i_w_mce_075.b_gui_ig_i_w_mce_075'</v>
      </c>
      <c r="AD43" s="97" t="str">
        <f t="shared" si="5"/>
        <v>Texture2D'/Game/DungeonSiege/art/bitmaps/gui/in_game/inventory/icons/b_gui_ig_i_ic_mce_004.b_gui_ig_i_ic_mce_004'</v>
      </c>
      <c r="AE43" s="97" t="str">
        <f t="shared" si="4"/>
        <v>StaticMesh'/Game/DungeonSiege/art/meshes/weapons/mace/m_w_mce_062_AspMesh.m_w_mce_062_AspMesh'</v>
      </c>
    </row>
    <row r="44" spans="1:31" ht="15.75" thickBot="1" x14ac:dyDescent="0.3">
      <c r="A44" s="95">
        <v>42</v>
      </c>
      <c r="B44" s="95">
        <f>A44+Items!B$23</f>
        <v>90177578</v>
      </c>
      <c r="C44" s="96" t="s">
        <v>5686</v>
      </c>
      <c r="D44" s="96" t="s">
        <v>3997</v>
      </c>
      <c r="E44" s="85" t="s">
        <v>3525</v>
      </c>
      <c r="F44" s="95" t="s">
        <v>4121</v>
      </c>
      <c r="G44" s="95"/>
      <c r="H44" s="82"/>
      <c r="I44" s="82"/>
      <c r="J44" s="82" t="b">
        <v>1</v>
      </c>
      <c r="K44" s="82" t="b">
        <v>1</v>
      </c>
      <c r="L44" s="86" t="s">
        <v>4056</v>
      </c>
      <c r="M44" s="95" t="s">
        <v>4179</v>
      </c>
      <c r="N44" s="95" t="s">
        <v>4117</v>
      </c>
      <c r="O44" s="95" t="str">
        <f t="shared" si="7"/>
        <v>TRUE</v>
      </c>
      <c r="P44" s="95"/>
      <c r="Q44" s="95">
        <v>1</v>
      </c>
      <c r="R44" s="95">
        <v>3</v>
      </c>
      <c r="S44" s="83">
        <v>35</v>
      </c>
      <c r="T44" s="82">
        <v>42</v>
      </c>
      <c r="U44" s="95"/>
      <c r="V44" s="95">
        <v>0.5</v>
      </c>
      <c r="W44" s="95">
        <v>6</v>
      </c>
      <c r="X44" s="95">
        <v>13</v>
      </c>
      <c r="Y44" s="95" t="s">
        <v>2384</v>
      </c>
      <c r="Z44" s="95">
        <v>17</v>
      </c>
      <c r="AA44" s="95" t="str">
        <f t="shared" si="9"/>
        <v>DA_WPN_MC_Squasher_o_fin</v>
      </c>
      <c r="AB44" s="90" t="str">
        <f t="shared" si="2"/>
        <v>/Game/DungeonSiege/Items/Weapons/Mace/DA_WPN_MC_Squasher_o_fin</v>
      </c>
      <c r="AC44" s="97" t="str">
        <f t="shared" si="3"/>
        <v>Texture2D'/Game/DungeonSiege/art/bitmaps/gui/in_game/inventory/weapons/mace/b_gui_ig_i_w_mce_076.b_gui_ig_i_w_mce_076'</v>
      </c>
      <c r="AD44" s="97" t="str">
        <f t="shared" si="5"/>
        <v>Texture2D'/Game/DungeonSiege/art/bitmaps/gui/in_game/inventory/icons/b_gui_ig_i_ic_mce_004.b_gui_ig_i_ic_mce_004'</v>
      </c>
      <c r="AE44" s="97" t="str">
        <f t="shared" si="4"/>
        <v>StaticMesh'/Game/DungeonSiege/art/meshes/weapons/mace/m_w_mce_063_AspMesh.m_w_mce_063_AspMesh'</v>
      </c>
    </row>
    <row r="45" spans="1:31" ht="15.75" thickBot="1" x14ac:dyDescent="0.3">
      <c r="A45" s="95">
        <v>43</v>
      </c>
      <c r="B45" s="95">
        <f>A45+Items!B$23</f>
        <v>90177579</v>
      </c>
      <c r="C45" s="96" t="s">
        <v>5687</v>
      </c>
      <c r="D45" s="96" t="s">
        <v>3997</v>
      </c>
      <c r="E45" s="85" t="s">
        <v>3525</v>
      </c>
      <c r="F45" s="95" t="s">
        <v>4123</v>
      </c>
      <c r="G45" s="95"/>
      <c r="H45" s="82"/>
      <c r="I45" s="82"/>
      <c r="J45" s="82" t="b">
        <v>1</v>
      </c>
      <c r="K45" s="82" t="b">
        <v>1</v>
      </c>
      <c r="L45" s="86" t="s">
        <v>4057</v>
      </c>
      <c r="M45" s="95" t="s">
        <v>4124</v>
      </c>
      <c r="N45" s="95" t="s">
        <v>4117</v>
      </c>
      <c r="O45" s="95" t="str">
        <f t="shared" si="7"/>
        <v>TRUE</v>
      </c>
      <c r="P45" s="95"/>
      <c r="Q45" s="95">
        <v>1</v>
      </c>
      <c r="R45" s="95">
        <v>3</v>
      </c>
      <c r="S45" s="83">
        <v>57</v>
      </c>
      <c r="T45" s="82">
        <v>69</v>
      </c>
      <c r="U45" s="95"/>
      <c r="V45" s="95">
        <v>0.5</v>
      </c>
      <c r="W45" s="95">
        <v>14</v>
      </c>
      <c r="X45" s="95">
        <v>21</v>
      </c>
      <c r="Y45" s="95" t="s">
        <v>2384</v>
      </c>
      <c r="Z45" s="95">
        <v>22</v>
      </c>
      <c r="AA45" s="95" t="str">
        <f t="shared" si="9"/>
        <v>DA_WPN_MC_Squasher_o_str</v>
      </c>
      <c r="AB45" s="90" t="str">
        <f t="shared" si="2"/>
        <v>/Game/DungeonSiege/Items/Weapons/Mace/DA_WPN_MC_Squasher_o_str</v>
      </c>
      <c r="AC45" s="97" t="str">
        <f t="shared" si="3"/>
        <v>Texture2D'/Game/DungeonSiege/art/bitmaps/gui/in_game/inventory/weapons/mace/b_gui_ig_i_w_mce_064.b_gui_ig_i_w_mce_064'</v>
      </c>
      <c r="AD45" s="97" t="str">
        <f t="shared" si="5"/>
        <v>Texture2D'/Game/DungeonSiege/art/bitmaps/gui/in_game/inventory/icons/b_gui_ig_i_ic_mce_004.b_gui_ig_i_ic_mce_004'</v>
      </c>
      <c r="AE45" s="97" t="str">
        <f t="shared" si="4"/>
        <v>StaticMesh'/Game/DungeonSiege/art/meshes/weapons/mace/m_w_mce_064_AspMesh.m_w_mce_064_AspMesh'</v>
      </c>
    </row>
    <row r="46" spans="1:31" ht="15.75" thickBot="1" x14ac:dyDescent="0.3">
      <c r="A46" s="95">
        <v>44</v>
      </c>
      <c r="B46" s="95">
        <f>A46+Items!B$23</f>
        <v>90177580</v>
      </c>
      <c r="C46" s="96" t="s">
        <v>3998</v>
      </c>
      <c r="D46" s="96" t="s">
        <v>3998</v>
      </c>
      <c r="E46" s="85" t="s">
        <v>3525</v>
      </c>
      <c r="F46" s="95" t="s">
        <v>4134</v>
      </c>
      <c r="G46" s="95"/>
      <c r="H46" s="82"/>
      <c r="I46" s="82"/>
      <c r="J46" s="82" t="b">
        <v>1</v>
      </c>
      <c r="K46" s="82" t="b">
        <v>1</v>
      </c>
      <c r="L46" s="86" t="s">
        <v>4058</v>
      </c>
      <c r="M46" s="95" t="s">
        <v>4180</v>
      </c>
      <c r="N46" s="95" t="s">
        <v>4083</v>
      </c>
      <c r="O46" s="95" t="str">
        <f t="shared" si="7"/>
        <v>TRUE</v>
      </c>
      <c r="P46" s="95"/>
      <c r="Q46" s="95">
        <v>1</v>
      </c>
      <c r="R46" s="95">
        <v>3</v>
      </c>
      <c r="S46" s="83">
        <v>31</v>
      </c>
      <c r="T46" s="82">
        <v>41</v>
      </c>
      <c r="U46" s="95"/>
      <c r="V46" s="95">
        <v>0.5</v>
      </c>
      <c r="W46" s="95">
        <v>1</v>
      </c>
      <c r="X46" s="95">
        <v>5</v>
      </c>
      <c r="Y46" s="95" t="s">
        <v>2384</v>
      </c>
      <c r="Z46" s="95">
        <v>16</v>
      </c>
      <c r="AA46" s="95" t="str">
        <f t="shared" si="9"/>
        <v>DA_WPN_MC_SlaughterRod</v>
      </c>
      <c r="AB46" s="90" t="str">
        <f t="shared" si="2"/>
        <v>/Game/DungeonSiege/Items/Weapons/Mace/DA_WPN_MC_SlaughterRod</v>
      </c>
      <c r="AC46" s="97" t="str">
        <f t="shared" si="3"/>
        <v>Texture2D'/Game/DungeonSiege/art/bitmaps/gui/in_game/inventory/weapons/mace/b_gui_ig_i_w_mce_086.b_gui_ig_i_w_mce_086'</v>
      </c>
      <c r="AD46" s="97" t="str">
        <f t="shared" si="5"/>
        <v>Texture2D'/Game/DungeonSiege/art/bitmaps/gui/in_game/inventory/icons/b_gui_ig_i_ic_mce_003.b_gui_ig_i_ic_mce_003'</v>
      </c>
      <c r="AE46" s="97" t="str">
        <f t="shared" si="4"/>
        <v>StaticMesh'/Game/DungeonSiege/art/meshes/weapons/mace/m_w_mce_055_AspMesh.m_w_mce_055_AspMesh'</v>
      </c>
    </row>
    <row r="47" spans="1:31" ht="15.75" thickBot="1" x14ac:dyDescent="0.3">
      <c r="A47" s="95">
        <v>45</v>
      </c>
      <c r="B47" s="95">
        <f>A47+Items!B$23</f>
        <v>90177581</v>
      </c>
      <c r="C47" s="96" t="s">
        <v>5688</v>
      </c>
      <c r="D47" s="96" t="s">
        <v>3998</v>
      </c>
      <c r="E47" s="85" t="s">
        <v>3525</v>
      </c>
      <c r="F47" s="95" t="s">
        <v>4134</v>
      </c>
      <c r="G47" s="95"/>
      <c r="H47" s="82"/>
      <c r="I47" s="82"/>
      <c r="J47" s="82" t="b">
        <v>1</v>
      </c>
      <c r="K47" s="82" t="b">
        <v>1</v>
      </c>
      <c r="L47" s="86" t="s">
        <v>4059</v>
      </c>
      <c r="M47" s="95" t="s">
        <v>4181</v>
      </c>
      <c r="N47" s="95" t="s">
        <v>4083</v>
      </c>
      <c r="O47" s="95" t="str">
        <f t="shared" si="7"/>
        <v>TRUE</v>
      </c>
      <c r="P47" s="95"/>
      <c r="Q47" s="95">
        <v>1</v>
      </c>
      <c r="R47" s="95">
        <v>3</v>
      </c>
      <c r="S47" s="83">
        <v>77</v>
      </c>
      <c r="T47" s="82">
        <v>104</v>
      </c>
      <c r="U47" s="95"/>
      <c r="V47" s="95">
        <v>0.5</v>
      </c>
      <c r="W47" s="95">
        <v>14</v>
      </c>
      <c r="X47" s="95">
        <v>24</v>
      </c>
      <c r="Y47" s="95" t="s">
        <v>2384</v>
      </c>
      <c r="Z47" s="95">
        <v>29</v>
      </c>
      <c r="AA47" s="95" t="str">
        <f t="shared" si="9"/>
        <v>DA_WPN_MC_SlaughterRod_c_str</v>
      </c>
      <c r="AB47" s="90" t="str">
        <f t="shared" si="2"/>
        <v>/Game/DungeonSiege/Items/Weapons/Mace/DA_WPN_MC_SlaughterRod_c_str</v>
      </c>
      <c r="AC47" s="97" t="str">
        <f t="shared" si="3"/>
        <v>Texture2D'/Game/DungeonSiege/art/bitmaps/gui/in_game/inventory/weapons/mace/b_gui_ig_i_w_mce_089.b_gui_ig_i_w_mce_089'</v>
      </c>
      <c r="AD47" s="97" t="str">
        <f t="shared" si="5"/>
        <v>Texture2D'/Game/DungeonSiege/art/bitmaps/gui/in_game/inventory/icons/b_gui_ig_i_ic_mce_003.b_gui_ig_i_ic_mce_003'</v>
      </c>
      <c r="AE47" s="97" t="str">
        <f t="shared" si="4"/>
        <v>StaticMesh'/Game/DungeonSiege/art/meshes/weapons/mace/m_w_mce_055_AspMesh.m_w_mce_055_AspMesh'</v>
      </c>
    </row>
    <row r="48" spans="1:31" ht="15.75" thickBot="1" x14ac:dyDescent="0.3">
      <c r="A48" s="95">
        <v>46</v>
      </c>
      <c r="B48" s="95">
        <f>A48+Items!B$23</f>
        <v>90177582</v>
      </c>
      <c r="C48" s="96" t="s">
        <v>5689</v>
      </c>
      <c r="D48" s="96" t="s">
        <v>3998</v>
      </c>
      <c r="E48" s="85" t="s">
        <v>3525</v>
      </c>
      <c r="F48" s="95" t="s">
        <v>4136</v>
      </c>
      <c r="G48" s="95"/>
      <c r="H48" s="82"/>
      <c r="I48" s="82"/>
      <c r="J48" s="82" t="b">
        <v>1</v>
      </c>
      <c r="K48" s="82" t="b">
        <v>1</v>
      </c>
      <c r="L48" s="86" t="s">
        <v>4060</v>
      </c>
      <c r="M48" s="95" t="s">
        <v>4182</v>
      </c>
      <c r="N48" s="95" t="s">
        <v>4147</v>
      </c>
      <c r="O48" s="95" t="str">
        <f t="shared" si="7"/>
        <v>TRUE</v>
      </c>
      <c r="P48" s="95"/>
      <c r="Q48" s="95">
        <v>1</v>
      </c>
      <c r="R48" s="95">
        <v>3</v>
      </c>
      <c r="S48" s="83">
        <v>44</v>
      </c>
      <c r="T48" s="82">
        <v>60</v>
      </c>
      <c r="U48" s="95"/>
      <c r="V48" s="95">
        <v>0.5</v>
      </c>
      <c r="W48" s="95">
        <v>4</v>
      </c>
      <c r="X48" s="95">
        <v>11</v>
      </c>
      <c r="Y48" s="95" t="s">
        <v>2384</v>
      </c>
      <c r="Z48" s="95">
        <v>20</v>
      </c>
      <c r="AA48" s="95" t="str">
        <f t="shared" si="9"/>
        <v>DA_WPN_MC_SlaughterRod_o_avg</v>
      </c>
      <c r="AB48" s="90" t="str">
        <f t="shared" si="2"/>
        <v>/Game/DungeonSiege/Items/Weapons/Mace/DA_WPN_MC_SlaughterRod_o_avg</v>
      </c>
      <c r="AC48" s="97" t="str">
        <f t="shared" si="3"/>
        <v>Texture2D'/Game/DungeonSiege/art/bitmaps/gui/in_game/inventory/weapons/mace/b_gui_ig_i_w_mce_087.b_gui_ig_i_w_mce_087'</v>
      </c>
      <c r="AD48" s="97" t="str">
        <f t="shared" si="5"/>
        <v>Texture2D'/Game/DungeonSiege/art/bitmaps/gui/in_game/inventory/icons/b_gui_ig_i_ic_mce_006.b_gui_ig_i_ic_mce_006'</v>
      </c>
      <c r="AE48" s="97" t="str">
        <f t="shared" si="4"/>
        <v>StaticMesh'/Game/DungeonSiege/art/meshes/weapons/mace/m_w_mce_070_AspMesh.m_w_mce_070_AspMesh'</v>
      </c>
    </row>
    <row r="49" spans="1:31" ht="15.75" thickBot="1" x14ac:dyDescent="0.3">
      <c r="A49" s="95">
        <v>47</v>
      </c>
      <c r="B49" s="95">
        <f>A49+Items!B$23</f>
        <v>90177583</v>
      </c>
      <c r="C49" s="96" t="s">
        <v>5690</v>
      </c>
      <c r="D49" s="96" t="s">
        <v>3998</v>
      </c>
      <c r="E49" s="85" t="s">
        <v>3525</v>
      </c>
      <c r="F49" s="95" t="s">
        <v>4137</v>
      </c>
      <c r="G49" s="95"/>
      <c r="H49" s="82"/>
      <c r="I49" s="82"/>
      <c r="J49" s="82" t="b">
        <v>1</v>
      </c>
      <c r="K49" s="82" t="b">
        <v>1</v>
      </c>
      <c r="L49" s="86" t="s">
        <v>4061</v>
      </c>
      <c r="M49" s="95" t="s">
        <v>4183</v>
      </c>
      <c r="N49" s="95" t="s">
        <v>4147</v>
      </c>
      <c r="O49" s="95" t="str">
        <f t="shared" si="7"/>
        <v>TRUE</v>
      </c>
      <c r="P49" s="95"/>
      <c r="Q49" s="95">
        <v>1</v>
      </c>
      <c r="R49" s="95">
        <v>3</v>
      </c>
      <c r="S49" s="83">
        <v>58</v>
      </c>
      <c r="T49" s="82">
        <v>79</v>
      </c>
      <c r="U49" s="95"/>
      <c r="V49" s="95">
        <v>0.5</v>
      </c>
      <c r="W49" s="95">
        <v>8</v>
      </c>
      <c r="X49" s="95">
        <v>17</v>
      </c>
      <c r="Y49" s="95" t="s">
        <v>2384</v>
      </c>
      <c r="Z49" s="95">
        <v>24</v>
      </c>
      <c r="AA49" s="95" t="str">
        <f t="shared" si="9"/>
        <v>DA_WPN_MC_SlaughterRod_o_fin</v>
      </c>
      <c r="AB49" s="90" t="str">
        <f t="shared" si="2"/>
        <v>/Game/DungeonSiege/Items/Weapons/Mace/DA_WPN_MC_SlaughterRod_o_fin</v>
      </c>
      <c r="AC49" s="97" t="str">
        <f t="shared" si="3"/>
        <v>Texture2D'/Game/DungeonSiege/art/bitmaps/gui/in_game/inventory/weapons/mace/b_gui_ig_i_w_mce_088.b_gui_ig_i_w_mce_088'</v>
      </c>
      <c r="AD49" s="97" t="str">
        <f t="shared" si="5"/>
        <v>Texture2D'/Game/DungeonSiege/art/bitmaps/gui/in_game/inventory/icons/b_gui_ig_i_ic_mce_006.b_gui_ig_i_ic_mce_006'</v>
      </c>
      <c r="AE49" s="97" t="str">
        <f t="shared" si="4"/>
        <v>StaticMesh'/Game/DungeonSiege/art/meshes/weapons/mace/m_w_mce_071_AspMesh.m_w_mce_071_AspMesh'</v>
      </c>
    </row>
    <row r="50" spans="1:31" ht="15.75" thickBot="1" x14ac:dyDescent="0.3">
      <c r="A50" s="95">
        <v>48</v>
      </c>
      <c r="B50" s="95">
        <f>A50+Items!B$23</f>
        <v>90177584</v>
      </c>
      <c r="C50" s="96" t="s">
        <v>5691</v>
      </c>
      <c r="D50" s="96" t="s">
        <v>3998</v>
      </c>
      <c r="E50" s="85" t="s">
        <v>3525</v>
      </c>
      <c r="F50" s="95" t="s">
        <v>4138</v>
      </c>
      <c r="G50" s="95"/>
      <c r="H50" s="82"/>
      <c r="I50" s="82"/>
      <c r="J50" s="82" t="b">
        <v>1</v>
      </c>
      <c r="K50" s="82" t="b">
        <v>1</v>
      </c>
      <c r="L50" s="86" t="s">
        <v>4062</v>
      </c>
      <c r="M50" s="95" t="s">
        <v>4184</v>
      </c>
      <c r="N50" s="95" t="s">
        <v>4147</v>
      </c>
      <c r="O50" s="95" t="str">
        <f t="shared" si="7"/>
        <v>TRUE</v>
      </c>
      <c r="P50" s="95"/>
      <c r="Q50" s="95">
        <v>1</v>
      </c>
      <c r="R50" s="95">
        <v>3</v>
      </c>
      <c r="S50" s="83">
        <v>141</v>
      </c>
      <c r="T50" s="82">
        <v>191</v>
      </c>
      <c r="U50" s="95"/>
      <c r="V50" s="95">
        <v>0.5</v>
      </c>
      <c r="W50" s="95">
        <v>35</v>
      </c>
      <c r="X50" s="95">
        <v>48</v>
      </c>
      <c r="Y50" s="95" t="s">
        <v>2384</v>
      </c>
      <c r="Z50" s="95">
        <v>47</v>
      </c>
      <c r="AA50" s="95" t="str">
        <f t="shared" si="9"/>
        <v>DA_WPN_MC_SlaughterRod_o_mag</v>
      </c>
      <c r="AB50" s="90" t="str">
        <f t="shared" si="2"/>
        <v>/Game/DungeonSiege/Items/Weapons/Mace/DA_WPN_MC_SlaughterRod_o_mag</v>
      </c>
      <c r="AC50" s="97" t="str">
        <f t="shared" si="3"/>
        <v>Texture2D'/Game/DungeonSiege/art/bitmaps/gui/in_game/inventory/weapons/mace/b_gui_ig_i_w_mce_091.b_gui_ig_i_w_mce_091'</v>
      </c>
      <c r="AD50" s="97" t="str">
        <f t="shared" si="5"/>
        <v>Texture2D'/Game/DungeonSiege/art/bitmaps/gui/in_game/inventory/icons/b_gui_ig_i_ic_mce_006.b_gui_ig_i_ic_mce_006'</v>
      </c>
      <c r="AE50" s="97" t="str">
        <f t="shared" si="4"/>
        <v>StaticMesh'/Game/DungeonSiege/art/meshes/weapons/mace/m_w_mce_073_AspMesh.m_w_mce_073_AspMesh'</v>
      </c>
    </row>
    <row r="51" spans="1:31" ht="15.75" thickBot="1" x14ac:dyDescent="0.3">
      <c r="A51" s="95">
        <v>49</v>
      </c>
      <c r="B51" s="95">
        <f>A51+Items!B$23</f>
        <v>90177585</v>
      </c>
      <c r="C51" s="96" t="s">
        <v>5692</v>
      </c>
      <c r="D51" s="96" t="s">
        <v>3998</v>
      </c>
      <c r="E51" s="85" t="s">
        <v>3525</v>
      </c>
      <c r="F51" s="95" t="s">
        <v>4139</v>
      </c>
      <c r="G51" s="95"/>
      <c r="H51" s="82"/>
      <c r="I51" s="82"/>
      <c r="J51" s="82" t="b">
        <v>1</v>
      </c>
      <c r="K51" s="82" t="b">
        <v>1</v>
      </c>
      <c r="L51" s="86" t="s">
        <v>4063</v>
      </c>
      <c r="M51" s="95" t="s">
        <v>4185</v>
      </c>
      <c r="N51" s="95" t="s">
        <v>4147</v>
      </c>
      <c r="O51" s="95" t="str">
        <f t="shared" si="7"/>
        <v>TRUE</v>
      </c>
      <c r="P51" s="95"/>
      <c r="Q51" s="95">
        <v>1</v>
      </c>
      <c r="R51" s="95">
        <v>3</v>
      </c>
      <c r="S51" s="83">
        <v>95</v>
      </c>
      <c r="T51" s="82">
        <v>129</v>
      </c>
      <c r="U51" s="95"/>
      <c r="V51" s="95">
        <v>0.5</v>
      </c>
      <c r="W51" s="95">
        <v>21</v>
      </c>
      <c r="X51" s="95">
        <v>31</v>
      </c>
      <c r="Y51" s="95" t="s">
        <v>2384</v>
      </c>
      <c r="Z51" s="95">
        <v>34</v>
      </c>
      <c r="AA51" s="95" t="str">
        <f t="shared" si="9"/>
        <v>DA_WPN_MC_SlaughterRod_o_str</v>
      </c>
      <c r="AB51" s="90" t="str">
        <f t="shared" si="2"/>
        <v>/Game/DungeonSiege/Items/Weapons/Mace/DA_WPN_MC_SlaughterRod_o_str</v>
      </c>
      <c r="AC51" s="97" t="str">
        <f t="shared" si="3"/>
        <v>Texture2D'/Game/DungeonSiege/art/bitmaps/gui/in_game/inventory/weapons/mace/b_gui_ig_i_w_mce_090.b_gui_ig_i_w_mce_090'</v>
      </c>
      <c r="AD51" s="97" t="str">
        <f t="shared" si="5"/>
        <v>Texture2D'/Game/DungeonSiege/art/bitmaps/gui/in_game/inventory/icons/b_gui_ig_i_ic_mce_006.b_gui_ig_i_ic_mce_006'</v>
      </c>
      <c r="AE51" s="97" t="str">
        <f t="shared" si="4"/>
        <v>StaticMesh'/Game/DungeonSiege/art/meshes/weapons/mace/m_w_mce_072_AspMesh.m_w_mce_072_AspMesh'</v>
      </c>
    </row>
    <row r="52" spans="1:31" ht="15.75" thickBot="1" x14ac:dyDescent="0.3">
      <c r="A52" s="95">
        <v>50</v>
      </c>
      <c r="B52" s="95">
        <f>A52+Items!B$23</f>
        <v>90177586</v>
      </c>
      <c r="C52" s="96" t="s">
        <v>3999</v>
      </c>
      <c r="D52" s="96" t="s">
        <v>3999</v>
      </c>
      <c r="E52" s="85" t="s">
        <v>3525</v>
      </c>
      <c r="F52" s="95" t="s">
        <v>4149</v>
      </c>
      <c r="G52" s="95"/>
      <c r="H52" s="82"/>
      <c r="I52" s="82"/>
      <c r="J52" s="82"/>
      <c r="K52" s="82" t="b">
        <v>1</v>
      </c>
      <c r="L52" s="86" t="s">
        <v>4064</v>
      </c>
      <c r="M52" s="95" t="s">
        <v>4186</v>
      </c>
      <c r="N52" s="95" t="s">
        <v>4166</v>
      </c>
      <c r="O52" s="95" t="str">
        <f t="shared" si="7"/>
        <v>TRUE</v>
      </c>
      <c r="P52" s="95"/>
      <c r="Q52" s="95">
        <v>1</v>
      </c>
      <c r="R52" s="95">
        <v>3</v>
      </c>
      <c r="S52" s="83">
        <v>107</v>
      </c>
      <c r="T52" s="82">
        <v>139</v>
      </c>
      <c r="U52" s="95"/>
      <c r="V52" s="95">
        <v>0.5</v>
      </c>
      <c r="W52" s="95">
        <v>13</v>
      </c>
      <c r="X52" s="95">
        <v>33</v>
      </c>
      <c r="Y52" s="95" t="s">
        <v>2384</v>
      </c>
      <c r="Z52" s="95">
        <v>36</v>
      </c>
      <c r="AA52" s="95" t="str">
        <f t="shared" si="9"/>
        <v>DA_WPN_MC_IcicleMace</v>
      </c>
      <c r="AB52" s="90" t="str">
        <f t="shared" si="2"/>
        <v>/Game/DungeonSiege/Items/Weapons/Mace/DA_WPN_MC_IcicleMace</v>
      </c>
      <c r="AC52" s="97" t="str">
        <f t="shared" si="3"/>
        <v>Texture2D'/Game/DungeonSiege/art/bitmaps/gui/in_game/inventory/weapons/mace/b_gui_ig_i_w_mce_037.b_gui_ig_i_w_mce_037'</v>
      </c>
      <c r="AD52" s="97" t="str">
        <f t="shared" si="5"/>
        <v>Texture2D'/Game/DungeonSiege/art/bitmaps/gui/in_game/inventory/icons/b_gui_ig_i_ic_msc_003.b_gui_ig_i_ic_msc_003'</v>
      </c>
      <c r="AE52" s="97" t="str">
        <f t="shared" si="4"/>
        <v>StaticMesh'/Game/DungeonSiege/art/meshes/weapons/mace/m_w_mce_037_AspMesh.m_w_mce_037_AspMesh'</v>
      </c>
    </row>
    <row r="53" spans="1:31" ht="15.75" thickBot="1" x14ac:dyDescent="0.3">
      <c r="A53" s="95">
        <v>51</v>
      </c>
      <c r="B53" s="95">
        <f>A53+Items!B$23</f>
        <v>90177587</v>
      </c>
      <c r="C53" s="96" t="s">
        <v>4000</v>
      </c>
      <c r="D53" s="96" t="s">
        <v>4000</v>
      </c>
      <c r="E53" s="85" t="s">
        <v>3525</v>
      </c>
      <c r="F53" s="95" t="s">
        <v>4150</v>
      </c>
      <c r="G53" s="95"/>
      <c r="H53" s="82"/>
      <c r="I53" s="82"/>
      <c r="J53" s="82"/>
      <c r="K53" s="82" t="b">
        <v>1</v>
      </c>
      <c r="L53" s="86" t="s">
        <v>4065</v>
      </c>
      <c r="M53" s="95" t="s">
        <v>4187</v>
      </c>
      <c r="N53" s="95" t="s">
        <v>4164</v>
      </c>
      <c r="O53" s="95" t="str">
        <f t="shared" si="7"/>
        <v>TRUE</v>
      </c>
      <c r="P53" s="95"/>
      <c r="Q53" s="95">
        <v>1</v>
      </c>
      <c r="R53" s="95">
        <v>3</v>
      </c>
      <c r="S53" s="83">
        <v>109</v>
      </c>
      <c r="T53" s="82">
        <v>133</v>
      </c>
      <c r="U53" s="95"/>
      <c r="V53" s="95">
        <v>0.5</v>
      </c>
      <c r="W53" s="95">
        <v>19</v>
      </c>
      <c r="X53" s="95">
        <v>34</v>
      </c>
      <c r="Y53" s="95" t="s">
        <v>2384</v>
      </c>
      <c r="Z53" s="95">
        <v>36</v>
      </c>
      <c r="AA53" s="95" t="str">
        <f t="shared" si="9"/>
        <v>DA_WPN_MC_RegaliaScepter</v>
      </c>
      <c r="AB53" s="90" t="str">
        <f t="shared" si="2"/>
        <v>/Game/DungeonSiege/Items/Weapons/Mace/DA_WPN_MC_RegaliaScepter</v>
      </c>
      <c r="AC53" s="97" t="str">
        <f t="shared" si="3"/>
        <v>Texture2D'/Game/DungeonSiege/art/bitmaps/gui/in_game/inventory/weapons/mace/b_gui_ig_i_w_mce_028.b_gui_ig_i_w_mce_028'</v>
      </c>
      <c r="AD53" s="97" t="str">
        <f t="shared" si="5"/>
        <v>Texture2D'/Game/DungeonSiege/art/bitmaps/gui/in_game/inventory/icons/b_gui_ig_i_ic_msc_002.b_gui_ig_i_ic_msc_002'</v>
      </c>
      <c r="AE53" s="97" t="str">
        <f t="shared" si="4"/>
        <v>StaticMesh'/Game/DungeonSiege/art/meshes/weapons/mace/m_w_mce_028_AspMesh.m_w_mce_028_AspMesh'</v>
      </c>
    </row>
    <row r="54" spans="1:31" ht="15.75" thickBot="1" x14ac:dyDescent="0.3">
      <c r="A54" s="95">
        <v>52</v>
      </c>
      <c r="B54" s="95">
        <f>A54+Items!B$23</f>
        <v>90177588</v>
      </c>
      <c r="C54" s="96" t="s">
        <v>4001</v>
      </c>
      <c r="D54" s="96" t="s">
        <v>4001</v>
      </c>
      <c r="E54" s="85" t="s">
        <v>3525</v>
      </c>
      <c r="F54" s="95" t="s">
        <v>4151</v>
      </c>
      <c r="G54" s="95"/>
      <c r="H54" s="82"/>
      <c r="I54" s="82"/>
      <c r="J54" s="82"/>
      <c r="K54" s="82" t="b">
        <v>1</v>
      </c>
      <c r="L54" s="86" t="s">
        <v>4066</v>
      </c>
      <c r="M54" s="95" t="s">
        <v>4188</v>
      </c>
      <c r="N54" s="95" t="s">
        <v>4164</v>
      </c>
      <c r="O54" s="95" t="str">
        <f t="shared" si="7"/>
        <v>TRUE</v>
      </c>
      <c r="P54" s="95"/>
      <c r="Q54" s="95">
        <v>1</v>
      </c>
      <c r="R54" s="95">
        <v>3</v>
      </c>
      <c r="S54" s="83">
        <v>145</v>
      </c>
      <c r="T54" s="82">
        <v>177</v>
      </c>
      <c r="U54" s="95"/>
      <c r="V54" s="95">
        <v>0.5</v>
      </c>
      <c r="W54" s="95">
        <v>18</v>
      </c>
      <c r="X54" s="95">
        <v>43</v>
      </c>
      <c r="Y54" s="95" t="s">
        <v>2384</v>
      </c>
      <c r="Z54" s="95">
        <v>45</v>
      </c>
      <c r="AA54" s="95" t="str">
        <f t="shared" si="9"/>
        <v>DA_WPN_MC_LionScepter</v>
      </c>
      <c r="AB54" s="90" t="str">
        <f t="shared" si="2"/>
        <v>/Game/DungeonSiege/Items/Weapons/Mace/DA_WPN_MC_LionScepter</v>
      </c>
      <c r="AC54" s="97" t="str">
        <f t="shared" si="3"/>
        <v>Texture2D'/Game/DungeonSiege/art/bitmaps/gui/in_game/inventory/weapons/mace/b_gui_ig_i_w_mce_038.b_gui_ig_i_w_mce_038'</v>
      </c>
      <c r="AD54" s="97" t="str">
        <f t="shared" si="5"/>
        <v>Texture2D'/Game/DungeonSiege/art/bitmaps/gui/in_game/inventory/icons/b_gui_ig_i_ic_msc_002.b_gui_ig_i_ic_msc_002'</v>
      </c>
      <c r="AE54" s="97" t="str">
        <f t="shared" si="4"/>
        <v>StaticMesh'/Game/DungeonSiege/art/meshes/weapons/mace/m_w_mce_038_AspMesh.m_w_mce_038_AspMesh'</v>
      </c>
    </row>
    <row r="55" spans="1:31" ht="15.75" thickBot="1" x14ac:dyDescent="0.3">
      <c r="A55" s="95">
        <v>53</v>
      </c>
      <c r="B55" s="95">
        <f>A55+Items!B$23</f>
        <v>90177589</v>
      </c>
      <c r="C55" s="96" t="s">
        <v>4002</v>
      </c>
      <c r="D55" s="96" t="s">
        <v>4002</v>
      </c>
      <c r="E55" s="85" t="s">
        <v>3525</v>
      </c>
      <c r="F55" s="95" t="s">
        <v>4152</v>
      </c>
      <c r="G55" s="95"/>
      <c r="H55" s="82"/>
      <c r="I55" s="82"/>
      <c r="J55" s="82"/>
      <c r="K55" s="82" t="b">
        <v>1</v>
      </c>
      <c r="L55" s="86" t="s">
        <v>4067</v>
      </c>
      <c r="M55" s="95" t="s">
        <v>4189</v>
      </c>
      <c r="N55" s="95" t="s">
        <v>4164</v>
      </c>
      <c r="O55" s="95" t="str">
        <f t="shared" si="7"/>
        <v>TRUE</v>
      </c>
      <c r="P55" s="95"/>
      <c r="Q55" s="95">
        <v>1</v>
      </c>
      <c r="R55" s="95">
        <v>3</v>
      </c>
      <c r="S55" s="83">
        <v>122</v>
      </c>
      <c r="T55" s="82">
        <v>158</v>
      </c>
      <c r="U55" s="95"/>
      <c r="V55" s="95">
        <v>0.5</v>
      </c>
      <c r="W55" s="95">
        <v>15</v>
      </c>
      <c r="X55" s="95">
        <v>38</v>
      </c>
      <c r="Y55" s="95" t="s">
        <v>2384</v>
      </c>
      <c r="Z55" s="95">
        <v>40</v>
      </c>
      <c r="AA55" s="95" t="str">
        <f t="shared" si="9"/>
        <v>DA_WPN_MC_CrystalScepter</v>
      </c>
      <c r="AB55" s="90" t="str">
        <f t="shared" si="2"/>
        <v>/Game/DungeonSiege/Items/Weapons/Mace/DA_WPN_MC_CrystalScepter</v>
      </c>
      <c r="AC55" s="97" t="str">
        <f t="shared" si="3"/>
        <v>Texture2D'/Game/DungeonSiege/art/bitmaps/gui/in_game/inventory/weapons/mace/b_gui_ig_i_w_mce_036.b_gui_ig_i_w_mce_036'</v>
      </c>
      <c r="AD55" s="97" t="str">
        <f t="shared" si="5"/>
        <v>Texture2D'/Game/DungeonSiege/art/bitmaps/gui/in_game/inventory/icons/b_gui_ig_i_ic_msc_002.b_gui_ig_i_ic_msc_002'</v>
      </c>
      <c r="AE55" s="97" t="str">
        <f t="shared" si="4"/>
        <v>StaticMesh'/Game/DungeonSiege/art/meshes/weapons/mace/m_w_mce_036_AspMesh.m_w_mce_036_AspMesh'</v>
      </c>
    </row>
    <row r="56" spans="1:31" ht="15.75" thickBot="1" x14ac:dyDescent="0.3">
      <c r="A56" s="95">
        <v>54</v>
      </c>
      <c r="B56" s="95">
        <f>A56+Items!B$23</f>
        <v>90177590</v>
      </c>
      <c r="C56" s="96" t="s">
        <v>4003</v>
      </c>
      <c r="D56" s="96" t="s">
        <v>4003</v>
      </c>
      <c r="E56" s="85" t="s">
        <v>3525</v>
      </c>
      <c r="F56" s="95" t="s">
        <v>4153</v>
      </c>
      <c r="G56" s="95"/>
      <c r="H56" s="82"/>
      <c r="I56" s="82"/>
      <c r="J56" s="82"/>
      <c r="K56" s="82" t="b">
        <v>1</v>
      </c>
      <c r="L56" s="86" t="s">
        <v>4068</v>
      </c>
      <c r="M56" s="95" t="s">
        <v>4190</v>
      </c>
      <c r="N56" s="95" t="s">
        <v>4166</v>
      </c>
      <c r="O56" s="95" t="str">
        <f t="shared" si="7"/>
        <v>TRUE</v>
      </c>
      <c r="P56" s="95"/>
      <c r="Q56" s="95">
        <v>1</v>
      </c>
      <c r="R56" s="95">
        <v>3</v>
      </c>
      <c r="S56" s="83">
        <v>128</v>
      </c>
      <c r="T56" s="82">
        <v>166</v>
      </c>
      <c r="U56" s="95"/>
      <c r="V56" s="95">
        <v>0.5</v>
      </c>
      <c r="W56" s="95">
        <v>16</v>
      </c>
      <c r="X56" s="95">
        <v>40</v>
      </c>
      <c r="Y56" s="95" t="s">
        <v>2384</v>
      </c>
      <c r="Z56" s="95">
        <v>42</v>
      </c>
      <c r="AA56" s="95" t="str">
        <f t="shared" si="9"/>
        <v>DA_WPN_MC_DragonScepter</v>
      </c>
      <c r="AB56" s="90" t="str">
        <f t="shared" si="2"/>
        <v>/Game/DungeonSiege/Items/Weapons/Mace/DA_WPN_MC_DragonScepter</v>
      </c>
      <c r="AC56" s="97" t="str">
        <f t="shared" si="3"/>
        <v>Texture2D'/Game/DungeonSiege/art/bitmaps/gui/in_game/inventory/weapons/mace/b_gui_ig_i_w_mce_029.b_gui_ig_i_w_mce_029'</v>
      </c>
      <c r="AD56" s="97" t="str">
        <f t="shared" si="5"/>
        <v>Texture2D'/Game/DungeonSiege/art/bitmaps/gui/in_game/inventory/icons/b_gui_ig_i_ic_msc_003.b_gui_ig_i_ic_msc_003'</v>
      </c>
      <c r="AE56" s="97" t="str">
        <f t="shared" si="4"/>
        <v>StaticMesh'/Game/DungeonSiege/art/meshes/weapons/mace/m_w_mce_029_AspMesh.m_w_mce_029_AspMesh'</v>
      </c>
    </row>
    <row r="57" spans="1:31" ht="15.75" thickBot="1" x14ac:dyDescent="0.3">
      <c r="A57" s="95">
        <v>55</v>
      </c>
      <c r="B57" s="95">
        <f>A57+Items!B$23</f>
        <v>90177591</v>
      </c>
      <c r="C57" s="96" t="s">
        <v>4004</v>
      </c>
      <c r="D57" s="96" t="s">
        <v>4004</v>
      </c>
      <c r="E57" s="85" t="s">
        <v>3525</v>
      </c>
      <c r="F57" s="95" t="s">
        <v>4154</v>
      </c>
      <c r="G57" s="95"/>
      <c r="H57" s="82"/>
      <c r="I57" s="82"/>
      <c r="J57" s="82"/>
      <c r="K57" s="82" t="b">
        <v>1</v>
      </c>
      <c r="L57" s="86" t="s">
        <v>4069</v>
      </c>
      <c r="M57" s="95" t="s">
        <v>4191</v>
      </c>
      <c r="N57" s="95" t="s">
        <v>4166</v>
      </c>
      <c r="O57" s="95" t="str">
        <f t="shared" si="7"/>
        <v>TRUE</v>
      </c>
      <c r="P57" s="95"/>
      <c r="Q57" s="95">
        <v>1</v>
      </c>
      <c r="R57" s="95">
        <v>3</v>
      </c>
      <c r="S57" s="83">
        <v>81</v>
      </c>
      <c r="T57" s="82">
        <v>99</v>
      </c>
      <c r="U57" s="95"/>
      <c r="V57" s="95">
        <v>0.5</v>
      </c>
      <c r="W57" s="95">
        <v>10</v>
      </c>
      <c r="X57" s="95">
        <v>24</v>
      </c>
      <c r="Y57" s="95" t="s">
        <v>2384</v>
      </c>
      <c r="Z57" s="95">
        <v>29</v>
      </c>
      <c r="AA57" s="95" t="str">
        <f t="shared" si="9"/>
        <v>DA_WPN_MC_RegalScepter</v>
      </c>
      <c r="AB57" s="90" t="str">
        <f t="shared" si="2"/>
        <v>/Game/DungeonSiege/Items/Weapons/Mace/DA_WPN_MC_RegalScepter</v>
      </c>
      <c r="AC57" s="97" t="str">
        <f t="shared" si="3"/>
        <v>Texture2D'/Game/DungeonSiege/art/bitmaps/gui/in_game/inventory/weapons/mace/b_gui_ig_i_w_mce_033.b_gui_ig_i_w_mce_033'</v>
      </c>
      <c r="AD57" s="97" t="str">
        <f t="shared" si="5"/>
        <v>Texture2D'/Game/DungeonSiege/art/bitmaps/gui/in_game/inventory/icons/b_gui_ig_i_ic_msc_003.b_gui_ig_i_ic_msc_003'</v>
      </c>
      <c r="AE57" s="97" t="str">
        <f t="shared" si="4"/>
        <v>StaticMesh'/Game/DungeonSiege/art/meshes/weapons/mace/m_w_mce_033_AspMesh.m_w_mce_033_AspMesh'</v>
      </c>
    </row>
    <row r="58" spans="1:31" ht="15.75" thickBot="1" x14ac:dyDescent="0.3">
      <c r="A58" s="95">
        <v>56</v>
      </c>
      <c r="B58" s="95">
        <f>A58+Items!B$23</f>
        <v>90177592</v>
      </c>
      <c r="C58" s="96" t="s">
        <v>4005</v>
      </c>
      <c r="D58" s="96" t="s">
        <v>4005</v>
      </c>
      <c r="E58" s="85" t="s">
        <v>3525</v>
      </c>
      <c r="F58" s="95" t="s">
        <v>4155</v>
      </c>
      <c r="G58" s="95"/>
      <c r="H58" s="82"/>
      <c r="I58" s="82"/>
      <c r="J58" s="82"/>
      <c r="K58" s="82" t="b">
        <v>1</v>
      </c>
      <c r="L58" s="86" t="s">
        <v>4070</v>
      </c>
      <c r="M58" s="95" t="s">
        <v>4192</v>
      </c>
      <c r="N58" s="95" t="s">
        <v>4166</v>
      </c>
      <c r="O58" s="95" t="str">
        <f t="shared" si="7"/>
        <v>TRUE</v>
      </c>
      <c r="P58" s="95"/>
      <c r="Q58" s="95">
        <v>1</v>
      </c>
      <c r="R58" s="95">
        <v>3</v>
      </c>
      <c r="S58" s="83">
        <v>98</v>
      </c>
      <c r="T58" s="82">
        <v>120</v>
      </c>
      <c r="U58" s="95"/>
      <c r="V58" s="95">
        <v>0.5</v>
      </c>
      <c r="W58" s="95">
        <v>12</v>
      </c>
      <c r="X58" s="95">
        <v>29</v>
      </c>
      <c r="Y58" s="95" t="s">
        <v>2384</v>
      </c>
      <c r="Z58" s="95">
        <v>33</v>
      </c>
      <c r="AA58" s="95" t="str">
        <f t="shared" si="9"/>
        <v>DA_WPN_MC_EyeScepter</v>
      </c>
      <c r="AB58" s="90" t="str">
        <f t="shared" si="2"/>
        <v>/Game/DungeonSiege/Items/Weapons/Mace/DA_WPN_MC_EyeScepter</v>
      </c>
      <c r="AC58" s="97" t="str">
        <f t="shared" si="3"/>
        <v>Texture2D'/Game/DungeonSiege/art/bitmaps/gui/in_game/inventory/weapons/mace/b_gui_ig_i_w_mce_035.b_gui_ig_i_w_mce_035'</v>
      </c>
      <c r="AD58" s="97" t="str">
        <f t="shared" si="5"/>
        <v>Texture2D'/Game/DungeonSiege/art/bitmaps/gui/in_game/inventory/icons/b_gui_ig_i_ic_msc_003.b_gui_ig_i_ic_msc_003'</v>
      </c>
      <c r="AE58" s="97" t="str">
        <f t="shared" si="4"/>
        <v>StaticMesh'/Game/DungeonSiege/art/meshes/weapons/mace/m_w_mce_035_AspMesh.m_w_mce_035_AspMesh'</v>
      </c>
    </row>
    <row r="59" spans="1:31" ht="15.75" thickBot="1" x14ac:dyDescent="0.3">
      <c r="A59" s="95">
        <v>57</v>
      </c>
      <c r="B59" s="95">
        <f>A59+Items!B$23</f>
        <v>90177593</v>
      </c>
      <c r="C59" s="96" t="s">
        <v>4006</v>
      </c>
      <c r="D59" s="96" t="s">
        <v>4006</v>
      </c>
      <c r="E59" s="85" t="s">
        <v>3525</v>
      </c>
      <c r="F59" s="95" t="s">
        <v>4154</v>
      </c>
      <c r="G59" s="95"/>
      <c r="H59" s="82"/>
      <c r="I59" s="82"/>
      <c r="J59" s="82"/>
      <c r="K59" s="82" t="b">
        <v>1</v>
      </c>
      <c r="L59" s="86" t="s">
        <v>4071</v>
      </c>
      <c r="M59" s="95" t="s">
        <v>4193</v>
      </c>
      <c r="N59" s="95" t="s">
        <v>4166</v>
      </c>
      <c r="O59" s="95" t="str">
        <f t="shared" si="7"/>
        <v>TRUE</v>
      </c>
      <c r="P59" s="95"/>
      <c r="Q59" s="95">
        <v>1</v>
      </c>
      <c r="R59" s="95">
        <v>3</v>
      </c>
      <c r="S59" s="83">
        <v>116</v>
      </c>
      <c r="T59" s="82">
        <v>142</v>
      </c>
      <c r="U59" s="95"/>
      <c r="V59" s="95">
        <v>0.5</v>
      </c>
      <c r="W59" s="95">
        <v>21</v>
      </c>
      <c r="X59" s="95">
        <v>36</v>
      </c>
      <c r="Y59" s="95" t="s">
        <v>2384</v>
      </c>
      <c r="Z59" s="95">
        <v>38</v>
      </c>
      <c r="AA59" s="95" t="str">
        <f t="shared" si="9"/>
        <v>DA_WPN_MC_CrownScepter</v>
      </c>
      <c r="AB59" s="90" t="str">
        <f t="shared" si="2"/>
        <v>/Game/DungeonSiege/Items/Weapons/Mace/DA_WPN_MC_CrownScepter</v>
      </c>
      <c r="AC59" s="97" t="str">
        <f t="shared" si="3"/>
        <v>Texture2D'/Game/DungeonSiege/art/bitmaps/gui/in_game/inventory/weapons/mace/b_gui_ig_i_w_mce_034.b_gui_ig_i_w_mce_034'</v>
      </c>
      <c r="AD59" s="97" t="str">
        <f t="shared" si="5"/>
        <v>Texture2D'/Game/DungeonSiege/art/bitmaps/gui/in_game/inventory/icons/b_gui_ig_i_ic_msc_003.b_gui_ig_i_ic_msc_003'</v>
      </c>
      <c r="AE59" s="97" t="str">
        <f t="shared" si="4"/>
        <v>StaticMesh'/Game/DungeonSiege/art/meshes/weapons/mace/m_w_mce_033_AspMesh.m_w_mce_033_AspMesh'</v>
      </c>
    </row>
    <row r="60" spans="1:31" ht="15.75" thickBot="1" x14ac:dyDescent="0.3">
      <c r="A60" s="95">
        <v>58</v>
      </c>
      <c r="B60" s="95">
        <f>A60+Items!B$23</f>
        <v>90177594</v>
      </c>
      <c r="C60" s="96" t="s">
        <v>4007</v>
      </c>
      <c r="D60" s="96" t="s">
        <v>4007</v>
      </c>
      <c r="E60" s="85" t="s">
        <v>3525</v>
      </c>
      <c r="F60" s="95" t="s">
        <v>4156</v>
      </c>
      <c r="G60" s="95"/>
      <c r="H60" s="82"/>
      <c r="I60" s="82"/>
      <c r="J60" s="82"/>
      <c r="K60" s="82" t="b">
        <v>1</v>
      </c>
      <c r="L60" s="86" t="s">
        <v>4072</v>
      </c>
      <c r="M60" s="95" t="s">
        <v>4194</v>
      </c>
      <c r="N60" s="95" t="s">
        <v>4164</v>
      </c>
      <c r="O60" s="95" t="str">
        <f t="shared" si="7"/>
        <v>TRUE</v>
      </c>
      <c r="P60" s="95"/>
      <c r="Q60" s="95">
        <v>1</v>
      </c>
      <c r="R60" s="95">
        <v>3</v>
      </c>
      <c r="S60" s="83">
        <v>81</v>
      </c>
      <c r="T60" s="82">
        <v>99</v>
      </c>
      <c r="U60" s="95"/>
      <c r="V60" s="95">
        <v>0.5</v>
      </c>
      <c r="W60" s="95">
        <v>10</v>
      </c>
      <c r="X60" s="95">
        <v>24</v>
      </c>
      <c r="Y60" s="95" t="s">
        <v>2384</v>
      </c>
      <c r="Z60" s="95">
        <v>29</v>
      </c>
      <c r="AA60" s="95" t="str">
        <f t="shared" si="9"/>
        <v>DA_WPN_MC_BellScepter</v>
      </c>
      <c r="AB60" s="90" t="str">
        <f t="shared" si="2"/>
        <v>/Game/DungeonSiege/Items/Weapons/Mace/DA_WPN_MC_BellScepter</v>
      </c>
      <c r="AC60" s="97" t="str">
        <f t="shared" si="3"/>
        <v>Texture2D'/Game/DungeonSiege/art/bitmaps/gui/in_game/inventory/weapons/mace/b_gui_ig_i_w_mce_058.b_gui_ig_i_w_mce_058'</v>
      </c>
      <c r="AD60" s="97" t="str">
        <f t="shared" si="5"/>
        <v>Texture2D'/Game/DungeonSiege/art/bitmaps/gui/in_game/inventory/icons/b_gui_ig_i_ic_msc_002.b_gui_ig_i_ic_msc_002'</v>
      </c>
      <c r="AE60" s="97" t="str">
        <f t="shared" si="4"/>
        <v>StaticMesh'/Game/DungeonSiege/art/meshes/weapons/mace/m_w_mce_058_AspMesh.m_w_mce_058_AspMesh'</v>
      </c>
    </row>
    <row r="61" spans="1:31" ht="15.75" thickBot="1" x14ac:dyDescent="0.3">
      <c r="A61" s="95">
        <v>59</v>
      </c>
      <c r="B61" s="95">
        <f>A61+Items!B$23</f>
        <v>90177595</v>
      </c>
      <c r="C61" s="96" t="s">
        <v>4008</v>
      </c>
      <c r="D61" s="96" t="s">
        <v>4008</v>
      </c>
      <c r="E61" s="85" t="s">
        <v>3525</v>
      </c>
      <c r="F61" s="95" t="s">
        <v>4157</v>
      </c>
      <c r="G61" s="95"/>
      <c r="H61" s="82"/>
      <c r="I61" s="82"/>
      <c r="J61" s="82"/>
      <c r="K61" s="82" t="b">
        <v>1</v>
      </c>
      <c r="L61" s="86" t="s">
        <v>4073</v>
      </c>
      <c r="M61" s="95" t="s">
        <v>4195</v>
      </c>
      <c r="N61" s="95" t="s">
        <v>4164</v>
      </c>
      <c r="O61" s="95" t="str">
        <f t="shared" si="7"/>
        <v>TRUE</v>
      </c>
      <c r="P61" s="95"/>
      <c r="Q61" s="95">
        <v>1</v>
      </c>
      <c r="R61" s="95">
        <v>3</v>
      </c>
      <c r="S61" s="83">
        <v>95</v>
      </c>
      <c r="T61" s="82">
        <v>116</v>
      </c>
      <c r="U61" s="95"/>
      <c r="V61" s="95">
        <v>0.5</v>
      </c>
      <c r="W61" s="95">
        <v>17</v>
      </c>
      <c r="X61" s="95">
        <v>31</v>
      </c>
      <c r="Y61" s="95" t="s">
        <v>2384</v>
      </c>
      <c r="Z61" s="95">
        <v>32</v>
      </c>
      <c r="AA61" s="95" t="str">
        <f t="shared" si="9"/>
        <v>DA_WPN_MC_WaterScepter</v>
      </c>
      <c r="AB61" s="90" t="str">
        <f t="shared" si="2"/>
        <v>/Game/DungeonSiege/Items/Weapons/Mace/DA_WPN_MC_WaterScepter</v>
      </c>
      <c r="AC61" s="97" t="str">
        <f t="shared" si="3"/>
        <v>Texture2D'/Game/DungeonSiege/art/bitmaps/gui/in_game/inventory/weapons/mace/b_gui_ig_i_w_mce_027.b_gui_ig_i_w_mce_027'</v>
      </c>
      <c r="AD61" s="97" t="str">
        <f t="shared" si="5"/>
        <v>Texture2D'/Game/DungeonSiege/art/bitmaps/gui/in_game/inventory/icons/b_gui_ig_i_ic_msc_002.b_gui_ig_i_ic_msc_002'</v>
      </c>
      <c r="AE61" s="97" t="str">
        <f t="shared" si="4"/>
        <v>StaticMesh'/Game/DungeonSiege/art/meshes/weapons/mace/m_w_mce_027_AspMesh.m_w_mce_027_AspMesh'</v>
      </c>
    </row>
    <row r="62" spans="1:31" ht="15.75" thickBot="1" x14ac:dyDescent="0.3">
      <c r="A62" s="95">
        <v>60</v>
      </c>
      <c r="B62" s="95">
        <f>A62+Items!B$23</f>
        <v>90177596</v>
      </c>
      <c r="C62" s="96" t="s">
        <v>4009</v>
      </c>
      <c r="D62" s="96" t="s">
        <v>4009</v>
      </c>
      <c r="E62" s="85" t="s">
        <v>3525</v>
      </c>
      <c r="F62" s="95" t="s">
        <v>4158</v>
      </c>
      <c r="G62" s="95"/>
      <c r="H62" s="82"/>
      <c r="I62" s="82"/>
      <c r="J62" s="82"/>
      <c r="K62" s="82" t="b">
        <v>1</v>
      </c>
      <c r="L62" s="86" t="s">
        <v>4074</v>
      </c>
      <c r="M62" s="95" t="s">
        <v>4196</v>
      </c>
      <c r="N62" s="95" t="s">
        <v>4164</v>
      </c>
      <c r="O62" s="95" t="str">
        <f t="shared" si="7"/>
        <v>TRUE</v>
      </c>
      <c r="P62" s="95"/>
      <c r="Q62" s="95">
        <v>1</v>
      </c>
      <c r="R62" s="95">
        <v>3</v>
      </c>
      <c r="S62" s="83">
        <v>101</v>
      </c>
      <c r="T62" s="82">
        <v>123</v>
      </c>
      <c r="U62" s="95"/>
      <c r="V62" s="95">
        <v>0.5</v>
      </c>
      <c r="W62" s="95">
        <v>18</v>
      </c>
      <c r="X62" s="95">
        <v>31</v>
      </c>
      <c r="Y62" s="95" t="s">
        <v>2384</v>
      </c>
      <c r="Z62" s="95">
        <v>34</v>
      </c>
      <c r="AA62" s="95" t="str">
        <f t="shared" si="9"/>
        <v>DA_WPN_MC_CaneScepter</v>
      </c>
      <c r="AB62" s="90" t="str">
        <f t="shared" si="2"/>
        <v>/Game/DungeonSiege/Items/Weapons/Mace/DA_WPN_MC_CaneScepter</v>
      </c>
      <c r="AC62" s="97" t="str">
        <f t="shared" si="3"/>
        <v>Texture2D'/Game/DungeonSiege/art/bitmaps/gui/in_game/inventory/weapons/mace/b_gui_ig_i_w_mce_030.b_gui_ig_i_w_mce_030'</v>
      </c>
      <c r="AD62" s="97" t="str">
        <f t="shared" si="5"/>
        <v>Texture2D'/Game/DungeonSiege/art/bitmaps/gui/in_game/inventory/icons/b_gui_ig_i_ic_msc_002.b_gui_ig_i_ic_msc_002'</v>
      </c>
      <c r="AE62" s="97" t="str">
        <f t="shared" si="4"/>
        <v>StaticMesh'/Game/DungeonSiege/art/meshes/weapons/mace/m_w_mce_030_AspMesh.m_w_mce_030_AspMesh'</v>
      </c>
    </row>
    <row r="63" spans="1:31" ht="15.75" thickBot="1" x14ac:dyDescent="0.3">
      <c r="A63" s="95">
        <v>61</v>
      </c>
      <c r="B63" s="95">
        <f>A63+Items!B$23</f>
        <v>90177597</v>
      </c>
      <c r="C63" s="96" t="s">
        <v>4010</v>
      </c>
      <c r="D63" s="96" t="s">
        <v>4010</v>
      </c>
      <c r="E63" s="85" t="s">
        <v>3525</v>
      </c>
      <c r="F63" s="95" t="s">
        <v>4159</v>
      </c>
      <c r="G63" s="95"/>
      <c r="H63" s="82"/>
      <c r="I63" s="82"/>
      <c r="J63" s="82"/>
      <c r="K63" s="82" t="b">
        <v>1</v>
      </c>
      <c r="L63" s="86" t="s">
        <v>4075</v>
      </c>
      <c r="M63" s="95" t="s">
        <v>4197</v>
      </c>
      <c r="N63" s="95" t="s">
        <v>4164</v>
      </c>
      <c r="O63" s="95" t="str">
        <f t="shared" si="7"/>
        <v>TRUE</v>
      </c>
      <c r="P63" s="95"/>
      <c r="Q63" s="95">
        <v>1</v>
      </c>
      <c r="R63" s="95">
        <v>3</v>
      </c>
      <c r="S63" s="83">
        <v>154</v>
      </c>
      <c r="T63" s="82">
        <v>188</v>
      </c>
      <c r="U63" s="95"/>
      <c r="V63" s="95">
        <v>0.5</v>
      </c>
      <c r="W63" s="95">
        <v>19</v>
      </c>
      <c r="X63" s="95">
        <v>46</v>
      </c>
      <c r="Y63" s="95" t="s">
        <v>2384</v>
      </c>
      <c r="Z63" s="95">
        <v>47</v>
      </c>
      <c r="AA63" s="95" t="str">
        <f t="shared" si="9"/>
        <v>DA_WPN_MC_IronScepter</v>
      </c>
      <c r="AB63" s="90" t="str">
        <f t="shared" si="2"/>
        <v>/Game/DungeonSiege/Items/Weapons/Mace/DA_WPN_MC_IronScepter</v>
      </c>
      <c r="AC63" s="97" t="str">
        <f t="shared" si="3"/>
        <v>Texture2D'/Game/DungeonSiege/art/bitmaps/gui/in_game/inventory/weapons/mace/b_gui_ig_i_w_mce_032.b_gui_ig_i_w_mce_032'</v>
      </c>
      <c r="AD63" s="97" t="str">
        <f t="shared" si="5"/>
        <v>Texture2D'/Game/DungeonSiege/art/bitmaps/gui/in_game/inventory/icons/b_gui_ig_i_ic_msc_002.b_gui_ig_i_ic_msc_002'</v>
      </c>
      <c r="AE63" s="97" t="str">
        <f t="shared" si="4"/>
        <v>StaticMesh'/Game/DungeonSiege/art/meshes/weapons/mace/m_w_mce_032_AspMesh.m_w_mce_032_AspMesh'</v>
      </c>
    </row>
    <row r="64" spans="1:31" ht="15.75" thickBot="1" x14ac:dyDescent="0.3">
      <c r="A64" s="95">
        <v>62</v>
      </c>
      <c r="B64" s="95">
        <f>A64+Items!B$23</f>
        <v>90177598</v>
      </c>
      <c r="C64" s="96" t="s">
        <v>4011</v>
      </c>
      <c r="D64" s="96" t="s">
        <v>4011</v>
      </c>
      <c r="E64" s="85" t="s">
        <v>3525</v>
      </c>
      <c r="F64" s="95" t="s">
        <v>4160</v>
      </c>
      <c r="G64" s="95"/>
      <c r="H64" s="82"/>
      <c r="I64" s="82"/>
      <c r="J64" s="82"/>
      <c r="K64" s="82" t="b">
        <v>1</v>
      </c>
      <c r="L64" s="86" t="s">
        <v>4076</v>
      </c>
      <c r="M64" s="95" t="s">
        <v>4198</v>
      </c>
      <c r="N64" s="95" t="s">
        <v>4164</v>
      </c>
      <c r="O64" s="95" t="str">
        <f t="shared" si="7"/>
        <v>TRUE</v>
      </c>
      <c r="P64" s="95"/>
      <c r="Q64" s="95">
        <v>1</v>
      </c>
      <c r="R64" s="95">
        <v>3</v>
      </c>
      <c r="S64" s="83">
        <v>102</v>
      </c>
      <c r="T64" s="82">
        <v>133</v>
      </c>
      <c r="U64" s="95"/>
      <c r="V64" s="95">
        <v>0.5</v>
      </c>
      <c r="W64" s="95">
        <v>13</v>
      </c>
      <c r="X64" s="95">
        <v>32</v>
      </c>
      <c r="Y64" s="95" t="s">
        <v>2384</v>
      </c>
      <c r="Z64" s="95">
        <v>35</v>
      </c>
      <c r="AA64" s="95" t="str">
        <f t="shared" si="9"/>
        <v>DA_WPN_MC_TangledScepter</v>
      </c>
      <c r="AB64" s="90" t="str">
        <f t="shared" si="2"/>
        <v>/Game/DungeonSiege/Items/Weapons/Mace/DA_WPN_MC_TangledScepter</v>
      </c>
      <c r="AC64" s="97" t="str">
        <f t="shared" si="3"/>
        <v>Texture2D'/Game/DungeonSiege/art/bitmaps/gui/in_game/inventory/weapons/mace/b_gui_ig_i_w_mce_061.b_gui_ig_i_w_mce_061'</v>
      </c>
      <c r="AD64" s="97" t="str">
        <f t="shared" si="5"/>
        <v>Texture2D'/Game/DungeonSiege/art/bitmaps/gui/in_game/inventory/icons/b_gui_ig_i_ic_msc_002.b_gui_ig_i_ic_msc_002'</v>
      </c>
      <c r="AE64" s="97" t="str">
        <f t="shared" si="4"/>
        <v>StaticMesh'/Game/DungeonSiege/art/meshes/weapons/mace/m_w_mce_061_AspMesh.m_w_mce_061_AspMesh'</v>
      </c>
    </row>
    <row r="65" spans="1:31" ht="15.75" thickBot="1" x14ac:dyDescent="0.3">
      <c r="A65" s="95">
        <v>63</v>
      </c>
      <c r="B65" s="95">
        <f>A65+Items!B$23</f>
        <v>90177599</v>
      </c>
      <c r="C65" s="96" t="s">
        <v>4012</v>
      </c>
      <c r="D65" s="96" t="s">
        <v>4012</v>
      </c>
      <c r="E65" s="85" t="s">
        <v>3525</v>
      </c>
      <c r="F65" s="95" t="s">
        <v>4161</v>
      </c>
      <c r="G65" s="95"/>
      <c r="H65" s="82"/>
      <c r="I65" s="82"/>
      <c r="J65" s="82"/>
      <c r="K65" s="82" t="b">
        <v>1</v>
      </c>
      <c r="L65" s="86" t="s">
        <v>4077</v>
      </c>
      <c r="M65" s="95" t="s">
        <v>4199</v>
      </c>
      <c r="N65" s="95" t="s">
        <v>4164</v>
      </c>
      <c r="O65" s="95" t="str">
        <f t="shared" si="7"/>
        <v>TRUE</v>
      </c>
      <c r="P65" s="95"/>
      <c r="Q65" s="95">
        <v>1</v>
      </c>
      <c r="R65" s="95">
        <v>3</v>
      </c>
      <c r="S65" s="83">
        <v>64</v>
      </c>
      <c r="T65" s="82">
        <v>78</v>
      </c>
      <c r="U65" s="95"/>
      <c r="V65" s="95">
        <v>0.5</v>
      </c>
      <c r="W65" s="95">
        <v>11</v>
      </c>
      <c r="X65" s="95">
        <v>20</v>
      </c>
      <c r="Y65" s="95" t="s">
        <v>2384</v>
      </c>
      <c r="Z65" s="95">
        <v>24</v>
      </c>
      <c r="AA65" s="95" t="str">
        <f t="shared" si="9"/>
        <v>DA_WPN_MC_MaskedScepter</v>
      </c>
      <c r="AB65" s="90" t="str">
        <f t="shared" si="2"/>
        <v>/Game/DungeonSiege/Items/Weapons/Mace/DA_WPN_MC_MaskedScepter</v>
      </c>
      <c r="AC65" s="97" t="str">
        <f t="shared" si="3"/>
        <v>Texture2D'/Game/DungeonSiege/art/bitmaps/gui/in_game/inventory/weapons/mace/b_gui_ig_i_w_mce_031.b_gui_ig_i_w_mce_031'</v>
      </c>
      <c r="AD65" s="97" t="str">
        <f t="shared" si="5"/>
        <v>Texture2D'/Game/DungeonSiege/art/bitmaps/gui/in_game/inventory/icons/b_gui_ig_i_ic_msc_002.b_gui_ig_i_ic_msc_002'</v>
      </c>
      <c r="AE65" s="97" t="str">
        <f t="shared" si="4"/>
        <v>StaticMesh'/Game/DungeonSiege/art/meshes/weapons/mace/m_w_mce_031_AspMesh.m_w_mce_031_AspMesh'</v>
      </c>
    </row>
    <row r="66" spans="1:31" ht="15.75" thickBot="1" x14ac:dyDescent="0.3">
      <c r="A66" s="95">
        <v>64</v>
      </c>
      <c r="B66" s="95">
        <f>A66+Items!B$23</f>
        <v>90177600</v>
      </c>
      <c r="C66" s="96" t="s">
        <v>4013</v>
      </c>
      <c r="D66" s="96" t="s">
        <v>4013</v>
      </c>
      <c r="E66" s="85" t="s">
        <v>3525</v>
      </c>
      <c r="F66" s="95" t="s">
        <v>4162</v>
      </c>
      <c r="G66" s="95"/>
      <c r="H66" s="82"/>
      <c r="I66" s="82"/>
      <c r="J66" s="82"/>
      <c r="K66" s="82" t="b">
        <v>1</v>
      </c>
      <c r="L66" s="86" t="s">
        <v>4078</v>
      </c>
      <c r="M66" s="95" t="s">
        <v>4165</v>
      </c>
      <c r="N66" s="95" t="s">
        <v>4164</v>
      </c>
      <c r="O66" s="95" t="str">
        <f t="shared" si="7"/>
        <v>TRUE</v>
      </c>
      <c r="P66" s="95"/>
      <c r="Q66" s="95">
        <v>1</v>
      </c>
      <c r="R66" s="95">
        <v>3</v>
      </c>
      <c r="S66" s="83">
        <v>52</v>
      </c>
      <c r="T66" s="82">
        <v>68</v>
      </c>
      <c r="U66" s="95"/>
      <c r="V66" s="95">
        <v>0.5</v>
      </c>
      <c r="W66" s="95">
        <v>4</v>
      </c>
      <c r="X66" s="95">
        <v>14</v>
      </c>
      <c r="Y66" s="95" t="s">
        <v>2384</v>
      </c>
      <c r="Z66" s="95">
        <v>22</v>
      </c>
      <c r="AA66" s="95" t="str">
        <f t="shared" si="9"/>
        <v>DA_WPN_MC_WebScepter</v>
      </c>
      <c r="AB66" s="90" t="str">
        <f t="shared" si="2"/>
        <v>/Game/DungeonSiege/Items/Weapons/Mace/DA_WPN_MC_WebScepter</v>
      </c>
      <c r="AC66" s="97" t="str">
        <f t="shared" si="3"/>
        <v>Texture2D'/Game/DungeonSiege/art/bitmaps/gui/in_game/inventory/weapons/mace/b_gui_ig_i_w_mce_059.b_gui_ig_i_w_mce_059'</v>
      </c>
      <c r="AD66" s="97" t="str">
        <f t="shared" si="5"/>
        <v>Texture2D'/Game/DungeonSiege/art/bitmaps/gui/in_game/inventory/icons/b_gui_ig_i_ic_msc_002.b_gui_ig_i_ic_msc_002'</v>
      </c>
      <c r="AE66" s="97" t="str">
        <f t="shared" si="4"/>
        <v>StaticMesh'/Game/DungeonSiege/art/meshes/weapons/mace/m_w_mce_059_AspMesh.m_w_mce_059_AspMesh'</v>
      </c>
    </row>
    <row r="67" spans="1:31" ht="15.75" thickBot="1" x14ac:dyDescent="0.3">
      <c r="A67" s="95">
        <v>65</v>
      </c>
      <c r="B67" s="95">
        <f>A67+Items!B$23</f>
        <v>90177601</v>
      </c>
      <c r="C67" s="96" t="s">
        <v>4106</v>
      </c>
      <c r="D67" s="96" t="s">
        <v>4106</v>
      </c>
      <c r="E67" s="95" t="s">
        <v>3525</v>
      </c>
      <c r="F67" s="95" t="s">
        <v>4163</v>
      </c>
      <c r="G67" s="95"/>
      <c r="H67" s="95" t="b">
        <v>1</v>
      </c>
      <c r="I67" s="95"/>
      <c r="J67" s="95"/>
      <c r="K67" s="95"/>
      <c r="L67" s="95" t="s">
        <v>4105</v>
      </c>
      <c r="M67" s="95" t="s">
        <v>4104</v>
      </c>
      <c r="N67" s="95" t="s">
        <v>4081</v>
      </c>
      <c r="O67" s="95" t="str">
        <f t="shared" si="7"/>
        <v>FALSE</v>
      </c>
      <c r="P67" s="95"/>
      <c r="Q67" s="95">
        <v>1</v>
      </c>
      <c r="R67" s="95">
        <v>3</v>
      </c>
      <c r="S67" s="95">
        <v>3</v>
      </c>
      <c r="T67" s="95">
        <v>9</v>
      </c>
      <c r="U67" s="95"/>
      <c r="V67" s="95">
        <v>0.5</v>
      </c>
      <c r="W67" s="95">
        <v>0</v>
      </c>
      <c r="X67" s="95">
        <v>0</v>
      </c>
      <c r="Y67" s="95"/>
      <c r="Z67" s="95"/>
      <c r="AA67" s="95" t="str">
        <f t="shared" si="9"/>
        <v>DA_WPN_MC_InferiorFlangedMace</v>
      </c>
      <c r="AB67" s="90" t="str">
        <f t="shared" ref="AB67" si="10">"/Game/DungeonSiege/Items/Weapons/Mace/" &amp; AA67</f>
        <v>/Game/DungeonSiege/Items/Weapons/Mace/DA_WPN_MC_InferiorFlangedMace</v>
      </c>
      <c r="AC67" s="97" t="str">
        <f t="shared" ref="AC67" si="11">CONCATENATE("Texture2D'/Game/DungeonSiege/art/bitmaps/gui/in_game/inventory/weapons/mace/",M67,".",M67,"'")</f>
        <v>Texture2D'/Game/DungeonSiege/art/bitmaps/gui/in_game/inventory/weapons/mace/b_gui_ig_i_w_mce_008.b_gui_ig_i_w_mce_008'</v>
      </c>
      <c r="AD67" s="97" t="str">
        <f t="shared" si="5"/>
        <v>Texture2D'/Game/DungeonSiege/art/bitmaps/gui/in_game/inventory/icons/b_gui_ig_i_ic_mce_002.b_gui_ig_i_ic_mce_002'</v>
      </c>
      <c r="AE67" s="97" t="str">
        <f t="shared" ref="AE67" si="12">CONCATENATE("StaticMesh'/Game/DungeonSiege/art/meshes/weapons/mace/",F67,"_AspMesh.",F67,"_AspMesh'")</f>
        <v>StaticMesh'/Game/DungeonSiege/art/meshes/weapons/mace/m_w_mce_008_AspMesh.m_w_mce_008_AspMesh'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print="0" autoFill="0" autoPict="0" macro="[0]!ExportWeapons_Mace">
                <anchor moveWithCells="1" sizeWithCells="1">
                  <from>
                    <xdr:col>0</xdr:col>
                    <xdr:colOff>0</xdr:colOff>
                    <xdr:row>0</xdr:row>
                    <xdr:rowOff>28575</xdr:rowOff>
                  </from>
                  <to>
                    <xdr:col>0</xdr:col>
                    <xdr:colOff>838200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970C7-BF54-4F64-9E3B-6B05613F984B}">
  <sheetPr codeName="Sheet22"/>
  <dimension ref="A1:AE17"/>
  <sheetViews>
    <sheetView zoomScale="190" zoomScaleNormal="190" workbookViewId="0">
      <selection activeCell="D6" sqref="D6"/>
    </sheetView>
  </sheetViews>
  <sheetFormatPr defaultRowHeight="15" x14ac:dyDescent="0.25"/>
  <cols>
    <col min="1" max="1" width="14.85546875" style="1" customWidth="1"/>
    <col min="2" max="2" width="11.140625" style="1" customWidth="1"/>
    <col min="3" max="3" width="18.85546875" style="1" bestFit="1" customWidth="1"/>
    <col min="4" max="4" width="17" style="1" bestFit="1" customWidth="1"/>
    <col min="5" max="5" width="4.28515625" style="1" bestFit="1" customWidth="1"/>
    <col min="6" max="6" width="17.42578125" style="1" bestFit="1" customWidth="1"/>
    <col min="7" max="7" width="5.5703125" style="1" bestFit="1" customWidth="1"/>
    <col min="8" max="8" width="7" style="1" bestFit="1" customWidth="1"/>
    <col min="9" max="11" width="4.7109375" style="1" bestFit="1" customWidth="1"/>
    <col min="12" max="12" width="22.42578125" style="1" bestFit="1" customWidth="1"/>
    <col min="13" max="13" width="17.5703125" style="1" bestFit="1" customWidth="1"/>
    <col min="14" max="14" width="17.28515625" style="1" bestFit="1" customWidth="1"/>
    <col min="15" max="15" width="9.7109375" style="1" customWidth="1"/>
    <col min="16" max="16" width="6.28515625" style="1" bestFit="1" customWidth="1"/>
    <col min="17" max="18" width="8.42578125" style="1" bestFit="1" customWidth="1"/>
    <col min="19" max="19" width="9.140625" style="1"/>
    <col min="20" max="20" width="8.5703125" style="1" bestFit="1" customWidth="1"/>
    <col min="21" max="21" width="6" style="1" bestFit="1" customWidth="1"/>
    <col min="22" max="22" width="5.85546875" style="1" bestFit="1" customWidth="1"/>
    <col min="23" max="23" width="9" style="1" bestFit="1" customWidth="1"/>
    <col min="24" max="24" width="8.5703125" style="1" bestFit="1" customWidth="1"/>
    <col min="25" max="26" width="9.28515625" style="1" bestFit="1" customWidth="1"/>
    <col min="27" max="27" width="28" style="1" bestFit="1" customWidth="1"/>
    <col min="28" max="28" width="59" style="91" bestFit="1" customWidth="1"/>
    <col min="29" max="29" width="82.140625" style="91" bestFit="1" customWidth="1"/>
    <col min="30" max="30" width="75.5703125" style="91" bestFit="1" customWidth="1"/>
    <col min="31" max="31" width="81" style="91" bestFit="1" customWidth="1"/>
    <col min="32" max="16384" width="9.140625" style="1"/>
  </cols>
  <sheetData>
    <row r="1" spans="1:31" s="84" customFormat="1" ht="34.5" thickBot="1" x14ac:dyDescent="0.3">
      <c r="A1" s="30"/>
      <c r="B1" s="30" t="s">
        <v>28</v>
      </c>
      <c r="C1" s="30" t="s">
        <v>0</v>
      </c>
      <c r="D1" s="30" t="s">
        <v>3401</v>
      </c>
      <c r="E1" s="30" t="s">
        <v>3391</v>
      </c>
      <c r="F1" s="93" t="s">
        <v>3400</v>
      </c>
      <c r="G1" s="93" t="s">
        <v>3526</v>
      </c>
      <c r="H1" s="80" t="s">
        <v>2908</v>
      </c>
      <c r="I1" s="80" t="s">
        <v>2909</v>
      </c>
      <c r="J1" s="80" t="s">
        <v>2910</v>
      </c>
      <c r="K1" s="80" t="s">
        <v>2911</v>
      </c>
      <c r="L1" s="30" t="s">
        <v>2495</v>
      </c>
      <c r="M1" s="93" t="s">
        <v>406</v>
      </c>
      <c r="N1" s="93" t="s">
        <v>3399</v>
      </c>
      <c r="O1" s="93" t="s">
        <v>3398</v>
      </c>
      <c r="P1" s="93" t="s">
        <v>678</v>
      </c>
      <c r="Q1" s="93" t="s">
        <v>2502</v>
      </c>
      <c r="R1" s="93" t="s">
        <v>2501</v>
      </c>
      <c r="S1" s="30" t="s">
        <v>3392</v>
      </c>
      <c r="T1" s="30" t="s">
        <v>3393</v>
      </c>
      <c r="U1" s="30" t="s">
        <v>3394</v>
      </c>
      <c r="V1" s="30" t="s">
        <v>3395</v>
      </c>
      <c r="W1" s="30" t="s">
        <v>3397</v>
      </c>
      <c r="X1" s="30" t="s">
        <v>3396</v>
      </c>
      <c r="Y1" s="30" t="s">
        <v>2906</v>
      </c>
      <c r="Z1" s="30" t="s">
        <v>2907</v>
      </c>
      <c r="AA1" s="89" t="s">
        <v>335</v>
      </c>
      <c r="AB1" s="93" t="s">
        <v>334</v>
      </c>
      <c r="AC1" s="95" t="s">
        <v>5628</v>
      </c>
      <c r="AD1" s="95" t="s">
        <v>5629</v>
      </c>
      <c r="AE1" s="95" t="s">
        <v>5630</v>
      </c>
    </row>
    <row r="2" spans="1:31" ht="15.75" thickBot="1" x14ac:dyDescent="0.3">
      <c r="A2" s="95">
        <v>0</v>
      </c>
      <c r="B2" s="95">
        <f>A2+Items!B$20</f>
        <v>87031808</v>
      </c>
      <c r="C2" s="95" t="s">
        <v>3723</v>
      </c>
      <c r="D2" s="95" t="s">
        <v>3723</v>
      </c>
      <c r="E2" s="95" t="s">
        <v>3525</v>
      </c>
      <c r="F2" s="95" t="s">
        <v>3754</v>
      </c>
      <c r="G2" s="95"/>
      <c r="H2" s="95" t="b">
        <v>1</v>
      </c>
      <c r="I2" s="95"/>
      <c r="J2" s="95"/>
      <c r="K2" s="95"/>
      <c r="L2" s="95" t="s">
        <v>3736</v>
      </c>
      <c r="M2" s="95" t="s">
        <v>3800</v>
      </c>
      <c r="N2" s="95" t="s">
        <v>3864</v>
      </c>
      <c r="O2" s="95" t="b">
        <v>0</v>
      </c>
      <c r="P2" s="95"/>
      <c r="Q2" s="95">
        <v>1</v>
      </c>
      <c r="R2" s="95">
        <v>2</v>
      </c>
      <c r="S2" s="95">
        <v>3</v>
      </c>
      <c r="T2" s="95">
        <v>5</v>
      </c>
      <c r="U2" s="95"/>
      <c r="V2" s="95">
        <v>0.5</v>
      </c>
      <c r="W2" s="95">
        <v>0</v>
      </c>
      <c r="X2" s="95">
        <v>0</v>
      </c>
      <c r="Y2" s="95"/>
      <c r="Z2" s="95">
        <v>0</v>
      </c>
      <c r="AA2" s="95" t="str">
        <f>CONCATENATE("DA_WPN_CL_",SUBSTITUTE(SUBSTITUTE(SUBSTITUTE(C2," ",""),"(","_"),")",""))</f>
        <v>DA_WPN_CL_Cudgel</v>
      </c>
      <c r="AB2" s="90" t="str">
        <f>"/Game/DungeonSiege/Items/Weapons/Club/" &amp; AA2</f>
        <v>/Game/DungeonSiege/Items/Weapons/Club/DA_WPN_CL_Cudgel</v>
      </c>
      <c r="AC2" s="97" t="str">
        <f>CONCATENATE("Texture2D'/Game/DungeonSiege/art/bitmaps/gui/in_game/inventory/weapons/club/",M2,".",M2,"'")</f>
        <v>Texture2D'/Game/DungeonSiege/art/bitmaps/gui/in_game/inventory/weapons/club/b_gui_ig_i_w_clb_007.b_gui_ig_i_w_clb_007'</v>
      </c>
      <c r="AD2" s="97" t="str">
        <f t="shared" ref="AD2:AD6" si="0">CONCATENATE("Texture2D'/Game/DungeonSiege/art/bitmaps/gui/in_game/inventory/icons/",N2,".",N2,"'")</f>
        <v>Texture2D'/Game/DungeonSiege/art/bitmaps/gui/in_game/inventory/icons/b_gui_ig_i_ic_clb_001.b_gui_ig_i_ic_clb_001'</v>
      </c>
      <c r="AE2" s="97" t="str">
        <f t="shared" ref="AE2:AE4" si="1">CONCATENATE("StaticMesh'/Game/DungeonSiege/art/meshes/weapons/sword/",F2,"_AspMesh.",F2,"_AspMesh'")</f>
        <v>StaticMesh'/Game/DungeonSiege/art/meshes/weapons/sword/m_w_clb_007_AspMesh.m_w_clb_007_AspMesh'</v>
      </c>
    </row>
    <row r="3" spans="1:31" ht="15.75" thickBot="1" x14ac:dyDescent="0.3">
      <c r="A3" s="95">
        <v>1</v>
      </c>
      <c r="B3" s="95">
        <f>A3+Items!B$20</f>
        <v>87031809</v>
      </c>
      <c r="C3" s="95" t="s">
        <v>3751</v>
      </c>
      <c r="D3" s="95" t="s">
        <v>3723</v>
      </c>
      <c r="E3" s="95" t="s">
        <v>3525</v>
      </c>
      <c r="F3" s="95" t="s">
        <v>3870</v>
      </c>
      <c r="G3" s="95"/>
      <c r="H3" s="95" t="b">
        <v>1</v>
      </c>
      <c r="I3" s="95"/>
      <c r="J3" s="95"/>
      <c r="K3" s="95"/>
      <c r="L3" s="95" t="s">
        <v>3863</v>
      </c>
      <c r="M3" s="95" t="s">
        <v>3865</v>
      </c>
      <c r="N3" s="95" t="s">
        <v>3864</v>
      </c>
      <c r="O3" s="95" t="b">
        <v>0</v>
      </c>
      <c r="P3" s="95"/>
      <c r="Q3" s="95">
        <v>1</v>
      </c>
      <c r="R3" s="95">
        <v>2</v>
      </c>
      <c r="S3" s="95">
        <v>2</v>
      </c>
      <c r="T3" s="95">
        <v>4</v>
      </c>
      <c r="U3" s="95"/>
      <c r="V3" s="95">
        <v>0.5</v>
      </c>
      <c r="W3" s="95">
        <v>0</v>
      </c>
      <c r="X3" s="95">
        <v>0</v>
      </c>
      <c r="Y3" s="95"/>
      <c r="Z3" s="95">
        <v>0</v>
      </c>
      <c r="AA3" s="95" t="str">
        <f t="shared" ref="AA3:AA17" si="2">CONCATENATE("DA_WPN_CL_",SUBSTITUTE(SUBSTITUTE(SUBSTITUTE(C3," ",""),"(","_"),")",""))</f>
        <v>DA_WPN_CL_Cudgel_c_fin</v>
      </c>
      <c r="AB3" s="90" t="str">
        <f t="shared" ref="AB3:AB17" si="3">"/Game/DungeonSiege/Items/Weapons/Club/" &amp; AA3</f>
        <v>/Game/DungeonSiege/Items/Weapons/Club/DA_WPN_CL_Cudgel_c_fin</v>
      </c>
      <c r="AC3" s="97" t="str">
        <f t="shared" ref="AC3:AC17" si="4">CONCATENATE("Texture2D'/Game/DungeonSiege/art/bitmaps/gui/in_game/inventory/weapons/club/",M3,".",M3,"'")</f>
        <v>Texture2D'/Game/DungeonSiege/art/bitmaps/gui/in_game/inventory/weapons/club/b_gui_ig_i_w_clb_004.b_gui_ig_i_w_clb_004'</v>
      </c>
      <c r="AD3" s="97" t="str">
        <f t="shared" si="0"/>
        <v>Texture2D'/Game/DungeonSiege/art/bitmaps/gui/in_game/inventory/icons/b_gui_ig_i_ic_clb_001.b_gui_ig_i_ic_clb_001'</v>
      </c>
      <c r="AE3" s="97" t="str">
        <f t="shared" si="1"/>
        <v>StaticMesh'/Game/DungeonSiege/art/meshes/weapons/sword/m_w_clb_002_AspMesh.m_w_clb_002_AspMesh'</v>
      </c>
    </row>
    <row r="4" spans="1:31" ht="15.75" thickBot="1" x14ac:dyDescent="0.3">
      <c r="A4" s="95">
        <v>2</v>
      </c>
      <c r="B4" s="95">
        <f>A4+Items!B$20</f>
        <v>87031810</v>
      </c>
      <c r="C4" s="95" t="s">
        <v>3752</v>
      </c>
      <c r="D4" s="95" t="s">
        <v>3723</v>
      </c>
      <c r="E4" s="95" t="s">
        <v>3525</v>
      </c>
      <c r="F4" s="95" t="s">
        <v>3869</v>
      </c>
      <c r="G4" s="95"/>
      <c r="H4" s="95" t="b">
        <v>1</v>
      </c>
      <c r="I4" s="95"/>
      <c r="J4" s="95"/>
      <c r="K4" s="95"/>
      <c r="L4" s="95" t="s">
        <v>3737</v>
      </c>
      <c r="M4" s="95" t="s">
        <v>3866</v>
      </c>
      <c r="N4" s="95" t="s">
        <v>3864</v>
      </c>
      <c r="O4" s="95" t="b">
        <v>0</v>
      </c>
      <c r="P4" s="95"/>
      <c r="Q4" s="95">
        <v>1</v>
      </c>
      <c r="R4" s="95">
        <v>2</v>
      </c>
      <c r="S4" s="95">
        <v>5</v>
      </c>
      <c r="T4" s="95">
        <v>7</v>
      </c>
      <c r="U4" s="95"/>
      <c r="V4" s="95">
        <v>0.5</v>
      </c>
      <c r="W4" s="95">
        <v>0</v>
      </c>
      <c r="X4" s="95">
        <v>0</v>
      </c>
      <c r="Y4" s="95"/>
      <c r="Z4" s="95">
        <v>0</v>
      </c>
      <c r="AA4" s="95" t="str">
        <f t="shared" si="2"/>
        <v>DA_WPN_CL_Cudgel_o_avg</v>
      </c>
      <c r="AB4" s="90" t="str">
        <f t="shared" si="3"/>
        <v>/Game/DungeonSiege/Items/Weapons/Club/DA_WPN_CL_Cudgel_o_avg</v>
      </c>
      <c r="AC4" s="97" t="str">
        <f t="shared" si="4"/>
        <v>Texture2D'/Game/DungeonSiege/art/bitmaps/gui/in_game/inventory/weapons/club/b_gui_ig_i_w_clb_010.b_gui_ig_i_w_clb_010'</v>
      </c>
      <c r="AD4" s="97" t="str">
        <f t="shared" si="0"/>
        <v>Texture2D'/Game/DungeonSiege/art/bitmaps/gui/in_game/inventory/icons/b_gui_ig_i_ic_clb_001.b_gui_ig_i_ic_clb_001'</v>
      </c>
      <c r="AE4" s="97" t="str">
        <f t="shared" si="1"/>
        <v>StaticMesh'/Game/DungeonSiege/art/meshes/weapons/sword/m_w_clb_010_AspMesh.m_w_clb_010_AspMesh'</v>
      </c>
    </row>
    <row r="5" spans="1:31" ht="15.75" thickBot="1" x14ac:dyDescent="0.3">
      <c r="A5" s="95">
        <v>3</v>
      </c>
      <c r="B5" s="95">
        <f>A5+Items!B$20</f>
        <v>87031811</v>
      </c>
      <c r="C5" s="95" t="s">
        <v>3753</v>
      </c>
      <c r="D5" s="95" t="s">
        <v>3723</v>
      </c>
      <c r="E5" s="95" t="s">
        <v>3525</v>
      </c>
      <c r="F5" s="95" t="s">
        <v>3868</v>
      </c>
      <c r="G5" s="95"/>
      <c r="H5" s="95" t="b">
        <v>1</v>
      </c>
      <c r="I5" s="95"/>
      <c r="J5" s="95"/>
      <c r="K5" s="95"/>
      <c r="L5" s="95" t="s">
        <v>3738</v>
      </c>
      <c r="M5" s="95" t="s">
        <v>3867</v>
      </c>
      <c r="N5" s="95" t="s">
        <v>3864</v>
      </c>
      <c r="O5" s="95" t="b">
        <v>0</v>
      </c>
      <c r="P5" s="95"/>
      <c r="Q5" s="95">
        <v>1</v>
      </c>
      <c r="R5" s="95">
        <v>2</v>
      </c>
      <c r="S5" s="95">
        <v>7</v>
      </c>
      <c r="T5" s="95">
        <v>10</v>
      </c>
      <c r="U5" s="95"/>
      <c r="V5" s="95">
        <v>0.5</v>
      </c>
      <c r="W5" s="95">
        <v>0</v>
      </c>
      <c r="X5" s="95">
        <v>0</v>
      </c>
      <c r="Y5" s="95"/>
      <c r="Z5" s="95">
        <v>0</v>
      </c>
      <c r="AA5" s="95" t="str">
        <f t="shared" si="2"/>
        <v>DA_WPN_CL_Cudgel_o_fin</v>
      </c>
      <c r="AB5" s="90" t="str">
        <f t="shared" si="3"/>
        <v>/Game/DungeonSiege/Items/Weapons/Club/DA_WPN_CL_Cudgel_o_fin</v>
      </c>
      <c r="AC5" s="97" t="str">
        <f t="shared" si="4"/>
        <v>Texture2D'/Game/DungeonSiege/art/bitmaps/gui/in_game/inventory/weapons/club/b_gui_ig_i_w_clb_011.b_gui_ig_i_w_clb_011'</v>
      </c>
      <c r="AD5" s="97" t="str">
        <f t="shared" si="0"/>
        <v>Texture2D'/Game/DungeonSiege/art/bitmaps/gui/in_game/inventory/icons/b_gui_ig_i_ic_clb_001.b_gui_ig_i_ic_clb_001'</v>
      </c>
      <c r="AE5" s="97" t="str">
        <f>CONCATENATE("StaticMesh'/Game/DungeonSiege/art/meshes/weapons/club/",F5,"_AspMesh.",F5,"_AspMesh'")</f>
        <v>StaticMesh'/Game/DungeonSiege/art/meshes/weapons/club/m_w_clb_011_AspMesh.m_w_clb_011_AspMesh'</v>
      </c>
    </row>
    <row r="6" spans="1:31" ht="15.75" thickBot="1" x14ac:dyDescent="0.3">
      <c r="A6" s="95">
        <v>4</v>
      </c>
      <c r="B6" s="95">
        <f>A6+Items!B$20</f>
        <v>87031812</v>
      </c>
      <c r="C6" s="95" t="s">
        <v>3724</v>
      </c>
      <c r="D6" s="95" t="s">
        <v>3724</v>
      </c>
      <c r="E6" s="95" t="s">
        <v>3525</v>
      </c>
      <c r="F6" s="95" t="s">
        <v>3872</v>
      </c>
      <c r="G6" s="95"/>
      <c r="H6" s="95" t="b">
        <v>1</v>
      </c>
      <c r="I6" s="95"/>
      <c r="J6" s="95"/>
      <c r="K6" s="95"/>
      <c r="L6" s="95" t="s">
        <v>3739</v>
      </c>
      <c r="M6" s="95" t="s">
        <v>3871</v>
      </c>
      <c r="N6" s="95" t="s">
        <v>3864</v>
      </c>
      <c r="O6" s="95" t="b">
        <v>0</v>
      </c>
      <c r="P6" s="95"/>
      <c r="Q6" s="95">
        <v>1</v>
      </c>
      <c r="R6" s="95">
        <v>2</v>
      </c>
      <c r="S6" s="95">
        <v>2</v>
      </c>
      <c r="T6" s="95">
        <v>4</v>
      </c>
      <c r="U6" s="95"/>
      <c r="V6" s="95">
        <v>0.5</v>
      </c>
      <c r="W6" s="95">
        <v>0</v>
      </c>
      <c r="X6" s="95">
        <v>0</v>
      </c>
      <c r="Y6" s="95"/>
      <c r="Z6" s="95">
        <v>0</v>
      </c>
      <c r="AA6" s="95" t="str">
        <f t="shared" si="2"/>
        <v>DA_WPN_CL_RockClub</v>
      </c>
      <c r="AB6" s="90" t="str">
        <f t="shared" si="3"/>
        <v>/Game/DungeonSiege/Items/Weapons/Club/DA_WPN_CL_RockClub</v>
      </c>
      <c r="AC6" s="97" t="str">
        <f t="shared" si="4"/>
        <v>Texture2D'/Game/DungeonSiege/art/bitmaps/gui/in_game/inventory/weapons/club/b_gui_ig_i_w_clb_008.b_gui_ig_i_w_clb_008'</v>
      </c>
      <c r="AD6" s="97" t="str">
        <f t="shared" si="0"/>
        <v>Texture2D'/Game/DungeonSiege/art/bitmaps/gui/in_game/inventory/icons/b_gui_ig_i_ic_clb_001.b_gui_ig_i_ic_clb_001'</v>
      </c>
      <c r="AE6" s="97" t="str">
        <f t="shared" ref="AE6:AE17" si="5">CONCATENATE("StaticMesh'/Game/DungeonSiege/art/meshes/weapons/club/",F6,"_AspMesh.",F6,"_AspMesh'")</f>
        <v>StaticMesh'/Game/DungeonSiege/art/meshes/weapons/club/m_w_clb_008_AspMesh.m_w_clb_008_AspMesh'</v>
      </c>
    </row>
    <row r="7" spans="1:31" ht="15.75" thickBot="1" x14ac:dyDescent="0.3">
      <c r="A7" s="95">
        <v>5</v>
      </c>
      <c r="B7" s="95">
        <f>A7+Items!B$20</f>
        <v>87031813</v>
      </c>
      <c r="C7" s="95" t="s">
        <v>3725</v>
      </c>
      <c r="D7" s="95" t="s">
        <v>3725</v>
      </c>
      <c r="E7" s="95" t="s">
        <v>3525</v>
      </c>
      <c r="F7" s="95" t="s">
        <v>3874</v>
      </c>
      <c r="G7" s="95"/>
      <c r="H7" s="95" t="b">
        <v>1</v>
      </c>
      <c r="I7" s="95"/>
      <c r="J7" s="95"/>
      <c r="K7" s="95"/>
      <c r="L7" s="95" t="s">
        <v>3740</v>
      </c>
      <c r="M7" s="95" t="s">
        <v>3873</v>
      </c>
      <c r="N7" s="95" t="s">
        <v>3864</v>
      </c>
      <c r="O7" s="95" t="b">
        <v>0</v>
      </c>
      <c r="P7" s="95"/>
      <c r="Q7" s="95">
        <v>1</v>
      </c>
      <c r="R7" s="95">
        <v>2</v>
      </c>
      <c r="S7" s="95">
        <v>2</v>
      </c>
      <c r="T7" s="95">
        <v>3</v>
      </c>
      <c r="U7" s="95"/>
      <c r="V7" s="95">
        <v>0.5</v>
      </c>
      <c r="W7" s="95">
        <v>0</v>
      </c>
      <c r="X7" s="95">
        <v>0</v>
      </c>
      <c r="Y7" s="95"/>
      <c r="Z7" s="95">
        <v>0</v>
      </c>
      <c r="AA7" s="95" t="str">
        <f t="shared" si="2"/>
        <v>DA_WPN_CL_BoneClub</v>
      </c>
      <c r="AB7" s="90" t="str">
        <f t="shared" si="3"/>
        <v>/Game/DungeonSiege/Items/Weapons/Club/DA_WPN_CL_BoneClub</v>
      </c>
      <c r="AC7" s="97" t="str">
        <f t="shared" si="4"/>
        <v>Texture2D'/Game/DungeonSiege/art/bitmaps/gui/in_game/inventory/weapons/club/b_gui_ig_i_w_clb_001.b_gui_ig_i_w_clb_001'</v>
      </c>
      <c r="AD7" s="97" t="str">
        <f t="shared" ref="AD7:AD17" si="6">CONCATENATE("Texture2D'/Game/DungeonSiege/art/bitmaps/gui/in_game/inventory/icons/",N7,".",N7,"'")</f>
        <v>Texture2D'/Game/DungeonSiege/art/bitmaps/gui/in_game/inventory/icons/b_gui_ig_i_ic_clb_001.b_gui_ig_i_ic_clb_001'</v>
      </c>
      <c r="AE7" s="97" t="str">
        <f t="shared" si="5"/>
        <v>StaticMesh'/Game/DungeonSiege/art/meshes/weapons/club/m_w_clb_001_AspMesh.m_w_clb_001_AspMesh'</v>
      </c>
    </row>
    <row r="8" spans="1:31" ht="15.75" thickBot="1" x14ac:dyDescent="0.3">
      <c r="A8" s="95">
        <v>6</v>
      </c>
      <c r="B8" s="95">
        <f>A8+Items!B$20</f>
        <v>87031814</v>
      </c>
      <c r="C8" s="95" t="s">
        <v>3726</v>
      </c>
      <c r="D8" s="95" t="s">
        <v>3726</v>
      </c>
      <c r="E8" s="95" t="s">
        <v>3525</v>
      </c>
      <c r="F8" s="95" t="s">
        <v>3876</v>
      </c>
      <c r="G8" s="95"/>
      <c r="H8" s="95" t="b">
        <v>1</v>
      </c>
      <c r="I8" s="95"/>
      <c r="J8" s="95"/>
      <c r="K8" s="95"/>
      <c r="L8" s="95" t="s">
        <v>3741</v>
      </c>
      <c r="M8" s="95" t="s">
        <v>3875</v>
      </c>
      <c r="N8" s="95" t="s">
        <v>3864</v>
      </c>
      <c r="O8" s="95" t="b">
        <v>0</v>
      </c>
      <c r="P8" s="95"/>
      <c r="Q8" s="95">
        <v>1</v>
      </c>
      <c r="R8" s="95">
        <v>2</v>
      </c>
      <c r="S8" s="95">
        <v>2</v>
      </c>
      <c r="T8" s="95">
        <v>6</v>
      </c>
      <c r="U8" s="95"/>
      <c r="V8" s="95">
        <v>0.5</v>
      </c>
      <c r="W8" s="95">
        <v>0</v>
      </c>
      <c r="X8" s="95">
        <v>0</v>
      </c>
      <c r="Y8" s="95"/>
      <c r="Z8" s="95">
        <v>0</v>
      </c>
      <c r="AA8" s="95" t="str">
        <f t="shared" si="2"/>
        <v>DA_WPN_CL_SpikedClub</v>
      </c>
      <c r="AB8" s="90" t="str">
        <f t="shared" si="3"/>
        <v>/Game/DungeonSiege/Items/Weapons/Club/DA_WPN_CL_SpikedClub</v>
      </c>
      <c r="AC8" s="97" t="str">
        <f t="shared" si="4"/>
        <v>Texture2D'/Game/DungeonSiege/art/bitmaps/gui/in_game/inventory/weapons/club/b_gui_ig_i_w_clb_002.b_gui_ig_i_w_clb_002'</v>
      </c>
      <c r="AD8" s="97" t="str">
        <f t="shared" si="6"/>
        <v>Texture2D'/Game/DungeonSiege/art/bitmaps/gui/in_game/inventory/icons/b_gui_ig_i_ic_clb_001.b_gui_ig_i_ic_clb_001'</v>
      </c>
      <c r="AE8" s="97" t="str">
        <f t="shared" si="5"/>
        <v>StaticMesh'/Game/DungeonSiege/art/meshes/weapons/club/m_w_clb_004_AspMesh.m_w_clb_004_AspMesh'</v>
      </c>
    </row>
    <row r="9" spans="1:31" ht="15.75" thickBot="1" x14ac:dyDescent="0.3">
      <c r="A9" s="95">
        <v>7</v>
      </c>
      <c r="B9" s="95">
        <f>A9+Items!B$20</f>
        <v>87031815</v>
      </c>
      <c r="C9" s="95" t="s">
        <v>3727</v>
      </c>
      <c r="D9" s="95" t="s">
        <v>3727</v>
      </c>
      <c r="E9" s="95" t="s">
        <v>3525</v>
      </c>
      <c r="F9" s="95" t="s">
        <v>3877</v>
      </c>
      <c r="G9" s="95"/>
      <c r="H9" s="95" t="b">
        <v>1</v>
      </c>
      <c r="I9" s="95"/>
      <c r="J9" s="95"/>
      <c r="K9" s="95"/>
      <c r="L9" s="95" t="s">
        <v>3742</v>
      </c>
      <c r="M9" s="95" t="s">
        <v>3878</v>
      </c>
      <c r="N9" s="95" t="s">
        <v>3864</v>
      </c>
      <c r="O9" s="95" t="b">
        <v>0</v>
      </c>
      <c r="P9" s="95"/>
      <c r="Q9" s="95">
        <v>1</v>
      </c>
      <c r="R9" s="95">
        <v>2</v>
      </c>
      <c r="S9" s="95">
        <v>1</v>
      </c>
      <c r="T9" s="95">
        <v>3</v>
      </c>
      <c r="U9" s="95"/>
      <c r="V9" s="95">
        <v>0.5</v>
      </c>
      <c r="W9" s="95">
        <v>0</v>
      </c>
      <c r="X9" s="95">
        <v>0</v>
      </c>
      <c r="Y9" s="95"/>
      <c r="Z9" s="95">
        <v>0</v>
      </c>
      <c r="AA9" s="95" t="str">
        <f t="shared" si="2"/>
        <v>DA_WPN_CL_ChairLeg</v>
      </c>
      <c r="AB9" s="90" t="str">
        <f t="shared" si="3"/>
        <v>/Game/DungeonSiege/Items/Weapons/Club/DA_WPN_CL_ChairLeg</v>
      </c>
      <c r="AC9" s="97" t="str">
        <f t="shared" si="4"/>
        <v>Texture2D'/Game/DungeonSiege/art/bitmaps/gui/in_game/inventory/weapons/club/b_gui_ig_i_w_clb_003.b_gui_ig_i_w_clb_003'</v>
      </c>
      <c r="AD9" s="97" t="str">
        <f t="shared" si="6"/>
        <v>Texture2D'/Game/DungeonSiege/art/bitmaps/gui/in_game/inventory/icons/b_gui_ig_i_ic_clb_001.b_gui_ig_i_ic_clb_001'</v>
      </c>
      <c r="AE9" s="97" t="str">
        <f t="shared" si="5"/>
        <v>StaticMesh'/Game/DungeonSiege/art/meshes/weapons/club/m_w_clb_003_AspMesh.m_w_clb_003_AspMesh'</v>
      </c>
    </row>
    <row r="10" spans="1:31" ht="15.75" thickBot="1" x14ac:dyDescent="0.3">
      <c r="A10" s="95">
        <v>8</v>
      </c>
      <c r="B10" s="95">
        <f>A10+Items!B$20</f>
        <v>87031816</v>
      </c>
      <c r="C10" s="95" t="s">
        <v>3728</v>
      </c>
      <c r="D10" s="95" t="s">
        <v>3728</v>
      </c>
      <c r="E10" s="95" t="s">
        <v>3525</v>
      </c>
      <c r="F10" s="95" t="s">
        <v>3880</v>
      </c>
      <c r="G10" s="95"/>
      <c r="H10" s="95" t="b">
        <v>1</v>
      </c>
      <c r="I10" s="95"/>
      <c r="J10" s="95"/>
      <c r="K10" s="95"/>
      <c r="L10" s="95" t="s">
        <v>3743</v>
      </c>
      <c r="M10" s="95" t="s">
        <v>3879</v>
      </c>
      <c r="N10" s="95" t="s">
        <v>3864</v>
      </c>
      <c r="O10" s="95" t="b">
        <v>0</v>
      </c>
      <c r="P10" s="95"/>
      <c r="Q10" s="95">
        <v>1</v>
      </c>
      <c r="R10" s="95">
        <v>2</v>
      </c>
      <c r="S10" s="95">
        <v>1</v>
      </c>
      <c r="T10" s="95">
        <v>2</v>
      </c>
      <c r="U10" s="95"/>
      <c r="V10" s="95">
        <v>0.5</v>
      </c>
      <c r="W10" s="95">
        <v>0</v>
      </c>
      <c r="X10" s="95">
        <v>0</v>
      </c>
      <c r="Y10" s="95"/>
      <c r="Z10" s="95">
        <v>0</v>
      </c>
      <c r="AA10" s="95" t="str">
        <f t="shared" si="2"/>
        <v>DA_WPN_CL_Branch</v>
      </c>
      <c r="AB10" s="90" t="str">
        <f t="shared" si="3"/>
        <v>/Game/DungeonSiege/Items/Weapons/Club/DA_WPN_CL_Branch</v>
      </c>
      <c r="AC10" s="97" t="str">
        <f t="shared" si="4"/>
        <v>Texture2D'/Game/DungeonSiege/art/bitmaps/gui/in_game/inventory/weapons/club/b_gui_ig_i_w_clb_005.b_gui_ig_i_w_clb_005'</v>
      </c>
      <c r="AD10" s="97" t="str">
        <f t="shared" si="6"/>
        <v>Texture2D'/Game/DungeonSiege/art/bitmaps/gui/in_game/inventory/icons/b_gui_ig_i_ic_clb_001.b_gui_ig_i_ic_clb_001'</v>
      </c>
      <c r="AE10" s="97" t="str">
        <f t="shared" si="5"/>
        <v>StaticMesh'/Game/DungeonSiege/art/meshes/weapons/club/m_w_clb_005_AspMesh.m_w_clb_005_AspMesh'</v>
      </c>
    </row>
    <row r="11" spans="1:31" ht="15.75" thickBot="1" x14ac:dyDescent="0.3">
      <c r="A11" s="95">
        <v>9</v>
      </c>
      <c r="B11" s="95">
        <f>A11+Items!B$20</f>
        <v>87031817</v>
      </c>
      <c r="C11" s="95" t="s">
        <v>3729</v>
      </c>
      <c r="D11" s="95" t="s">
        <v>3729</v>
      </c>
      <c r="E11" s="95" t="s">
        <v>3525</v>
      </c>
      <c r="F11" s="95" t="s">
        <v>3882</v>
      </c>
      <c r="G11" s="95"/>
      <c r="H11" s="95" t="b">
        <v>1</v>
      </c>
      <c r="I11" s="95"/>
      <c r="J11" s="95"/>
      <c r="K11" s="95"/>
      <c r="L11" s="95" t="s">
        <v>3744</v>
      </c>
      <c r="M11" s="95" t="s">
        <v>3881</v>
      </c>
      <c r="N11" s="95" t="s">
        <v>3864</v>
      </c>
      <c r="O11" s="95" t="b">
        <v>0</v>
      </c>
      <c r="P11" s="95"/>
      <c r="Q11" s="95">
        <v>1</v>
      </c>
      <c r="R11" s="95">
        <v>4</v>
      </c>
      <c r="S11" s="95">
        <v>150</v>
      </c>
      <c r="T11" s="95">
        <v>180</v>
      </c>
      <c r="U11" s="95"/>
      <c r="V11" s="95">
        <v>0.5</v>
      </c>
      <c r="W11" s="95">
        <v>0</v>
      </c>
      <c r="X11" s="95">
        <v>0</v>
      </c>
      <c r="Y11" s="95" t="s">
        <v>2384</v>
      </c>
      <c r="Z11" s="95">
        <v>48</v>
      </c>
      <c r="AA11" s="95" t="str">
        <f t="shared" si="2"/>
        <v>DA_WPN_CL_Swanny'sClub</v>
      </c>
      <c r="AB11" s="90" t="str">
        <f t="shared" si="3"/>
        <v>/Game/DungeonSiege/Items/Weapons/Club/DA_WPN_CL_Swanny'sClub</v>
      </c>
      <c r="AC11" s="97" t="str">
        <f t="shared" si="4"/>
        <v>Texture2D'/Game/DungeonSiege/art/bitmaps/gui/in_game/inventory/weapons/club/b_gui_ig_i_w_clb_012.b_gui_ig_i_w_clb_012'</v>
      </c>
      <c r="AD11" s="97" t="str">
        <f t="shared" si="6"/>
        <v>Texture2D'/Game/DungeonSiege/art/bitmaps/gui/in_game/inventory/icons/b_gui_ig_i_ic_clb_001.b_gui_ig_i_ic_clb_001'</v>
      </c>
      <c r="AE11" s="97" t="str">
        <f t="shared" si="5"/>
        <v>StaticMesh'/Game/DungeonSiege/art/meshes/weapons/club/m_w_clb_012_AspMesh.m_w_clb_012_AspMesh'</v>
      </c>
    </row>
    <row r="12" spans="1:31" ht="15.75" thickBot="1" x14ac:dyDescent="0.3">
      <c r="A12" s="95">
        <v>10</v>
      </c>
      <c r="B12" s="95">
        <f>A12+Items!B$20</f>
        <v>87031818</v>
      </c>
      <c r="C12" s="95" t="s">
        <v>3730</v>
      </c>
      <c r="D12" s="95" t="s">
        <v>3730</v>
      </c>
      <c r="E12" s="95" t="s">
        <v>3525</v>
      </c>
      <c r="F12" s="95" t="s">
        <v>3755</v>
      </c>
      <c r="G12" s="95"/>
      <c r="H12" s="95" t="b">
        <v>1</v>
      </c>
      <c r="I12" s="95"/>
      <c r="J12" s="95"/>
      <c r="K12" s="95"/>
      <c r="L12" s="95" t="s">
        <v>3745</v>
      </c>
      <c r="M12" s="95" t="s">
        <v>3885</v>
      </c>
      <c r="N12" s="95" t="s">
        <v>3864</v>
      </c>
      <c r="O12" s="95" t="b">
        <v>0</v>
      </c>
      <c r="P12" s="95"/>
      <c r="Q12" s="95">
        <v>2</v>
      </c>
      <c r="R12" s="95">
        <v>4</v>
      </c>
      <c r="S12" s="95">
        <v>115</v>
      </c>
      <c r="T12" s="95">
        <v>125</v>
      </c>
      <c r="U12" s="95"/>
      <c r="V12" s="95">
        <v>0.5</v>
      </c>
      <c r="W12" s="95">
        <v>0</v>
      </c>
      <c r="X12" s="95">
        <v>0</v>
      </c>
      <c r="Y12" s="95" t="s">
        <v>2384</v>
      </c>
      <c r="Z12" s="95">
        <v>37</v>
      </c>
      <c r="AA12" s="95" t="str">
        <f t="shared" si="2"/>
        <v>DA_WPN_CL_MassiveClub</v>
      </c>
      <c r="AB12" s="90" t="str">
        <f t="shared" si="3"/>
        <v>/Game/DungeonSiege/Items/Weapons/Club/DA_WPN_CL_MassiveClub</v>
      </c>
      <c r="AC12" s="97" t="str">
        <f t="shared" si="4"/>
        <v>Texture2D'/Game/DungeonSiege/art/bitmaps/gui/in_game/inventory/weapons/club/b_gui_ig_i_w_clb_006.b_gui_ig_i_w_clb_006'</v>
      </c>
      <c r="AD12" s="97" t="str">
        <f t="shared" si="6"/>
        <v>Texture2D'/Game/DungeonSiege/art/bitmaps/gui/in_game/inventory/icons/b_gui_ig_i_ic_clb_001.b_gui_ig_i_ic_clb_001'</v>
      </c>
      <c r="AE12" s="97" t="str">
        <f t="shared" si="5"/>
        <v>StaticMesh'/Game/DungeonSiege/art/meshes/weapons/club/m_w_clb_006_AspMesh.m_w_clb_006_AspMesh'</v>
      </c>
    </row>
    <row r="13" spans="1:31" ht="15.75" thickBot="1" x14ac:dyDescent="0.3">
      <c r="A13" s="95">
        <v>11</v>
      </c>
      <c r="B13" s="95">
        <f>A13+Items!B$20</f>
        <v>87031819</v>
      </c>
      <c r="C13" s="95" t="s">
        <v>3731</v>
      </c>
      <c r="D13" s="95" t="s">
        <v>3731</v>
      </c>
      <c r="E13" s="95" t="s">
        <v>3525</v>
      </c>
      <c r="F13" s="95" t="s">
        <v>3883</v>
      </c>
      <c r="G13" s="95"/>
      <c r="H13" s="95" t="b">
        <v>1</v>
      </c>
      <c r="I13" s="95"/>
      <c r="J13" s="95"/>
      <c r="K13" s="95"/>
      <c r="L13" s="95" t="s">
        <v>3746</v>
      </c>
      <c r="M13" s="95" t="s">
        <v>3884</v>
      </c>
      <c r="N13" s="95" t="s">
        <v>3864</v>
      </c>
      <c r="O13" s="95" t="b">
        <v>0</v>
      </c>
      <c r="P13" s="95"/>
      <c r="Q13" s="95">
        <v>1</v>
      </c>
      <c r="R13" s="95">
        <v>3</v>
      </c>
      <c r="S13" s="95">
        <v>29</v>
      </c>
      <c r="T13" s="95">
        <v>31</v>
      </c>
      <c r="U13" s="95"/>
      <c r="V13" s="95">
        <v>0.5</v>
      </c>
      <c r="W13" s="95">
        <v>0</v>
      </c>
      <c r="X13" s="95">
        <v>0</v>
      </c>
      <c r="Y13" s="95" t="s">
        <v>2384</v>
      </c>
      <c r="Z13" s="95">
        <v>17</v>
      </c>
      <c r="AA13" s="95" t="str">
        <f t="shared" si="2"/>
        <v>DA_WPN_CL_HorridClub</v>
      </c>
      <c r="AB13" s="90" t="str">
        <f t="shared" si="3"/>
        <v>/Game/DungeonSiege/Items/Weapons/Club/DA_WPN_CL_HorridClub</v>
      </c>
      <c r="AC13" s="97" t="str">
        <f t="shared" si="4"/>
        <v>Texture2D'/Game/DungeonSiege/art/bitmaps/gui/in_game/inventory/weapons/club/b_gui_ig_i_w_clb_009.b_gui_ig_i_w_clb_009'</v>
      </c>
      <c r="AD13" s="97" t="str">
        <f t="shared" si="6"/>
        <v>Texture2D'/Game/DungeonSiege/art/bitmaps/gui/in_game/inventory/icons/b_gui_ig_i_ic_clb_001.b_gui_ig_i_ic_clb_001'</v>
      </c>
      <c r="AE13" s="97" t="str">
        <f t="shared" si="5"/>
        <v>StaticMesh'/Game/DungeonSiege/art/meshes/weapons/club/m_w_clb_009_AspMesh.m_w_clb_009_AspMesh'</v>
      </c>
    </row>
    <row r="14" spans="1:31" ht="15.75" thickBot="1" x14ac:dyDescent="0.3">
      <c r="A14" s="95">
        <v>12</v>
      </c>
      <c r="B14" s="95">
        <f>A14+Items!B$20</f>
        <v>87031820</v>
      </c>
      <c r="C14" s="95" t="s">
        <v>3732</v>
      </c>
      <c r="D14" s="95" t="s">
        <v>3732</v>
      </c>
      <c r="E14" s="95" t="s">
        <v>3525</v>
      </c>
      <c r="F14" s="95" t="s">
        <v>3883</v>
      </c>
      <c r="G14" s="95"/>
      <c r="H14" s="95" t="b">
        <v>1</v>
      </c>
      <c r="I14" s="95"/>
      <c r="J14" s="95"/>
      <c r="K14" s="95"/>
      <c r="L14" s="95" t="s">
        <v>3747</v>
      </c>
      <c r="M14" s="95" t="s">
        <v>3884</v>
      </c>
      <c r="N14" s="95" t="s">
        <v>3864</v>
      </c>
      <c r="O14" s="95" t="b">
        <v>0</v>
      </c>
      <c r="P14" s="95"/>
      <c r="Q14" s="95">
        <v>1</v>
      </c>
      <c r="R14" s="95">
        <v>3</v>
      </c>
      <c r="S14" s="95">
        <v>29</v>
      </c>
      <c r="T14" s="95">
        <v>31</v>
      </c>
      <c r="U14" s="95"/>
      <c r="V14" s="95">
        <v>0.5</v>
      </c>
      <c r="W14" s="95">
        <v>0</v>
      </c>
      <c r="X14" s="95">
        <v>0</v>
      </c>
      <c r="Y14" s="95" t="s">
        <v>2384</v>
      </c>
      <c r="Z14" s="95">
        <v>16</v>
      </c>
      <c r="AA14" s="95" t="str">
        <f t="shared" si="2"/>
        <v>DA_WPN_CL_TrollClub</v>
      </c>
      <c r="AB14" s="90" t="str">
        <f t="shared" si="3"/>
        <v>/Game/DungeonSiege/Items/Weapons/Club/DA_WPN_CL_TrollClub</v>
      </c>
      <c r="AC14" s="97" t="str">
        <f t="shared" si="4"/>
        <v>Texture2D'/Game/DungeonSiege/art/bitmaps/gui/in_game/inventory/weapons/club/b_gui_ig_i_w_clb_009.b_gui_ig_i_w_clb_009'</v>
      </c>
      <c r="AD14" s="97" t="str">
        <f t="shared" si="6"/>
        <v>Texture2D'/Game/DungeonSiege/art/bitmaps/gui/in_game/inventory/icons/b_gui_ig_i_ic_clb_001.b_gui_ig_i_ic_clb_001'</v>
      </c>
      <c r="AE14" s="97" t="str">
        <f t="shared" si="5"/>
        <v>StaticMesh'/Game/DungeonSiege/art/meshes/weapons/club/m_w_clb_009_AspMesh.m_w_clb_009_AspMesh'</v>
      </c>
    </row>
    <row r="15" spans="1:31" ht="15.75" thickBot="1" x14ac:dyDescent="0.3">
      <c r="A15" s="95">
        <v>13</v>
      </c>
      <c r="B15" s="95">
        <f>A15+Items!B$20</f>
        <v>87031821</v>
      </c>
      <c r="C15" s="95" t="s">
        <v>3733</v>
      </c>
      <c r="D15" s="95" t="s">
        <v>3733</v>
      </c>
      <c r="E15" s="95" t="s">
        <v>3525</v>
      </c>
      <c r="F15" s="95" t="s">
        <v>3883</v>
      </c>
      <c r="G15" s="95"/>
      <c r="H15" s="95" t="b">
        <v>1</v>
      </c>
      <c r="I15" s="95"/>
      <c r="J15" s="95"/>
      <c r="K15" s="95"/>
      <c r="L15" s="95" t="s">
        <v>3748</v>
      </c>
      <c r="M15" s="95" t="s">
        <v>3884</v>
      </c>
      <c r="N15" s="95" t="s">
        <v>3864</v>
      </c>
      <c r="O15" s="95" t="b">
        <v>0</v>
      </c>
      <c r="P15" s="95"/>
      <c r="Q15" s="95">
        <v>1</v>
      </c>
      <c r="R15" s="95">
        <v>3</v>
      </c>
      <c r="S15" s="95">
        <v>50</v>
      </c>
      <c r="T15" s="95">
        <v>54</v>
      </c>
      <c r="U15" s="95"/>
      <c r="V15" s="95">
        <v>0.5</v>
      </c>
      <c r="W15" s="95">
        <v>0</v>
      </c>
      <c r="X15" s="95">
        <v>0</v>
      </c>
      <c r="Y15" s="95" t="s">
        <v>2384</v>
      </c>
      <c r="Z15" s="95">
        <v>21</v>
      </c>
      <c r="AA15" s="95" t="str">
        <f t="shared" si="2"/>
        <v>DA_WPN_CL_TreeClub</v>
      </c>
      <c r="AB15" s="90" t="str">
        <f t="shared" si="3"/>
        <v>/Game/DungeonSiege/Items/Weapons/Club/DA_WPN_CL_TreeClub</v>
      </c>
      <c r="AC15" s="97" t="str">
        <f t="shared" si="4"/>
        <v>Texture2D'/Game/DungeonSiege/art/bitmaps/gui/in_game/inventory/weapons/club/b_gui_ig_i_w_clb_009.b_gui_ig_i_w_clb_009'</v>
      </c>
      <c r="AD15" s="97" t="str">
        <f t="shared" si="6"/>
        <v>Texture2D'/Game/DungeonSiege/art/bitmaps/gui/in_game/inventory/icons/b_gui_ig_i_ic_clb_001.b_gui_ig_i_ic_clb_001'</v>
      </c>
      <c r="AE15" s="97" t="str">
        <f t="shared" si="5"/>
        <v>StaticMesh'/Game/DungeonSiege/art/meshes/weapons/club/m_w_clb_009_AspMesh.m_w_clb_009_AspMesh'</v>
      </c>
    </row>
    <row r="16" spans="1:31" ht="15.75" thickBot="1" x14ac:dyDescent="0.3">
      <c r="A16" s="95">
        <v>14</v>
      </c>
      <c r="B16" s="95">
        <f>A16+Items!B$20</f>
        <v>87031822</v>
      </c>
      <c r="C16" s="95" t="s">
        <v>3734</v>
      </c>
      <c r="D16" s="95" t="s">
        <v>3734</v>
      </c>
      <c r="E16" s="95" t="s">
        <v>3525</v>
      </c>
      <c r="F16" s="95" t="s">
        <v>3883</v>
      </c>
      <c r="G16" s="95"/>
      <c r="H16" s="95" t="b">
        <v>1</v>
      </c>
      <c r="I16" s="95"/>
      <c r="J16" s="95"/>
      <c r="K16" s="95"/>
      <c r="L16" s="95" t="s">
        <v>3749</v>
      </c>
      <c r="M16" s="95" t="s">
        <v>3884</v>
      </c>
      <c r="N16" s="95" t="s">
        <v>3864</v>
      </c>
      <c r="O16" s="95" t="b">
        <v>0</v>
      </c>
      <c r="P16" s="95"/>
      <c r="Q16" s="95">
        <v>1</v>
      </c>
      <c r="R16" s="95">
        <v>3</v>
      </c>
      <c r="S16" s="95">
        <v>29</v>
      </c>
      <c r="T16" s="95">
        <v>31</v>
      </c>
      <c r="U16" s="95"/>
      <c r="V16" s="95">
        <v>0.5</v>
      </c>
      <c r="W16" s="95">
        <v>0</v>
      </c>
      <c r="X16" s="95">
        <v>0</v>
      </c>
      <c r="Y16" s="95" t="s">
        <v>2384</v>
      </c>
      <c r="Z16" s="95">
        <v>16</v>
      </c>
      <c r="AA16" s="95" t="str">
        <f t="shared" si="2"/>
        <v>DA_WPN_CL_RockyClub</v>
      </c>
      <c r="AB16" s="90" t="str">
        <f t="shared" si="3"/>
        <v>/Game/DungeonSiege/Items/Weapons/Club/DA_WPN_CL_RockyClub</v>
      </c>
      <c r="AC16" s="97" t="str">
        <f t="shared" si="4"/>
        <v>Texture2D'/Game/DungeonSiege/art/bitmaps/gui/in_game/inventory/weapons/club/b_gui_ig_i_w_clb_009.b_gui_ig_i_w_clb_009'</v>
      </c>
      <c r="AD16" s="97" t="str">
        <f t="shared" si="6"/>
        <v>Texture2D'/Game/DungeonSiege/art/bitmaps/gui/in_game/inventory/icons/b_gui_ig_i_ic_clb_001.b_gui_ig_i_ic_clb_001'</v>
      </c>
      <c r="AE16" s="97" t="str">
        <f t="shared" si="5"/>
        <v>StaticMesh'/Game/DungeonSiege/art/meshes/weapons/club/m_w_clb_009_AspMesh.m_w_clb_009_AspMesh'</v>
      </c>
    </row>
    <row r="17" spans="1:31" ht="15.75" thickBot="1" x14ac:dyDescent="0.3">
      <c r="A17" s="95">
        <v>15</v>
      </c>
      <c r="B17" s="95">
        <f>A17+Items!B$20</f>
        <v>87031823</v>
      </c>
      <c r="C17" s="95" t="s">
        <v>3735</v>
      </c>
      <c r="D17" s="95" t="s">
        <v>3735</v>
      </c>
      <c r="E17" s="95" t="s">
        <v>3525</v>
      </c>
      <c r="F17" s="95" t="s">
        <v>3883</v>
      </c>
      <c r="G17" s="95"/>
      <c r="H17" s="95" t="b">
        <v>1</v>
      </c>
      <c r="I17" s="95"/>
      <c r="J17" s="95"/>
      <c r="K17" s="95"/>
      <c r="L17" s="95" t="s">
        <v>3750</v>
      </c>
      <c r="M17" s="95" t="s">
        <v>3884</v>
      </c>
      <c r="N17" s="95" t="s">
        <v>3864</v>
      </c>
      <c r="O17" s="95" t="b">
        <v>0</v>
      </c>
      <c r="P17" s="95"/>
      <c r="Q17" s="95">
        <v>1</v>
      </c>
      <c r="R17" s="95">
        <v>3</v>
      </c>
      <c r="S17" s="95">
        <v>75</v>
      </c>
      <c r="T17" s="95">
        <v>85</v>
      </c>
      <c r="U17" s="95"/>
      <c r="V17" s="95">
        <v>0.5</v>
      </c>
      <c r="W17" s="95">
        <v>0</v>
      </c>
      <c r="X17" s="95">
        <v>0</v>
      </c>
      <c r="Y17" s="95" t="s">
        <v>2384</v>
      </c>
      <c r="Z17" s="95">
        <v>28</v>
      </c>
      <c r="AA17" s="95" t="str">
        <f t="shared" si="2"/>
        <v>DA_WPN_CL_SwampClub</v>
      </c>
      <c r="AB17" s="90" t="str">
        <f t="shared" si="3"/>
        <v>/Game/DungeonSiege/Items/Weapons/Club/DA_WPN_CL_SwampClub</v>
      </c>
      <c r="AC17" s="97" t="str">
        <f t="shared" si="4"/>
        <v>Texture2D'/Game/DungeonSiege/art/bitmaps/gui/in_game/inventory/weapons/club/b_gui_ig_i_w_clb_009.b_gui_ig_i_w_clb_009'</v>
      </c>
      <c r="AD17" s="97" t="str">
        <f t="shared" si="6"/>
        <v>Texture2D'/Game/DungeonSiege/art/bitmaps/gui/in_game/inventory/icons/b_gui_ig_i_ic_clb_001.b_gui_ig_i_ic_clb_001'</v>
      </c>
      <c r="AE17" s="97" t="str">
        <f t="shared" si="5"/>
        <v>StaticMesh'/Game/DungeonSiege/art/meshes/weapons/club/m_w_clb_009_AspMesh.m_w_clb_009_AspMesh'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ExportWeapons_Club">
                <anchor moveWithCells="1" sizeWithCells="1">
                  <from>
                    <xdr:col>0</xdr:col>
                    <xdr:colOff>0</xdr:colOff>
                    <xdr:row>0</xdr:row>
                    <xdr:rowOff>28575</xdr:rowOff>
                  </from>
                  <to>
                    <xdr:col>0</xdr:col>
                    <xdr:colOff>838200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78810-E332-4109-995E-C0FECD5FF326}">
  <sheetPr codeName="Sheet23"/>
  <dimension ref="A1:AE123"/>
  <sheetViews>
    <sheetView topLeftCell="T1" zoomScale="190" zoomScaleNormal="190" workbookViewId="0">
      <selection activeCell="U2" sqref="U2"/>
    </sheetView>
  </sheetViews>
  <sheetFormatPr defaultRowHeight="15" x14ac:dyDescent="0.25"/>
  <cols>
    <col min="1" max="1" width="15" style="1" customWidth="1"/>
    <col min="2" max="2" width="11.140625" style="1" customWidth="1"/>
    <col min="3" max="3" width="18.85546875" style="1" bestFit="1" customWidth="1"/>
    <col min="4" max="4" width="17" style="1" bestFit="1" customWidth="1"/>
    <col min="5" max="5" width="4.28515625" style="1" bestFit="1" customWidth="1"/>
    <col min="6" max="6" width="17.42578125" style="1" bestFit="1" customWidth="1"/>
    <col min="7" max="7" width="5.5703125" style="1" bestFit="1" customWidth="1"/>
    <col min="8" max="8" width="7" style="1" bestFit="1" customWidth="1"/>
    <col min="9" max="11" width="4.7109375" style="1" bestFit="1" customWidth="1"/>
    <col min="12" max="12" width="22.42578125" style="1" bestFit="1" customWidth="1"/>
    <col min="13" max="13" width="17.5703125" style="1" bestFit="1" customWidth="1"/>
    <col min="14" max="14" width="17.28515625" style="1" bestFit="1" customWidth="1"/>
    <col min="15" max="15" width="9.7109375" style="1" customWidth="1"/>
    <col min="16" max="16" width="6.28515625" style="1" bestFit="1" customWidth="1"/>
    <col min="17" max="18" width="8.42578125" style="1" bestFit="1" customWidth="1"/>
    <col min="19" max="19" width="9.140625" style="1"/>
    <col min="20" max="20" width="8.5703125" style="1" bestFit="1" customWidth="1"/>
    <col min="21" max="21" width="6" style="1" bestFit="1" customWidth="1"/>
    <col min="22" max="22" width="5.85546875" style="1" bestFit="1" customWidth="1"/>
    <col min="23" max="23" width="9" style="1" bestFit="1" customWidth="1"/>
    <col min="24" max="24" width="8.5703125" style="1" bestFit="1" customWidth="1"/>
    <col min="25" max="26" width="9.28515625" style="1" bestFit="1" customWidth="1"/>
    <col min="27" max="27" width="28" style="1" bestFit="1" customWidth="1"/>
    <col min="28" max="28" width="59" style="91" bestFit="1" customWidth="1"/>
    <col min="29" max="29" width="82.140625" style="91" bestFit="1" customWidth="1"/>
    <col min="30" max="30" width="75.5703125" style="91" bestFit="1" customWidth="1"/>
    <col min="31" max="31" width="81" style="91" bestFit="1" customWidth="1"/>
    <col min="32" max="16384" width="9.140625" style="1"/>
  </cols>
  <sheetData>
    <row r="1" spans="1:31" s="84" customFormat="1" ht="34.5" thickBot="1" x14ac:dyDescent="0.3">
      <c r="A1" s="30"/>
      <c r="B1" s="30" t="s">
        <v>28</v>
      </c>
      <c r="C1" s="30" t="s">
        <v>0</v>
      </c>
      <c r="D1" s="30" t="s">
        <v>3401</v>
      </c>
      <c r="E1" s="30" t="s">
        <v>3391</v>
      </c>
      <c r="F1" s="93" t="s">
        <v>3400</v>
      </c>
      <c r="G1" s="93" t="s">
        <v>3526</v>
      </c>
      <c r="H1" s="80" t="s">
        <v>2908</v>
      </c>
      <c r="I1" s="80" t="s">
        <v>2909</v>
      </c>
      <c r="J1" s="80" t="s">
        <v>2910</v>
      </c>
      <c r="K1" s="80" t="s">
        <v>2911</v>
      </c>
      <c r="L1" s="30" t="s">
        <v>2495</v>
      </c>
      <c r="M1" s="93" t="s">
        <v>406</v>
      </c>
      <c r="N1" s="93" t="s">
        <v>3399</v>
      </c>
      <c r="O1" s="93" t="s">
        <v>3398</v>
      </c>
      <c r="P1" s="93" t="s">
        <v>678</v>
      </c>
      <c r="Q1" s="93" t="s">
        <v>2502</v>
      </c>
      <c r="R1" s="93" t="s">
        <v>2501</v>
      </c>
      <c r="S1" s="30" t="s">
        <v>3392</v>
      </c>
      <c r="T1" s="30" t="s">
        <v>3393</v>
      </c>
      <c r="U1" s="30" t="s">
        <v>3394</v>
      </c>
      <c r="V1" s="30" t="s">
        <v>3395</v>
      </c>
      <c r="W1" s="30" t="s">
        <v>3397</v>
      </c>
      <c r="X1" s="30" t="s">
        <v>3396</v>
      </c>
      <c r="Y1" s="30" t="s">
        <v>2906</v>
      </c>
      <c r="Z1" s="30" t="s">
        <v>2907</v>
      </c>
      <c r="AA1" s="89" t="s">
        <v>335</v>
      </c>
      <c r="AB1" s="93" t="s">
        <v>334</v>
      </c>
      <c r="AC1" s="95" t="s">
        <v>5628</v>
      </c>
      <c r="AD1" s="95" t="s">
        <v>5629</v>
      </c>
      <c r="AE1" s="95" t="s">
        <v>5630</v>
      </c>
    </row>
    <row r="2" spans="1:31" ht="15.75" thickBot="1" x14ac:dyDescent="0.3">
      <c r="A2" s="95">
        <v>0</v>
      </c>
      <c r="B2" s="95">
        <f>A2+Items!B$19</f>
        <v>85983232</v>
      </c>
      <c r="C2" s="96" t="s">
        <v>6047</v>
      </c>
      <c r="D2" s="96" t="s">
        <v>6047</v>
      </c>
      <c r="E2" s="96" t="s">
        <v>3524</v>
      </c>
      <c r="F2" s="96" t="s">
        <v>6048</v>
      </c>
      <c r="G2" s="96"/>
      <c r="H2" s="96"/>
      <c r="I2" s="96"/>
      <c r="J2" s="96"/>
      <c r="K2" s="96"/>
      <c r="L2" s="96" t="s">
        <v>6049</v>
      </c>
      <c r="M2" s="96" t="s">
        <v>6050</v>
      </c>
      <c r="N2" s="96" t="s">
        <v>6051</v>
      </c>
      <c r="O2" s="95" t="str">
        <f t="shared" ref="O2:O46" si="0">IF(OR(I2=TRUE,J2=TRUE,K2=TRUE),"TRUE","FALSE")</f>
        <v>FALSE</v>
      </c>
      <c r="P2" s="95"/>
      <c r="Q2" s="96">
        <v>1</v>
      </c>
      <c r="R2" s="96">
        <v>4</v>
      </c>
      <c r="S2" s="96">
        <v>94</v>
      </c>
      <c r="T2" s="96">
        <v>110</v>
      </c>
      <c r="U2" s="96">
        <v>0.3</v>
      </c>
      <c r="V2" s="96">
        <v>13</v>
      </c>
      <c r="W2" s="96">
        <v>0</v>
      </c>
      <c r="X2" s="96">
        <v>5</v>
      </c>
      <c r="Y2" s="96">
        <v>26</v>
      </c>
      <c r="Z2" s="96">
        <v>16</v>
      </c>
      <c r="AA2" s="96" t="str">
        <f>CONCATENATE("DA_WPN_Bow_",SUBSTITUTE(SUBSTITUTE(SUBSTITUTE(C2," ",""),"(","_"),")",""))</f>
        <v>DA_WPN_Bow_LongBackedBow</v>
      </c>
      <c r="AB2" s="90" t="str">
        <f>"/Game/DungeonSiege/Items/Weapons/bow/" &amp; AA2</f>
        <v>/Game/DungeonSiege/Items/Weapons/bow/DA_WPN_Bow_LongBackedBow</v>
      </c>
      <c r="AC2" s="97" t="str">
        <f>CONCATENATE("Texture2D'/Game/DungeonSiege/art/bitmaps/gui/in_game/inventory/weapons/bow/",M2,".",M2,"'")</f>
        <v>Texture2D'/Game/DungeonSiege/art/bitmaps/gui/in_game/inventory/weapons/bow/b_gui_ig_i_w_bow_080.b_gui_ig_i_w_bow_080'</v>
      </c>
      <c r="AD2" s="97" t="str">
        <f t="shared" ref="AD2:AD38" si="1">CONCATENATE("Texture2D'/Game/DungeonSiege/art/bitmaps/gui/in_game/inventory/icons/",N2,".",N2,"'")</f>
        <v>Texture2D'/Game/DungeonSiege/art/bitmaps/gui/in_game/inventory/icons/b_gui_ig_i_ic_bow_002.b_gui_ig_i_ic_bow_002'</v>
      </c>
      <c r="AE2" s="97" t="str">
        <f>CONCATENATE("StaticMesh'/Game/DungeonSiege/art/meshes/weapons/bow/",F2,"_AspMesh.",F2,"_AspMesh'")</f>
        <v>StaticMesh'/Game/DungeonSiege/art/meshes/weapons/bow/m_w_bow_028_AspMesh.m_w_bow_028_AspMesh'</v>
      </c>
    </row>
    <row r="3" spans="1:31" ht="23.25" thickBot="1" x14ac:dyDescent="0.3">
      <c r="A3" s="95">
        <v>1</v>
      </c>
      <c r="B3" s="95">
        <f>A3+Items!B$19</f>
        <v>85983233</v>
      </c>
      <c r="C3" s="96" t="s">
        <v>6052</v>
      </c>
      <c r="D3" s="96" t="s">
        <v>6047</v>
      </c>
      <c r="E3" s="96" t="s">
        <v>3524</v>
      </c>
      <c r="F3" s="96" t="s">
        <v>6048</v>
      </c>
      <c r="G3" s="96" t="s">
        <v>3531</v>
      </c>
      <c r="H3" s="96"/>
      <c r="I3" s="96"/>
      <c r="J3" s="96"/>
      <c r="K3" s="96"/>
      <c r="L3" s="96" t="s">
        <v>6053</v>
      </c>
      <c r="M3" s="96" t="s">
        <v>6054</v>
      </c>
      <c r="N3" s="96" t="s">
        <v>6051</v>
      </c>
      <c r="O3" s="95" t="str">
        <f t="shared" si="0"/>
        <v>FALSE</v>
      </c>
      <c r="P3" s="95"/>
      <c r="Q3" s="96">
        <v>1</v>
      </c>
      <c r="R3" s="96">
        <v>4</v>
      </c>
      <c r="S3" s="96">
        <v>108</v>
      </c>
      <c r="T3" s="96">
        <v>126</v>
      </c>
      <c r="U3" s="96">
        <v>0.3</v>
      </c>
      <c r="V3" s="96">
        <v>13</v>
      </c>
      <c r="W3" s="96">
        <v>3</v>
      </c>
      <c r="X3" s="96">
        <v>13</v>
      </c>
      <c r="Y3" s="96">
        <v>17</v>
      </c>
      <c r="Z3" s="96">
        <v>28</v>
      </c>
      <c r="AA3" s="96" t="str">
        <f t="shared" ref="AA3:AA66" si="2">CONCATENATE("DA_WPN_Bow_",SUBSTITUTE(SUBSTITUTE(SUBSTITUTE(C3," ",""),"(","_"),")",""))</f>
        <v>DA_WPN_Bow_LongBackedBow_c_fin</v>
      </c>
      <c r="AB3" s="90" t="str">
        <f t="shared" ref="AB3:AB66" si="3">"/Game/DungeonSiege/Items/Weapons/bow/" &amp; AA3</f>
        <v>/Game/DungeonSiege/Items/Weapons/bow/DA_WPN_Bow_LongBackedBow_c_fin</v>
      </c>
      <c r="AC3" s="97" t="str">
        <f t="shared" ref="AC3:AC66" si="4">CONCATENATE("Texture2D'/Game/DungeonSiege/art/bitmaps/gui/in_game/inventory/weapons/bow/",M3,".",M3,"'")</f>
        <v>Texture2D'/Game/DungeonSiege/art/bitmaps/gui/in_game/inventory/weapons/bow/b_gui_ig_i_w_bow_081.b_gui_ig_i_w_bow_081'</v>
      </c>
      <c r="AD3" s="97" t="str">
        <f t="shared" si="1"/>
        <v>Texture2D'/Game/DungeonSiege/art/bitmaps/gui/in_game/inventory/icons/b_gui_ig_i_ic_bow_002.b_gui_ig_i_ic_bow_002'</v>
      </c>
      <c r="AE3" s="97" t="str">
        <f t="shared" ref="AE3:AE66" si="5">CONCATENATE("StaticMesh'/Game/DungeonSiege/art/meshes/weapons/bow/",F3,"_AspMesh.",F3,"_AspMesh'")</f>
        <v>StaticMesh'/Game/DungeonSiege/art/meshes/weapons/bow/m_w_bow_028_AspMesh.m_w_bow_028_AspMesh'</v>
      </c>
    </row>
    <row r="4" spans="1:31" ht="23.25" thickBot="1" x14ac:dyDescent="0.3">
      <c r="A4" s="95">
        <v>2</v>
      </c>
      <c r="B4" s="95">
        <f>A4+Items!B$19</f>
        <v>85983234</v>
      </c>
      <c r="C4" s="96" t="s">
        <v>6055</v>
      </c>
      <c r="D4" s="96" t="s">
        <v>6047</v>
      </c>
      <c r="E4" s="96" t="s">
        <v>3524</v>
      </c>
      <c r="F4" s="96" t="s">
        <v>6056</v>
      </c>
      <c r="G4" s="96" t="s">
        <v>3529</v>
      </c>
      <c r="H4" s="96"/>
      <c r="I4" s="96"/>
      <c r="J4" s="96"/>
      <c r="K4" s="96"/>
      <c r="L4" s="96" t="s">
        <v>6057</v>
      </c>
      <c r="M4" s="96" t="s">
        <v>6058</v>
      </c>
      <c r="N4" s="96" t="s">
        <v>6051</v>
      </c>
      <c r="O4" s="95" t="str">
        <f t="shared" si="0"/>
        <v>FALSE</v>
      </c>
      <c r="P4" s="95"/>
      <c r="Q4" s="96">
        <v>1</v>
      </c>
      <c r="R4" s="96">
        <v>4</v>
      </c>
      <c r="S4" s="96">
        <v>242</v>
      </c>
      <c r="T4" s="96">
        <v>284</v>
      </c>
      <c r="U4" s="96">
        <v>0.3</v>
      </c>
      <c r="V4" s="96">
        <v>13</v>
      </c>
      <c r="W4" s="96">
        <v>40</v>
      </c>
      <c r="X4" s="96">
        <v>56</v>
      </c>
      <c r="Y4" s="96">
        <v>27</v>
      </c>
      <c r="Z4" s="96">
        <v>52</v>
      </c>
      <c r="AA4" s="96" t="str">
        <f t="shared" si="2"/>
        <v>DA_WPN_Bow_LongBackedBow_c_mag</v>
      </c>
      <c r="AB4" s="90" t="str">
        <f t="shared" si="3"/>
        <v>/Game/DungeonSiege/Items/Weapons/bow/DA_WPN_Bow_LongBackedBow_c_mag</v>
      </c>
      <c r="AC4" s="97" t="str">
        <f t="shared" si="4"/>
        <v>Texture2D'/Game/DungeonSiege/art/bitmaps/gui/in_game/inventory/weapons/bow/b_gui_ig_i_w_bow_083.b_gui_ig_i_w_bow_083'</v>
      </c>
      <c r="AD4" s="97" t="str">
        <f t="shared" si="1"/>
        <v>Texture2D'/Game/DungeonSiege/art/bitmaps/gui/in_game/inventory/icons/b_gui_ig_i_ic_bow_002.b_gui_ig_i_ic_bow_002'</v>
      </c>
      <c r="AE4" s="97" t="str">
        <f t="shared" si="5"/>
        <v>StaticMesh'/Game/DungeonSiege/art/meshes/weapons/bow/m_w_bow_037_AspMesh.m_w_bow_037_AspMesh'</v>
      </c>
    </row>
    <row r="5" spans="1:31" ht="23.25" thickBot="1" x14ac:dyDescent="0.3">
      <c r="A5" s="95">
        <v>3</v>
      </c>
      <c r="B5" s="95">
        <f>A5+Items!B$19</f>
        <v>85983235</v>
      </c>
      <c r="C5" s="96" t="s">
        <v>6059</v>
      </c>
      <c r="D5" s="96" t="s">
        <v>6047</v>
      </c>
      <c r="E5" s="96" t="s">
        <v>3524</v>
      </c>
      <c r="F5" s="96" t="s">
        <v>6060</v>
      </c>
      <c r="G5" s="96" t="s">
        <v>3530</v>
      </c>
      <c r="H5" s="96"/>
      <c r="I5" s="96"/>
      <c r="J5" s="96"/>
      <c r="K5" s="96"/>
      <c r="L5" s="96" t="s">
        <v>6061</v>
      </c>
      <c r="M5" s="96" t="s">
        <v>6062</v>
      </c>
      <c r="N5" s="96" t="s">
        <v>6051</v>
      </c>
      <c r="O5" s="95" t="str">
        <f t="shared" si="0"/>
        <v>FALSE</v>
      </c>
      <c r="P5" s="95"/>
      <c r="Q5" s="96">
        <v>1</v>
      </c>
      <c r="R5" s="96">
        <v>4</v>
      </c>
      <c r="S5" s="96">
        <v>177</v>
      </c>
      <c r="T5" s="96">
        <v>207</v>
      </c>
      <c r="U5" s="96">
        <v>0.3</v>
      </c>
      <c r="V5" s="96">
        <v>13</v>
      </c>
      <c r="W5" s="96">
        <v>22</v>
      </c>
      <c r="X5" s="96">
        <v>40</v>
      </c>
      <c r="Y5" s="96">
        <v>22</v>
      </c>
      <c r="Z5" s="96">
        <v>41</v>
      </c>
      <c r="AA5" s="96" t="str">
        <f t="shared" si="2"/>
        <v>DA_WPN_Bow_LongBackedBow_c_str</v>
      </c>
      <c r="AB5" s="90" t="str">
        <f t="shared" si="3"/>
        <v>/Game/DungeonSiege/Items/Weapons/bow/DA_WPN_Bow_LongBackedBow_c_str</v>
      </c>
      <c r="AC5" s="97" t="str">
        <f t="shared" si="4"/>
        <v>Texture2D'/Game/DungeonSiege/art/bitmaps/gui/in_game/inventory/weapons/bow/b_gui_ig_i_w_bow_082.b_gui_ig_i_w_bow_082'</v>
      </c>
      <c r="AD5" s="97" t="str">
        <f t="shared" si="1"/>
        <v>Texture2D'/Game/DungeonSiege/art/bitmaps/gui/in_game/inventory/icons/b_gui_ig_i_ic_bow_002.b_gui_ig_i_ic_bow_002'</v>
      </c>
      <c r="AE5" s="97" t="str">
        <f t="shared" si="5"/>
        <v>StaticMesh'/Game/DungeonSiege/art/meshes/weapons/bow/m_w_bow_023_AspMesh.m_w_bow_023_AspMesh'</v>
      </c>
    </row>
    <row r="6" spans="1:31" ht="23.25" thickBot="1" x14ac:dyDescent="0.3">
      <c r="A6" s="95">
        <v>4</v>
      </c>
      <c r="B6" s="95">
        <f>A6+Items!B$19</f>
        <v>85983236</v>
      </c>
      <c r="C6" s="96" t="s">
        <v>6063</v>
      </c>
      <c r="D6" s="96" t="s">
        <v>6047</v>
      </c>
      <c r="E6" s="96" t="s">
        <v>3524</v>
      </c>
      <c r="F6" s="96" t="s">
        <v>6056</v>
      </c>
      <c r="G6" s="96" t="s">
        <v>3532</v>
      </c>
      <c r="H6" s="96"/>
      <c r="I6" s="96"/>
      <c r="J6" s="96"/>
      <c r="K6" s="96"/>
      <c r="L6" s="96" t="s">
        <v>6064</v>
      </c>
      <c r="M6" s="96" t="s">
        <v>6065</v>
      </c>
      <c r="N6" s="96" t="s">
        <v>6066</v>
      </c>
      <c r="O6" s="95" t="str">
        <f t="shared" si="0"/>
        <v>FALSE</v>
      </c>
      <c r="P6" s="95"/>
      <c r="Q6" s="96">
        <v>1</v>
      </c>
      <c r="R6" s="96">
        <v>4</v>
      </c>
      <c r="S6" s="96">
        <v>148</v>
      </c>
      <c r="T6" s="96">
        <v>174</v>
      </c>
      <c r="U6" s="96">
        <v>0.3</v>
      </c>
      <c r="V6" s="96">
        <v>13</v>
      </c>
      <c r="W6" s="96">
        <v>13</v>
      </c>
      <c r="X6" s="96">
        <v>31</v>
      </c>
      <c r="Y6" s="96">
        <v>20</v>
      </c>
      <c r="Z6" s="96">
        <v>36</v>
      </c>
      <c r="AA6" s="96" t="str">
        <f t="shared" si="2"/>
        <v>DA_WPN_Bow_LongBackedBow_o_fin</v>
      </c>
      <c r="AB6" s="90" t="str">
        <f t="shared" si="3"/>
        <v>/Game/DungeonSiege/Items/Weapons/bow/DA_WPN_Bow_LongBackedBow_o_fin</v>
      </c>
      <c r="AC6" s="97" t="str">
        <f t="shared" si="4"/>
        <v>Texture2D'/Game/DungeonSiege/art/bitmaps/gui/in_game/inventory/weapons/bow/b_gui_ig_i_w_bow_084.b_gui_ig_i_w_bow_084'</v>
      </c>
      <c r="AD6" s="97" t="str">
        <f t="shared" si="1"/>
        <v>Texture2D'/Game/DungeonSiege/art/bitmaps/gui/in_game/inventory/icons/b_gui_ig_i_ic_bow_004.b_gui_ig_i_ic_bow_004'</v>
      </c>
      <c r="AE6" s="97" t="str">
        <f t="shared" si="5"/>
        <v>StaticMesh'/Game/DungeonSiege/art/meshes/weapons/bow/m_w_bow_037_AspMesh.m_w_bow_037_AspMesh'</v>
      </c>
    </row>
    <row r="7" spans="1:31" ht="23.25" thickBot="1" x14ac:dyDescent="0.3">
      <c r="A7" s="95">
        <v>5</v>
      </c>
      <c r="B7" s="95">
        <f>A7+Items!B$19</f>
        <v>85983237</v>
      </c>
      <c r="C7" s="96" t="s">
        <v>6067</v>
      </c>
      <c r="D7" s="96" t="s">
        <v>6047</v>
      </c>
      <c r="E7" s="96" t="s">
        <v>3524</v>
      </c>
      <c r="F7" s="96" t="s">
        <v>6068</v>
      </c>
      <c r="G7" s="96" t="s">
        <v>3533</v>
      </c>
      <c r="H7" s="96"/>
      <c r="I7" s="96"/>
      <c r="J7" s="96"/>
      <c r="K7" s="96"/>
      <c r="L7" s="96" t="s">
        <v>6069</v>
      </c>
      <c r="M7" s="96" t="s">
        <v>6070</v>
      </c>
      <c r="N7" s="96" t="s">
        <v>6066</v>
      </c>
      <c r="O7" s="95" t="str">
        <f t="shared" si="0"/>
        <v>FALSE</v>
      </c>
      <c r="P7" s="95"/>
      <c r="Q7" s="96">
        <v>1</v>
      </c>
      <c r="R7" s="96">
        <v>4</v>
      </c>
      <c r="S7" s="96">
        <v>280</v>
      </c>
      <c r="T7" s="96">
        <v>328</v>
      </c>
      <c r="U7" s="96">
        <v>0.3</v>
      </c>
      <c r="V7" s="96">
        <v>13</v>
      </c>
      <c r="W7" s="96">
        <v>49</v>
      </c>
      <c r="X7" s="96">
        <v>67</v>
      </c>
      <c r="Y7" s="96">
        <v>30</v>
      </c>
      <c r="Z7" s="96">
        <v>59</v>
      </c>
      <c r="AA7" s="96" t="str">
        <f t="shared" si="2"/>
        <v>DA_WPN_Bow_LongBackedBow_o_mag</v>
      </c>
      <c r="AB7" s="90" t="str">
        <f t="shared" si="3"/>
        <v>/Game/DungeonSiege/Items/Weapons/bow/DA_WPN_Bow_LongBackedBow_o_mag</v>
      </c>
      <c r="AC7" s="97" t="str">
        <f t="shared" si="4"/>
        <v>Texture2D'/Game/DungeonSiege/art/bitmaps/gui/in_game/inventory/weapons/bow/b_gui_ig_i_w_bow_086.b_gui_ig_i_w_bow_086'</v>
      </c>
      <c r="AD7" s="97" t="str">
        <f t="shared" si="1"/>
        <v>Texture2D'/Game/DungeonSiege/art/bitmaps/gui/in_game/inventory/icons/b_gui_ig_i_ic_bow_004.b_gui_ig_i_ic_bow_004'</v>
      </c>
      <c r="AE7" s="97" t="str">
        <f t="shared" si="5"/>
        <v>StaticMesh'/Game/DungeonSiege/art/meshes/weapons/bow/m_w_bow_031_AspMesh.m_w_bow_031_AspMesh'</v>
      </c>
    </row>
    <row r="8" spans="1:31" ht="23.25" thickBot="1" x14ac:dyDescent="0.3">
      <c r="A8" s="95">
        <v>6</v>
      </c>
      <c r="B8" s="95">
        <f>A8+Items!B$19</f>
        <v>85983238</v>
      </c>
      <c r="C8" s="96" t="s">
        <v>6071</v>
      </c>
      <c r="D8" s="96" t="s">
        <v>6047</v>
      </c>
      <c r="E8" s="96" t="s">
        <v>3524</v>
      </c>
      <c r="F8" s="96" t="s">
        <v>6048</v>
      </c>
      <c r="G8" s="96" t="s">
        <v>3534</v>
      </c>
      <c r="H8" s="96"/>
      <c r="I8" s="96"/>
      <c r="J8" s="96"/>
      <c r="K8" s="96"/>
      <c r="L8" s="96" t="s">
        <v>6072</v>
      </c>
      <c r="M8" s="96" t="s">
        <v>6073</v>
      </c>
      <c r="N8" s="96" t="s">
        <v>6066</v>
      </c>
      <c r="O8" s="95" t="str">
        <f t="shared" si="0"/>
        <v>FALSE</v>
      </c>
      <c r="P8" s="95"/>
      <c r="Q8" s="96">
        <v>1</v>
      </c>
      <c r="R8" s="96">
        <v>4</v>
      </c>
      <c r="S8" s="96">
        <v>206</v>
      </c>
      <c r="T8" s="96">
        <v>242</v>
      </c>
      <c r="U8" s="96">
        <v>0.3</v>
      </c>
      <c r="V8" s="96">
        <v>13</v>
      </c>
      <c r="W8" s="96">
        <v>33</v>
      </c>
      <c r="X8" s="96">
        <v>48</v>
      </c>
      <c r="Y8" s="96">
        <v>24</v>
      </c>
      <c r="Z8" s="96">
        <v>46</v>
      </c>
      <c r="AA8" s="96" t="str">
        <f t="shared" si="2"/>
        <v>DA_WPN_Bow_LongBackedBow_o_str</v>
      </c>
      <c r="AB8" s="90" t="str">
        <f t="shared" si="3"/>
        <v>/Game/DungeonSiege/Items/Weapons/bow/DA_WPN_Bow_LongBackedBow_o_str</v>
      </c>
      <c r="AC8" s="97" t="str">
        <f t="shared" si="4"/>
        <v>Texture2D'/Game/DungeonSiege/art/bitmaps/gui/in_game/inventory/weapons/bow/b_gui_ig_i_w_bow_085.b_gui_ig_i_w_bow_085'</v>
      </c>
      <c r="AD8" s="97" t="str">
        <f t="shared" si="1"/>
        <v>Texture2D'/Game/DungeonSiege/art/bitmaps/gui/in_game/inventory/icons/b_gui_ig_i_ic_bow_004.b_gui_ig_i_ic_bow_004'</v>
      </c>
      <c r="AE8" s="97" t="str">
        <f t="shared" si="5"/>
        <v>StaticMesh'/Game/DungeonSiege/art/meshes/weapons/bow/m_w_bow_028_AspMesh.m_w_bow_028_AspMesh'</v>
      </c>
    </row>
    <row r="9" spans="1:31" ht="15.75" thickBot="1" x14ac:dyDescent="0.3">
      <c r="A9" s="95">
        <v>7</v>
      </c>
      <c r="B9" s="95">
        <f>A9+Items!B$19</f>
        <v>85983239</v>
      </c>
      <c r="C9" s="96" t="s">
        <v>6074</v>
      </c>
      <c r="D9" s="96" t="s">
        <v>6074</v>
      </c>
      <c r="E9" s="96" t="s">
        <v>3524</v>
      </c>
      <c r="F9" s="96" t="s">
        <v>6048</v>
      </c>
      <c r="G9" s="96"/>
      <c r="H9" s="96"/>
      <c r="I9" s="96"/>
      <c r="J9" s="96"/>
      <c r="K9" s="96"/>
      <c r="L9" s="96" t="s">
        <v>6075</v>
      </c>
      <c r="M9" s="96" t="s">
        <v>6076</v>
      </c>
      <c r="N9" s="96" t="s">
        <v>6051</v>
      </c>
      <c r="O9" s="95" t="str">
        <f t="shared" si="0"/>
        <v>FALSE</v>
      </c>
      <c r="P9" s="95"/>
      <c r="Q9" s="96">
        <v>1</v>
      </c>
      <c r="R9" s="96">
        <v>4</v>
      </c>
      <c r="S9" s="96">
        <v>81</v>
      </c>
      <c r="T9" s="96">
        <v>99</v>
      </c>
      <c r="U9" s="96">
        <v>0.3</v>
      </c>
      <c r="V9" s="96">
        <v>13</v>
      </c>
      <c r="W9" s="96">
        <v>0</v>
      </c>
      <c r="X9" s="96">
        <v>4</v>
      </c>
      <c r="Y9" s="96">
        <v>26</v>
      </c>
      <c r="Z9" s="96">
        <v>24</v>
      </c>
      <c r="AA9" s="96" t="str">
        <f t="shared" si="2"/>
        <v>DA_WPN_Bow_LongRecurve</v>
      </c>
      <c r="AB9" s="90" t="str">
        <f t="shared" si="3"/>
        <v>/Game/DungeonSiege/Items/Weapons/bow/DA_WPN_Bow_LongRecurve</v>
      </c>
      <c r="AC9" s="97" t="str">
        <f t="shared" si="4"/>
        <v>Texture2D'/Game/DungeonSiege/art/bitmaps/gui/in_game/inventory/weapons/bow/b_gui_ig_i_w_bow_072.b_gui_ig_i_w_bow_072'</v>
      </c>
      <c r="AD9" s="97" t="str">
        <f t="shared" si="1"/>
        <v>Texture2D'/Game/DungeonSiege/art/bitmaps/gui/in_game/inventory/icons/b_gui_ig_i_ic_bow_002.b_gui_ig_i_ic_bow_002'</v>
      </c>
      <c r="AE9" s="97" t="str">
        <f t="shared" si="5"/>
        <v>StaticMesh'/Game/DungeonSiege/art/meshes/weapons/bow/m_w_bow_028_AspMesh.m_w_bow_028_AspMesh'</v>
      </c>
    </row>
    <row r="10" spans="1:31" ht="15.75" thickBot="1" x14ac:dyDescent="0.3">
      <c r="A10" s="95">
        <v>8</v>
      </c>
      <c r="B10" s="95">
        <f>A10+Items!B$19</f>
        <v>85983240</v>
      </c>
      <c r="C10" s="96" t="s">
        <v>6077</v>
      </c>
      <c r="D10" s="96" t="s">
        <v>6074</v>
      </c>
      <c r="E10" s="96" t="s">
        <v>3524</v>
      </c>
      <c r="F10" s="96" t="s">
        <v>6068</v>
      </c>
      <c r="G10" s="96" t="s">
        <v>3529</v>
      </c>
      <c r="H10" s="96"/>
      <c r="I10" s="96"/>
      <c r="J10" s="96"/>
      <c r="K10" s="96"/>
      <c r="L10" s="96" t="s">
        <v>6078</v>
      </c>
      <c r="M10" s="96" t="s">
        <v>6079</v>
      </c>
      <c r="N10" s="96" t="s">
        <v>6051</v>
      </c>
      <c r="O10" s="95" t="str">
        <f t="shared" si="0"/>
        <v>FALSE</v>
      </c>
      <c r="P10" s="95"/>
      <c r="Q10" s="96">
        <v>1</v>
      </c>
      <c r="R10" s="96">
        <v>4</v>
      </c>
      <c r="S10" s="96">
        <v>222</v>
      </c>
      <c r="T10" s="96">
        <v>272</v>
      </c>
      <c r="U10" s="96">
        <v>0.3</v>
      </c>
      <c r="V10" s="96">
        <v>13</v>
      </c>
      <c r="W10" s="96">
        <v>38</v>
      </c>
      <c r="X10" s="96">
        <v>53</v>
      </c>
      <c r="Y10" s="96">
        <v>21</v>
      </c>
      <c r="Z10" s="96"/>
      <c r="AA10" s="96" t="str">
        <f t="shared" si="2"/>
        <v>DA_WPN_Bow_LongRecurve_c_mag</v>
      </c>
      <c r="AB10" s="90" t="str">
        <f t="shared" si="3"/>
        <v>/Game/DungeonSiege/Items/Weapons/bow/DA_WPN_Bow_LongRecurve_c_mag</v>
      </c>
      <c r="AC10" s="97" t="str">
        <f t="shared" si="4"/>
        <v>Texture2D'/Game/DungeonSiege/art/bitmaps/gui/in_game/inventory/weapons/bow/b_gui_ig_i_w_bow_074.b_gui_ig_i_w_bow_074'</v>
      </c>
      <c r="AD10" s="97" t="str">
        <f t="shared" si="1"/>
        <v>Texture2D'/Game/DungeonSiege/art/bitmaps/gui/in_game/inventory/icons/b_gui_ig_i_ic_bow_002.b_gui_ig_i_ic_bow_002'</v>
      </c>
      <c r="AE10" s="97" t="str">
        <f t="shared" si="5"/>
        <v>StaticMesh'/Game/DungeonSiege/art/meshes/weapons/bow/m_w_bow_031_AspMesh.m_w_bow_031_AspMesh'</v>
      </c>
    </row>
    <row r="11" spans="1:31" ht="15.75" thickBot="1" x14ac:dyDescent="0.3">
      <c r="A11" s="95">
        <v>9</v>
      </c>
      <c r="B11" s="95">
        <f>A11+Items!B$19</f>
        <v>85983241</v>
      </c>
      <c r="C11" s="96" t="s">
        <v>6080</v>
      </c>
      <c r="D11" s="96" t="s">
        <v>6074</v>
      </c>
      <c r="E11" s="96" t="s">
        <v>3524</v>
      </c>
      <c r="F11" s="96" t="s">
        <v>6056</v>
      </c>
      <c r="G11" s="96" t="s">
        <v>3530</v>
      </c>
      <c r="H11" s="96"/>
      <c r="I11" s="96"/>
      <c r="J11" s="96"/>
      <c r="K11" s="96"/>
      <c r="L11" s="96" t="s">
        <v>6081</v>
      </c>
      <c r="M11" s="96" t="s">
        <v>6082</v>
      </c>
      <c r="N11" s="96" t="s">
        <v>6051</v>
      </c>
      <c r="O11" s="95" t="str">
        <f t="shared" si="0"/>
        <v>FALSE</v>
      </c>
      <c r="P11" s="95"/>
      <c r="Q11" s="96">
        <v>1</v>
      </c>
      <c r="R11" s="96">
        <v>4</v>
      </c>
      <c r="S11" s="96">
        <v>158</v>
      </c>
      <c r="T11" s="96">
        <v>194</v>
      </c>
      <c r="U11" s="96">
        <v>0.3</v>
      </c>
      <c r="V11" s="96">
        <v>13</v>
      </c>
      <c r="W11" s="96">
        <v>20</v>
      </c>
      <c r="X11" s="96">
        <v>36</v>
      </c>
      <c r="Y11" s="96">
        <v>18</v>
      </c>
      <c r="Z11" s="96"/>
      <c r="AA11" s="96" t="str">
        <f t="shared" si="2"/>
        <v>DA_WPN_Bow_LongRecurve_c_str</v>
      </c>
      <c r="AB11" s="90" t="str">
        <f t="shared" si="3"/>
        <v>/Game/DungeonSiege/Items/Weapons/bow/DA_WPN_Bow_LongRecurve_c_str</v>
      </c>
      <c r="AC11" s="97" t="str">
        <f t="shared" si="4"/>
        <v>Texture2D'/Game/DungeonSiege/art/bitmaps/gui/in_game/inventory/weapons/bow/b_gui_ig_i_w_bow_073.b_gui_ig_i_w_bow_073'</v>
      </c>
      <c r="AD11" s="97" t="str">
        <f t="shared" si="1"/>
        <v>Texture2D'/Game/DungeonSiege/art/bitmaps/gui/in_game/inventory/icons/b_gui_ig_i_ic_bow_002.b_gui_ig_i_ic_bow_002'</v>
      </c>
      <c r="AE11" s="97" t="str">
        <f t="shared" si="5"/>
        <v>StaticMesh'/Game/DungeonSiege/art/meshes/weapons/bow/m_w_bow_037_AspMesh.m_w_bow_037_AspMesh'</v>
      </c>
    </row>
    <row r="12" spans="1:31" ht="15.75" thickBot="1" x14ac:dyDescent="0.3">
      <c r="A12" s="95">
        <v>10</v>
      </c>
      <c r="B12" s="95">
        <f>A12+Items!B$19</f>
        <v>85983242</v>
      </c>
      <c r="C12" s="96" t="s">
        <v>6083</v>
      </c>
      <c r="D12" s="96" t="s">
        <v>6074</v>
      </c>
      <c r="E12" s="96" t="s">
        <v>3524</v>
      </c>
      <c r="F12" s="96" t="s">
        <v>6048</v>
      </c>
      <c r="G12" s="96" t="s">
        <v>3528</v>
      </c>
      <c r="H12" s="96"/>
      <c r="I12" s="96"/>
      <c r="J12" s="96"/>
      <c r="K12" s="96"/>
      <c r="L12" s="96" t="s">
        <v>6084</v>
      </c>
      <c r="M12" s="96" t="s">
        <v>6085</v>
      </c>
      <c r="N12" s="96" t="s">
        <v>6066</v>
      </c>
      <c r="O12" s="95" t="str">
        <f t="shared" si="0"/>
        <v>FALSE</v>
      </c>
      <c r="P12" s="95"/>
      <c r="Q12" s="96">
        <v>1</v>
      </c>
      <c r="R12" s="96">
        <v>4</v>
      </c>
      <c r="S12" s="96">
        <v>112</v>
      </c>
      <c r="T12" s="96">
        <v>136</v>
      </c>
      <c r="U12" s="96">
        <v>0.3</v>
      </c>
      <c r="V12" s="96">
        <v>13</v>
      </c>
      <c r="W12" s="96">
        <v>8</v>
      </c>
      <c r="X12" s="96">
        <v>20</v>
      </c>
      <c r="Y12" s="96">
        <v>19</v>
      </c>
      <c r="Z12" s="96"/>
      <c r="AA12" s="96" t="str">
        <f t="shared" si="2"/>
        <v>DA_WPN_Bow_LongRecurve_o_avg</v>
      </c>
      <c r="AB12" s="90" t="str">
        <f t="shared" si="3"/>
        <v>/Game/DungeonSiege/Items/Weapons/bow/DA_WPN_Bow_LongRecurve_o_avg</v>
      </c>
      <c r="AC12" s="97" t="str">
        <f t="shared" si="4"/>
        <v>Texture2D'/Game/DungeonSiege/art/bitmaps/gui/in_game/inventory/weapons/bow/b_gui_ig_i_w_bow_075.b_gui_ig_i_w_bow_075'</v>
      </c>
      <c r="AD12" s="97" t="str">
        <f t="shared" si="1"/>
        <v>Texture2D'/Game/DungeonSiege/art/bitmaps/gui/in_game/inventory/icons/b_gui_ig_i_ic_bow_004.b_gui_ig_i_ic_bow_004'</v>
      </c>
      <c r="AE12" s="97" t="str">
        <f t="shared" si="5"/>
        <v>StaticMesh'/Game/DungeonSiege/art/meshes/weapons/bow/m_w_bow_028_AspMesh.m_w_bow_028_AspMesh'</v>
      </c>
    </row>
    <row r="13" spans="1:31" ht="15.75" thickBot="1" x14ac:dyDescent="0.3">
      <c r="A13" s="95">
        <v>11</v>
      </c>
      <c r="B13" s="95">
        <f>A13+Items!B$19</f>
        <v>85983243</v>
      </c>
      <c r="C13" s="96" t="s">
        <v>6086</v>
      </c>
      <c r="D13" s="96" t="s">
        <v>6074</v>
      </c>
      <c r="E13" s="96" t="s">
        <v>3524</v>
      </c>
      <c r="F13" s="96" t="s">
        <v>6087</v>
      </c>
      <c r="G13" s="96" t="s">
        <v>3532</v>
      </c>
      <c r="H13" s="96"/>
      <c r="I13" s="96"/>
      <c r="J13" s="96"/>
      <c r="K13" s="96"/>
      <c r="L13" s="96" t="s">
        <v>6088</v>
      </c>
      <c r="M13" s="96" t="s">
        <v>6089</v>
      </c>
      <c r="N13" s="96" t="s">
        <v>6066</v>
      </c>
      <c r="O13" s="95" t="str">
        <f t="shared" si="0"/>
        <v>FALSE</v>
      </c>
      <c r="P13" s="95"/>
      <c r="Q13" s="96">
        <v>1</v>
      </c>
      <c r="R13" s="96">
        <v>4</v>
      </c>
      <c r="S13" s="96">
        <v>134</v>
      </c>
      <c r="T13" s="96">
        <v>164</v>
      </c>
      <c r="U13" s="96">
        <v>0.3</v>
      </c>
      <c r="V13" s="96">
        <v>13</v>
      </c>
      <c r="W13" s="96">
        <v>13</v>
      </c>
      <c r="X13" s="96">
        <v>29</v>
      </c>
      <c r="Y13" s="96">
        <v>29</v>
      </c>
      <c r="Z13" s="96"/>
      <c r="AA13" s="96" t="str">
        <f t="shared" si="2"/>
        <v>DA_WPN_Bow_LongRecurve_o_fin</v>
      </c>
      <c r="AB13" s="90" t="str">
        <f t="shared" si="3"/>
        <v>/Game/DungeonSiege/Items/Weapons/bow/DA_WPN_Bow_LongRecurve_o_fin</v>
      </c>
      <c r="AC13" s="97" t="str">
        <f t="shared" si="4"/>
        <v>Texture2D'/Game/DungeonSiege/art/bitmaps/gui/in_game/inventory/weapons/bow/b_gui_ig_i_w_bow_076.b_gui_ig_i_w_bow_076'</v>
      </c>
      <c r="AD13" s="97" t="str">
        <f t="shared" si="1"/>
        <v>Texture2D'/Game/DungeonSiege/art/bitmaps/gui/in_game/inventory/icons/b_gui_ig_i_ic_bow_004.b_gui_ig_i_ic_bow_004'</v>
      </c>
      <c r="AE13" s="97" t="str">
        <f t="shared" si="5"/>
        <v>StaticMesh'/Game/DungeonSiege/art/meshes/weapons/bow/m_w_bow_008_AspMesh.m_w_bow_008_AspMesh'</v>
      </c>
    </row>
    <row r="14" spans="1:31" ht="15.75" thickBot="1" x14ac:dyDescent="0.3">
      <c r="A14" s="95">
        <v>12</v>
      </c>
      <c r="B14" s="95">
        <f>A14+Items!B$19</f>
        <v>85983244</v>
      </c>
      <c r="C14" s="96" t="s">
        <v>6090</v>
      </c>
      <c r="D14" s="96" t="s">
        <v>6074</v>
      </c>
      <c r="E14" s="96" t="s">
        <v>3524</v>
      </c>
      <c r="F14" s="96" t="s">
        <v>6091</v>
      </c>
      <c r="G14" s="96" t="s">
        <v>3533</v>
      </c>
      <c r="H14" s="96"/>
      <c r="I14" s="96"/>
      <c r="J14" s="96"/>
      <c r="K14" s="96"/>
      <c r="L14" s="96" t="s">
        <v>6092</v>
      </c>
      <c r="M14" s="96" t="s">
        <v>6093</v>
      </c>
      <c r="N14" s="96" t="s">
        <v>6066</v>
      </c>
      <c r="O14" s="95" t="str">
        <f t="shared" si="0"/>
        <v>FALSE</v>
      </c>
      <c r="P14" s="95"/>
      <c r="Q14" s="96">
        <v>1</v>
      </c>
      <c r="R14" s="96">
        <v>4</v>
      </c>
      <c r="S14" s="96">
        <v>259</v>
      </c>
      <c r="T14" s="96">
        <v>317</v>
      </c>
      <c r="U14" s="96">
        <v>0.3</v>
      </c>
      <c r="V14" s="96">
        <v>13</v>
      </c>
      <c r="W14" s="96">
        <v>46</v>
      </c>
      <c r="X14" s="96">
        <v>64</v>
      </c>
      <c r="Y14" s="96">
        <v>23</v>
      </c>
      <c r="Z14" s="96"/>
      <c r="AA14" s="96" t="str">
        <f t="shared" si="2"/>
        <v>DA_WPN_Bow_LongRecurve_o_mag</v>
      </c>
      <c r="AB14" s="90" t="str">
        <f t="shared" si="3"/>
        <v>/Game/DungeonSiege/Items/Weapons/bow/DA_WPN_Bow_LongRecurve_o_mag</v>
      </c>
      <c r="AC14" s="97" t="str">
        <f t="shared" si="4"/>
        <v>Texture2D'/Game/DungeonSiege/art/bitmaps/gui/in_game/inventory/weapons/bow/b_gui_ig_i_w_bow_078.b_gui_ig_i_w_bow_078'</v>
      </c>
      <c r="AD14" s="97" t="str">
        <f t="shared" si="1"/>
        <v>Texture2D'/Game/DungeonSiege/art/bitmaps/gui/in_game/inventory/icons/b_gui_ig_i_ic_bow_004.b_gui_ig_i_ic_bow_004'</v>
      </c>
      <c r="AE14" s="97" t="str">
        <f t="shared" si="5"/>
        <v>StaticMesh'/Game/DungeonSiege/art/meshes/weapons/bow/m_w_bow_033_AspMesh.m_w_bow_033_AspMesh'</v>
      </c>
    </row>
    <row r="15" spans="1:31" ht="15.75" thickBot="1" x14ac:dyDescent="0.3">
      <c r="A15" s="95">
        <v>13</v>
      </c>
      <c r="B15" s="95">
        <f>A15+Items!B$19</f>
        <v>85983245</v>
      </c>
      <c r="C15" s="96" t="s">
        <v>6094</v>
      </c>
      <c r="D15" s="96" t="s">
        <v>6074</v>
      </c>
      <c r="E15" s="96" t="s">
        <v>3524</v>
      </c>
      <c r="F15" s="96" t="s">
        <v>6087</v>
      </c>
      <c r="G15" s="96" t="s">
        <v>3534</v>
      </c>
      <c r="H15" s="96"/>
      <c r="I15" s="96"/>
      <c r="J15" s="96"/>
      <c r="K15" s="96"/>
      <c r="L15" s="96" t="s">
        <v>6095</v>
      </c>
      <c r="M15" s="96" t="s">
        <v>6096</v>
      </c>
      <c r="N15" s="96" t="s">
        <v>6066</v>
      </c>
      <c r="O15" s="95" t="str">
        <f t="shared" si="0"/>
        <v>FALSE</v>
      </c>
      <c r="P15" s="95"/>
      <c r="Q15" s="96">
        <v>1</v>
      </c>
      <c r="R15" s="96">
        <v>4</v>
      </c>
      <c r="S15" s="96">
        <v>189</v>
      </c>
      <c r="T15" s="96">
        <v>231</v>
      </c>
      <c r="U15" s="96">
        <v>0.3</v>
      </c>
      <c r="V15" s="96">
        <v>13</v>
      </c>
      <c r="W15" s="96">
        <v>31</v>
      </c>
      <c r="X15" s="96">
        <v>45</v>
      </c>
      <c r="Y15" s="96">
        <v>14</v>
      </c>
      <c r="Z15" s="96"/>
      <c r="AA15" s="96" t="str">
        <f t="shared" si="2"/>
        <v>DA_WPN_Bow_LongRecurve_o_str</v>
      </c>
      <c r="AB15" s="90" t="str">
        <f t="shared" si="3"/>
        <v>/Game/DungeonSiege/Items/Weapons/bow/DA_WPN_Bow_LongRecurve_o_str</v>
      </c>
      <c r="AC15" s="97" t="str">
        <f t="shared" si="4"/>
        <v>Texture2D'/Game/DungeonSiege/art/bitmaps/gui/in_game/inventory/weapons/bow/b_gui_ig_i_w_bow_077.b_gui_ig_i_w_bow_077'</v>
      </c>
      <c r="AD15" s="97" t="str">
        <f t="shared" si="1"/>
        <v>Texture2D'/Game/DungeonSiege/art/bitmaps/gui/in_game/inventory/icons/b_gui_ig_i_ic_bow_004.b_gui_ig_i_ic_bow_004'</v>
      </c>
      <c r="AE15" s="97" t="str">
        <f t="shared" si="5"/>
        <v>StaticMesh'/Game/DungeonSiege/art/meshes/weapons/bow/m_w_bow_008_AspMesh.m_w_bow_008_AspMesh'</v>
      </c>
    </row>
    <row r="16" spans="1:31" ht="15.75" thickBot="1" x14ac:dyDescent="0.3">
      <c r="A16" s="95">
        <v>14</v>
      </c>
      <c r="B16" s="95">
        <f>A16+Items!B$19</f>
        <v>85983246</v>
      </c>
      <c r="C16" s="96" t="s">
        <v>6097</v>
      </c>
      <c r="D16" s="96" t="s">
        <v>6097</v>
      </c>
      <c r="E16" s="96" t="s">
        <v>3524</v>
      </c>
      <c r="F16" s="96" t="s">
        <v>6098</v>
      </c>
      <c r="G16" s="96"/>
      <c r="H16" s="96"/>
      <c r="I16" s="96"/>
      <c r="J16" s="96"/>
      <c r="K16" s="96"/>
      <c r="L16" s="96" t="s">
        <v>6099</v>
      </c>
      <c r="M16" s="96" t="s">
        <v>6100</v>
      </c>
      <c r="N16" s="96" t="s">
        <v>6101</v>
      </c>
      <c r="O16" s="95" t="str">
        <f t="shared" si="0"/>
        <v>FALSE</v>
      </c>
      <c r="P16" s="95"/>
      <c r="Q16" s="96">
        <v>1</v>
      </c>
      <c r="R16" s="96">
        <v>4</v>
      </c>
      <c r="S16" s="96">
        <v>57</v>
      </c>
      <c r="T16" s="96">
        <v>73</v>
      </c>
      <c r="U16" s="96">
        <v>0.15</v>
      </c>
      <c r="V16" s="96">
        <v>12</v>
      </c>
      <c r="W16" s="96">
        <v>0</v>
      </c>
      <c r="X16" s="96">
        <v>3</v>
      </c>
      <c r="Y16" s="96">
        <v>15</v>
      </c>
      <c r="Z16" s="96"/>
      <c r="AA16" s="96" t="str">
        <f t="shared" si="2"/>
        <v>DA_WPN_Bow_BattleBow</v>
      </c>
      <c r="AB16" s="90" t="str">
        <f t="shared" si="3"/>
        <v>/Game/DungeonSiege/Items/Weapons/bow/DA_WPN_Bow_BattleBow</v>
      </c>
      <c r="AC16" s="97" t="str">
        <f t="shared" si="4"/>
        <v>Texture2D'/Game/DungeonSiege/art/bitmaps/gui/in_game/inventory/weapons/bow/b_gui_ig_i_w_bow_016.b_gui_ig_i_w_bow_016'</v>
      </c>
      <c r="AD16" s="97" t="str">
        <f t="shared" si="1"/>
        <v>Texture2D'/Game/DungeonSiege/art/bitmaps/gui/in_game/inventory/icons/b_gui_ig_i_ic_bow_001.b_gui_ig_i_ic_bow_001'</v>
      </c>
      <c r="AE16" s="97" t="str">
        <f t="shared" si="5"/>
        <v>StaticMesh'/Game/DungeonSiege/art/meshes/weapons/bow/m_w_bow_021_AspMesh.m_w_bow_021_AspMesh'</v>
      </c>
    </row>
    <row r="17" spans="1:31" ht="15.75" thickBot="1" x14ac:dyDescent="0.3">
      <c r="A17" s="95">
        <v>15</v>
      </c>
      <c r="B17" s="95">
        <f>A17+Items!B$19</f>
        <v>85983247</v>
      </c>
      <c r="C17" s="96" t="s">
        <v>6102</v>
      </c>
      <c r="D17" s="96" t="s">
        <v>6097</v>
      </c>
      <c r="E17" s="96" t="s">
        <v>3524</v>
      </c>
      <c r="F17" s="96" t="s">
        <v>6048</v>
      </c>
      <c r="G17" s="96" t="s">
        <v>3531</v>
      </c>
      <c r="H17" s="96"/>
      <c r="I17" s="96"/>
      <c r="J17" s="96"/>
      <c r="K17" s="96"/>
      <c r="L17" s="96" t="s">
        <v>6103</v>
      </c>
      <c r="M17" s="96" t="s">
        <v>6104</v>
      </c>
      <c r="N17" s="96" t="s">
        <v>6101</v>
      </c>
      <c r="O17" s="95" t="str">
        <f t="shared" si="0"/>
        <v>FALSE</v>
      </c>
      <c r="P17" s="95"/>
      <c r="Q17" s="96">
        <v>1</v>
      </c>
      <c r="R17" s="96">
        <v>4</v>
      </c>
      <c r="S17" s="96">
        <v>65</v>
      </c>
      <c r="T17" s="96">
        <v>85</v>
      </c>
      <c r="U17" s="96">
        <v>0.15</v>
      </c>
      <c r="V17" s="96">
        <v>12</v>
      </c>
      <c r="W17" s="96">
        <v>2</v>
      </c>
      <c r="X17" s="96">
        <v>10</v>
      </c>
      <c r="Y17" s="96">
        <v>24</v>
      </c>
      <c r="Z17" s="96"/>
      <c r="AA17" s="96" t="str">
        <f t="shared" si="2"/>
        <v>DA_WPN_Bow_BattleBow_c_fin</v>
      </c>
      <c r="AB17" s="90" t="str">
        <f t="shared" si="3"/>
        <v>/Game/DungeonSiege/Items/Weapons/bow/DA_WPN_Bow_BattleBow_c_fin</v>
      </c>
      <c r="AC17" s="97" t="str">
        <f t="shared" si="4"/>
        <v>Texture2D'/Game/DungeonSiege/art/bitmaps/gui/in_game/inventory/weapons/bow/b_gui_ig_i_w_bow_024.b_gui_ig_i_w_bow_024'</v>
      </c>
      <c r="AD17" s="97" t="str">
        <f t="shared" si="1"/>
        <v>Texture2D'/Game/DungeonSiege/art/bitmaps/gui/in_game/inventory/icons/b_gui_ig_i_ic_bow_001.b_gui_ig_i_ic_bow_001'</v>
      </c>
      <c r="AE17" s="97" t="str">
        <f t="shared" si="5"/>
        <v>StaticMesh'/Game/DungeonSiege/art/meshes/weapons/bow/m_w_bow_028_AspMesh.m_w_bow_028_AspMesh'</v>
      </c>
    </row>
    <row r="18" spans="1:31" ht="15.75" thickBot="1" x14ac:dyDescent="0.3">
      <c r="A18" s="95">
        <v>16</v>
      </c>
      <c r="B18" s="95">
        <f>A18+Items!B$19</f>
        <v>85983248</v>
      </c>
      <c r="C18" s="96" t="s">
        <v>6105</v>
      </c>
      <c r="D18" s="96" t="s">
        <v>6097</v>
      </c>
      <c r="E18" s="96" t="s">
        <v>3524</v>
      </c>
      <c r="F18" s="96" t="s">
        <v>6106</v>
      </c>
      <c r="G18" s="96" t="s">
        <v>3529</v>
      </c>
      <c r="H18" s="96"/>
      <c r="I18" s="96"/>
      <c r="J18" s="96"/>
      <c r="K18" s="96"/>
      <c r="L18" s="96" t="s">
        <v>6107</v>
      </c>
      <c r="M18" s="96" t="s">
        <v>6108</v>
      </c>
      <c r="N18" s="96" t="s">
        <v>6101</v>
      </c>
      <c r="O18" s="95" t="str">
        <f t="shared" si="0"/>
        <v>FALSE</v>
      </c>
      <c r="P18" s="95"/>
      <c r="Q18" s="96">
        <v>1</v>
      </c>
      <c r="R18" s="96">
        <v>4</v>
      </c>
      <c r="S18" s="96">
        <v>176</v>
      </c>
      <c r="T18" s="96">
        <v>228</v>
      </c>
      <c r="U18" s="96">
        <v>0.15</v>
      </c>
      <c r="V18" s="96">
        <v>12</v>
      </c>
      <c r="W18" s="96">
        <v>34</v>
      </c>
      <c r="X18" s="96">
        <v>48</v>
      </c>
      <c r="Y18" s="96">
        <v>20</v>
      </c>
      <c r="Z18" s="96"/>
      <c r="AA18" s="96" t="str">
        <f t="shared" si="2"/>
        <v>DA_WPN_Bow_BattleBow_c_mag</v>
      </c>
      <c r="AB18" s="90" t="str">
        <f t="shared" si="3"/>
        <v>/Game/DungeonSiege/Items/Weapons/bow/DA_WPN_Bow_BattleBow_c_mag</v>
      </c>
      <c r="AC18" s="97" t="str">
        <f t="shared" si="4"/>
        <v>Texture2D'/Game/DungeonSiege/art/bitmaps/gui/in_game/inventory/weapons/bow/b_gui_ig_i_w_bow_043.b_gui_ig_i_w_bow_043'</v>
      </c>
      <c r="AD18" s="97" t="str">
        <f t="shared" si="1"/>
        <v>Texture2D'/Game/DungeonSiege/art/bitmaps/gui/in_game/inventory/icons/b_gui_ig_i_ic_bow_001.b_gui_ig_i_ic_bow_001'</v>
      </c>
      <c r="AE18" s="97" t="str">
        <f t="shared" si="5"/>
        <v>StaticMesh'/Game/DungeonSiege/art/meshes/weapons/bow/m_w_bow_032_AspMesh.m_w_bow_032_AspMesh'</v>
      </c>
    </row>
    <row r="19" spans="1:31" ht="15.75" thickBot="1" x14ac:dyDescent="0.3">
      <c r="A19" s="95">
        <v>17</v>
      </c>
      <c r="B19" s="95">
        <f>A19+Items!B$19</f>
        <v>85983249</v>
      </c>
      <c r="C19" s="96" t="s">
        <v>6109</v>
      </c>
      <c r="D19" s="96" t="s">
        <v>6097</v>
      </c>
      <c r="E19" s="96" t="s">
        <v>3524</v>
      </c>
      <c r="F19" s="96" t="s">
        <v>6068</v>
      </c>
      <c r="G19" s="96" t="s">
        <v>3530</v>
      </c>
      <c r="H19" s="96"/>
      <c r="I19" s="96"/>
      <c r="J19" s="96"/>
      <c r="K19" s="96"/>
      <c r="L19" s="96" t="s">
        <v>6110</v>
      </c>
      <c r="M19" s="96" t="s">
        <v>6111</v>
      </c>
      <c r="N19" s="96" t="s">
        <v>6101</v>
      </c>
      <c r="O19" s="95" t="str">
        <f t="shared" si="0"/>
        <v>FALSE</v>
      </c>
      <c r="P19" s="95"/>
      <c r="Q19" s="96">
        <v>1</v>
      </c>
      <c r="R19" s="96">
        <v>4</v>
      </c>
      <c r="S19" s="96">
        <v>124</v>
      </c>
      <c r="T19" s="96">
        <v>162</v>
      </c>
      <c r="U19" s="96">
        <v>0.15</v>
      </c>
      <c r="V19" s="96">
        <v>12</v>
      </c>
      <c r="W19" s="96">
        <v>18</v>
      </c>
      <c r="X19" s="96">
        <v>33</v>
      </c>
      <c r="Y19" s="96">
        <v>16</v>
      </c>
      <c r="Z19" s="96"/>
      <c r="AA19" s="96" t="str">
        <f t="shared" si="2"/>
        <v>DA_WPN_Bow_BattleBow_c_str</v>
      </c>
      <c r="AB19" s="90" t="str">
        <f t="shared" si="3"/>
        <v>/Game/DungeonSiege/Items/Weapons/bow/DA_WPN_Bow_BattleBow_c_str</v>
      </c>
      <c r="AC19" s="97" t="str">
        <f t="shared" si="4"/>
        <v>Texture2D'/Game/DungeonSiege/art/bitmaps/gui/in_game/inventory/weapons/bow/b_gui_ig_i_w_bow_034.b_gui_ig_i_w_bow_034'</v>
      </c>
      <c r="AD19" s="97" t="str">
        <f t="shared" si="1"/>
        <v>Texture2D'/Game/DungeonSiege/art/bitmaps/gui/in_game/inventory/icons/b_gui_ig_i_ic_bow_001.b_gui_ig_i_ic_bow_001'</v>
      </c>
      <c r="AE19" s="97" t="str">
        <f t="shared" si="5"/>
        <v>StaticMesh'/Game/DungeonSiege/art/meshes/weapons/bow/m_w_bow_031_AspMesh.m_w_bow_031_AspMesh'</v>
      </c>
    </row>
    <row r="20" spans="1:31" ht="15.75" thickBot="1" x14ac:dyDescent="0.3">
      <c r="A20" s="95">
        <v>18</v>
      </c>
      <c r="B20" s="95">
        <f>A20+Items!B$19</f>
        <v>85983250</v>
      </c>
      <c r="C20" s="96" t="s">
        <v>6112</v>
      </c>
      <c r="D20" s="96" t="s">
        <v>6097</v>
      </c>
      <c r="E20" s="96" t="s">
        <v>3524</v>
      </c>
      <c r="F20" s="96" t="s">
        <v>6113</v>
      </c>
      <c r="G20" s="96" t="s">
        <v>3528</v>
      </c>
      <c r="H20" s="96"/>
      <c r="I20" s="96"/>
      <c r="J20" s="96"/>
      <c r="K20" s="96"/>
      <c r="L20" s="96" t="s">
        <v>6114</v>
      </c>
      <c r="M20" s="96" t="s">
        <v>6115</v>
      </c>
      <c r="N20" s="96" t="s">
        <v>6116</v>
      </c>
      <c r="O20" s="95" t="str">
        <f t="shared" si="0"/>
        <v>FALSE</v>
      </c>
      <c r="P20" s="95"/>
      <c r="Q20" s="96">
        <v>1</v>
      </c>
      <c r="R20" s="96">
        <v>4</v>
      </c>
      <c r="S20" s="96">
        <v>80</v>
      </c>
      <c r="T20" s="96">
        <v>104</v>
      </c>
      <c r="U20" s="96">
        <v>0.15</v>
      </c>
      <c r="V20" s="96">
        <v>12</v>
      </c>
      <c r="W20" s="96">
        <v>6</v>
      </c>
      <c r="X20" s="96">
        <v>16</v>
      </c>
      <c r="Y20" s="96">
        <v>18</v>
      </c>
      <c r="Z20" s="96"/>
      <c r="AA20" s="96" t="str">
        <f t="shared" si="2"/>
        <v>DA_WPN_Bow_BattleBow_o_avg</v>
      </c>
      <c r="AB20" s="90" t="str">
        <f t="shared" si="3"/>
        <v>/Game/DungeonSiege/Items/Weapons/bow/DA_WPN_Bow_BattleBow_o_avg</v>
      </c>
      <c r="AC20" s="97" t="str">
        <f t="shared" si="4"/>
        <v>Texture2D'/Game/DungeonSiege/art/bitmaps/gui/in_game/inventory/weapons/bow/b_gui_ig_i_w_bow_019.b_gui_ig_i_w_bow_019'</v>
      </c>
      <c r="AD20" s="97" t="str">
        <f t="shared" si="1"/>
        <v>Texture2D'/Game/DungeonSiege/art/bitmaps/gui/in_game/inventory/icons/b_gui_ig_i_ic_bow_003.b_gui_ig_i_ic_bow_003'</v>
      </c>
      <c r="AE20" s="97" t="str">
        <f t="shared" si="5"/>
        <v>StaticMesh'/Game/DungeonSiege/art/meshes/weapons/bow/m_w_bow_024_AspMesh.m_w_bow_024_AspMesh'</v>
      </c>
    </row>
    <row r="21" spans="1:31" ht="15.75" thickBot="1" x14ac:dyDescent="0.3">
      <c r="A21" s="95">
        <v>19</v>
      </c>
      <c r="B21" s="95">
        <f>A21+Items!B$19</f>
        <v>85983251</v>
      </c>
      <c r="C21" s="96" t="s">
        <v>6117</v>
      </c>
      <c r="D21" s="96" t="s">
        <v>6097</v>
      </c>
      <c r="E21" s="96" t="s">
        <v>3524</v>
      </c>
      <c r="F21" s="96" t="s">
        <v>6068</v>
      </c>
      <c r="G21" s="96" t="s">
        <v>3532</v>
      </c>
      <c r="H21" s="96"/>
      <c r="I21" s="96"/>
      <c r="J21" s="96"/>
      <c r="K21" s="96"/>
      <c r="L21" s="96" t="s">
        <v>6118</v>
      </c>
      <c r="M21" s="96" t="s">
        <v>6119</v>
      </c>
      <c r="N21" s="96" t="s">
        <v>6116</v>
      </c>
      <c r="O21" s="95" t="str">
        <f t="shared" si="0"/>
        <v>FALSE</v>
      </c>
      <c r="P21" s="95"/>
      <c r="Q21" s="96">
        <v>1</v>
      </c>
      <c r="R21" s="96">
        <v>4</v>
      </c>
      <c r="S21" s="96">
        <v>103</v>
      </c>
      <c r="T21" s="96">
        <v>133</v>
      </c>
      <c r="U21" s="96">
        <v>0.15</v>
      </c>
      <c r="V21" s="96">
        <v>12</v>
      </c>
      <c r="W21" s="96">
        <v>11</v>
      </c>
      <c r="X21" s="96">
        <v>25</v>
      </c>
      <c r="Y21" s="96">
        <v>27</v>
      </c>
      <c r="Z21" s="96"/>
      <c r="AA21" s="96" t="str">
        <f t="shared" si="2"/>
        <v>DA_WPN_Bow_BattleBow_o_fin</v>
      </c>
      <c r="AB21" s="90" t="str">
        <f t="shared" si="3"/>
        <v>/Game/DungeonSiege/Items/Weapons/bow/DA_WPN_Bow_BattleBow_o_fin</v>
      </c>
      <c r="AC21" s="97" t="str">
        <f t="shared" si="4"/>
        <v>Texture2D'/Game/DungeonSiege/art/bitmaps/gui/in_game/inventory/weapons/bow/b_gui_ig_i_w_bow_029.b_gui_ig_i_w_bow_029'</v>
      </c>
      <c r="AD21" s="97" t="str">
        <f t="shared" si="1"/>
        <v>Texture2D'/Game/DungeonSiege/art/bitmaps/gui/in_game/inventory/icons/b_gui_ig_i_ic_bow_003.b_gui_ig_i_ic_bow_003'</v>
      </c>
      <c r="AE21" s="97" t="str">
        <f t="shared" si="5"/>
        <v>StaticMesh'/Game/DungeonSiege/art/meshes/weapons/bow/m_w_bow_031_AspMesh.m_w_bow_031_AspMesh'</v>
      </c>
    </row>
    <row r="22" spans="1:31" ht="15.75" thickBot="1" x14ac:dyDescent="0.3">
      <c r="A22" s="95">
        <v>20</v>
      </c>
      <c r="B22" s="95">
        <f>A22+Items!B$19</f>
        <v>85983252</v>
      </c>
      <c r="C22" s="96" t="s">
        <v>6120</v>
      </c>
      <c r="D22" s="96" t="s">
        <v>6097</v>
      </c>
      <c r="E22" s="96" t="s">
        <v>3524</v>
      </c>
      <c r="F22" s="96" t="s">
        <v>6121</v>
      </c>
      <c r="G22" s="96" t="s">
        <v>3533</v>
      </c>
      <c r="H22" s="96"/>
      <c r="I22" s="96"/>
      <c r="J22" s="96"/>
      <c r="K22" s="96"/>
      <c r="L22" s="96" t="s">
        <v>6122</v>
      </c>
      <c r="M22" s="96" t="s">
        <v>6123</v>
      </c>
      <c r="N22" s="96" t="s">
        <v>6116</v>
      </c>
      <c r="O22" s="95" t="str">
        <f t="shared" si="0"/>
        <v>FALSE</v>
      </c>
      <c r="P22" s="95"/>
      <c r="Q22" s="96">
        <v>1</v>
      </c>
      <c r="R22" s="96">
        <v>4</v>
      </c>
      <c r="S22" s="96">
        <v>208</v>
      </c>
      <c r="T22" s="96">
        <v>270</v>
      </c>
      <c r="U22" s="96">
        <v>0.15</v>
      </c>
      <c r="V22" s="96">
        <v>12</v>
      </c>
      <c r="W22" s="96">
        <v>43</v>
      </c>
      <c r="X22" s="96">
        <v>59</v>
      </c>
      <c r="Y22" s="96">
        <v>22</v>
      </c>
      <c r="Z22" s="96"/>
      <c r="AA22" s="96" t="str">
        <f t="shared" si="2"/>
        <v>DA_WPN_Bow_BattleBow_o_mag</v>
      </c>
      <c r="AB22" s="90" t="str">
        <f t="shared" si="3"/>
        <v>/Game/DungeonSiege/Items/Weapons/bow/DA_WPN_Bow_BattleBow_o_mag</v>
      </c>
      <c r="AC22" s="97" t="str">
        <f t="shared" si="4"/>
        <v>Texture2D'/Game/DungeonSiege/art/bitmaps/gui/in_game/inventory/weapons/bow/b_gui_ig_i_w_bow_050.b_gui_ig_i_w_bow_050'</v>
      </c>
      <c r="AD22" s="97" t="str">
        <f t="shared" si="1"/>
        <v>Texture2D'/Game/DungeonSiege/art/bitmaps/gui/in_game/inventory/icons/b_gui_ig_i_ic_bow_003.b_gui_ig_i_ic_bow_003'</v>
      </c>
      <c r="AE22" s="97" t="str">
        <f t="shared" si="5"/>
        <v>StaticMesh'/Game/DungeonSiege/art/meshes/weapons/bow/m_w_bow_034_AspMesh.m_w_bow_034_AspMesh'</v>
      </c>
    </row>
    <row r="23" spans="1:31" ht="15.75" thickBot="1" x14ac:dyDescent="0.3">
      <c r="A23" s="95">
        <v>21</v>
      </c>
      <c r="B23" s="95">
        <f>A23+Items!B$19</f>
        <v>85983253</v>
      </c>
      <c r="C23" s="96" t="s">
        <v>6124</v>
      </c>
      <c r="D23" s="96" t="s">
        <v>6097</v>
      </c>
      <c r="E23" s="96" t="s">
        <v>3524</v>
      </c>
      <c r="F23" s="96" t="s">
        <v>6068</v>
      </c>
      <c r="G23" s="96" t="s">
        <v>3534</v>
      </c>
      <c r="H23" s="96"/>
      <c r="I23" s="96"/>
      <c r="J23" s="96"/>
      <c r="K23" s="96"/>
      <c r="L23" s="96" t="s">
        <v>6125</v>
      </c>
      <c r="M23" s="96" t="s">
        <v>6126</v>
      </c>
      <c r="N23" s="96" t="s">
        <v>6116</v>
      </c>
      <c r="O23" s="95" t="str">
        <f t="shared" si="0"/>
        <v>FALSE</v>
      </c>
      <c r="P23" s="95"/>
      <c r="Q23" s="96">
        <v>1</v>
      </c>
      <c r="R23" s="96">
        <v>4</v>
      </c>
      <c r="S23" s="96">
        <v>147</v>
      </c>
      <c r="T23" s="96">
        <v>191</v>
      </c>
      <c r="U23" s="96">
        <v>0.15</v>
      </c>
      <c r="V23" s="96">
        <v>12</v>
      </c>
      <c r="W23" s="96">
        <v>27</v>
      </c>
      <c r="X23" s="96">
        <v>40</v>
      </c>
      <c r="Y23" s="96">
        <v>0</v>
      </c>
      <c r="Z23" s="96">
        <v>0</v>
      </c>
      <c r="AA23" s="96" t="str">
        <f t="shared" si="2"/>
        <v>DA_WPN_Bow_BattleBow_o_str</v>
      </c>
      <c r="AB23" s="90" t="str">
        <f t="shared" si="3"/>
        <v>/Game/DungeonSiege/Items/Weapons/bow/DA_WPN_Bow_BattleBow_o_str</v>
      </c>
      <c r="AC23" s="97" t="str">
        <f t="shared" si="4"/>
        <v>Texture2D'/Game/DungeonSiege/art/bitmaps/gui/in_game/inventory/weapons/bow/b_gui_ig_i_w_bow_039.b_gui_ig_i_w_bow_039'</v>
      </c>
      <c r="AD23" s="97" t="str">
        <f t="shared" si="1"/>
        <v>Texture2D'/Game/DungeonSiege/art/bitmaps/gui/in_game/inventory/icons/b_gui_ig_i_ic_bow_003.b_gui_ig_i_ic_bow_003'</v>
      </c>
      <c r="AE23" s="97" t="str">
        <f t="shared" si="5"/>
        <v>StaticMesh'/Game/DungeonSiege/art/meshes/weapons/bow/m_w_bow_031_AspMesh.m_w_bow_031_AspMesh'</v>
      </c>
    </row>
    <row r="24" spans="1:31" ht="15.75" thickBot="1" x14ac:dyDescent="0.3">
      <c r="A24" s="95">
        <v>22</v>
      </c>
      <c r="B24" s="95">
        <f>A24+Items!B$19</f>
        <v>85983254</v>
      </c>
      <c r="C24" s="96" t="s">
        <v>6127</v>
      </c>
      <c r="D24" s="96" t="s">
        <v>6127</v>
      </c>
      <c r="E24" s="96" t="s">
        <v>3524</v>
      </c>
      <c r="F24" s="96" t="s">
        <v>6098</v>
      </c>
      <c r="G24" s="96"/>
      <c r="H24" s="96"/>
      <c r="I24" s="96"/>
      <c r="J24" s="96"/>
      <c r="K24" s="96"/>
      <c r="L24" s="96" t="s">
        <v>6128</v>
      </c>
      <c r="M24" s="96" t="s">
        <v>6129</v>
      </c>
      <c r="N24" s="96" t="s">
        <v>6101</v>
      </c>
      <c r="O24" s="95" t="str">
        <f t="shared" si="0"/>
        <v>FALSE</v>
      </c>
      <c r="P24" s="95"/>
      <c r="Q24" s="96">
        <v>1</v>
      </c>
      <c r="R24" s="96">
        <v>4</v>
      </c>
      <c r="S24" s="96">
        <v>5</v>
      </c>
      <c r="T24" s="96">
        <v>11</v>
      </c>
      <c r="U24" s="96">
        <v>0.15</v>
      </c>
      <c r="V24" s="96">
        <v>12</v>
      </c>
      <c r="W24" s="96">
        <v>0</v>
      </c>
      <c r="X24" s="96">
        <v>0</v>
      </c>
      <c r="Y24" s="96">
        <v>0</v>
      </c>
      <c r="Z24" s="96">
        <v>0</v>
      </c>
      <c r="AA24" s="96" t="str">
        <f t="shared" si="2"/>
        <v>DA_WPN_Bow_FlimsyBattleBow</v>
      </c>
      <c r="AB24" s="90" t="str">
        <f t="shared" si="3"/>
        <v>/Game/DungeonSiege/Items/Weapons/bow/DA_WPN_Bow_FlimsyBattleBow</v>
      </c>
      <c r="AC24" s="97" t="str">
        <f t="shared" si="4"/>
        <v>Texture2D'/Game/DungeonSiege/art/bitmaps/gui/in_game/inventory/weapons/bow/b_gui_ig_i_w_bow_009.b_gui_ig_i_w_bow_009'</v>
      </c>
      <c r="AD24" s="97" t="str">
        <f t="shared" si="1"/>
        <v>Texture2D'/Game/DungeonSiege/art/bitmaps/gui/in_game/inventory/icons/b_gui_ig_i_ic_bow_001.b_gui_ig_i_ic_bow_001'</v>
      </c>
      <c r="AE24" s="97" t="str">
        <f t="shared" si="5"/>
        <v>StaticMesh'/Game/DungeonSiege/art/meshes/weapons/bow/m_w_bow_021_AspMesh.m_w_bow_021_AspMesh'</v>
      </c>
    </row>
    <row r="25" spans="1:31" ht="15.75" thickBot="1" x14ac:dyDescent="0.3">
      <c r="A25" s="95">
        <v>23</v>
      </c>
      <c r="B25" s="95">
        <f>A25+Items!B$19</f>
        <v>85983255</v>
      </c>
      <c r="C25" s="96" t="s">
        <v>6130</v>
      </c>
      <c r="D25" s="96" t="s">
        <v>6130</v>
      </c>
      <c r="E25" s="96" t="s">
        <v>3524</v>
      </c>
      <c r="F25" s="96" t="s">
        <v>6098</v>
      </c>
      <c r="G25" s="96"/>
      <c r="H25" s="96"/>
      <c r="I25" s="96"/>
      <c r="J25" s="96"/>
      <c r="K25" s="96"/>
      <c r="L25" s="96" t="s">
        <v>6131</v>
      </c>
      <c r="M25" s="96" t="s">
        <v>6132</v>
      </c>
      <c r="N25" s="96" t="s">
        <v>6101</v>
      </c>
      <c r="O25" s="95" t="str">
        <f t="shared" si="0"/>
        <v>FALSE</v>
      </c>
      <c r="P25" s="95"/>
      <c r="Q25" s="96">
        <v>1</v>
      </c>
      <c r="R25" s="96">
        <v>4</v>
      </c>
      <c r="S25" s="96">
        <v>7</v>
      </c>
      <c r="T25" s="96">
        <v>12</v>
      </c>
      <c r="U25" s="96">
        <v>0.15</v>
      </c>
      <c r="V25" s="96">
        <v>12</v>
      </c>
      <c r="W25" s="96">
        <v>0</v>
      </c>
      <c r="X25" s="96">
        <v>0</v>
      </c>
      <c r="Y25" s="96">
        <v>0</v>
      </c>
      <c r="Z25" s="96">
        <v>0</v>
      </c>
      <c r="AA25" s="96" t="str">
        <f t="shared" si="2"/>
        <v>DA_WPN_Bow_WornBattleBow</v>
      </c>
      <c r="AB25" s="90" t="str">
        <f t="shared" si="3"/>
        <v>/Game/DungeonSiege/Items/Weapons/bow/DA_WPN_Bow_WornBattleBow</v>
      </c>
      <c r="AC25" s="97" t="str">
        <f t="shared" si="4"/>
        <v>Texture2D'/Game/DungeonSiege/art/bitmaps/gui/in_game/inventory/weapons/bow/b_gui_ig_i_w_bow_004.b_gui_ig_i_w_bow_004'</v>
      </c>
      <c r="AD25" s="97" t="str">
        <f t="shared" si="1"/>
        <v>Texture2D'/Game/DungeonSiege/art/bitmaps/gui/in_game/inventory/icons/b_gui_ig_i_ic_bow_001.b_gui_ig_i_ic_bow_001'</v>
      </c>
      <c r="AE25" s="97" t="str">
        <f t="shared" si="5"/>
        <v>StaticMesh'/Game/DungeonSiege/art/meshes/weapons/bow/m_w_bow_021_AspMesh.m_w_bow_021_AspMesh'</v>
      </c>
    </row>
    <row r="26" spans="1:31" ht="15.75" thickBot="1" x14ac:dyDescent="0.3">
      <c r="A26" s="95">
        <v>24</v>
      </c>
      <c r="B26" s="95">
        <f>A26+Items!B$19</f>
        <v>85983256</v>
      </c>
      <c r="C26" s="96" t="s">
        <v>6133</v>
      </c>
      <c r="D26" s="96" t="s">
        <v>6133</v>
      </c>
      <c r="E26" s="96" t="s">
        <v>3524</v>
      </c>
      <c r="F26" s="96" t="s">
        <v>6098</v>
      </c>
      <c r="G26" s="96"/>
      <c r="H26" s="96"/>
      <c r="I26" s="96"/>
      <c r="J26" s="96"/>
      <c r="K26" s="96"/>
      <c r="L26" s="96" t="s">
        <v>6134</v>
      </c>
      <c r="M26" s="96" t="s">
        <v>6135</v>
      </c>
      <c r="N26" s="96" t="s">
        <v>6101</v>
      </c>
      <c r="O26" s="95" t="str">
        <f t="shared" si="0"/>
        <v>FALSE</v>
      </c>
      <c r="P26" s="95"/>
      <c r="Q26" s="96">
        <v>1</v>
      </c>
      <c r="R26" s="96">
        <v>4</v>
      </c>
      <c r="S26" s="96">
        <v>47</v>
      </c>
      <c r="T26" s="96">
        <v>63</v>
      </c>
      <c r="U26" s="96">
        <v>0.15</v>
      </c>
      <c r="V26" s="96">
        <v>12</v>
      </c>
      <c r="W26" s="96">
        <v>0</v>
      </c>
      <c r="X26" s="96">
        <v>0</v>
      </c>
      <c r="Y26" s="96">
        <v>13</v>
      </c>
      <c r="Z26" s="96">
        <v>19</v>
      </c>
      <c r="AA26" s="96" t="str">
        <f t="shared" si="2"/>
        <v>DA_WPN_Bow_BackedBow</v>
      </c>
      <c r="AB26" s="90" t="str">
        <f t="shared" si="3"/>
        <v>/Game/DungeonSiege/Items/Weapons/bow/DA_WPN_Bow_BackedBow</v>
      </c>
      <c r="AC26" s="97" t="str">
        <f t="shared" si="4"/>
        <v>Texture2D'/Game/DungeonSiege/art/bitmaps/gui/in_game/inventory/weapons/bow/b_gui_ig_i_w_bow_015.b_gui_ig_i_w_bow_015'</v>
      </c>
      <c r="AD26" s="97" t="str">
        <f t="shared" si="1"/>
        <v>Texture2D'/Game/DungeonSiege/art/bitmaps/gui/in_game/inventory/icons/b_gui_ig_i_ic_bow_001.b_gui_ig_i_ic_bow_001'</v>
      </c>
      <c r="AE26" s="97" t="str">
        <f t="shared" si="5"/>
        <v>StaticMesh'/Game/DungeonSiege/art/meshes/weapons/bow/m_w_bow_021_AspMesh.m_w_bow_021_AspMesh'</v>
      </c>
    </row>
    <row r="27" spans="1:31" ht="15.75" thickBot="1" x14ac:dyDescent="0.3">
      <c r="A27" s="95">
        <v>25</v>
      </c>
      <c r="B27" s="95">
        <f>A27+Items!B$19</f>
        <v>85983257</v>
      </c>
      <c r="C27" s="96" t="s">
        <v>6136</v>
      </c>
      <c r="D27" s="96" t="s">
        <v>6133</v>
      </c>
      <c r="E27" s="96" t="s">
        <v>3524</v>
      </c>
      <c r="F27" s="96" t="s">
        <v>6048</v>
      </c>
      <c r="G27" s="96" t="s">
        <v>3531</v>
      </c>
      <c r="H27" s="96"/>
      <c r="I27" s="96"/>
      <c r="J27" s="96"/>
      <c r="K27" s="96"/>
      <c r="L27" s="96" t="s">
        <v>6137</v>
      </c>
      <c r="M27" s="96" t="s">
        <v>6138</v>
      </c>
      <c r="N27" s="96" t="s">
        <v>6101</v>
      </c>
      <c r="O27" s="95" t="str">
        <f t="shared" si="0"/>
        <v>FALSE</v>
      </c>
      <c r="P27" s="95"/>
      <c r="Q27" s="96">
        <v>1</v>
      </c>
      <c r="R27" s="96">
        <v>4</v>
      </c>
      <c r="S27" s="96">
        <v>55</v>
      </c>
      <c r="T27" s="96">
        <v>75</v>
      </c>
      <c r="U27" s="96">
        <v>0.15</v>
      </c>
      <c r="V27" s="96">
        <v>12</v>
      </c>
      <c r="W27" s="96">
        <v>1</v>
      </c>
      <c r="X27" s="96">
        <v>8</v>
      </c>
      <c r="Y27" s="96">
        <v>14</v>
      </c>
      <c r="Z27" s="96">
        <v>21</v>
      </c>
      <c r="AA27" s="96" t="str">
        <f t="shared" si="2"/>
        <v>DA_WPN_Bow_BackedBow_c_fin</v>
      </c>
      <c r="AB27" s="90" t="str">
        <f t="shared" si="3"/>
        <v>/Game/DungeonSiege/Items/Weapons/bow/DA_WPN_Bow_BackedBow_c_fin</v>
      </c>
      <c r="AC27" s="97" t="str">
        <f t="shared" si="4"/>
        <v>Texture2D'/Game/DungeonSiege/art/bitmaps/gui/in_game/inventory/weapons/bow/b_gui_ig_i_w_bow_023.b_gui_ig_i_w_bow_023'</v>
      </c>
      <c r="AD27" s="97" t="str">
        <f t="shared" si="1"/>
        <v>Texture2D'/Game/DungeonSiege/art/bitmaps/gui/in_game/inventory/icons/b_gui_ig_i_ic_bow_001.b_gui_ig_i_ic_bow_001'</v>
      </c>
      <c r="AE27" s="97" t="str">
        <f t="shared" si="5"/>
        <v>StaticMesh'/Game/DungeonSiege/art/meshes/weapons/bow/m_w_bow_028_AspMesh.m_w_bow_028_AspMesh'</v>
      </c>
    </row>
    <row r="28" spans="1:31" ht="15.75" thickBot="1" x14ac:dyDescent="0.3">
      <c r="A28" s="95">
        <v>26</v>
      </c>
      <c r="B28" s="95">
        <f>A28+Items!B$19</f>
        <v>85983258</v>
      </c>
      <c r="C28" s="96" t="s">
        <v>6139</v>
      </c>
      <c r="D28" s="96" t="s">
        <v>6133</v>
      </c>
      <c r="E28" s="96" t="s">
        <v>3524</v>
      </c>
      <c r="F28" s="96" t="s">
        <v>6048</v>
      </c>
      <c r="G28" s="96" t="s">
        <v>3529</v>
      </c>
      <c r="H28" s="96"/>
      <c r="I28" s="96"/>
      <c r="J28" s="96"/>
      <c r="K28" s="96"/>
      <c r="L28" s="96" t="s">
        <v>6140</v>
      </c>
      <c r="M28" s="96" t="s">
        <v>6141</v>
      </c>
      <c r="N28" s="96" t="s">
        <v>6101</v>
      </c>
      <c r="O28" s="95" t="str">
        <f t="shared" si="0"/>
        <v>FALSE</v>
      </c>
      <c r="P28" s="95"/>
      <c r="Q28" s="96">
        <v>1</v>
      </c>
      <c r="R28" s="96">
        <v>4</v>
      </c>
      <c r="S28" s="96">
        <v>135</v>
      </c>
      <c r="T28" s="96">
        <v>183</v>
      </c>
      <c r="U28" s="96">
        <v>0.15</v>
      </c>
      <c r="V28" s="96">
        <v>12</v>
      </c>
      <c r="W28" s="96">
        <v>27</v>
      </c>
      <c r="X28" s="96">
        <v>38</v>
      </c>
      <c r="Y28" s="96">
        <v>21</v>
      </c>
      <c r="Z28" s="96">
        <v>38</v>
      </c>
      <c r="AA28" s="96" t="str">
        <f t="shared" si="2"/>
        <v>DA_WPN_Bow_BackedBow_c_mag</v>
      </c>
      <c r="AB28" s="90" t="str">
        <f t="shared" si="3"/>
        <v>/Game/DungeonSiege/Items/Weapons/bow/DA_WPN_Bow_BackedBow_c_mag</v>
      </c>
      <c r="AC28" s="97" t="str">
        <f t="shared" si="4"/>
        <v>Texture2D'/Game/DungeonSiege/art/bitmaps/gui/in_game/inventory/weapons/bow/b_gui_ig_i_w_bow_042.b_gui_ig_i_w_bow_042'</v>
      </c>
      <c r="AD28" s="97" t="str">
        <f t="shared" si="1"/>
        <v>Texture2D'/Game/DungeonSiege/art/bitmaps/gui/in_game/inventory/icons/b_gui_ig_i_ic_bow_001.b_gui_ig_i_ic_bow_001'</v>
      </c>
      <c r="AE28" s="97" t="str">
        <f t="shared" si="5"/>
        <v>StaticMesh'/Game/DungeonSiege/art/meshes/weapons/bow/m_w_bow_028_AspMesh.m_w_bow_028_AspMesh'</v>
      </c>
    </row>
    <row r="29" spans="1:31" ht="15.75" thickBot="1" x14ac:dyDescent="0.3">
      <c r="A29" s="95">
        <v>27</v>
      </c>
      <c r="B29" s="95">
        <f>A29+Items!B$19</f>
        <v>85983259</v>
      </c>
      <c r="C29" s="96" t="s">
        <v>6142</v>
      </c>
      <c r="D29" s="96" t="s">
        <v>6133</v>
      </c>
      <c r="E29" s="96" t="s">
        <v>3524</v>
      </c>
      <c r="F29" s="96" t="s">
        <v>6121</v>
      </c>
      <c r="G29" s="96" t="s">
        <v>3530</v>
      </c>
      <c r="H29" s="96"/>
      <c r="I29" s="96"/>
      <c r="J29" s="96"/>
      <c r="K29" s="96"/>
      <c r="L29" s="96" t="s">
        <v>6143</v>
      </c>
      <c r="M29" s="96" t="s">
        <v>6144</v>
      </c>
      <c r="N29" s="96" t="s">
        <v>6101</v>
      </c>
      <c r="O29" s="95" t="str">
        <f t="shared" si="0"/>
        <v>FALSE</v>
      </c>
      <c r="P29" s="95"/>
      <c r="Q29" s="96">
        <v>1</v>
      </c>
      <c r="R29" s="96">
        <v>4</v>
      </c>
      <c r="S29" s="96">
        <v>95</v>
      </c>
      <c r="T29" s="96">
        <v>129</v>
      </c>
      <c r="U29" s="96">
        <v>0.15</v>
      </c>
      <c r="V29" s="96">
        <v>12</v>
      </c>
      <c r="W29" s="96">
        <v>13</v>
      </c>
      <c r="X29" s="96">
        <v>27</v>
      </c>
      <c r="Y29" s="96">
        <v>18</v>
      </c>
      <c r="Z29" s="96">
        <v>29</v>
      </c>
      <c r="AA29" s="96" t="str">
        <f t="shared" si="2"/>
        <v>DA_WPN_Bow_BackedBow_c_str</v>
      </c>
      <c r="AB29" s="90" t="str">
        <f t="shared" si="3"/>
        <v>/Game/DungeonSiege/Items/Weapons/bow/DA_WPN_Bow_BackedBow_c_str</v>
      </c>
      <c r="AC29" s="97" t="str">
        <f t="shared" si="4"/>
        <v>Texture2D'/Game/DungeonSiege/art/bitmaps/gui/in_game/inventory/weapons/bow/b_gui_ig_i_w_bow_033.b_gui_ig_i_w_bow_033'</v>
      </c>
      <c r="AD29" s="97" t="str">
        <f t="shared" si="1"/>
        <v>Texture2D'/Game/DungeonSiege/art/bitmaps/gui/in_game/inventory/icons/b_gui_ig_i_ic_bow_001.b_gui_ig_i_ic_bow_001'</v>
      </c>
      <c r="AE29" s="97" t="str">
        <f t="shared" si="5"/>
        <v>StaticMesh'/Game/DungeonSiege/art/meshes/weapons/bow/m_w_bow_034_AspMesh.m_w_bow_034_AspMesh'</v>
      </c>
    </row>
    <row r="30" spans="1:31" ht="15.75" thickBot="1" x14ac:dyDescent="0.3">
      <c r="A30" s="95">
        <v>28</v>
      </c>
      <c r="B30" s="95">
        <f>A30+Items!B$19</f>
        <v>85983260</v>
      </c>
      <c r="C30" s="96" t="s">
        <v>6145</v>
      </c>
      <c r="D30" s="96" t="s">
        <v>6133</v>
      </c>
      <c r="E30" s="96" t="s">
        <v>3524</v>
      </c>
      <c r="F30" s="96" t="s">
        <v>6068</v>
      </c>
      <c r="G30" s="96" t="s">
        <v>3528</v>
      </c>
      <c r="H30" s="96"/>
      <c r="I30" s="96"/>
      <c r="J30" s="96"/>
      <c r="K30" s="96"/>
      <c r="L30" s="96" t="s">
        <v>6146</v>
      </c>
      <c r="M30" s="96" t="s">
        <v>6147</v>
      </c>
      <c r="N30" s="96" t="s">
        <v>6116</v>
      </c>
      <c r="O30" s="95" t="str">
        <f t="shared" si="0"/>
        <v>FALSE</v>
      </c>
      <c r="P30" s="95"/>
      <c r="Q30" s="96">
        <v>1</v>
      </c>
      <c r="R30" s="96">
        <v>4</v>
      </c>
      <c r="S30" s="96">
        <v>64</v>
      </c>
      <c r="T30" s="96">
        <v>86</v>
      </c>
      <c r="U30" s="96">
        <v>0.15</v>
      </c>
      <c r="V30" s="96">
        <v>12</v>
      </c>
      <c r="W30" s="96">
        <v>4</v>
      </c>
      <c r="X30" s="96">
        <v>13</v>
      </c>
      <c r="Y30" s="96">
        <v>15</v>
      </c>
      <c r="Z30" s="96">
        <v>23</v>
      </c>
      <c r="AA30" s="96" t="str">
        <f t="shared" si="2"/>
        <v>DA_WPN_Bow_BackedBow_o_avg</v>
      </c>
      <c r="AB30" s="90" t="str">
        <f t="shared" si="3"/>
        <v>/Game/DungeonSiege/Items/Weapons/bow/DA_WPN_Bow_BackedBow_o_avg</v>
      </c>
      <c r="AC30" s="97" t="str">
        <f t="shared" si="4"/>
        <v>Texture2D'/Game/DungeonSiege/art/bitmaps/gui/in_game/inventory/weapons/bow/b_gui_ig_i_w_bow_069.b_gui_ig_i_w_bow_069'</v>
      </c>
      <c r="AD30" s="97" t="str">
        <f t="shared" si="1"/>
        <v>Texture2D'/Game/DungeonSiege/art/bitmaps/gui/in_game/inventory/icons/b_gui_ig_i_ic_bow_003.b_gui_ig_i_ic_bow_003'</v>
      </c>
      <c r="AE30" s="97" t="str">
        <f t="shared" si="5"/>
        <v>StaticMesh'/Game/DungeonSiege/art/meshes/weapons/bow/m_w_bow_031_AspMesh.m_w_bow_031_AspMesh'</v>
      </c>
    </row>
    <row r="31" spans="1:31" ht="15.75" thickBot="1" x14ac:dyDescent="0.3">
      <c r="A31" s="95">
        <v>29</v>
      </c>
      <c r="B31" s="95">
        <f>A31+Items!B$19</f>
        <v>85983261</v>
      </c>
      <c r="C31" s="96" t="s">
        <v>6148</v>
      </c>
      <c r="D31" s="96" t="s">
        <v>6133</v>
      </c>
      <c r="E31" s="96" t="s">
        <v>3524</v>
      </c>
      <c r="F31" s="96" t="s">
        <v>6091</v>
      </c>
      <c r="G31" s="96" t="s">
        <v>3533</v>
      </c>
      <c r="H31" s="96"/>
      <c r="I31" s="96"/>
      <c r="J31" s="96"/>
      <c r="K31" s="96"/>
      <c r="L31" s="96" t="s">
        <v>6149</v>
      </c>
      <c r="M31" s="96" t="s">
        <v>6150</v>
      </c>
      <c r="N31" s="96" t="s">
        <v>6116</v>
      </c>
      <c r="O31" s="95" t="str">
        <f t="shared" si="0"/>
        <v>FALSE</v>
      </c>
      <c r="P31" s="95"/>
      <c r="Q31" s="96">
        <v>1</v>
      </c>
      <c r="R31" s="96">
        <v>4</v>
      </c>
      <c r="S31" s="96">
        <v>162</v>
      </c>
      <c r="T31" s="96">
        <v>219</v>
      </c>
      <c r="U31" s="96">
        <v>0.15</v>
      </c>
      <c r="V31" s="96">
        <v>12</v>
      </c>
      <c r="W31" s="96">
        <v>34</v>
      </c>
      <c r="X31" s="96">
        <v>47</v>
      </c>
      <c r="Y31" s="96">
        <v>23</v>
      </c>
      <c r="Z31" s="96">
        <v>44</v>
      </c>
      <c r="AA31" s="96" t="str">
        <f t="shared" si="2"/>
        <v>DA_WPN_Bow_BackedBow_o_mag</v>
      </c>
      <c r="AB31" s="90" t="str">
        <f t="shared" si="3"/>
        <v>/Game/DungeonSiege/Items/Weapons/bow/DA_WPN_Bow_BackedBow_o_mag</v>
      </c>
      <c r="AC31" s="97" t="str">
        <f t="shared" si="4"/>
        <v>Texture2D'/Game/DungeonSiege/art/bitmaps/gui/in_game/inventory/weapons/bow/b_gui_ig_i_w_bow_071.b_gui_ig_i_w_bow_071'</v>
      </c>
      <c r="AD31" s="97" t="str">
        <f t="shared" si="1"/>
        <v>Texture2D'/Game/DungeonSiege/art/bitmaps/gui/in_game/inventory/icons/b_gui_ig_i_ic_bow_003.b_gui_ig_i_ic_bow_003'</v>
      </c>
      <c r="AE31" s="97" t="str">
        <f t="shared" si="5"/>
        <v>StaticMesh'/Game/DungeonSiege/art/meshes/weapons/bow/m_w_bow_033_AspMesh.m_w_bow_033_AspMesh'</v>
      </c>
    </row>
    <row r="32" spans="1:31" ht="15.75" thickBot="1" x14ac:dyDescent="0.3">
      <c r="A32" s="95">
        <v>30</v>
      </c>
      <c r="B32" s="95">
        <f>A32+Items!B$19</f>
        <v>85983262</v>
      </c>
      <c r="C32" s="96" t="s">
        <v>6151</v>
      </c>
      <c r="D32" s="96" t="s">
        <v>6133</v>
      </c>
      <c r="E32" s="96" t="s">
        <v>3524</v>
      </c>
      <c r="F32" s="96" t="s">
        <v>6152</v>
      </c>
      <c r="G32" s="96" t="s">
        <v>3534</v>
      </c>
      <c r="H32" s="96"/>
      <c r="I32" s="96"/>
      <c r="J32" s="96"/>
      <c r="K32" s="96"/>
      <c r="L32" s="96" t="s">
        <v>6153</v>
      </c>
      <c r="M32" s="96" t="s">
        <v>6154</v>
      </c>
      <c r="N32" s="96" t="s">
        <v>6116</v>
      </c>
      <c r="O32" s="95" t="str">
        <f t="shared" si="0"/>
        <v>FALSE</v>
      </c>
      <c r="P32" s="95"/>
      <c r="Q32" s="96">
        <v>1</v>
      </c>
      <c r="R32" s="96">
        <v>4</v>
      </c>
      <c r="S32" s="96">
        <v>115</v>
      </c>
      <c r="T32" s="96">
        <v>155</v>
      </c>
      <c r="U32" s="96">
        <v>0.15</v>
      </c>
      <c r="V32" s="96">
        <v>12</v>
      </c>
      <c r="W32" s="96">
        <v>21</v>
      </c>
      <c r="X32" s="96">
        <v>32</v>
      </c>
      <c r="Y32" s="96">
        <v>19</v>
      </c>
      <c r="Z32" s="96">
        <v>34</v>
      </c>
      <c r="AA32" s="96" t="str">
        <f t="shared" si="2"/>
        <v>DA_WPN_Bow_BackedBow_o_str</v>
      </c>
      <c r="AB32" s="90" t="str">
        <f t="shared" si="3"/>
        <v>/Game/DungeonSiege/Items/Weapons/bow/DA_WPN_Bow_BackedBow_o_str</v>
      </c>
      <c r="AC32" s="97" t="str">
        <f t="shared" si="4"/>
        <v>Texture2D'/Game/DungeonSiege/art/bitmaps/gui/in_game/inventory/weapons/bow/b_gui_ig_i_w_bow_070.b_gui_ig_i_w_bow_070'</v>
      </c>
      <c r="AD32" s="97" t="str">
        <f t="shared" si="1"/>
        <v>Texture2D'/Game/DungeonSiege/art/bitmaps/gui/in_game/inventory/icons/b_gui_ig_i_ic_bow_003.b_gui_ig_i_ic_bow_003'</v>
      </c>
      <c r="AE32" s="97" t="str">
        <f t="shared" si="5"/>
        <v>StaticMesh'/Game/DungeonSiege/art/meshes/weapons/bow/m_w_bow_025_AspMesh.m_w_bow_025_AspMesh'</v>
      </c>
    </row>
    <row r="33" spans="1:31" ht="15.75" thickBot="1" x14ac:dyDescent="0.3">
      <c r="A33" s="95">
        <v>31</v>
      </c>
      <c r="B33" s="95">
        <f>A33+Items!B$19</f>
        <v>85983263</v>
      </c>
      <c r="C33" s="96" t="s">
        <v>6155</v>
      </c>
      <c r="D33" s="96" t="s">
        <v>6155</v>
      </c>
      <c r="E33" s="96" t="s">
        <v>3524</v>
      </c>
      <c r="F33" s="96" t="s">
        <v>6060</v>
      </c>
      <c r="G33" s="96"/>
      <c r="H33" s="96"/>
      <c r="I33" s="96"/>
      <c r="J33" s="96"/>
      <c r="K33" s="96"/>
      <c r="L33" s="96" t="s">
        <v>6156</v>
      </c>
      <c r="M33" s="96" t="s">
        <v>6157</v>
      </c>
      <c r="N33" s="96" t="s">
        <v>6101</v>
      </c>
      <c r="O33" s="95" t="str">
        <f t="shared" si="0"/>
        <v>FALSE</v>
      </c>
      <c r="P33" s="95"/>
      <c r="Q33" s="96">
        <v>1</v>
      </c>
      <c r="R33" s="96">
        <v>4</v>
      </c>
      <c r="S33" s="96">
        <v>41</v>
      </c>
      <c r="T33" s="96">
        <v>55</v>
      </c>
      <c r="U33" s="96">
        <v>0.15</v>
      </c>
      <c r="V33" s="96">
        <v>12</v>
      </c>
      <c r="W33" s="96">
        <v>0</v>
      </c>
      <c r="X33" s="96">
        <v>0</v>
      </c>
      <c r="Y33" s="96">
        <v>13</v>
      </c>
      <c r="Z33" s="96">
        <v>18</v>
      </c>
      <c r="AA33" s="96" t="str">
        <f t="shared" si="2"/>
        <v>DA_WPN_Bow_FrailBackedBow</v>
      </c>
      <c r="AB33" s="90" t="str">
        <f t="shared" si="3"/>
        <v>/Game/DungeonSiege/Items/Weapons/bow/DA_WPN_Bow_FrailBackedBow</v>
      </c>
      <c r="AC33" s="97" t="str">
        <f t="shared" si="4"/>
        <v>Texture2D'/Game/DungeonSiege/art/bitmaps/gui/in_game/inventory/weapons/bow/b_gui_ig_i_w_bow_008.b_gui_ig_i_w_bow_008'</v>
      </c>
      <c r="AD33" s="97" t="str">
        <f t="shared" si="1"/>
        <v>Texture2D'/Game/DungeonSiege/art/bitmaps/gui/in_game/inventory/icons/b_gui_ig_i_ic_bow_001.b_gui_ig_i_ic_bow_001'</v>
      </c>
      <c r="AE33" s="97" t="str">
        <f t="shared" si="5"/>
        <v>StaticMesh'/Game/DungeonSiege/art/meshes/weapons/bow/m_w_bow_023_AspMesh.m_w_bow_023_AspMesh'</v>
      </c>
    </row>
    <row r="34" spans="1:31" ht="15.75" thickBot="1" x14ac:dyDescent="0.3">
      <c r="A34" s="95">
        <v>32</v>
      </c>
      <c r="B34" s="95">
        <f>A34+Items!B$19</f>
        <v>85983264</v>
      </c>
      <c r="C34" s="96" t="s">
        <v>6158</v>
      </c>
      <c r="D34" s="96" t="s">
        <v>6158</v>
      </c>
      <c r="E34" s="96" t="s">
        <v>3524</v>
      </c>
      <c r="F34" s="96" t="s">
        <v>6159</v>
      </c>
      <c r="G34" s="96"/>
      <c r="H34" s="96"/>
      <c r="I34" s="96"/>
      <c r="J34" s="96"/>
      <c r="K34" s="96"/>
      <c r="L34" s="96" t="s">
        <v>6160</v>
      </c>
      <c r="M34" s="96" t="s">
        <v>6161</v>
      </c>
      <c r="N34" s="96" t="s">
        <v>6101</v>
      </c>
      <c r="O34" s="95" t="str">
        <f t="shared" si="0"/>
        <v>FALSE</v>
      </c>
      <c r="P34" s="95"/>
      <c r="Q34" s="96">
        <v>1</v>
      </c>
      <c r="R34" s="96">
        <v>4</v>
      </c>
      <c r="S34" s="96">
        <v>32</v>
      </c>
      <c r="T34" s="96">
        <v>44</v>
      </c>
      <c r="U34" s="96">
        <v>0.15</v>
      </c>
      <c r="V34" s="96">
        <v>12</v>
      </c>
      <c r="W34" s="96">
        <v>0</v>
      </c>
      <c r="X34" s="96">
        <v>0</v>
      </c>
      <c r="Y34" s="96">
        <v>12</v>
      </c>
      <c r="Z34" s="96">
        <v>16</v>
      </c>
      <c r="AA34" s="96" t="str">
        <f t="shared" si="2"/>
        <v>DA_WPN_Bow_CrookedBackedBow</v>
      </c>
      <c r="AB34" s="90" t="str">
        <f t="shared" si="3"/>
        <v>/Game/DungeonSiege/Items/Weapons/bow/DA_WPN_Bow_CrookedBackedBow</v>
      </c>
      <c r="AC34" s="97" t="str">
        <f t="shared" si="4"/>
        <v>Texture2D'/Game/DungeonSiege/art/bitmaps/gui/in_game/inventory/weapons/bow/b_gui_ig_i_w_bow_003.b_gui_ig_i_w_bow_003'</v>
      </c>
      <c r="AD34" s="97" t="str">
        <f t="shared" si="1"/>
        <v>Texture2D'/Game/DungeonSiege/art/bitmaps/gui/in_game/inventory/icons/b_gui_ig_i_ic_bow_001.b_gui_ig_i_ic_bow_001'</v>
      </c>
      <c r="AE34" s="97" t="str">
        <f t="shared" si="5"/>
        <v>StaticMesh'/Game/DungeonSiege/art/meshes/weapons/bow/m_w_bow_020_AspMesh.m_w_bow_020_AspMesh'</v>
      </c>
    </row>
    <row r="35" spans="1:31" ht="15.75" thickBot="1" x14ac:dyDescent="0.3">
      <c r="A35" s="95">
        <v>33</v>
      </c>
      <c r="B35" s="95">
        <f>A35+Items!B$19</f>
        <v>85983265</v>
      </c>
      <c r="C35" s="96" t="s">
        <v>6162</v>
      </c>
      <c r="D35" s="96" t="s">
        <v>6162</v>
      </c>
      <c r="E35" s="96" t="s">
        <v>3524</v>
      </c>
      <c r="F35" s="96" t="s">
        <v>6163</v>
      </c>
      <c r="G35" s="96"/>
      <c r="H35" s="96"/>
      <c r="I35" s="96"/>
      <c r="J35" s="96"/>
      <c r="K35" s="96"/>
      <c r="L35" s="96" t="s">
        <v>6164</v>
      </c>
      <c r="M35" s="96" t="s">
        <v>6165</v>
      </c>
      <c r="N35" s="96" t="s">
        <v>6116</v>
      </c>
      <c r="O35" s="95" t="str">
        <f t="shared" si="0"/>
        <v>FALSE</v>
      </c>
      <c r="P35" s="95"/>
      <c r="Q35" s="96">
        <v>1</v>
      </c>
      <c r="R35" s="96">
        <v>4</v>
      </c>
      <c r="S35" s="96">
        <v>39</v>
      </c>
      <c r="T35" s="96">
        <v>51</v>
      </c>
      <c r="U35" s="96">
        <v>0</v>
      </c>
      <c r="V35" s="96">
        <v>10</v>
      </c>
      <c r="W35" s="96">
        <v>0</v>
      </c>
      <c r="X35" s="96">
        <v>1</v>
      </c>
      <c r="Y35" s="96">
        <v>13</v>
      </c>
      <c r="Z35" s="96">
        <v>18</v>
      </c>
      <c r="AA35" s="96" t="str">
        <f t="shared" si="2"/>
        <v>DA_WPN_Bow_ShortBackedBow</v>
      </c>
      <c r="AB35" s="90" t="str">
        <f t="shared" si="3"/>
        <v>/Game/DungeonSiege/Items/Weapons/bow/DA_WPN_Bow_ShortBackedBow</v>
      </c>
      <c r="AC35" s="97" t="str">
        <f t="shared" si="4"/>
        <v>Texture2D'/Game/DungeonSiege/art/bitmaps/gui/in_game/inventory/weapons/bow/b_gui_ig_i_w_bow_018.b_gui_ig_i_w_bow_018'</v>
      </c>
      <c r="AD35" s="97" t="str">
        <f t="shared" si="1"/>
        <v>Texture2D'/Game/DungeonSiege/art/bitmaps/gui/in_game/inventory/icons/b_gui_ig_i_ic_bow_003.b_gui_ig_i_ic_bow_003'</v>
      </c>
      <c r="AE35" s="97" t="str">
        <f t="shared" si="5"/>
        <v>StaticMesh'/Game/DungeonSiege/art/meshes/weapons/bow/m_w_bow_027_AspMesh.m_w_bow_027_AspMesh'</v>
      </c>
    </row>
    <row r="36" spans="1:31" ht="23.25" thickBot="1" x14ac:dyDescent="0.3">
      <c r="A36" s="95">
        <v>34</v>
      </c>
      <c r="B36" s="95">
        <f>A36+Items!B$19</f>
        <v>85983266</v>
      </c>
      <c r="C36" s="96" t="s">
        <v>6166</v>
      </c>
      <c r="D36" s="96" t="s">
        <v>6162</v>
      </c>
      <c r="E36" s="96" t="s">
        <v>3524</v>
      </c>
      <c r="F36" s="96" t="s">
        <v>6163</v>
      </c>
      <c r="G36" s="96" t="s">
        <v>3528</v>
      </c>
      <c r="H36" s="96"/>
      <c r="I36" s="96"/>
      <c r="J36" s="96"/>
      <c r="K36" s="96"/>
      <c r="L36" s="96" t="s">
        <v>6167</v>
      </c>
      <c r="M36" s="96" t="s">
        <v>6165</v>
      </c>
      <c r="N36" s="96" t="s">
        <v>6116</v>
      </c>
      <c r="O36" s="95" t="str">
        <f t="shared" si="0"/>
        <v>FALSE</v>
      </c>
      <c r="P36" s="95"/>
      <c r="Q36" s="96">
        <v>1</v>
      </c>
      <c r="R36" s="96">
        <v>4</v>
      </c>
      <c r="S36" s="96">
        <v>49</v>
      </c>
      <c r="T36" s="96">
        <v>65</v>
      </c>
      <c r="U36" s="96">
        <v>0</v>
      </c>
      <c r="V36" s="96">
        <v>10</v>
      </c>
      <c r="W36" s="96">
        <v>5</v>
      </c>
      <c r="X36" s="96">
        <v>17</v>
      </c>
      <c r="Y36" s="96">
        <v>14</v>
      </c>
      <c r="Z36" s="96">
        <v>20</v>
      </c>
      <c r="AA36" s="96" t="str">
        <f t="shared" si="2"/>
        <v>DA_WPN_Bow_ShortBackedBow_o_avg</v>
      </c>
      <c r="AB36" s="90" t="str">
        <f t="shared" si="3"/>
        <v>/Game/DungeonSiege/Items/Weapons/bow/DA_WPN_Bow_ShortBackedBow_o_avg</v>
      </c>
      <c r="AC36" s="97" t="str">
        <f t="shared" si="4"/>
        <v>Texture2D'/Game/DungeonSiege/art/bitmaps/gui/in_game/inventory/weapons/bow/b_gui_ig_i_w_bow_018.b_gui_ig_i_w_bow_018'</v>
      </c>
      <c r="AD36" s="97" t="str">
        <f t="shared" si="1"/>
        <v>Texture2D'/Game/DungeonSiege/art/bitmaps/gui/in_game/inventory/icons/b_gui_ig_i_ic_bow_003.b_gui_ig_i_ic_bow_003'</v>
      </c>
      <c r="AE36" s="97" t="str">
        <f t="shared" si="5"/>
        <v>StaticMesh'/Game/DungeonSiege/art/meshes/weapons/bow/m_w_bow_027_AspMesh.m_w_bow_027_AspMesh'</v>
      </c>
    </row>
    <row r="37" spans="1:31" ht="15.75" thickBot="1" x14ac:dyDescent="0.3">
      <c r="A37" s="95">
        <v>35</v>
      </c>
      <c r="B37" s="95">
        <f>A37+Items!B$19</f>
        <v>85983267</v>
      </c>
      <c r="C37" s="96" t="s">
        <v>6168</v>
      </c>
      <c r="D37" s="96" t="s">
        <v>6168</v>
      </c>
      <c r="E37" s="96" t="s">
        <v>3524</v>
      </c>
      <c r="F37" s="96" t="s">
        <v>6152</v>
      </c>
      <c r="G37" s="96"/>
      <c r="H37" s="96"/>
      <c r="I37" s="96"/>
      <c r="J37" s="96"/>
      <c r="K37" s="96"/>
      <c r="L37" s="96" t="s">
        <v>6169</v>
      </c>
      <c r="M37" s="96" t="s">
        <v>6170</v>
      </c>
      <c r="N37" s="96" t="s">
        <v>6101</v>
      </c>
      <c r="O37" s="95" t="str">
        <f t="shared" si="0"/>
        <v>FALSE</v>
      </c>
      <c r="P37" s="95"/>
      <c r="Q37" s="96">
        <v>1</v>
      </c>
      <c r="R37" s="96">
        <v>4</v>
      </c>
      <c r="S37" s="96">
        <v>65</v>
      </c>
      <c r="T37" s="96">
        <v>93</v>
      </c>
      <c r="U37" s="96">
        <v>0.3</v>
      </c>
      <c r="V37" s="96">
        <v>15</v>
      </c>
      <c r="W37" s="96">
        <v>0</v>
      </c>
      <c r="X37" s="96">
        <v>0</v>
      </c>
      <c r="Y37" s="96">
        <v>15</v>
      </c>
      <c r="Z37" s="96">
        <v>22</v>
      </c>
      <c r="AA37" s="96" t="str">
        <f t="shared" si="2"/>
        <v>DA_WPN_Bow_LongBow</v>
      </c>
      <c r="AB37" s="90" t="str">
        <f t="shared" si="3"/>
        <v>/Game/DungeonSiege/Items/Weapons/bow/DA_WPN_Bow_LongBow</v>
      </c>
      <c r="AC37" s="97" t="str">
        <f t="shared" si="4"/>
        <v>Texture2D'/Game/DungeonSiege/art/bitmaps/gui/in_game/inventory/weapons/bow/b_gui_ig_i_w_bow_014.b_gui_ig_i_w_bow_014'</v>
      </c>
      <c r="AD37" s="97" t="str">
        <f t="shared" si="1"/>
        <v>Texture2D'/Game/DungeonSiege/art/bitmaps/gui/in_game/inventory/icons/b_gui_ig_i_ic_bow_001.b_gui_ig_i_ic_bow_001'</v>
      </c>
      <c r="AE37" s="97" t="str">
        <f t="shared" si="5"/>
        <v>StaticMesh'/Game/DungeonSiege/art/meshes/weapons/bow/m_w_bow_025_AspMesh.m_w_bow_025_AspMesh'</v>
      </c>
    </row>
    <row r="38" spans="1:31" ht="15.75" thickBot="1" x14ac:dyDescent="0.3">
      <c r="A38" s="95">
        <v>36</v>
      </c>
      <c r="B38" s="95">
        <f>A38+Items!B$19</f>
        <v>85983268</v>
      </c>
      <c r="C38" s="96" t="s">
        <v>6171</v>
      </c>
      <c r="D38" s="96" t="s">
        <v>6168</v>
      </c>
      <c r="E38" s="96" t="s">
        <v>3524</v>
      </c>
      <c r="F38" s="96" t="s">
        <v>6048</v>
      </c>
      <c r="G38" s="96" t="s">
        <v>3531</v>
      </c>
      <c r="H38" s="96"/>
      <c r="I38" s="96"/>
      <c r="J38" s="96"/>
      <c r="K38" s="96"/>
      <c r="L38" s="96" t="s">
        <v>6172</v>
      </c>
      <c r="M38" s="96" t="s">
        <v>6173</v>
      </c>
      <c r="N38" s="96" t="s">
        <v>6101</v>
      </c>
      <c r="O38" s="95" t="str">
        <f t="shared" si="0"/>
        <v>FALSE</v>
      </c>
      <c r="P38" s="95"/>
      <c r="Q38" s="96">
        <v>1</v>
      </c>
      <c r="R38" s="96">
        <v>4</v>
      </c>
      <c r="S38" s="96">
        <v>74</v>
      </c>
      <c r="T38" s="96">
        <v>106</v>
      </c>
      <c r="U38" s="96">
        <v>0.3</v>
      </c>
      <c r="V38" s="96">
        <v>15</v>
      </c>
      <c r="W38" s="96">
        <v>1</v>
      </c>
      <c r="X38" s="96">
        <v>10</v>
      </c>
      <c r="Y38" s="96">
        <v>15</v>
      </c>
      <c r="Z38" s="96">
        <v>24</v>
      </c>
      <c r="AA38" s="96" t="str">
        <f t="shared" si="2"/>
        <v>DA_WPN_Bow_LongBow_c_fin</v>
      </c>
      <c r="AB38" s="90" t="str">
        <f t="shared" si="3"/>
        <v>/Game/DungeonSiege/Items/Weapons/bow/DA_WPN_Bow_LongBow_c_fin</v>
      </c>
      <c r="AC38" s="97" t="str">
        <f t="shared" si="4"/>
        <v>Texture2D'/Game/DungeonSiege/art/bitmaps/gui/in_game/inventory/weapons/bow/b_gui_ig_i_w_bow_022.b_gui_ig_i_w_bow_022'</v>
      </c>
      <c r="AD38" s="97" t="str">
        <f t="shared" si="1"/>
        <v>Texture2D'/Game/DungeonSiege/art/bitmaps/gui/in_game/inventory/icons/b_gui_ig_i_ic_bow_001.b_gui_ig_i_ic_bow_001'</v>
      </c>
      <c r="AE38" s="97" t="str">
        <f t="shared" si="5"/>
        <v>StaticMesh'/Game/DungeonSiege/art/meshes/weapons/bow/m_w_bow_028_AspMesh.m_w_bow_028_AspMesh'</v>
      </c>
    </row>
    <row r="39" spans="1:31" ht="15.75" thickBot="1" x14ac:dyDescent="0.3">
      <c r="A39" s="95">
        <v>37</v>
      </c>
      <c r="B39" s="95">
        <f>A39+Items!B$19</f>
        <v>85983269</v>
      </c>
      <c r="C39" s="96" t="s">
        <v>6174</v>
      </c>
      <c r="D39" s="96" t="s">
        <v>6168</v>
      </c>
      <c r="E39" s="96" t="s">
        <v>3524</v>
      </c>
      <c r="F39" s="96" t="s">
        <v>6091</v>
      </c>
      <c r="G39" s="96" t="s">
        <v>3529</v>
      </c>
      <c r="H39" s="96"/>
      <c r="I39" s="96"/>
      <c r="J39" s="96"/>
      <c r="K39" s="96"/>
      <c r="L39" s="96" t="s">
        <v>6175</v>
      </c>
      <c r="M39" s="96" t="s">
        <v>6176</v>
      </c>
      <c r="N39" s="96" t="s">
        <v>6101</v>
      </c>
      <c r="O39" s="95" t="str">
        <f t="shared" si="0"/>
        <v>FALSE</v>
      </c>
      <c r="P39" s="95"/>
      <c r="Q39" s="96">
        <v>1</v>
      </c>
      <c r="R39" s="96">
        <v>4</v>
      </c>
      <c r="S39" s="96">
        <v>163</v>
      </c>
      <c r="T39" s="96">
        <v>235</v>
      </c>
      <c r="U39" s="96">
        <v>0.3</v>
      </c>
      <c r="V39" s="96">
        <v>15</v>
      </c>
      <c r="W39" s="96">
        <v>30</v>
      </c>
      <c r="X39" s="96">
        <v>43</v>
      </c>
      <c r="Y39" s="96">
        <v>23</v>
      </c>
      <c r="Z39" s="96">
        <v>42</v>
      </c>
      <c r="AA39" s="96" t="str">
        <f t="shared" si="2"/>
        <v>DA_WPN_Bow_LongBow_c_mag</v>
      </c>
      <c r="AB39" s="90" t="str">
        <f t="shared" si="3"/>
        <v>/Game/DungeonSiege/Items/Weapons/bow/DA_WPN_Bow_LongBow_c_mag</v>
      </c>
      <c r="AC39" s="97" t="str">
        <f t="shared" si="4"/>
        <v>Texture2D'/Game/DungeonSiege/art/bitmaps/gui/in_game/inventory/weapons/bow/b_gui_ig_i_w_bow_041.b_gui_ig_i_w_bow_041'</v>
      </c>
      <c r="AD39" s="97" t="str">
        <f t="shared" ref="AD39:AD102" si="6">CONCATENATE("Texture2D'/Game/DungeonSiege/art/bitmaps/gui/in_game/inventory/icons/",N39,".",N39,"'")</f>
        <v>Texture2D'/Game/DungeonSiege/art/bitmaps/gui/in_game/inventory/icons/b_gui_ig_i_ic_bow_001.b_gui_ig_i_ic_bow_001'</v>
      </c>
      <c r="AE39" s="97" t="str">
        <f t="shared" si="5"/>
        <v>StaticMesh'/Game/DungeonSiege/art/meshes/weapons/bow/m_w_bow_033_AspMesh.m_w_bow_033_AspMesh'</v>
      </c>
    </row>
    <row r="40" spans="1:31" ht="15.75" thickBot="1" x14ac:dyDescent="0.3">
      <c r="A40" s="95">
        <v>38</v>
      </c>
      <c r="B40" s="95">
        <f>A40+Items!B$19</f>
        <v>85983270</v>
      </c>
      <c r="C40" s="96" t="s">
        <v>6177</v>
      </c>
      <c r="D40" s="96" t="s">
        <v>6168</v>
      </c>
      <c r="E40" s="96" t="s">
        <v>3524</v>
      </c>
      <c r="F40" s="96" t="s">
        <v>6178</v>
      </c>
      <c r="G40" s="96" t="s">
        <v>3530</v>
      </c>
      <c r="H40" s="96"/>
      <c r="I40" s="96"/>
      <c r="J40" s="96"/>
      <c r="K40" s="96"/>
      <c r="L40" s="96" t="s">
        <v>6179</v>
      </c>
      <c r="M40" s="96" t="s">
        <v>6180</v>
      </c>
      <c r="N40" s="96" t="s">
        <v>6101</v>
      </c>
      <c r="O40" s="95" t="str">
        <f t="shared" si="0"/>
        <v>FALSE</v>
      </c>
      <c r="P40" s="95"/>
      <c r="Q40" s="96">
        <v>1</v>
      </c>
      <c r="R40" s="96">
        <v>4</v>
      </c>
      <c r="S40" s="96">
        <v>117</v>
      </c>
      <c r="T40" s="96">
        <v>169</v>
      </c>
      <c r="U40" s="96">
        <v>0.3</v>
      </c>
      <c r="V40" s="96">
        <v>15</v>
      </c>
      <c r="W40" s="96">
        <v>15</v>
      </c>
      <c r="X40" s="96">
        <v>30</v>
      </c>
      <c r="Y40" s="96">
        <v>19</v>
      </c>
      <c r="Z40" s="96">
        <v>32</v>
      </c>
      <c r="AA40" s="96" t="str">
        <f t="shared" si="2"/>
        <v>DA_WPN_Bow_LongBow_c_str</v>
      </c>
      <c r="AB40" s="90" t="str">
        <f t="shared" si="3"/>
        <v>/Game/DungeonSiege/Items/Weapons/bow/DA_WPN_Bow_LongBow_c_str</v>
      </c>
      <c r="AC40" s="97" t="str">
        <f t="shared" si="4"/>
        <v>Texture2D'/Game/DungeonSiege/art/bitmaps/gui/in_game/inventory/weapons/bow/b_gui_ig_i_w_bow_061.b_gui_ig_i_w_bow_061'</v>
      </c>
      <c r="AD40" s="97" t="str">
        <f t="shared" si="6"/>
        <v>Texture2D'/Game/DungeonSiege/art/bitmaps/gui/in_game/inventory/icons/b_gui_ig_i_ic_bow_001.b_gui_ig_i_ic_bow_001'</v>
      </c>
      <c r="AE40" s="97" t="str">
        <f t="shared" si="5"/>
        <v>StaticMesh'/Game/DungeonSiege/art/meshes/weapons/bow/m_w_bow_012_AspMesh.m_w_bow_012_AspMesh'</v>
      </c>
    </row>
    <row r="41" spans="1:31" ht="15.75" thickBot="1" x14ac:dyDescent="0.3">
      <c r="A41" s="95">
        <v>39</v>
      </c>
      <c r="B41" s="95">
        <f>A41+Items!B$19</f>
        <v>85983271</v>
      </c>
      <c r="C41" s="96" t="s">
        <v>6181</v>
      </c>
      <c r="D41" s="96" t="s">
        <v>6168</v>
      </c>
      <c r="E41" s="96" t="s">
        <v>3524</v>
      </c>
      <c r="F41" s="96" t="s">
        <v>6087</v>
      </c>
      <c r="G41" s="96" t="s">
        <v>3528</v>
      </c>
      <c r="H41" s="96"/>
      <c r="I41" s="96"/>
      <c r="J41" s="96"/>
      <c r="K41" s="96"/>
      <c r="L41" s="96" t="s">
        <v>6182</v>
      </c>
      <c r="M41" s="96" t="s">
        <v>6183</v>
      </c>
      <c r="N41" s="96" t="s">
        <v>6066</v>
      </c>
      <c r="O41" s="95" t="str">
        <f t="shared" si="0"/>
        <v>FALSE</v>
      </c>
      <c r="P41" s="95"/>
      <c r="Q41" s="96">
        <v>1</v>
      </c>
      <c r="R41" s="96">
        <v>4</v>
      </c>
      <c r="S41" s="96">
        <v>84</v>
      </c>
      <c r="T41" s="96">
        <v>120</v>
      </c>
      <c r="U41" s="96">
        <v>0.3</v>
      </c>
      <c r="V41" s="96">
        <v>15</v>
      </c>
      <c r="W41" s="96">
        <v>5</v>
      </c>
      <c r="X41" s="96">
        <v>16</v>
      </c>
      <c r="Y41" s="96">
        <v>16</v>
      </c>
      <c r="Z41" s="96">
        <v>26</v>
      </c>
      <c r="AA41" s="96" t="str">
        <f t="shared" si="2"/>
        <v>DA_WPN_Bow_LongBow_o_avg</v>
      </c>
      <c r="AB41" s="90" t="str">
        <f t="shared" si="3"/>
        <v>/Game/DungeonSiege/Items/Weapons/bow/DA_WPN_Bow_LongBow_o_avg</v>
      </c>
      <c r="AC41" s="97" t="str">
        <f t="shared" si="4"/>
        <v>Texture2D'/Game/DungeonSiege/art/bitmaps/gui/in_game/inventory/weapons/bow/b_gui_ig_i_w_bow_060.b_gui_ig_i_w_bow_060'</v>
      </c>
      <c r="AD41" s="97" t="str">
        <f t="shared" si="6"/>
        <v>Texture2D'/Game/DungeonSiege/art/bitmaps/gui/in_game/inventory/icons/b_gui_ig_i_ic_bow_004.b_gui_ig_i_ic_bow_004'</v>
      </c>
      <c r="AE41" s="97" t="str">
        <f t="shared" si="5"/>
        <v>StaticMesh'/Game/DungeonSiege/art/meshes/weapons/bow/m_w_bow_008_AspMesh.m_w_bow_008_AspMesh'</v>
      </c>
    </row>
    <row r="42" spans="1:31" ht="15.75" thickBot="1" x14ac:dyDescent="0.3">
      <c r="A42" s="95">
        <v>40</v>
      </c>
      <c r="B42" s="95">
        <f>A42+Items!B$19</f>
        <v>85983272</v>
      </c>
      <c r="C42" s="96" t="s">
        <v>6184</v>
      </c>
      <c r="D42" s="96" t="s">
        <v>6168</v>
      </c>
      <c r="E42" s="96" t="s">
        <v>3524</v>
      </c>
      <c r="F42" s="96" t="s">
        <v>6091</v>
      </c>
      <c r="G42" s="96" t="s">
        <v>3533</v>
      </c>
      <c r="H42" s="96"/>
      <c r="I42" s="96"/>
      <c r="J42" s="96"/>
      <c r="K42" s="96"/>
      <c r="L42" s="96" t="s">
        <v>6185</v>
      </c>
      <c r="M42" s="96" t="s">
        <v>6186</v>
      </c>
      <c r="N42" s="96" t="s">
        <v>6066</v>
      </c>
      <c r="O42" s="95" t="str">
        <f t="shared" si="0"/>
        <v>FALSE</v>
      </c>
      <c r="P42" s="95"/>
      <c r="Q42" s="96">
        <v>1</v>
      </c>
      <c r="R42" s="96">
        <v>4</v>
      </c>
      <c r="S42" s="96">
        <v>191</v>
      </c>
      <c r="T42" s="96">
        <v>275</v>
      </c>
      <c r="U42" s="96">
        <v>0.3</v>
      </c>
      <c r="V42" s="96">
        <v>15</v>
      </c>
      <c r="W42" s="96">
        <v>37</v>
      </c>
      <c r="X42" s="96">
        <v>52</v>
      </c>
      <c r="Y42" s="96">
        <v>25</v>
      </c>
      <c r="Z42" s="96">
        <v>47</v>
      </c>
      <c r="AA42" s="96" t="str">
        <f t="shared" si="2"/>
        <v>DA_WPN_Bow_LongBow_o_mag</v>
      </c>
      <c r="AB42" s="90" t="str">
        <f t="shared" si="3"/>
        <v>/Game/DungeonSiege/Items/Weapons/bow/DA_WPN_Bow_LongBow_o_mag</v>
      </c>
      <c r="AC42" s="97" t="str">
        <f t="shared" si="4"/>
        <v>Texture2D'/Game/DungeonSiege/art/bitmaps/gui/in_game/inventory/weapons/bow/b_gui_ig_i_w_bow_046.b_gui_ig_i_w_bow_046'</v>
      </c>
      <c r="AD42" s="97" t="str">
        <f t="shared" si="6"/>
        <v>Texture2D'/Game/DungeonSiege/art/bitmaps/gui/in_game/inventory/icons/b_gui_ig_i_ic_bow_004.b_gui_ig_i_ic_bow_004'</v>
      </c>
      <c r="AE42" s="97" t="str">
        <f t="shared" si="5"/>
        <v>StaticMesh'/Game/DungeonSiege/art/meshes/weapons/bow/m_w_bow_033_AspMesh.m_w_bow_033_AspMesh'</v>
      </c>
    </row>
    <row r="43" spans="1:31" ht="15.75" thickBot="1" x14ac:dyDescent="0.3">
      <c r="A43" s="95">
        <v>41</v>
      </c>
      <c r="B43" s="95">
        <f>A43+Items!B$19</f>
        <v>85983273</v>
      </c>
      <c r="C43" s="96" t="s">
        <v>6187</v>
      </c>
      <c r="D43" s="96" t="s">
        <v>6187</v>
      </c>
      <c r="E43" s="96" t="s">
        <v>3524</v>
      </c>
      <c r="F43" s="96" t="s">
        <v>6178</v>
      </c>
      <c r="G43" s="96"/>
      <c r="H43" s="96"/>
      <c r="I43" s="96"/>
      <c r="J43" s="96"/>
      <c r="K43" s="96"/>
      <c r="L43" s="96" t="s">
        <v>6188</v>
      </c>
      <c r="M43" s="96" t="s">
        <v>6189</v>
      </c>
      <c r="N43" s="96" t="s">
        <v>6051</v>
      </c>
      <c r="O43" s="95" t="str">
        <f t="shared" si="0"/>
        <v>FALSE</v>
      </c>
      <c r="P43" s="95"/>
      <c r="Q43" s="96">
        <v>1</v>
      </c>
      <c r="R43" s="96">
        <v>4</v>
      </c>
      <c r="S43" s="96">
        <v>8</v>
      </c>
      <c r="T43" s="96">
        <v>14</v>
      </c>
      <c r="U43" s="96">
        <v>0.3</v>
      </c>
      <c r="V43" s="96">
        <v>13</v>
      </c>
      <c r="W43" s="96">
        <v>0</v>
      </c>
      <c r="X43" s="96">
        <v>0</v>
      </c>
      <c r="Y43" s="96">
        <v>0</v>
      </c>
      <c r="Z43" s="96">
        <v>0</v>
      </c>
      <c r="AA43" s="96" t="str">
        <f t="shared" si="2"/>
        <v>DA_WPN_Bow_BatteredLongBow</v>
      </c>
      <c r="AB43" s="90" t="str">
        <f t="shared" si="3"/>
        <v>/Game/DungeonSiege/Items/Weapons/bow/DA_WPN_Bow_BatteredLongBow</v>
      </c>
      <c r="AC43" s="97" t="str">
        <f t="shared" si="4"/>
        <v>Texture2D'/Game/DungeonSiege/art/bitmaps/gui/in_game/inventory/weapons/bow/b_gui_ig_i_w_bow_007.b_gui_ig_i_w_bow_007'</v>
      </c>
      <c r="AD43" s="97" t="str">
        <f t="shared" si="6"/>
        <v>Texture2D'/Game/DungeonSiege/art/bitmaps/gui/in_game/inventory/icons/b_gui_ig_i_ic_bow_002.b_gui_ig_i_ic_bow_002'</v>
      </c>
      <c r="AE43" s="97" t="str">
        <f t="shared" si="5"/>
        <v>StaticMesh'/Game/DungeonSiege/art/meshes/weapons/bow/m_w_bow_012_AspMesh.m_w_bow_012_AspMesh'</v>
      </c>
    </row>
    <row r="44" spans="1:31" ht="15.75" thickBot="1" x14ac:dyDescent="0.3">
      <c r="A44" s="95">
        <v>42</v>
      </c>
      <c r="B44" s="95">
        <f>A44+Items!B$19</f>
        <v>85983274</v>
      </c>
      <c r="C44" s="96" t="s">
        <v>6190</v>
      </c>
      <c r="D44" s="96" t="s">
        <v>6190</v>
      </c>
      <c r="E44" s="96" t="s">
        <v>3524</v>
      </c>
      <c r="F44" s="96" t="s">
        <v>6178</v>
      </c>
      <c r="G44" s="96"/>
      <c r="H44" s="96"/>
      <c r="I44" s="96"/>
      <c r="J44" s="96"/>
      <c r="K44" s="96"/>
      <c r="L44" s="96" t="s">
        <v>6191</v>
      </c>
      <c r="M44" s="96" t="s">
        <v>6192</v>
      </c>
      <c r="N44" s="96" t="s">
        <v>6051</v>
      </c>
      <c r="O44" s="95" t="str">
        <f t="shared" si="0"/>
        <v>FALSE</v>
      </c>
      <c r="P44" s="95"/>
      <c r="Q44" s="96">
        <v>1</v>
      </c>
      <c r="R44" s="96">
        <v>4</v>
      </c>
      <c r="S44" s="96">
        <v>7</v>
      </c>
      <c r="T44" s="96">
        <v>11</v>
      </c>
      <c r="U44" s="96">
        <v>0.3</v>
      </c>
      <c r="V44" s="96">
        <v>13</v>
      </c>
      <c r="W44" s="96">
        <v>0</v>
      </c>
      <c r="X44" s="96">
        <v>0</v>
      </c>
      <c r="Y44" s="96">
        <v>0</v>
      </c>
      <c r="Z44" s="96">
        <v>0</v>
      </c>
      <c r="AA44" s="96" t="str">
        <f t="shared" si="2"/>
        <v>DA_WPN_Bow_FrayedLongBow</v>
      </c>
      <c r="AB44" s="90" t="str">
        <f t="shared" si="3"/>
        <v>/Game/DungeonSiege/Items/Weapons/bow/DA_WPN_Bow_FrayedLongBow</v>
      </c>
      <c r="AC44" s="97" t="str">
        <f t="shared" si="4"/>
        <v>Texture2D'/Game/DungeonSiege/art/bitmaps/gui/in_game/inventory/weapons/bow/b_gui_ig_i_w_bow_002.b_gui_ig_i_w_bow_002'</v>
      </c>
      <c r="AD44" s="97" t="str">
        <f t="shared" si="6"/>
        <v>Texture2D'/Game/DungeonSiege/art/bitmaps/gui/in_game/inventory/icons/b_gui_ig_i_ic_bow_002.b_gui_ig_i_ic_bow_002'</v>
      </c>
      <c r="AE44" s="97" t="str">
        <f t="shared" si="5"/>
        <v>StaticMesh'/Game/DungeonSiege/art/meshes/weapons/bow/m_w_bow_012_AspMesh.m_w_bow_012_AspMesh'</v>
      </c>
    </row>
    <row r="45" spans="1:31" ht="15.75" thickBot="1" x14ac:dyDescent="0.3">
      <c r="A45" s="95">
        <v>43</v>
      </c>
      <c r="B45" s="95">
        <f>A45+Items!B$19</f>
        <v>85983275</v>
      </c>
      <c r="C45" s="96" t="s">
        <v>1243</v>
      </c>
      <c r="D45" s="96" t="s">
        <v>1243</v>
      </c>
      <c r="E45" s="96" t="s">
        <v>3524</v>
      </c>
      <c r="F45" s="96" t="s">
        <v>6193</v>
      </c>
      <c r="G45" s="96"/>
      <c r="H45" s="96"/>
      <c r="I45" s="96"/>
      <c r="J45" s="96"/>
      <c r="K45" s="96"/>
      <c r="L45" s="96" t="s">
        <v>6194</v>
      </c>
      <c r="M45" s="96" t="s">
        <v>6195</v>
      </c>
      <c r="N45" s="96" t="s">
        <v>6101</v>
      </c>
      <c r="O45" s="95" t="str">
        <f t="shared" si="0"/>
        <v>FALSE</v>
      </c>
      <c r="P45" s="95"/>
      <c r="Q45" s="96">
        <v>1</v>
      </c>
      <c r="R45" s="96">
        <v>4</v>
      </c>
      <c r="S45" s="96">
        <v>19</v>
      </c>
      <c r="T45" s="96">
        <v>29</v>
      </c>
      <c r="U45" s="96">
        <v>0.15</v>
      </c>
      <c r="V45" s="96">
        <v>12</v>
      </c>
      <c r="W45" s="96">
        <v>0</v>
      </c>
      <c r="X45" s="96">
        <v>1</v>
      </c>
      <c r="Y45" s="96">
        <v>0</v>
      </c>
      <c r="Z45" s="96">
        <v>13</v>
      </c>
      <c r="AA45" s="96" t="str">
        <f t="shared" si="2"/>
        <v>DA_WPN_Bow_Bow</v>
      </c>
      <c r="AB45" s="90" t="str">
        <f t="shared" si="3"/>
        <v>/Game/DungeonSiege/Items/Weapons/bow/DA_WPN_Bow_Bow</v>
      </c>
      <c r="AC45" s="97" t="str">
        <f t="shared" si="4"/>
        <v>Texture2D'/Game/DungeonSiege/art/bitmaps/gui/in_game/inventory/weapons/bow/b_gui_ig_i_w_bow_013.b_gui_ig_i_w_bow_013'</v>
      </c>
      <c r="AD45" s="97" t="str">
        <f t="shared" si="6"/>
        <v>Texture2D'/Game/DungeonSiege/art/bitmaps/gui/in_game/inventory/icons/b_gui_ig_i_ic_bow_001.b_gui_ig_i_ic_bow_001'</v>
      </c>
      <c r="AE45" s="97" t="str">
        <f t="shared" si="5"/>
        <v>StaticMesh'/Game/DungeonSiege/art/meshes/weapons/bow/m_w_bow_011_AspMesh.m_w_bow_011_AspMesh'</v>
      </c>
    </row>
    <row r="46" spans="1:31" ht="15.75" thickBot="1" x14ac:dyDescent="0.3">
      <c r="A46" s="95">
        <v>44</v>
      </c>
      <c r="B46" s="95">
        <f>A46+Items!B$19</f>
        <v>85983276</v>
      </c>
      <c r="C46" s="96" t="s">
        <v>6196</v>
      </c>
      <c r="D46" s="96" t="s">
        <v>1243</v>
      </c>
      <c r="E46" s="96" t="s">
        <v>3524</v>
      </c>
      <c r="F46" s="96" t="s">
        <v>6178</v>
      </c>
      <c r="G46" s="96" t="s">
        <v>3531</v>
      </c>
      <c r="H46" s="96"/>
      <c r="I46" s="96"/>
      <c r="J46" s="96"/>
      <c r="K46" s="96"/>
      <c r="L46" s="96" t="s">
        <v>6197</v>
      </c>
      <c r="M46" s="96" t="s">
        <v>6198</v>
      </c>
      <c r="N46" s="96" t="s">
        <v>6101</v>
      </c>
      <c r="O46" s="95" t="str">
        <f t="shared" si="0"/>
        <v>FALSE</v>
      </c>
      <c r="P46" s="95"/>
      <c r="Q46" s="96">
        <v>1</v>
      </c>
      <c r="R46" s="96">
        <v>4</v>
      </c>
      <c r="S46" s="96">
        <v>25</v>
      </c>
      <c r="T46" s="96">
        <v>39</v>
      </c>
      <c r="U46" s="96">
        <v>0.15</v>
      </c>
      <c r="V46" s="96">
        <v>12</v>
      </c>
      <c r="W46" s="96">
        <v>1</v>
      </c>
      <c r="X46" s="96">
        <v>6</v>
      </c>
      <c r="Y46" s="96">
        <v>12</v>
      </c>
      <c r="Z46" s="96">
        <v>14</v>
      </c>
      <c r="AA46" s="96" t="str">
        <f t="shared" si="2"/>
        <v>DA_WPN_Bow_Bow_c_fin</v>
      </c>
      <c r="AB46" s="90" t="str">
        <f t="shared" si="3"/>
        <v>/Game/DungeonSiege/Items/Weapons/bow/DA_WPN_Bow_Bow_c_fin</v>
      </c>
      <c r="AC46" s="97" t="str">
        <f t="shared" si="4"/>
        <v>Texture2D'/Game/DungeonSiege/art/bitmaps/gui/in_game/inventory/weapons/bow/b_gui_ig_i_w_bow_058.b_gui_ig_i_w_bow_058'</v>
      </c>
      <c r="AD46" s="97" t="str">
        <f t="shared" si="6"/>
        <v>Texture2D'/Game/DungeonSiege/art/bitmaps/gui/in_game/inventory/icons/b_gui_ig_i_ic_bow_001.b_gui_ig_i_ic_bow_001'</v>
      </c>
      <c r="AE46" s="97" t="str">
        <f t="shared" si="5"/>
        <v>StaticMesh'/Game/DungeonSiege/art/meshes/weapons/bow/m_w_bow_012_AspMesh.m_w_bow_012_AspMesh'</v>
      </c>
    </row>
    <row r="47" spans="1:31" ht="15.75" thickBot="1" x14ac:dyDescent="0.3">
      <c r="A47" s="95">
        <v>45</v>
      </c>
      <c r="B47" s="95">
        <f>A47+Items!B$19</f>
        <v>85983277</v>
      </c>
      <c r="C47" s="96" t="s">
        <v>6199</v>
      </c>
      <c r="D47" s="96" t="s">
        <v>1243</v>
      </c>
      <c r="E47" s="96" t="s">
        <v>3524</v>
      </c>
      <c r="F47" s="96" t="s">
        <v>6091</v>
      </c>
      <c r="G47" s="96" t="s">
        <v>3529</v>
      </c>
      <c r="H47" s="96"/>
      <c r="I47" s="96"/>
      <c r="J47" s="96"/>
      <c r="K47" s="96"/>
      <c r="L47" s="96" t="s">
        <v>6200</v>
      </c>
      <c r="M47" s="96" t="s">
        <v>6201</v>
      </c>
      <c r="N47" s="96" t="s">
        <v>6101</v>
      </c>
      <c r="O47" s="95" t="str">
        <f t="shared" ref="O47:O110" si="7">IF(OR(I47=TRUE,J47=TRUE,K47=TRUE),"TRUE","FALSE")</f>
        <v>FALSE</v>
      </c>
      <c r="P47" s="95"/>
      <c r="Q47" s="96">
        <v>1</v>
      </c>
      <c r="R47" s="96">
        <v>4</v>
      </c>
      <c r="S47" s="96">
        <v>84</v>
      </c>
      <c r="T47" s="96">
        <v>128</v>
      </c>
      <c r="U47" s="96">
        <v>0.15</v>
      </c>
      <c r="V47" s="96">
        <v>12</v>
      </c>
      <c r="W47" s="96">
        <v>20</v>
      </c>
      <c r="X47" s="96">
        <v>28</v>
      </c>
      <c r="Y47" s="96">
        <v>17</v>
      </c>
      <c r="Z47" s="96">
        <v>28</v>
      </c>
      <c r="AA47" s="96" t="str">
        <f t="shared" si="2"/>
        <v>DA_WPN_Bow_Bow_c_mag</v>
      </c>
      <c r="AB47" s="90" t="str">
        <f t="shared" si="3"/>
        <v>/Game/DungeonSiege/Items/Weapons/bow/DA_WPN_Bow_Bow_c_mag</v>
      </c>
      <c r="AC47" s="97" t="str">
        <f t="shared" si="4"/>
        <v>Texture2D'/Game/DungeonSiege/art/bitmaps/gui/in_game/inventory/weapons/bow/b_gui_ig_i_w_bow_040.b_gui_ig_i_w_bow_040'</v>
      </c>
      <c r="AD47" s="97" t="str">
        <f t="shared" si="6"/>
        <v>Texture2D'/Game/DungeonSiege/art/bitmaps/gui/in_game/inventory/icons/b_gui_ig_i_ic_bow_001.b_gui_ig_i_ic_bow_001'</v>
      </c>
      <c r="AE47" s="97" t="str">
        <f t="shared" si="5"/>
        <v>StaticMesh'/Game/DungeonSiege/art/meshes/weapons/bow/m_w_bow_033_AspMesh.m_w_bow_033_AspMesh'</v>
      </c>
    </row>
    <row r="48" spans="1:31" ht="15.75" thickBot="1" x14ac:dyDescent="0.3">
      <c r="A48" s="95">
        <v>46</v>
      </c>
      <c r="B48" s="95">
        <f>A48+Items!B$19</f>
        <v>85983278</v>
      </c>
      <c r="C48" s="96" t="s">
        <v>6202</v>
      </c>
      <c r="D48" s="96" t="s">
        <v>1243</v>
      </c>
      <c r="E48" s="96" t="s">
        <v>3524</v>
      </c>
      <c r="F48" s="96" t="s">
        <v>6087</v>
      </c>
      <c r="G48" s="96" t="s">
        <v>3530</v>
      </c>
      <c r="H48" s="96"/>
      <c r="I48" s="96"/>
      <c r="J48" s="96"/>
      <c r="K48" s="96"/>
      <c r="L48" s="96" t="s">
        <v>6203</v>
      </c>
      <c r="M48" s="96" t="s">
        <v>6204</v>
      </c>
      <c r="N48" s="96" t="s">
        <v>6101</v>
      </c>
      <c r="O48" s="95" t="str">
        <f t="shared" si="7"/>
        <v>FALSE</v>
      </c>
      <c r="P48" s="95"/>
      <c r="Q48" s="96">
        <v>1</v>
      </c>
      <c r="R48" s="96">
        <v>4</v>
      </c>
      <c r="S48" s="96">
        <v>55</v>
      </c>
      <c r="T48" s="96">
        <v>83</v>
      </c>
      <c r="U48" s="96">
        <v>0.15</v>
      </c>
      <c r="V48" s="96">
        <v>12</v>
      </c>
      <c r="W48" s="96">
        <v>12</v>
      </c>
      <c r="X48" s="96">
        <v>19</v>
      </c>
      <c r="Y48" s="96">
        <v>14</v>
      </c>
      <c r="Z48" s="96">
        <v>21</v>
      </c>
      <c r="AA48" s="96" t="str">
        <f t="shared" si="2"/>
        <v>DA_WPN_Bow_Bow_c_str</v>
      </c>
      <c r="AB48" s="90" t="str">
        <f t="shared" si="3"/>
        <v>/Game/DungeonSiege/Items/Weapons/bow/DA_WPN_Bow_Bow_c_str</v>
      </c>
      <c r="AC48" s="97" t="str">
        <f t="shared" si="4"/>
        <v>Texture2D'/Game/DungeonSiege/art/bitmaps/gui/in_game/inventory/weapons/bow/b_gui_ig_i_w_bow_059.b_gui_ig_i_w_bow_059'</v>
      </c>
      <c r="AD48" s="97" t="str">
        <f t="shared" si="6"/>
        <v>Texture2D'/Game/DungeonSiege/art/bitmaps/gui/in_game/inventory/icons/b_gui_ig_i_ic_bow_001.b_gui_ig_i_ic_bow_001'</v>
      </c>
      <c r="AE48" s="97" t="str">
        <f t="shared" si="5"/>
        <v>StaticMesh'/Game/DungeonSiege/art/meshes/weapons/bow/m_w_bow_008_AspMesh.m_w_bow_008_AspMesh'</v>
      </c>
    </row>
    <row r="49" spans="1:31" ht="15.75" thickBot="1" x14ac:dyDescent="0.3">
      <c r="A49" s="95">
        <v>47</v>
      </c>
      <c r="B49" s="95">
        <f>A49+Items!B$19</f>
        <v>85983279</v>
      </c>
      <c r="C49" s="96" t="s">
        <v>6205</v>
      </c>
      <c r="D49" s="96" t="s">
        <v>1243</v>
      </c>
      <c r="E49" s="96" t="s">
        <v>3524</v>
      </c>
      <c r="F49" s="96" t="s">
        <v>6193</v>
      </c>
      <c r="G49" s="96" t="s">
        <v>3528</v>
      </c>
      <c r="H49" s="96"/>
      <c r="I49" s="96"/>
      <c r="J49" s="96"/>
      <c r="K49" s="96"/>
      <c r="L49" s="96" t="s">
        <v>6206</v>
      </c>
      <c r="M49" s="96" t="s">
        <v>6207</v>
      </c>
      <c r="N49" s="96" t="s">
        <v>6116</v>
      </c>
      <c r="O49" s="95" t="str">
        <f t="shared" si="7"/>
        <v>FALSE</v>
      </c>
      <c r="P49" s="95"/>
      <c r="Q49" s="96">
        <v>1</v>
      </c>
      <c r="R49" s="96">
        <v>4</v>
      </c>
      <c r="S49" s="96">
        <v>33</v>
      </c>
      <c r="T49" s="96">
        <v>51</v>
      </c>
      <c r="U49" s="96">
        <v>0.15</v>
      </c>
      <c r="V49" s="96">
        <v>12</v>
      </c>
      <c r="W49" s="96">
        <v>3</v>
      </c>
      <c r="X49" s="96">
        <v>12</v>
      </c>
      <c r="Y49" s="96">
        <v>12</v>
      </c>
      <c r="Z49" s="96">
        <v>16</v>
      </c>
      <c r="AA49" s="96" t="str">
        <f t="shared" si="2"/>
        <v>DA_WPN_Bow_Bow_o_avg</v>
      </c>
      <c r="AB49" s="90" t="str">
        <f t="shared" si="3"/>
        <v>/Game/DungeonSiege/Items/Weapons/bow/DA_WPN_Bow_Bow_o_avg</v>
      </c>
      <c r="AC49" s="97" t="str">
        <f t="shared" si="4"/>
        <v>Texture2D'/Game/DungeonSiege/art/bitmaps/gui/in_game/inventory/weapons/bow/b_gui_ig_i_w_bow_057.b_gui_ig_i_w_bow_057'</v>
      </c>
      <c r="AD49" s="97" t="str">
        <f t="shared" si="6"/>
        <v>Texture2D'/Game/DungeonSiege/art/bitmaps/gui/in_game/inventory/icons/b_gui_ig_i_ic_bow_003.b_gui_ig_i_ic_bow_003'</v>
      </c>
      <c r="AE49" s="97" t="str">
        <f t="shared" si="5"/>
        <v>StaticMesh'/Game/DungeonSiege/art/meshes/weapons/bow/m_w_bow_011_AspMesh.m_w_bow_011_AspMesh'</v>
      </c>
    </row>
    <row r="50" spans="1:31" ht="15.75" thickBot="1" x14ac:dyDescent="0.3">
      <c r="A50" s="95">
        <v>48</v>
      </c>
      <c r="B50" s="95">
        <f>A50+Items!B$19</f>
        <v>85983280</v>
      </c>
      <c r="C50" s="96" t="s">
        <v>6208</v>
      </c>
      <c r="D50" s="96" t="s">
        <v>1243</v>
      </c>
      <c r="E50" s="96" t="s">
        <v>3524</v>
      </c>
      <c r="F50" s="96" t="s">
        <v>6121</v>
      </c>
      <c r="G50" s="96" t="s">
        <v>3533</v>
      </c>
      <c r="H50" s="96"/>
      <c r="I50" s="96"/>
      <c r="J50" s="96"/>
      <c r="K50" s="96"/>
      <c r="L50" s="96" t="s">
        <v>6209</v>
      </c>
      <c r="M50" s="96" t="s">
        <v>6210</v>
      </c>
      <c r="N50" s="96" t="s">
        <v>6116</v>
      </c>
      <c r="O50" s="95" t="str">
        <f t="shared" si="7"/>
        <v>FALSE</v>
      </c>
      <c r="P50" s="95"/>
      <c r="Q50" s="96">
        <v>1</v>
      </c>
      <c r="R50" s="96">
        <v>4</v>
      </c>
      <c r="S50" s="96">
        <v>100</v>
      </c>
      <c r="T50" s="96">
        <v>152</v>
      </c>
      <c r="U50" s="96">
        <v>0.15</v>
      </c>
      <c r="V50" s="96">
        <v>12</v>
      </c>
      <c r="W50" s="96">
        <v>24</v>
      </c>
      <c r="X50" s="96">
        <v>30</v>
      </c>
      <c r="Y50" s="96">
        <v>19</v>
      </c>
      <c r="Z50" s="96">
        <v>32</v>
      </c>
      <c r="AA50" s="96" t="str">
        <f t="shared" si="2"/>
        <v>DA_WPN_Bow_Bow_o_mag</v>
      </c>
      <c r="AB50" s="90" t="str">
        <f t="shared" si="3"/>
        <v>/Game/DungeonSiege/Items/Weapons/bow/DA_WPN_Bow_Bow_o_mag</v>
      </c>
      <c r="AC50" s="97" t="str">
        <f t="shared" si="4"/>
        <v>Texture2D'/Game/DungeonSiege/art/bitmaps/gui/in_game/inventory/weapons/bow/b_gui_ig_i_w_bow_045.b_gui_ig_i_w_bow_045'</v>
      </c>
      <c r="AD50" s="97" t="str">
        <f t="shared" si="6"/>
        <v>Texture2D'/Game/DungeonSiege/art/bitmaps/gui/in_game/inventory/icons/b_gui_ig_i_ic_bow_003.b_gui_ig_i_ic_bow_003'</v>
      </c>
      <c r="AE50" s="97" t="str">
        <f t="shared" si="5"/>
        <v>StaticMesh'/Game/DungeonSiege/art/meshes/weapons/bow/m_w_bow_034_AspMesh.m_w_bow_034_AspMesh'</v>
      </c>
    </row>
    <row r="51" spans="1:31" ht="15.75" thickBot="1" x14ac:dyDescent="0.3">
      <c r="A51" s="95">
        <v>49</v>
      </c>
      <c r="B51" s="95">
        <f>A51+Items!B$19</f>
        <v>85983281</v>
      </c>
      <c r="C51" s="96" t="s">
        <v>6211</v>
      </c>
      <c r="D51" s="96" t="s">
        <v>6211</v>
      </c>
      <c r="E51" s="96" t="s">
        <v>3524</v>
      </c>
      <c r="F51" s="96" t="s">
        <v>6212</v>
      </c>
      <c r="G51" s="96"/>
      <c r="H51" s="96"/>
      <c r="I51" s="96"/>
      <c r="J51" s="96"/>
      <c r="K51" s="96"/>
      <c r="L51" s="96" t="s">
        <v>6213</v>
      </c>
      <c r="M51" s="96" t="s">
        <v>6214</v>
      </c>
      <c r="N51" s="96" t="s">
        <v>6101</v>
      </c>
      <c r="O51" s="95" t="str">
        <f t="shared" si="7"/>
        <v>FALSE</v>
      </c>
      <c r="P51" s="95"/>
      <c r="Q51" s="96">
        <v>1</v>
      </c>
      <c r="R51" s="96">
        <v>4</v>
      </c>
      <c r="S51" s="96">
        <v>17</v>
      </c>
      <c r="T51" s="96">
        <v>27</v>
      </c>
      <c r="U51" s="96">
        <v>0.15</v>
      </c>
      <c r="V51" s="96">
        <v>10</v>
      </c>
      <c r="W51" s="96">
        <v>0</v>
      </c>
      <c r="X51" s="96">
        <v>0</v>
      </c>
      <c r="Y51" s="96">
        <v>0</v>
      </c>
      <c r="Z51" s="96">
        <v>13</v>
      </c>
      <c r="AA51" s="96" t="str">
        <f t="shared" si="2"/>
        <v>DA_WPN_Bow_WeatheredBow</v>
      </c>
      <c r="AB51" s="90" t="str">
        <f t="shared" si="3"/>
        <v>/Game/DungeonSiege/Items/Weapons/bow/DA_WPN_Bow_WeatheredBow</v>
      </c>
      <c r="AC51" s="97" t="str">
        <f t="shared" si="4"/>
        <v>Texture2D'/Game/DungeonSiege/art/bitmaps/gui/in_game/inventory/weapons/bow/b_gui_ig_i_w_bow_006.b_gui_ig_i_w_bow_006'</v>
      </c>
      <c r="AD51" s="97" t="str">
        <f t="shared" si="6"/>
        <v>Texture2D'/Game/DungeonSiege/art/bitmaps/gui/in_game/inventory/icons/b_gui_ig_i_ic_bow_001.b_gui_ig_i_ic_bow_001'</v>
      </c>
      <c r="AE51" s="97" t="str">
        <f t="shared" si="5"/>
        <v>StaticMesh'/Game/DungeonSiege/art/meshes/weapons/bow/m_w_bow_022_AspMesh.m_w_bow_022_AspMesh'</v>
      </c>
    </row>
    <row r="52" spans="1:31" ht="15.75" thickBot="1" x14ac:dyDescent="0.3">
      <c r="A52" s="95">
        <v>50</v>
      </c>
      <c r="B52" s="95">
        <f>A52+Items!B$19</f>
        <v>85983282</v>
      </c>
      <c r="C52" s="96" t="s">
        <v>6215</v>
      </c>
      <c r="D52" s="96" t="s">
        <v>6215</v>
      </c>
      <c r="E52" s="96" t="s">
        <v>3524</v>
      </c>
      <c r="F52" s="96" t="s">
        <v>6193</v>
      </c>
      <c r="G52" s="96"/>
      <c r="H52" s="96"/>
      <c r="I52" s="96"/>
      <c r="J52" s="96"/>
      <c r="K52" s="96"/>
      <c r="L52" s="96" t="s">
        <v>6216</v>
      </c>
      <c r="M52" s="96" t="s">
        <v>6217</v>
      </c>
      <c r="N52" s="96" t="s">
        <v>6101</v>
      </c>
      <c r="O52" s="95" t="str">
        <f t="shared" si="7"/>
        <v>FALSE</v>
      </c>
      <c r="P52" s="95"/>
      <c r="Q52" s="96">
        <v>1</v>
      </c>
      <c r="R52" s="96">
        <v>4</v>
      </c>
      <c r="S52" s="96">
        <v>9</v>
      </c>
      <c r="T52" s="96">
        <v>15</v>
      </c>
      <c r="U52" s="96">
        <v>0.15</v>
      </c>
      <c r="V52" s="96">
        <v>10</v>
      </c>
      <c r="W52" s="96">
        <v>0</v>
      </c>
      <c r="X52" s="96">
        <v>0</v>
      </c>
      <c r="Y52" s="96">
        <v>0</v>
      </c>
      <c r="Z52" s="96">
        <v>0</v>
      </c>
      <c r="AA52" s="96" t="str">
        <f t="shared" si="2"/>
        <v>DA_WPN_Bow_BrittleBow</v>
      </c>
      <c r="AB52" s="90" t="str">
        <f t="shared" si="3"/>
        <v>/Game/DungeonSiege/Items/Weapons/bow/DA_WPN_Bow_BrittleBow</v>
      </c>
      <c r="AC52" s="97" t="str">
        <f t="shared" si="4"/>
        <v>Texture2D'/Game/DungeonSiege/art/bitmaps/gui/in_game/inventory/weapons/bow/b_gui_ig_i_w_bow_001.b_gui_ig_i_w_bow_001'</v>
      </c>
      <c r="AD52" s="97" t="str">
        <f t="shared" si="6"/>
        <v>Texture2D'/Game/DungeonSiege/art/bitmaps/gui/in_game/inventory/icons/b_gui_ig_i_ic_bow_001.b_gui_ig_i_ic_bow_001'</v>
      </c>
      <c r="AE52" s="97" t="str">
        <f t="shared" si="5"/>
        <v>StaticMesh'/Game/DungeonSiege/art/meshes/weapons/bow/m_w_bow_011_AspMesh.m_w_bow_011_AspMesh'</v>
      </c>
    </row>
    <row r="53" spans="1:31" ht="15.75" thickBot="1" x14ac:dyDescent="0.3">
      <c r="A53" s="95">
        <v>51</v>
      </c>
      <c r="B53" s="95">
        <f>A53+Items!B$19</f>
        <v>85983283</v>
      </c>
      <c r="C53" s="96" t="s">
        <v>6218</v>
      </c>
      <c r="D53" s="96" t="s">
        <v>6218</v>
      </c>
      <c r="E53" s="96" t="s">
        <v>3524</v>
      </c>
      <c r="F53" s="96" t="s">
        <v>6219</v>
      </c>
      <c r="G53" s="96"/>
      <c r="H53" s="96"/>
      <c r="I53" s="96"/>
      <c r="J53" s="96"/>
      <c r="K53" s="96"/>
      <c r="L53" s="96" t="s">
        <v>6220</v>
      </c>
      <c r="M53" s="96" t="s">
        <v>6221</v>
      </c>
      <c r="N53" s="96" t="s">
        <v>6101</v>
      </c>
      <c r="O53" s="95" t="str">
        <f t="shared" si="7"/>
        <v>FALSE</v>
      </c>
      <c r="P53" s="95"/>
      <c r="Q53" s="96">
        <v>1</v>
      </c>
      <c r="R53" s="96">
        <v>4</v>
      </c>
      <c r="S53" s="96">
        <v>31</v>
      </c>
      <c r="T53" s="96">
        <v>37</v>
      </c>
      <c r="U53" s="96">
        <v>0.15</v>
      </c>
      <c r="V53" s="96">
        <v>11</v>
      </c>
      <c r="W53" s="96">
        <v>0</v>
      </c>
      <c r="X53" s="96">
        <v>0</v>
      </c>
      <c r="Y53" s="96">
        <v>12</v>
      </c>
      <c r="Z53" s="96">
        <v>15</v>
      </c>
      <c r="AA53" s="96" t="str">
        <f t="shared" si="2"/>
        <v>DA_WPN_Bow_RecurveBow</v>
      </c>
      <c r="AB53" s="90" t="str">
        <f t="shared" si="3"/>
        <v>/Game/DungeonSiege/Items/Weapons/bow/DA_WPN_Bow_RecurveBow</v>
      </c>
      <c r="AC53" s="97" t="str">
        <f t="shared" si="4"/>
        <v>Texture2D'/Game/DungeonSiege/art/bitmaps/gui/in_game/inventory/weapons/bow/b_gui_ig_i_w_bow_065.b_gui_ig_i_w_bow_065'</v>
      </c>
      <c r="AD53" s="97" t="str">
        <f t="shared" si="6"/>
        <v>Texture2D'/Game/DungeonSiege/art/bitmaps/gui/in_game/inventory/icons/b_gui_ig_i_ic_bow_001.b_gui_ig_i_ic_bow_001'</v>
      </c>
      <c r="AE53" s="97" t="str">
        <f t="shared" si="5"/>
        <v>StaticMesh'/Game/DungeonSiege/art/meshes/weapons/bow/m_w_bow_002_AspMesh.m_w_bow_002_AspMesh'</v>
      </c>
    </row>
    <row r="54" spans="1:31" ht="15.75" thickBot="1" x14ac:dyDescent="0.3">
      <c r="A54" s="95">
        <v>52</v>
      </c>
      <c r="B54" s="95">
        <f>A54+Items!B$19</f>
        <v>85983284</v>
      </c>
      <c r="C54" s="96" t="s">
        <v>6222</v>
      </c>
      <c r="D54" s="96" t="s">
        <v>6218</v>
      </c>
      <c r="E54" s="96" t="s">
        <v>3524</v>
      </c>
      <c r="F54" s="96" t="s">
        <v>6223</v>
      </c>
      <c r="G54" s="96" t="s">
        <v>3531</v>
      </c>
      <c r="H54" s="96"/>
      <c r="I54" s="96"/>
      <c r="J54" s="96"/>
      <c r="K54" s="96"/>
      <c r="L54" s="96" t="s">
        <v>6224</v>
      </c>
      <c r="M54" s="96" t="s">
        <v>6225</v>
      </c>
      <c r="N54" s="96" t="s">
        <v>6101</v>
      </c>
      <c r="O54" s="95" t="str">
        <f t="shared" si="7"/>
        <v>FALSE</v>
      </c>
      <c r="P54" s="95"/>
      <c r="Q54" s="96">
        <v>1</v>
      </c>
      <c r="R54" s="96">
        <v>4</v>
      </c>
      <c r="S54" s="96">
        <v>40</v>
      </c>
      <c r="T54" s="96">
        <v>48</v>
      </c>
      <c r="U54" s="96">
        <v>0.15</v>
      </c>
      <c r="V54" s="96">
        <v>11</v>
      </c>
      <c r="W54" s="96">
        <v>1</v>
      </c>
      <c r="X54" s="96">
        <v>6</v>
      </c>
      <c r="Y54" s="96">
        <v>13</v>
      </c>
      <c r="Z54" s="96">
        <v>17</v>
      </c>
      <c r="AA54" s="96" t="str">
        <f t="shared" si="2"/>
        <v>DA_WPN_Bow_RecurveBow_c_fin</v>
      </c>
      <c r="AB54" s="90" t="str">
        <f t="shared" si="3"/>
        <v>/Game/DungeonSiege/Items/Weapons/bow/DA_WPN_Bow_RecurveBow_c_fin</v>
      </c>
      <c r="AC54" s="97" t="str">
        <f t="shared" si="4"/>
        <v>Texture2D'/Game/DungeonSiege/art/bitmaps/gui/in_game/inventory/weapons/bow/b_gui_ig_i_w_bow_066.b_gui_ig_i_w_bow_066'</v>
      </c>
      <c r="AD54" s="97" t="str">
        <f t="shared" si="6"/>
        <v>Texture2D'/Game/DungeonSiege/art/bitmaps/gui/in_game/inventory/icons/b_gui_ig_i_ic_bow_001.b_gui_ig_i_ic_bow_001'</v>
      </c>
      <c r="AE54" s="97" t="str">
        <f t="shared" si="5"/>
        <v>StaticMesh'/Game/DungeonSiege/art/meshes/weapons/bow/m_w_bow_014_AspMesh.m_w_bow_014_AspMesh'</v>
      </c>
    </row>
    <row r="55" spans="1:31" ht="15.75" thickBot="1" x14ac:dyDescent="0.3">
      <c r="A55" s="95">
        <v>53</v>
      </c>
      <c r="B55" s="95">
        <f>A55+Items!B$19</f>
        <v>85983285</v>
      </c>
      <c r="C55" s="96" t="s">
        <v>6226</v>
      </c>
      <c r="D55" s="96" t="s">
        <v>6218</v>
      </c>
      <c r="E55" s="96" t="s">
        <v>3524</v>
      </c>
      <c r="F55" s="96" t="s">
        <v>6163</v>
      </c>
      <c r="G55" s="96" t="s">
        <v>3529</v>
      </c>
      <c r="H55" s="96"/>
      <c r="I55" s="96"/>
      <c r="J55" s="96"/>
      <c r="K55" s="96"/>
      <c r="L55" s="96" t="s">
        <v>6227</v>
      </c>
      <c r="M55" s="96" t="s">
        <v>6228</v>
      </c>
      <c r="N55" s="96" t="s">
        <v>6101</v>
      </c>
      <c r="O55" s="95" t="str">
        <f t="shared" si="7"/>
        <v>FALSE</v>
      </c>
      <c r="P55" s="95"/>
      <c r="Q55" s="96">
        <v>1</v>
      </c>
      <c r="R55" s="96">
        <v>4</v>
      </c>
      <c r="S55" s="96">
        <v>125</v>
      </c>
      <c r="T55" s="96">
        <v>153</v>
      </c>
      <c r="U55" s="96">
        <v>0.15</v>
      </c>
      <c r="V55" s="96">
        <v>11</v>
      </c>
      <c r="W55" s="96">
        <v>23</v>
      </c>
      <c r="X55" s="96">
        <v>33</v>
      </c>
      <c r="Y55" s="96">
        <v>20</v>
      </c>
      <c r="Z55" s="96">
        <v>34</v>
      </c>
      <c r="AA55" s="96" t="str">
        <f t="shared" si="2"/>
        <v>DA_WPN_Bow_RecurveBow_c_mag</v>
      </c>
      <c r="AB55" s="90" t="str">
        <f t="shared" si="3"/>
        <v>/Game/DungeonSiege/Items/Weapons/bow/DA_WPN_Bow_RecurveBow_c_mag</v>
      </c>
      <c r="AC55" s="97" t="str">
        <f t="shared" si="4"/>
        <v>Texture2D'/Game/DungeonSiege/art/bitmaps/gui/in_game/inventory/weapons/bow/b_gui_ig_i_w_bow_068.b_gui_ig_i_w_bow_068'</v>
      </c>
      <c r="AD55" s="97" t="str">
        <f t="shared" si="6"/>
        <v>Texture2D'/Game/DungeonSiege/art/bitmaps/gui/in_game/inventory/icons/b_gui_ig_i_ic_bow_001.b_gui_ig_i_ic_bow_001'</v>
      </c>
      <c r="AE55" s="97" t="str">
        <f t="shared" si="5"/>
        <v>StaticMesh'/Game/DungeonSiege/art/meshes/weapons/bow/m_w_bow_027_AspMesh.m_w_bow_027_AspMesh'</v>
      </c>
    </row>
    <row r="56" spans="1:31" ht="15.75" thickBot="1" x14ac:dyDescent="0.3">
      <c r="A56" s="95">
        <v>54</v>
      </c>
      <c r="B56" s="95">
        <f>A56+Items!B$19</f>
        <v>85983286</v>
      </c>
      <c r="C56" s="96" t="s">
        <v>6229</v>
      </c>
      <c r="D56" s="96" t="s">
        <v>6218</v>
      </c>
      <c r="E56" s="96" t="s">
        <v>3524</v>
      </c>
      <c r="F56" s="96" t="s">
        <v>6230</v>
      </c>
      <c r="G56" s="96" t="s">
        <v>3530</v>
      </c>
      <c r="H56" s="96"/>
      <c r="I56" s="96"/>
      <c r="J56" s="96"/>
      <c r="K56" s="96"/>
      <c r="L56" s="96" t="s">
        <v>6231</v>
      </c>
      <c r="M56" s="96" t="s">
        <v>6232</v>
      </c>
      <c r="N56" s="96" t="s">
        <v>6101</v>
      </c>
      <c r="O56" s="95" t="str">
        <f t="shared" si="7"/>
        <v>FALSE</v>
      </c>
      <c r="P56" s="95"/>
      <c r="Q56" s="96">
        <v>1</v>
      </c>
      <c r="R56" s="96">
        <v>4</v>
      </c>
      <c r="S56" s="96">
        <v>80</v>
      </c>
      <c r="T56" s="96">
        <v>98</v>
      </c>
      <c r="U56" s="96">
        <v>0.15</v>
      </c>
      <c r="V56" s="96">
        <v>11</v>
      </c>
      <c r="W56" s="96">
        <v>11</v>
      </c>
      <c r="X56" s="96">
        <v>21</v>
      </c>
      <c r="Y56" s="96">
        <v>16</v>
      </c>
      <c r="Z56" s="96">
        <v>25</v>
      </c>
      <c r="AA56" s="96" t="str">
        <f t="shared" si="2"/>
        <v>DA_WPN_Bow_RecurveBow_c_str</v>
      </c>
      <c r="AB56" s="90" t="str">
        <f t="shared" si="3"/>
        <v>/Game/DungeonSiege/Items/Weapons/bow/DA_WPN_Bow_RecurveBow_c_str</v>
      </c>
      <c r="AC56" s="97" t="str">
        <f t="shared" si="4"/>
        <v>Texture2D'/Game/DungeonSiege/art/bitmaps/gui/in_game/inventory/weapons/bow/b_gui_ig_i_w_bow_067.b_gui_ig_i_w_bow_067'</v>
      </c>
      <c r="AD56" s="97" t="str">
        <f t="shared" si="6"/>
        <v>Texture2D'/Game/DungeonSiege/art/bitmaps/gui/in_game/inventory/icons/b_gui_ig_i_ic_bow_001.b_gui_ig_i_ic_bow_001'</v>
      </c>
      <c r="AE56" s="97" t="str">
        <f t="shared" si="5"/>
        <v>StaticMesh'/Game/DungeonSiege/art/meshes/weapons/bow/m_w_bow_006_AspMesh.m_w_bow_006_AspMesh'</v>
      </c>
    </row>
    <row r="57" spans="1:31" ht="15.75" thickBot="1" x14ac:dyDescent="0.3">
      <c r="A57" s="95">
        <v>55</v>
      </c>
      <c r="B57" s="95">
        <f>A57+Items!B$19</f>
        <v>85983287</v>
      </c>
      <c r="C57" s="96" t="s">
        <v>6233</v>
      </c>
      <c r="D57" s="96" t="s">
        <v>6218</v>
      </c>
      <c r="E57" s="96" t="s">
        <v>3524</v>
      </c>
      <c r="F57" s="96" t="s">
        <v>6113</v>
      </c>
      <c r="G57" s="96" t="s">
        <v>3528</v>
      </c>
      <c r="H57" s="96"/>
      <c r="I57" s="96"/>
      <c r="J57" s="96"/>
      <c r="K57" s="96"/>
      <c r="L57" s="96" t="s">
        <v>6234</v>
      </c>
      <c r="M57" s="96" t="s">
        <v>6235</v>
      </c>
      <c r="N57" s="96" t="s">
        <v>6116</v>
      </c>
      <c r="O57" s="95" t="str">
        <f t="shared" si="7"/>
        <v>FALSE</v>
      </c>
      <c r="P57" s="95"/>
      <c r="Q57" s="96">
        <v>1</v>
      </c>
      <c r="R57" s="96">
        <v>4</v>
      </c>
      <c r="S57" s="96">
        <v>50</v>
      </c>
      <c r="T57" s="96">
        <v>61</v>
      </c>
      <c r="U57" s="96">
        <v>0.15</v>
      </c>
      <c r="V57" s="96">
        <v>11</v>
      </c>
      <c r="W57" s="96">
        <v>3</v>
      </c>
      <c r="X57" s="96">
        <v>9</v>
      </c>
      <c r="Y57" s="96">
        <v>13</v>
      </c>
      <c r="Z57" s="96">
        <v>19</v>
      </c>
      <c r="AA57" s="96" t="str">
        <f t="shared" si="2"/>
        <v>DA_WPN_Bow_RecurveBow_o_avg</v>
      </c>
      <c r="AB57" s="90" t="str">
        <f t="shared" si="3"/>
        <v>/Game/DungeonSiege/Items/Weapons/bow/DA_WPN_Bow_RecurveBow_o_avg</v>
      </c>
      <c r="AC57" s="97" t="str">
        <f t="shared" si="4"/>
        <v>Texture2D'/Game/DungeonSiege/art/bitmaps/gui/in_game/inventory/weapons/bow/b_gui_ig_i_w_bow_017.b_gui_ig_i_w_bow_017'</v>
      </c>
      <c r="AD57" s="97" t="str">
        <f t="shared" si="6"/>
        <v>Texture2D'/Game/DungeonSiege/art/bitmaps/gui/in_game/inventory/icons/b_gui_ig_i_ic_bow_003.b_gui_ig_i_ic_bow_003'</v>
      </c>
      <c r="AE57" s="97" t="str">
        <f t="shared" si="5"/>
        <v>StaticMesh'/Game/DungeonSiege/art/meshes/weapons/bow/m_w_bow_024_AspMesh.m_w_bow_024_AspMesh'</v>
      </c>
    </row>
    <row r="58" spans="1:31" ht="15.75" thickBot="1" x14ac:dyDescent="0.3">
      <c r="A58" s="95">
        <v>56</v>
      </c>
      <c r="B58" s="95">
        <f>A58+Items!B$19</f>
        <v>85983288</v>
      </c>
      <c r="C58" s="96" t="s">
        <v>6236</v>
      </c>
      <c r="D58" s="96" t="s">
        <v>6236</v>
      </c>
      <c r="E58" s="96" t="s">
        <v>3524</v>
      </c>
      <c r="F58" s="96" t="s">
        <v>6237</v>
      </c>
      <c r="G58" s="96"/>
      <c r="H58" s="96"/>
      <c r="I58" s="96"/>
      <c r="J58" s="96"/>
      <c r="K58" s="96"/>
      <c r="L58" s="96" t="s">
        <v>6238</v>
      </c>
      <c r="M58" s="96" t="s">
        <v>6239</v>
      </c>
      <c r="N58" s="96" t="s">
        <v>6101</v>
      </c>
      <c r="O58" s="95" t="str">
        <f t="shared" si="7"/>
        <v>FALSE</v>
      </c>
      <c r="P58" s="95"/>
      <c r="Q58" s="96">
        <v>1</v>
      </c>
      <c r="R58" s="96">
        <v>3</v>
      </c>
      <c r="S58" s="96">
        <v>5</v>
      </c>
      <c r="T58" s="96">
        <v>9</v>
      </c>
      <c r="U58" s="96">
        <v>0</v>
      </c>
      <c r="V58" s="96">
        <v>10</v>
      </c>
      <c r="W58" s="96">
        <v>0</v>
      </c>
      <c r="X58" s="96">
        <v>1</v>
      </c>
      <c r="Y58" s="96">
        <v>0</v>
      </c>
      <c r="Z58" s="96">
        <v>0</v>
      </c>
      <c r="AA58" s="96" t="str">
        <f t="shared" si="2"/>
        <v>DA_WPN_Bow_ShortBow</v>
      </c>
      <c r="AB58" s="90" t="str">
        <f t="shared" si="3"/>
        <v>/Game/DungeonSiege/Items/Weapons/bow/DA_WPN_Bow_ShortBow</v>
      </c>
      <c r="AC58" s="97" t="str">
        <f t="shared" si="4"/>
        <v>Texture2D'/Game/DungeonSiege/art/bitmaps/gui/in_game/inventory/weapons/bow/b_gui_ig_i_w_bow_012.b_gui_ig_i_w_bow_012'</v>
      </c>
      <c r="AD58" s="97" t="str">
        <f t="shared" si="6"/>
        <v>Texture2D'/Game/DungeonSiege/art/bitmaps/gui/in_game/inventory/icons/b_gui_ig_i_ic_bow_001.b_gui_ig_i_ic_bow_001'</v>
      </c>
      <c r="AE58" s="97" t="str">
        <f t="shared" si="5"/>
        <v>StaticMesh'/Game/DungeonSiege/art/meshes/weapons/bow/m_w_bow_026_AspMesh.m_w_bow_026_AspMesh'</v>
      </c>
    </row>
    <row r="59" spans="1:31" ht="15.75" thickBot="1" x14ac:dyDescent="0.3">
      <c r="A59" s="95">
        <v>57</v>
      </c>
      <c r="B59" s="95">
        <f>A59+Items!B$19</f>
        <v>85983289</v>
      </c>
      <c r="C59" s="96" t="s">
        <v>6240</v>
      </c>
      <c r="D59" s="96" t="s">
        <v>6236</v>
      </c>
      <c r="E59" s="96" t="s">
        <v>3524</v>
      </c>
      <c r="F59" s="96" t="s">
        <v>6241</v>
      </c>
      <c r="G59" s="96" t="s">
        <v>3531</v>
      </c>
      <c r="H59" s="96"/>
      <c r="I59" s="96"/>
      <c r="J59" s="96"/>
      <c r="K59" s="96"/>
      <c r="L59" s="96" t="s">
        <v>6242</v>
      </c>
      <c r="M59" s="96" t="s">
        <v>6243</v>
      </c>
      <c r="N59" s="96" t="s">
        <v>6101</v>
      </c>
      <c r="O59" s="95" t="str">
        <f t="shared" si="7"/>
        <v>FALSE</v>
      </c>
      <c r="P59" s="95"/>
      <c r="Q59" s="96">
        <v>1</v>
      </c>
      <c r="R59" s="96">
        <v>3</v>
      </c>
      <c r="S59" s="96">
        <v>9</v>
      </c>
      <c r="T59" s="96">
        <v>17</v>
      </c>
      <c r="U59" s="96">
        <v>0</v>
      </c>
      <c r="V59" s="96">
        <v>10</v>
      </c>
      <c r="W59" s="96">
        <v>1</v>
      </c>
      <c r="X59" s="96">
        <v>3</v>
      </c>
      <c r="Y59" s="96">
        <v>0</v>
      </c>
      <c r="Z59" s="96">
        <v>0</v>
      </c>
      <c r="AA59" s="96" t="str">
        <f t="shared" si="2"/>
        <v>DA_WPN_Bow_ShortBow_c_fin</v>
      </c>
      <c r="AB59" s="90" t="str">
        <f t="shared" si="3"/>
        <v>/Game/DungeonSiege/Items/Weapons/bow/DA_WPN_Bow_ShortBow_c_fin</v>
      </c>
      <c r="AC59" s="97" t="str">
        <f t="shared" si="4"/>
        <v>Texture2D'/Game/DungeonSiege/art/bitmaps/gui/in_game/inventory/weapons/bow/b_gui_ig_i_w_bow_020.b_gui_ig_i_w_bow_020'</v>
      </c>
      <c r="AD59" s="97" t="str">
        <f t="shared" si="6"/>
        <v>Texture2D'/Game/DungeonSiege/art/bitmaps/gui/in_game/inventory/icons/b_gui_ig_i_ic_bow_001.b_gui_ig_i_ic_bow_001'</v>
      </c>
      <c r="AE59" s="97" t="str">
        <f t="shared" si="5"/>
        <v>StaticMesh'/Game/DungeonSiege/art/meshes/weapons/bow/m_w_bow_029_AspMesh.m_w_bow_029_AspMesh'</v>
      </c>
    </row>
    <row r="60" spans="1:31" ht="15.75" thickBot="1" x14ac:dyDescent="0.3">
      <c r="A60" s="95">
        <v>58</v>
      </c>
      <c r="B60" s="95">
        <f>A60+Items!B$19</f>
        <v>85983290</v>
      </c>
      <c r="C60" s="96" t="s">
        <v>6244</v>
      </c>
      <c r="D60" s="96" t="s">
        <v>6236</v>
      </c>
      <c r="E60" s="96" t="s">
        <v>3524</v>
      </c>
      <c r="F60" s="96" t="s">
        <v>6245</v>
      </c>
      <c r="G60" s="96" t="s">
        <v>3530</v>
      </c>
      <c r="H60" s="96"/>
      <c r="I60" s="96"/>
      <c r="J60" s="96"/>
      <c r="K60" s="96"/>
      <c r="L60" s="96" t="s">
        <v>6246</v>
      </c>
      <c r="M60" s="96" t="s">
        <v>6247</v>
      </c>
      <c r="N60" s="96" t="s">
        <v>6101</v>
      </c>
      <c r="O60" s="95" t="str">
        <f t="shared" si="7"/>
        <v>FALSE</v>
      </c>
      <c r="P60" s="95"/>
      <c r="Q60" s="96">
        <v>1</v>
      </c>
      <c r="R60" s="96">
        <v>3</v>
      </c>
      <c r="S60" s="96">
        <v>34</v>
      </c>
      <c r="T60" s="96">
        <v>60</v>
      </c>
      <c r="U60" s="96">
        <v>0</v>
      </c>
      <c r="V60" s="96">
        <v>10</v>
      </c>
      <c r="W60" s="96">
        <v>9</v>
      </c>
      <c r="X60" s="96">
        <v>14</v>
      </c>
      <c r="Y60" s="96">
        <v>13</v>
      </c>
      <c r="Z60" s="96">
        <v>18</v>
      </c>
      <c r="AA60" s="96" t="str">
        <f t="shared" si="2"/>
        <v>DA_WPN_Bow_ShortBow_c_str</v>
      </c>
      <c r="AB60" s="90" t="str">
        <f t="shared" si="3"/>
        <v>/Game/DungeonSiege/Items/Weapons/bow/DA_WPN_Bow_ShortBow_c_str</v>
      </c>
      <c r="AC60" s="97" t="str">
        <f t="shared" si="4"/>
        <v>Texture2D'/Game/DungeonSiege/art/bitmaps/gui/in_game/inventory/weapons/bow/b_gui_ig_i_w_bow_030.b_gui_ig_i_w_bow_030'</v>
      </c>
      <c r="AD60" s="97" t="str">
        <f t="shared" si="6"/>
        <v>Texture2D'/Game/DungeonSiege/art/bitmaps/gui/in_game/inventory/icons/b_gui_ig_i_ic_bow_001.b_gui_ig_i_ic_bow_001'</v>
      </c>
      <c r="AE60" s="97" t="str">
        <f t="shared" si="5"/>
        <v>StaticMesh'/Game/DungeonSiege/art/meshes/weapons/bow/m_w_bow_030_AspMesh.m_w_bow_030_AspMesh'</v>
      </c>
    </row>
    <row r="61" spans="1:31" ht="15.75" thickBot="1" x14ac:dyDescent="0.3">
      <c r="A61" s="95">
        <v>59</v>
      </c>
      <c r="B61" s="95">
        <f>A61+Items!B$19</f>
        <v>85983291</v>
      </c>
      <c r="C61" s="96" t="s">
        <v>6248</v>
      </c>
      <c r="D61" s="96" t="s">
        <v>6236</v>
      </c>
      <c r="E61" s="96" t="s">
        <v>3524</v>
      </c>
      <c r="F61" s="96" t="s">
        <v>6249</v>
      </c>
      <c r="G61" s="96" t="s">
        <v>3528</v>
      </c>
      <c r="H61" s="96"/>
      <c r="I61" s="96"/>
      <c r="J61" s="96"/>
      <c r="K61" s="96"/>
      <c r="L61" s="96" t="s">
        <v>6250</v>
      </c>
      <c r="M61" s="96" t="s">
        <v>6251</v>
      </c>
      <c r="N61" s="96" t="s">
        <v>6116</v>
      </c>
      <c r="O61" s="95" t="str">
        <f t="shared" si="7"/>
        <v>FALSE</v>
      </c>
      <c r="P61" s="95"/>
      <c r="Q61" s="96">
        <v>1</v>
      </c>
      <c r="R61" s="96">
        <v>3</v>
      </c>
      <c r="S61" s="96">
        <v>15</v>
      </c>
      <c r="T61" s="96">
        <v>27</v>
      </c>
      <c r="U61" s="96">
        <v>0</v>
      </c>
      <c r="V61" s="96">
        <v>10</v>
      </c>
      <c r="W61" s="96">
        <v>2</v>
      </c>
      <c r="X61" s="96">
        <v>6</v>
      </c>
      <c r="Y61" s="96">
        <v>0</v>
      </c>
      <c r="Z61" s="96">
        <v>13</v>
      </c>
      <c r="AA61" s="96" t="str">
        <f t="shared" si="2"/>
        <v>DA_WPN_Bow_ShortBow_o_avg</v>
      </c>
      <c r="AB61" s="90" t="str">
        <f t="shared" si="3"/>
        <v>/Game/DungeonSiege/Items/Weapons/bow/DA_WPN_Bow_ShortBow_o_avg</v>
      </c>
      <c r="AC61" s="97" t="str">
        <f t="shared" si="4"/>
        <v>Texture2D'/Game/DungeonSiege/art/bitmaps/gui/in_game/inventory/weapons/bow/b_gui_ig_i_w_bow_056.b_gui_ig_i_w_bow_056'</v>
      </c>
      <c r="AD61" s="97" t="str">
        <f t="shared" si="6"/>
        <v>Texture2D'/Game/DungeonSiege/art/bitmaps/gui/in_game/inventory/icons/b_gui_ig_i_ic_bow_003.b_gui_ig_i_ic_bow_003'</v>
      </c>
      <c r="AE61" s="97" t="str">
        <f t="shared" si="5"/>
        <v>StaticMesh'/Game/DungeonSiege/art/meshes/weapons/bow/m_w_bow_010_AspMesh.m_w_bow_010_AspMesh'</v>
      </c>
    </row>
    <row r="62" spans="1:31" ht="15.75" thickBot="1" x14ac:dyDescent="0.3">
      <c r="A62" s="95">
        <v>60</v>
      </c>
      <c r="B62" s="95">
        <f>A62+Items!B$19</f>
        <v>85983292</v>
      </c>
      <c r="C62" s="96" t="s">
        <v>6252</v>
      </c>
      <c r="D62" s="96" t="s">
        <v>6236</v>
      </c>
      <c r="E62" s="96" t="s">
        <v>3524</v>
      </c>
      <c r="F62" s="96" t="s">
        <v>6241</v>
      </c>
      <c r="G62" s="96" t="s">
        <v>3532</v>
      </c>
      <c r="H62" s="96"/>
      <c r="I62" s="96"/>
      <c r="J62" s="96"/>
      <c r="K62" s="96"/>
      <c r="L62" s="96" t="s">
        <v>6253</v>
      </c>
      <c r="M62" s="96" t="s">
        <v>6254</v>
      </c>
      <c r="N62" s="96" t="s">
        <v>6116</v>
      </c>
      <c r="O62" s="95" t="str">
        <f t="shared" si="7"/>
        <v>FALSE</v>
      </c>
      <c r="P62" s="95"/>
      <c r="Q62" s="96">
        <v>1</v>
      </c>
      <c r="R62" s="96">
        <v>3</v>
      </c>
      <c r="S62" s="96">
        <v>23</v>
      </c>
      <c r="T62" s="96">
        <v>41</v>
      </c>
      <c r="U62" s="96">
        <v>0</v>
      </c>
      <c r="V62" s="96">
        <v>10</v>
      </c>
      <c r="W62" s="96">
        <v>4</v>
      </c>
      <c r="X62" s="96">
        <v>10</v>
      </c>
      <c r="Y62" s="96">
        <v>12</v>
      </c>
      <c r="Z62" s="96">
        <v>15</v>
      </c>
      <c r="AA62" s="96" t="str">
        <f t="shared" si="2"/>
        <v>DA_WPN_Bow_ShortBow_o_fin</v>
      </c>
      <c r="AB62" s="90" t="str">
        <f t="shared" si="3"/>
        <v>/Game/DungeonSiege/Items/Weapons/bow/DA_WPN_Bow_ShortBow_o_fin</v>
      </c>
      <c r="AC62" s="97" t="str">
        <f t="shared" si="4"/>
        <v>Texture2D'/Game/DungeonSiege/art/bitmaps/gui/in_game/inventory/weapons/bow/b_gui_ig_i_w_bow_025.b_gui_ig_i_w_bow_025'</v>
      </c>
      <c r="AD62" s="97" t="str">
        <f t="shared" si="6"/>
        <v>Texture2D'/Game/DungeonSiege/art/bitmaps/gui/in_game/inventory/icons/b_gui_ig_i_ic_bow_003.b_gui_ig_i_ic_bow_003'</v>
      </c>
      <c r="AE62" s="97" t="str">
        <f t="shared" si="5"/>
        <v>StaticMesh'/Game/DungeonSiege/art/meshes/weapons/bow/m_w_bow_029_AspMesh.m_w_bow_029_AspMesh'</v>
      </c>
    </row>
    <row r="63" spans="1:31" ht="15.75" thickBot="1" x14ac:dyDescent="0.3">
      <c r="A63" s="95">
        <v>61</v>
      </c>
      <c r="B63" s="95">
        <f>A63+Items!B$19</f>
        <v>85983293</v>
      </c>
      <c r="C63" s="96" t="s">
        <v>6255</v>
      </c>
      <c r="D63" s="96" t="s">
        <v>6236</v>
      </c>
      <c r="E63" s="96" t="s">
        <v>3524</v>
      </c>
      <c r="F63" s="96" t="s">
        <v>6256</v>
      </c>
      <c r="G63" s="96" t="s">
        <v>3533</v>
      </c>
      <c r="H63" s="96"/>
      <c r="I63" s="96"/>
      <c r="J63" s="96"/>
      <c r="K63" s="96"/>
      <c r="L63" s="96" t="s">
        <v>6257</v>
      </c>
      <c r="M63" s="96" t="s">
        <v>6258</v>
      </c>
      <c r="N63" s="96" t="s">
        <v>6116</v>
      </c>
      <c r="O63" s="95" t="str">
        <f t="shared" si="7"/>
        <v>FALSE</v>
      </c>
      <c r="P63" s="95"/>
      <c r="Q63" s="96">
        <v>1</v>
      </c>
      <c r="R63" s="96">
        <v>3</v>
      </c>
      <c r="S63" s="96">
        <v>74</v>
      </c>
      <c r="T63" s="96">
        <v>128</v>
      </c>
      <c r="U63" s="96">
        <v>0</v>
      </c>
      <c r="V63" s="96">
        <v>10</v>
      </c>
      <c r="W63" s="96">
        <v>20</v>
      </c>
      <c r="X63" s="96">
        <v>26</v>
      </c>
      <c r="Y63" s="96">
        <v>17</v>
      </c>
      <c r="Z63" s="96">
        <v>29</v>
      </c>
      <c r="AA63" s="96" t="str">
        <f t="shared" si="2"/>
        <v>DA_WPN_Bow_ShortBow_o_mag</v>
      </c>
      <c r="AB63" s="90" t="str">
        <f t="shared" si="3"/>
        <v>/Game/DungeonSiege/Items/Weapons/bow/DA_WPN_Bow_ShortBow_o_mag</v>
      </c>
      <c r="AC63" s="97" t="str">
        <f t="shared" si="4"/>
        <v>Texture2D'/Game/DungeonSiege/art/bitmaps/gui/in_game/inventory/weapons/bow/b_gui_ig_i_w_bow_044.b_gui_ig_i_w_bow_044'</v>
      </c>
      <c r="AD63" s="97" t="str">
        <f t="shared" si="6"/>
        <v>Texture2D'/Game/DungeonSiege/art/bitmaps/gui/in_game/inventory/icons/b_gui_ig_i_ic_bow_003.b_gui_ig_i_ic_bow_003'</v>
      </c>
      <c r="AE63" s="97" t="str">
        <f t="shared" si="5"/>
        <v>StaticMesh'/Game/DungeonSiege/art/meshes/weapons/bow/m_w_bow_015_AspMesh.m_w_bow_015_AspMesh'</v>
      </c>
    </row>
    <row r="64" spans="1:31" ht="15.75" thickBot="1" x14ac:dyDescent="0.3">
      <c r="A64" s="95">
        <v>62</v>
      </c>
      <c r="B64" s="95">
        <f>A64+Items!B$19</f>
        <v>85983294</v>
      </c>
      <c r="C64" s="96" t="s">
        <v>6259</v>
      </c>
      <c r="D64" s="96" t="s">
        <v>6236</v>
      </c>
      <c r="E64" s="96" t="s">
        <v>3524</v>
      </c>
      <c r="F64" s="96" t="s">
        <v>6245</v>
      </c>
      <c r="G64" s="96" t="s">
        <v>3534</v>
      </c>
      <c r="H64" s="96"/>
      <c r="I64" s="96"/>
      <c r="J64" s="96"/>
      <c r="K64" s="96"/>
      <c r="L64" s="96" t="s">
        <v>6260</v>
      </c>
      <c r="M64" s="96" t="s">
        <v>6261</v>
      </c>
      <c r="N64" s="96" t="s">
        <v>6116</v>
      </c>
      <c r="O64" s="95" t="str">
        <f t="shared" si="7"/>
        <v>FALSE</v>
      </c>
      <c r="P64" s="95"/>
      <c r="Q64" s="96">
        <v>1</v>
      </c>
      <c r="R64" s="96">
        <v>3</v>
      </c>
      <c r="S64" s="96">
        <v>47</v>
      </c>
      <c r="T64" s="96">
        <v>81</v>
      </c>
      <c r="U64" s="96">
        <v>0</v>
      </c>
      <c r="V64" s="96">
        <v>10</v>
      </c>
      <c r="W64" s="96">
        <v>13</v>
      </c>
      <c r="X64" s="96">
        <v>19</v>
      </c>
      <c r="Y64" s="96">
        <v>14</v>
      </c>
      <c r="Z64" s="96">
        <v>21</v>
      </c>
      <c r="AA64" s="96" t="str">
        <f t="shared" si="2"/>
        <v>DA_WPN_Bow_ShortBow_o_str</v>
      </c>
      <c r="AB64" s="90" t="str">
        <f t="shared" si="3"/>
        <v>/Game/DungeonSiege/Items/Weapons/bow/DA_WPN_Bow_ShortBow_o_str</v>
      </c>
      <c r="AC64" s="97" t="str">
        <f t="shared" si="4"/>
        <v>Texture2D'/Game/DungeonSiege/art/bitmaps/gui/in_game/inventory/weapons/bow/b_gui_ig_i_w_bow_035.b_gui_ig_i_w_bow_035'</v>
      </c>
      <c r="AD64" s="97" t="str">
        <f t="shared" si="6"/>
        <v>Texture2D'/Game/DungeonSiege/art/bitmaps/gui/in_game/inventory/icons/b_gui_ig_i_ic_bow_003.b_gui_ig_i_ic_bow_003'</v>
      </c>
      <c r="AE64" s="97" t="str">
        <f t="shared" si="5"/>
        <v>StaticMesh'/Game/DungeonSiege/art/meshes/weapons/bow/m_w_bow_030_AspMesh.m_w_bow_030_AspMesh'</v>
      </c>
    </row>
    <row r="65" spans="1:31" ht="15.75" thickBot="1" x14ac:dyDescent="0.3">
      <c r="A65" s="95">
        <v>63</v>
      </c>
      <c r="B65" s="95">
        <f>A65+Items!B$19</f>
        <v>85983295</v>
      </c>
      <c r="C65" s="96" t="s">
        <v>6262</v>
      </c>
      <c r="D65" s="96" t="s">
        <v>6262</v>
      </c>
      <c r="E65" s="96" t="s">
        <v>3524</v>
      </c>
      <c r="F65" s="96" t="s">
        <v>6263</v>
      </c>
      <c r="G65" s="96"/>
      <c r="H65" s="96"/>
      <c r="I65" s="96"/>
      <c r="J65" s="96"/>
      <c r="K65" s="96"/>
      <c r="L65" s="96" t="s">
        <v>6264</v>
      </c>
      <c r="M65" s="96" t="s">
        <v>6265</v>
      </c>
      <c r="N65" s="96" t="s">
        <v>6101</v>
      </c>
      <c r="O65" s="95" t="str">
        <f t="shared" si="7"/>
        <v>FALSE</v>
      </c>
      <c r="P65" s="95"/>
      <c r="Q65" s="96">
        <v>1</v>
      </c>
      <c r="R65" s="96">
        <v>3</v>
      </c>
      <c r="S65" s="96">
        <v>10</v>
      </c>
      <c r="T65" s="96">
        <v>16</v>
      </c>
      <c r="U65" s="96">
        <v>0</v>
      </c>
      <c r="V65" s="96">
        <v>10</v>
      </c>
      <c r="W65" s="96">
        <v>0</v>
      </c>
      <c r="X65" s="96">
        <v>1</v>
      </c>
      <c r="Y65" s="96">
        <v>0</v>
      </c>
      <c r="Z65" s="96">
        <v>0</v>
      </c>
      <c r="AA65" s="96" t="str">
        <f t="shared" si="2"/>
        <v>DA_WPN_Bow_ShortRecurve</v>
      </c>
      <c r="AB65" s="90" t="str">
        <f t="shared" si="3"/>
        <v>/Game/DungeonSiege/Items/Weapons/bow/DA_WPN_Bow_ShortRecurve</v>
      </c>
      <c r="AC65" s="97" t="str">
        <f t="shared" si="4"/>
        <v>Texture2D'/Game/DungeonSiege/art/bitmaps/gui/in_game/inventory/weapons/bow/b_gui_ig_i_w_bow_062.b_gui_ig_i_w_bow_062'</v>
      </c>
      <c r="AD65" s="97" t="str">
        <f t="shared" si="6"/>
        <v>Texture2D'/Game/DungeonSiege/art/bitmaps/gui/in_game/inventory/icons/b_gui_ig_i_ic_bow_001.b_gui_ig_i_ic_bow_001'</v>
      </c>
      <c r="AE65" s="97" t="str">
        <f t="shared" si="5"/>
        <v>StaticMesh'/Game/DungeonSiege/art/meshes/weapons/bow/m_w_bow_013_AspMesh.m_w_bow_013_AspMesh'</v>
      </c>
    </row>
    <row r="66" spans="1:31" ht="15.75" thickBot="1" x14ac:dyDescent="0.3">
      <c r="A66" s="95">
        <v>64</v>
      </c>
      <c r="B66" s="95">
        <f>A66+Items!B$19</f>
        <v>85983296</v>
      </c>
      <c r="C66" s="96" t="s">
        <v>6266</v>
      </c>
      <c r="D66" s="96" t="s">
        <v>6262</v>
      </c>
      <c r="E66" s="96" t="s">
        <v>3524</v>
      </c>
      <c r="F66" s="96" t="s">
        <v>6256</v>
      </c>
      <c r="G66" s="96" t="s">
        <v>3529</v>
      </c>
      <c r="H66" s="96"/>
      <c r="I66" s="96"/>
      <c r="J66" s="96"/>
      <c r="K66" s="96"/>
      <c r="L66" s="96" t="s">
        <v>6267</v>
      </c>
      <c r="M66" s="96" t="s">
        <v>6268</v>
      </c>
      <c r="N66" s="96" t="s">
        <v>6101</v>
      </c>
      <c r="O66" s="95" t="str">
        <f t="shared" si="7"/>
        <v>FALSE</v>
      </c>
      <c r="P66" s="95"/>
      <c r="Q66" s="96">
        <v>1</v>
      </c>
      <c r="R66" s="96">
        <v>3</v>
      </c>
      <c r="S66" s="96">
        <v>65</v>
      </c>
      <c r="T66" s="96">
        <v>105</v>
      </c>
      <c r="U66" s="96">
        <v>0</v>
      </c>
      <c r="V66" s="96">
        <v>10</v>
      </c>
      <c r="W66" s="96">
        <v>17</v>
      </c>
      <c r="X66" s="96">
        <v>24</v>
      </c>
      <c r="Y66" s="96">
        <v>16</v>
      </c>
      <c r="Z66" s="96">
        <v>26</v>
      </c>
      <c r="AA66" s="96" t="str">
        <f t="shared" si="2"/>
        <v>DA_WPN_Bow_ShortRecurve_c_mag</v>
      </c>
      <c r="AB66" s="90" t="str">
        <f t="shared" si="3"/>
        <v>/Game/DungeonSiege/Items/Weapons/bow/DA_WPN_Bow_ShortRecurve_c_mag</v>
      </c>
      <c r="AC66" s="97" t="str">
        <f t="shared" si="4"/>
        <v>Texture2D'/Game/DungeonSiege/art/bitmaps/gui/in_game/inventory/weapons/bow/b_gui_ig_i_w_bow_063.b_gui_ig_i_w_bow_063'</v>
      </c>
      <c r="AD66" s="97" t="str">
        <f t="shared" si="6"/>
        <v>Texture2D'/Game/DungeonSiege/art/bitmaps/gui/in_game/inventory/icons/b_gui_ig_i_ic_bow_001.b_gui_ig_i_ic_bow_001'</v>
      </c>
      <c r="AE66" s="97" t="str">
        <f t="shared" si="5"/>
        <v>StaticMesh'/Game/DungeonSiege/art/meshes/weapons/bow/m_w_bow_015_AspMesh.m_w_bow_015_AspMesh'</v>
      </c>
    </row>
    <row r="67" spans="1:31" ht="15.75" thickBot="1" x14ac:dyDescent="0.3">
      <c r="A67" s="95">
        <v>65</v>
      </c>
      <c r="B67" s="95">
        <f>A67+Items!B$19</f>
        <v>85983297</v>
      </c>
      <c r="C67" s="96" t="s">
        <v>6269</v>
      </c>
      <c r="D67" s="96" t="s">
        <v>6262</v>
      </c>
      <c r="E67" s="96" t="s">
        <v>3524</v>
      </c>
      <c r="F67" s="96" t="s">
        <v>6263</v>
      </c>
      <c r="G67" s="96" t="s">
        <v>3528</v>
      </c>
      <c r="H67" s="96"/>
      <c r="I67" s="96"/>
      <c r="J67" s="96"/>
      <c r="K67" s="96"/>
      <c r="L67" s="96" t="s">
        <v>6270</v>
      </c>
      <c r="M67" s="96" t="s">
        <v>6271</v>
      </c>
      <c r="N67" s="96" t="s">
        <v>6116</v>
      </c>
      <c r="O67" s="95" t="str">
        <f t="shared" si="7"/>
        <v>FALSE</v>
      </c>
      <c r="P67" s="95"/>
      <c r="Q67" s="96">
        <v>1</v>
      </c>
      <c r="R67" s="96">
        <v>3</v>
      </c>
      <c r="S67" s="96">
        <v>20</v>
      </c>
      <c r="T67" s="96">
        <v>32</v>
      </c>
      <c r="U67" s="96">
        <v>0</v>
      </c>
      <c r="V67" s="96">
        <v>10</v>
      </c>
      <c r="W67" s="96">
        <v>2</v>
      </c>
      <c r="X67" s="96">
        <v>8</v>
      </c>
      <c r="Y67" s="96">
        <v>0</v>
      </c>
      <c r="Z67" s="96">
        <v>14</v>
      </c>
      <c r="AA67" s="96" t="str">
        <f t="shared" ref="AA67:AA123" si="8">CONCATENATE("DA_WPN_Bow_",SUBSTITUTE(SUBSTITUTE(SUBSTITUTE(C67," ",""),"(","_"),")",""))</f>
        <v>DA_WPN_Bow_ShortRecurve_o_avg</v>
      </c>
      <c r="AB67" s="90" t="str">
        <f t="shared" ref="AB67:AB123" si="9">"/Game/DungeonSiege/Items/Weapons/bow/" &amp; AA67</f>
        <v>/Game/DungeonSiege/Items/Weapons/bow/DA_WPN_Bow_ShortRecurve_o_avg</v>
      </c>
      <c r="AC67" s="97" t="str">
        <f t="shared" ref="AC67:AC123" si="10">CONCATENATE("Texture2D'/Game/DungeonSiege/art/bitmaps/gui/in_game/inventory/weapons/bow/",M67,".",M67,"'")</f>
        <v>Texture2D'/Game/DungeonSiege/art/bitmaps/gui/in_game/inventory/weapons/bow/b_gui_ig_i_w_bow_064.b_gui_ig_i_w_bow_064'</v>
      </c>
      <c r="AD67" s="97" t="str">
        <f t="shared" si="6"/>
        <v>Texture2D'/Game/DungeonSiege/art/bitmaps/gui/in_game/inventory/icons/b_gui_ig_i_ic_bow_003.b_gui_ig_i_ic_bow_003'</v>
      </c>
      <c r="AE67" s="97" t="str">
        <f t="shared" ref="AE67:AE123" si="11">CONCATENATE("StaticMesh'/Game/DungeonSiege/art/meshes/weapons/bow/",F67,"_AspMesh.",F67,"_AspMesh'")</f>
        <v>StaticMesh'/Game/DungeonSiege/art/meshes/weapons/bow/m_w_bow_013_AspMesh.m_w_bow_013_AspMesh'</v>
      </c>
    </row>
    <row r="68" spans="1:31" ht="15.75" thickBot="1" x14ac:dyDescent="0.3">
      <c r="A68" s="95">
        <v>66</v>
      </c>
      <c r="B68" s="95">
        <f>A68+Items!B$19</f>
        <v>85983298</v>
      </c>
      <c r="C68" s="96" t="s">
        <v>6272</v>
      </c>
      <c r="D68" s="96" t="s">
        <v>6272</v>
      </c>
      <c r="E68" s="96" t="s">
        <v>3524</v>
      </c>
      <c r="F68" s="96" t="s">
        <v>6273</v>
      </c>
      <c r="G68" s="96"/>
      <c r="H68" s="96"/>
      <c r="I68" s="96"/>
      <c r="J68" s="96"/>
      <c r="K68" s="96"/>
      <c r="L68" s="96" t="s">
        <v>6274</v>
      </c>
      <c r="M68" s="96" t="s">
        <v>6275</v>
      </c>
      <c r="N68" s="96" t="s">
        <v>6051</v>
      </c>
      <c r="O68" s="95" t="str">
        <f t="shared" si="7"/>
        <v>FALSE</v>
      </c>
      <c r="P68" s="95"/>
      <c r="Q68" s="96">
        <v>1</v>
      </c>
      <c r="R68" s="96">
        <v>4</v>
      </c>
      <c r="S68" s="96">
        <v>29</v>
      </c>
      <c r="T68" s="96">
        <v>43</v>
      </c>
      <c r="U68" s="96">
        <v>0.3</v>
      </c>
      <c r="V68" s="96">
        <v>13</v>
      </c>
      <c r="W68" s="96">
        <v>0</v>
      </c>
      <c r="X68" s="96">
        <v>0</v>
      </c>
      <c r="Y68" s="96">
        <v>0</v>
      </c>
      <c r="Z68" s="96">
        <v>16</v>
      </c>
      <c r="AA68" s="96" t="str">
        <f t="shared" si="8"/>
        <v>DA_WPN_Bow_PeasantLongBow</v>
      </c>
      <c r="AB68" s="90" t="str">
        <f t="shared" si="9"/>
        <v>/Game/DungeonSiege/Items/Weapons/bow/DA_WPN_Bow_PeasantLongBow</v>
      </c>
      <c r="AC68" s="97" t="str">
        <f t="shared" si="10"/>
        <v>Texture2D'/Game/DungeonSiege/art/bitmaps/gui/in_game/inventory/weapons/bow/b_gui_ig_i_w_bow_052.b_gui_ig_i_w_bow_052'</v>
      </c>
      <c r="AD68" s="97" t="str">
        <f t="shared" si="6"/>
        <v>Texture2D'/Game/DungeonSiege/art/bitmaps/gui/in_game/inventory/icons/b_gui_ig_i_ic_bow_002.b_gui_ig_i_ic_bow_002'</v>
      </c>
      <c r="AE68" s="97" t="str">
        <f t="shared" si="11"/>
        <v>StaticMesh'/Game/DungeonSiege/art/meshes/weapons/bow/m_w_bow_017_AspMesh.m_w_bow_017_AspMesh'</v>
      </c>
    </row>
    <row r="69" spans="1:31" ht="15.75" thickBot="1" x14ac:dyDescent="0.3">
      <c r="A69" s="95">
        <v>67</v>
      </c>
      <c r="B69" s="95">
        <f>A69+Items!B$19</f>
        <v>85983299</v>
      </c>
      <c r="C69" s="96" t="s">
        <v>6276</v>
      </c>
      <c r="D69" s="96" t="s">
        <v>6276</v>
      </c>
      <c r="E69" s="96" t="s">
        <v>3524</v>
      </c>
      <c r="F69" s="96" t="s">
        <v>6277</v>
      </c>
      <c r="G69" s="96"/>
      <c r="H69" s="96"/>
      <c r="I69" s="96"/>
      <c r="J69" s="96"/>
      <c r="K69" s="96"/>
      <c r="L69" s="96" t="s">
        <v>6278</v>
      </c>
      <c r="M69" s="96" t="s">
        <v>6279</v>
      </c>
      <c r="N69" s="96" t="s">
        <v>6101</v>
      </c>
      <c r="O69" s="95" t="str">
        <f t="shared" si="7"/>
        <v>FALSE</v>
      </c>
      <c r="P69" s="95"/>
      <c r="Q69" s="96">
        <v>1</v>
      </c>
      <c r="R69" s="96">
        <v>3</v>
      </c>
      <c r="S69" s="96">
        <v>3</v>
      </c>
      <c r="T69" s="96">
        <v>6</v>
      </c>
      <c r="U69" s="96">
        <v>0</v>
      </c>
      <c r="V69" s="96">
        <v>10</v>
      </c>
      <c r="W69" s="96">
        <v>0</v>
      </c>
      <c r="X69" s="96">
        <v>0</v>
      </c>
      <c r="Y69" s="96">
        <v>0</v>
      </c>
      <c r="Z69" s="96">
        <v>0</v>
      </c>
      <c r="AA69" s="96" t="str">
        <f t="shared" si="8"/>
        <v>DA_WPN_Bow_PeasantShortBow</v>
      </c>
      <c r="AB69" s="90" t="str">
        <f t="shared" si="9"/>
        <v>/Game/DungeonSiege/Items/Weapons/bow/DA_WPN_Bow_PeasantShortBow</v>
      </c>
      <c r="AC69" s="97" t="str">
        <f t="shared" si="10"/>
        <v>Texture2D'/Game/DungeonSiege/art/bitmaps/gui/in_game/inventory/weapons/bow/b_gui_ig_i_w_bow_051.b_gui_ig_i_w_bow_051'</v>
      </c>
      <c r="AD69" s="97" t="str">
        <f t="shared" si="6"/>
        <v>Texture2D'/Game/DungeonSiege/art/bitmaps/gui/in_game/inventory/icons/b_gui_ig_i_ic_bow_001.b_gui_ig_i_ic_bow_001'</v>
      </c>
      <c r="AE69" s="97" t="str">
        <f t="shared" si="11"/>
        <v>StaticMesh'/Game/DungeonSiege/art/meshes/weapons/bow/m_w_bow_001_AspMesh.m_w_bow_001_AspMesh'</v>
      </c>
    </row>
    <row r="70" spans="1:31" ht="15.75" thickBot="1" x14ac:dyDescent="0.3">
      <c r="A70" s="95">
        <v>68</v>
      </c>
      <c r="B70" s="95">
        <f>A70+Items!B$19</f>
        <v>85983300</v>
      </c>
      <c r="C70" s="96" t="s">
        <v>6280</v>
      </c>
      <c r="D70" s="96" t="s">
        <v>6280</v>
      </c>
      <c r="E70" s="96" t="s">
        <v>3524</v>
      </c>
      <c r="F70" s="96" t="s">
        <v>6152</v>
      </c>
      <c r="G70" s="96"/>
      <c r="H70" s="96"/>
      <c r="I70" s="96"/>
      <c r="J70" s="96"/>
      <c r="K70" s="96"/>
      <c r="L70" s="96" t="s">
        <v>6281</v>
      </c>
      <c r="M70" s="96" t="s">
        <v>6282</v>
      </c>
      <c r="N70" s="96" t="s">
        <v>6116</v>
      </c>
      <c r="O70" s="95" t="str">
        <f t="shared" si="7"/>
        <v>FALSE</v>
      </c>
      <c r="P70" s="95"/>
      <c r="Q70" s="96">
        <v>1</v>
      </c>
      <c r="R70" s="96">
        <v>4</v>
      </c>
      <c r="S70" s="96">
        <v>8</v>
      </c>
      <c r="T70" s="96">
        <v>14</v>
      </c>
      <c r="U70" s="96">
        <v>0.15</v>
      </c>
      <c r="V70" s="96">
        <v>10</v>
      </c>
      <c r="W70" s="96">
        <v>0</v>
      </c>
      <c r="X70" s="96">
        <v>0</v>
      </c>
      <c r="Y70" s="96">
        <v>0</v>
      </c>
      <c r="Z70" s="96">
        <v>0</v>
      </c>
      <c r="AA70" s="96" t="str">
        <f t="shared" si="8"/>
        <v>DA_WPN_Bow_WeakenedBattleBow</v>
      </c>
      <c r="AB70" s="90" t="str">
        <f t="shared" si="9"/>
        <v>/Game/DungeonSiege/Items/Weapons/bow/DA_WPN_Bow_WeakenedBattleBow</v>
      </c>
      <c r="AC70" s="97" t="str">
        <f t="shared" si="10"/>
        <v>Texture2D'/Game/DungeonSiege/art/bitmaps/gui/in_game/inventory/weapons/bow/b_gui_ig_i_w_bow_011.b_gui_ig_i_w_bow_011'</v>
      </c>
      <c r="AD70" s="97" t="str">
        <f t="shared" si="6"/>
        <v>Texture2D'/Game/DungeonSiege/art/bitmaps/gui/in_game/inventory/icons/b_gui_ig_i_ic_bow_003.b_gui_ig_i_ic_bow_003'</v>
      </c>
      <c r="AE70" s="97" t="str">
        <f t="shared" si="11"/>
        <v>StaticMesh'/Game/DungeonSiege/art/meshes/weapons/bow/m_w_bow_025_AspMesh.m_w_bow_025_AspMesh'</v>
      </c>
    </row>
    <row r="71" spans="1:31" ht="15.75" thickBot="1" x14ac:dyDescent="0.3">
      <c r="A71" s="95">
        <v>69</v>
      </c>
      <c r="B71" s="95">
        <f>A71+Items!B$19</f>
        <v>85983301</v>
      </c>
      <c r="C71" s="96" t="s">
        <v>6283</v>
      </c>
      <c r="D71" s="96" t="s">
        <v>6283</v>
      </c>
      <c r="E71" s="96" t="s">
        <v>3524</v>
      </c>
      <c r="F71" s="96" t="s">
        <v>6098</v>
      </c>
      <c r="G71" s="96"/>
      <c r="H71" s="96"/>
      <c r="I71" s="96"/>
      <c r="J71" s="96"/>
      <c r="K71" s="96"/>
      <c r="L71" s="96" t="s">
        <v>6284</v>
      </c>
      <c r="M71" s="96" t="s">
        <v>6285</v>
      </c>
      <c r="N71" s="96" t="s">
        <v>6116</v>
      </c>
      <c r="O71" s="95" t="str">
        <f t="shared" si="7"/>
        <v>FALSE</v>
      </c>
      <c r="P71" s="95"/>
      <c r="Q71" s="96">
        <v>1</v>
      </c>
      <c r="R71" s="96">
        <v>4</v>
      </c>
      <c r="S71" s="96">
        <v>6</v>
      </c>
      <c r="T71" s="96">
        <v>12</v>
      </c>
      <c r="U71" s="96">
        <v>0.15</v>
      </c>
      <c r="V71" s="96">
        <v>10</v>
      </c>
      <c r="W71" s="96">
        <v>0</v>
      </c>
      <c r="X71" s="96">
        <v>0</v>
      </c>
      <c r="Y71" s="96">
        <v>0</v>
      </c>
      <c r="Z71" s="96">
        <v>0</v>
      </c>
      <c r="AA71" s="96" t="str">
        <f t="shared" si="8"/>
        <v>DA_WPN_Bow_ShabbyBattleBow</v>
      </c>
      <c r="AB71" s="90" t="str">
        <f t="shared" si="9"/>
        <v>/Game/DungeonSiege/Items/Weapons/bow/DA_WPN_Bow_ShabbyBattleBow</v>
      </c>
      <c r="AC71" s="97" t="str">
        <f t="shared" si="10"/>
        <v>Texture2D'/Game/DungeonSiege/art/bitmaps/gui/in_game/inventory/weapons/bow/b_gui_ig_i_w_bow_005.b_gui_ig_i_w_bow_005'</v>
      </c>
      <c r="AD71" s="97" t="str">
        <f t="shared" si="6"/>
        <v>Texture2D'/Game/DungeonSiege/art/bitmaps/gui/in_game/inventory/icons/b_gui_ig_i_ic_bow_003.b_gui_ig_i_ic_bow_003'</v>
      </c>
      <c r="AE71" s="97" t="str">
        <f t="shared" si="11"/>
        <v>StaticMesh'/Game/DungeonSiege/art/meshes/weapons/bow/m_w_bow_021_AspMesh.m_w_bow_021_AspMesh'</v>
      </c>
    </row>
    <row r="72" spans="1:31" ht="15.75" thickBot="1" x14ac:dyDescent="0.3">
      <c r="A72" s="95">
        <v>70</v>
      </c>
      <c r="B72" s="95">
        <f>A72+Items!B$19</f>
        <v>85983302</v>
      </c>
      <c r="C72" s="96" t="s">
        <v>6286</v>
      </c>
      <c r="D72" s="96" t="s">
        <v>6286</v>
      </c>
      <c r="E72" s="96" t="s">
        <v>3524</v>
      </c>
      <c r="F72" s="96" t="s">
        <v>6060</v>
      </c>
      <c r="G72" s="96"/>
      <c r="H72" s="96"/>
      <c r="I72" s="96"/>
      <c r="J72" s="96"/>
      <c r="K72" s="96"/>
      <c r="L72" s="96" t="s">
        <v>6287</v>
      </c>
      <c r="M72" s="96" t="s">
        <v>6288</v>
      </c>
      <c r="N72" s="96" t="s">
        <v>6116</v>
      </c>
      <c r="O72" s="95" t="str">
        <f t="shared" si="7"/>
        <v>FALSE</v>
      </c>
      <c r="P72" s="95"/>
      <c r="Q72" s="96">
        <v>1</v>
      </c>
      <c r="R72" s="96">
        <v>3</v>
      </c>
      <c r="S72" s="96">
        <v>3</v>
      </c>
      <c r="T72" s="96">
        <v>14</v>
      </c>
      <c r="U72" s="96">
        <v>0</v>
      </c>
      <c r="V72" s="96">
        <v>10</v>
      </c>
      <c r="W72" s="96">
        <v>0</v>
      </c>
      <c r="X72" s="96">
        <v>0</v>
      </c>
      <c r="Y72" s="96">
        <v>0</v>
      </c>
      <c r="Z72" s="96">
        <v>0</v>
      </c>
      <c r="AA72" s="96" t="str">
        <f t="shared" si="8"/>
        <v>DA_WPN_Bow_ShardanBow</v>
      </c>
      <c r="AB72" s="90" t="str">
        <f t="shared" si="9"/>
        <v>/Game/DungeonSiege/Items/Weapons/bow/DA_WPN_Bow_ShardanBow</v>
      </c>
      <c r="AC72" s="97" t="str">
        <f t="shared" si="10"/>
        <v>Texture2D'/Game/DungeonSiege/art/bitmaps/gui/in_game/inventory/weapons/bow/b_gui_ig_i_w_bow_010.b_gui_ig_i_w_bow_010'</v>
      </c>
      <c r="AD72" s="97" t="str">
        <f t="shared" si="6"/>
        <v>Texture2D'/Game/DungeonSiege/art/bitmaps/gui/in_game/inventory/icons/b_gui_ig_i_ic_bow_003.b_gui_ig_i_ic_bow_003'</v>
      </c>
      <c r="AE72" s="97" t="str">
        <f t="shared" si="11"/>
        <v>StaticMesh'/Game/DungeonSiege/art/meshes/weapons/bow/m_w_bow_023_AspMesh.m_w_bow_023_AspMesh'</v>
      </c>
    </row>
    <row r="73" spans="1:31" ht="15.75" thickBot="1" x14ac:dyDescent="0.3">
      <c r="A73" s="95">
        <v>71</v>
      </c>
      <c r="B73" s="95">
        <f>A73+Items!B$19</f>
        <v>85983303</v>
      </c>
      <c r="C73" s="96" t="s">
        <v>6289</v>
      </c>
      <c r="D73" s="96" t="s">
        <v>6289</v>
      </c>
      <c r="E73" s="96" t="s">
        <v>3524</v>
      </c>
      <c r="F73" s="96" t="s">
        <v>6048</v>
      </c>
      <c r="G73" s="96"/>
      <c r="H73" s="96"/>
      <c r="I73" s="96"/>
      <c r="J73" s="96"/>
      <c r="K73" s="96"/>
      <c r="L73" s="96" t="s">
        <v>6290</v>
      </c>
      <c r="M73" s="96" t="s">
        <v>6291</v>
      </c>
      <c r="N73" s="96" t="s">
        <v>6051</v>
      </c>
      <c r="O73" s="95" t="str">
        <f t="shared" si="7"/>
        <v>FALSE</v>
      </c>
      <c r="P73" s="95"/>
      <c r="Q73" s="96">
        <v>1</v>
      </c>
      <c r="R73" s="96">
        <v>4</v>
      </c>
      <c r="S73" s="96">
        <v>99</v>
      </c>
      <c r="T73" s="96">
        <v>117</v>
      </c>
      <c r="U73" s="96">
        <v>0.3</v>
      </c>
      <c r="V73" s="96">
        <v>13</v>
      </c>
      <c r="W73" s="96">
        <v>0</v>
      </c>
      <c r="X73" s="96">
        <v>66</v>
      </c>
      <c r="Y73" s="96">
        <v>16</v>
      </c>
      <c r="Z73" s="96">
        <v>26</v>
      </c>
      <c r="AA73" s="96" t="str">
        <f t="shared" si="8"/>
        <v>DA_WPN_Bow_LongButcherBow</v>
      </c>
      <c r="AB73" s="90" t="str">
        <f t="shared" si="9"/>
        <v>/Game/DungeonSiege/Items/Weapons/bow/DA_WPN_Bow_LongButcherBow</v>
      </c>
      <c r="AC73" s="97" t="str">
        <f t="shared" si="10"/>
        <v>Texture2D'/Game/DungeonSiege/art/bitmaps/gui/in_game/inventory/weapons/bow/b_gui_ig_i_w_bow_132.b_gui_ig_i_w_bow_132'</v>
      </c>
      <c r="AD73" s="97" t="str">
        <f t="shared" si="6"/>
        <v>Texture2D'/Game/DungeonSiege/art/bitmaps/gui/in_game/inventory/icons/b_gui_ig_i_ic_bow_002.b_gui_ig_i_ic_bow_002'</v>
      </c>
      <c r="AE73" s="97" t="str">
        <f t="shared" si="11"/>
        <v>StaticMesh'/Game/DungeonSiege/art/meshes/weapons/bow/m_w_bow_028_AspMesh.m_w_bow_028_AspMesh'</v>
      </c>
    </row>
    <row r="74" spans="1:31" ht="15.75" thickBot="1" x14ac:dyDescent="0.3">
      <c r="A74" s="95">
        <v>72</v>
      </c>
      <c r="B74" s="95">
        <f>A74+Items!B$19</f>
        <v>85983304</v>
      </c>
      <c r="C74" s="96" t="s">
        <v>6289</v>
      </c>
      <c r="D74" s="96" t="s">
        <v>6289</v>
      </c>
      <c r="E74" s="96" t="s">
        <v>3524</v>
      </c>
      <c r="F74" s="96" t="s">
        <v>6048</v>
      </c>
      <c r="G74" s="96"/>
      <c r="H74" s="96"/>
      <c r="I74" s="96"/>
      <c r="J74" s="96"/>
      <c r="K74" s="96"/>
      <c r="L74" s="96" t="s">
        <v>6290</v>
      </c>
      <c r="M74" s="96" t="s">
        <v>6292</v>
      </c>
      <c r="N74" s="96" t="s">
        <v>6101</v>
      </c>
      <c r="O74" s="95" t="str">
        <f t="shared" si="7"/>
        <v>FALSE</v>
      </c>
      <c r="P74" s="95"/>
      <c r="Q74" s="96">
        <v>1</v>
      </c>
      <c r="R74" s="96">
        <v>4</v>
      </c>
      <c r="S74" s="96">
        <v>119</v>
      </c>
      <c r="T74" s="96">
        <v>139</v>
      </c>
      <c r="U74" s="96">
        <v>0.3</v>
      </c>
      <c r="V74" s="96">
        <v>13</v>
      </c>
      <c r="W74" s="96">
        <v>3</v>
      </c>
      <c r="X74" s="96">
        <v>15</v>
      </c>
      <c r="Y74" s="96">
        <v>17</v>
      </c>
      <c r="Z74" s="96">
        <v>29</v>
      </c>
      <c r="AA74" s="96" t="str">
        <f t="shared" si="8"/>
        <v>DA_WPN_Bow_LongButcherBow</v>
      </c>
      <c r="AB74" s="90" t="str">
        <f t="shared" si="9"/>
        <v>/Game/DungeonSiege/Items/Weapons/bow/DA_WPN_Bow_LongButcherBow</v>
      </c>
      <c r="AC74" s="97" t="str">
        <f t="shared" si="10"/>
        <v>Texture2D'/Game/DungeonSiege/art/bitmaps/gui/in_game/inventory/weapons/bow/b_gui_ig_i_w_bow_133.b_gui_ig_i_w_bow_133'</v>
      </c>
      <c r="AD74" s="97" t="str">
        <f t="shared" si="6"/>
        <v>Texture2D'/Game/DungeonSiege/art/bitmaps/gui/in_game/inventory/icons/b_gui_ig_i_ic_bow_001.b_gui_ig_i_ic_bow_001'</v>
      </c>
      <c r="AE74" s="97" t="str">
        <f t="shared" si="11"/>
        <v>StaticMesh'/Game/DungeonSiege/art/meshes/weapons/bow/m_w_bow_028_AspMesh.m_w_bow_028_AspMesh'</v>
      </c>
    </row>
    <row r="75" spans="1:31" ht="15.75" thickBot="1" x14ac:dyDescent="0.3">
      <c r="A75" s="95">
        <v>73</v>
      </c>
      <c r="B75" s="95">
        <f>A75+Items!B$19</f>
        <v>85983305</v>
      </c>
      <c r="C75" s="96" t="s">
        <v>6289</v>
      </c>
      <c r="D75" s="96" t="s">
        <v>6289</v>
      </c>
      <c r="E75" s="96" t="s">
        <v>3524</v>
      </c>
      <c r="F75" s="96" t="s">
        <v>6056</v>
      </c>
      <c r="G75" s="96"/>
      <c r="H75" s="96"/>
      <c r="I75" s="96"/>
      <c r="J75" s="96"/>
      <c r="K75" s="96"/>
      <c r="L75" s="96" t="s">
        <v>6290</v>
      </c>
      <c r="M75" s="96" t="s">
        <v>6293</v>
      </c>
      <c r="N75" s="96" t="s">
        <v>6101</v>
      </c>
      <c r="O75" s="95" t="str">
        <f t="shared" si="7"/>
        <v>FALSE</v>
      </c>
      <c r="P75" s="95"/>
      <c r="Q75" s="96">
        <v>1</v>
      </c>
      <c r="R75" s="96">
        <v>4</v>
      </c>
      <c r="S75" s="96">
        <v>252</v>
      </c>
      <c r="T75" s="96">
        <v>296</v>
      </c>
      <c r="U75" s="96">
        <v>0.3</v>
      </c>
      <c r="V75" s="96">
        <v>13</v>
      </c>
      <c r="W75" s="96">
        <v>42</v>
      </c>
      <c r="X75" s="96">
        <v>59</v>
      </c>
      <c r="Y75" s="96">
        <v>27</v>
      </c>
      <c r="Z75" s="96">
        <v>53</v>
      </c>
      <c r="AA75" s="96" t="str">
        <f t="shared" si="8"/>
        <v>DA_WPN_Bow_LongButcherBow</v>
      </c>
      <c r="AB75" s="90" t="str">
        <f t="shared" si="9"/>
        <v>/Game/DungeonSiege/Items/Weapons/bow/DA_WPN_Bow_LongButcherBow</v>
      </c>
      <c r="AC75" s="97" t="str">
        <f t="shared" si="10"/>
        <v>Texture2D'/Game/DungeonSiege/art/bitmaps/gui/in_game/inventory/weapons/bow/b_gui_ig_i_w_bow_134.b_gui_ig_i_w_bow_134'</v>
      </c>
      <c r="AD75" s="97" t="str">
        <f t="shared" si="6"/>
        <v>Texture2D'/Game/DungeonSiege/art/bitmaps/gui/in_game/inventory/icons/b_gui_ig_i_ic_bow_001.b_gui_ig_i_ic_bow_001'</v>
      </c>
      <c r="AE75" s="97" t="str">
        <f t="shared" si="11"/>
        <v>StaticMesh'/Game/DungeonSiege/art/meshes/weapons/bow/m_w_bow_037_AspMesh.m_w_bow_037_AspMesh'</v>
      </c>
    </row>
    <row r="76" spans="1:31" ht="15.75" thickBot="1" x14ac:dyDescent="0.3">
      <c r="A76" s="95">
        <v>74</v>
      </c>
      <c r="B76" s="95">
        <f>A76+Items!B$19</f>
        <v>85983306</v>
      </c>
      <c r="C76" s="96" t="s">
        <v>6289</v>
      </c>
      <c r="D76" s="96" t="s">
        <v>6289</v>
      </c>
      <c r="E76" s="96" t="s">
        <v>3524</v>
      </c>
      <c r="F76" s="96" t="s">
        <v>6056</v>
      </c>
      <c r="G76" s="96"/>
      <c r="H76" s="96"/>
      <c r="I76" s="96"/>
      <c r="J76" s="96"/>
      <c r="K76" s="96"/>
      <c r="L76" s="96" t="s">
        <v>6290</v>
      </c>
      <c r="M76" s="96" t="s">
        <v>6294</v>
      </c>
      <c r="N76" s="96" t="s">
        <v>6066</v>
      </c>
      <c r="O76" s="95" t="str">
        <f t="shared" si="7"/>
        <v>FALSE</v>
      </c>
      <c r="P76" s="95"/>
      <c r="Q76" s="96">
        <v>1</v>
      </c>
      <c r="R76" s="96">
        <v>4</v>
      </c>
      <c r="S76" s="96">
        <v>162</v>
      </c>
      <c r="T76" s="96">
        <v>190</v>
      </c>
      <c r="U76" s="96">
        <v>0.3</v>
      </c>
      <c r="V76" s="96">
        <v>13</v>
      </c>
      <c r="W76" s="96">
        <v>15</v>
      </c>
      <c r="X76" s="96">
        <v>34</v>
      </c>
      <c r="Y76" s="96">
        <v>21</v>
      </c>
      <c r="Z76" s="96">
        <v>37</v>
      </c>
      <c r="AA76" s="96" t="str">
        <f t="shared" si="8"/>
        <v>DA_WPN_Bow_LongButcherBow</v>
      </c>
      <c r="AB76" s="90" t="str">
        <f t="shared" si="9"/>
        <v>/Game/DungeonSiege/Items/Weapons/bow/DA_WPN_Bow_LongButcherBow</v>
      </c>
      <c r="AC76" s="97" t="str">
        <f t="shared" si="10"/>
        <v>Texture2D'/Game/DungeonSiege/art/bitmaps/gui/in_game/inventory/weapons/bow/b_gui_ig_i_w_bow_135.b_gui_ig_i_w_bow_135'</v>
      </c>
      <c r="AD76" s="97" t="str">
        <f t="shared" si="6"/>
        <v>Texture2D'/Game/DungeonSiege/art/bitmaps/gui/in_game/inventory/icons/b_gui_ig_i_ic_bow_004.b_gui_ig_i_ic_bow_004'</v>
      </c>
      <c r="AE76" s="97" t="str">
        <f t="shared" si="11"/>
        <v>StaticMesh'/Game/DungeonSiege/art/meshes/weapons/bow/m_w_bow_037_AspMesh.m_w_bow_037_AspMesh'</v>
      </c>
    </row>
    <row r="77" spans="1:31" ht="15.75" thickBot="1" x14ac:dyDescent="0.3">
      <c r="A77" s="95">
        <v>75</v>
      </c>
      <c r="B77" s="95">
        <f>A77+Items!B$19</f>
        <v>85983307</v>
      </c>
      <c r="C77" s="96" t="s">
        <v>6295</v>
      </c>
      <c r="D77" s="96" t="s">
        <v>6295</v>
      </c>
      <c r="E77" s="96" t="s">
        <v>3524</v>
      </c>
      <c r="F77" s="96" t="s">
        <v>6048</v>
      </c>
      <c r="G77" s="96"/>
      <c r="H77" s="96"/>
      <c r="I77" s="96"/>
      <c r="J77" s="96"/>
      <c r="K77" s="96"/>
      <c r="L77" s="96" t="s">
        <v>6296</v>
      </c>
      <c r="M77" s="96" t="s">
        <v>6297</v>
      </c>
      <c r="N77" s="96" t="s">
        <v>6051</v>
      </c>
      <c r="O77" s="95" t="str">
        <f t="shared" si="7"/>
        <v>FALSE</v>
      </c>
      <c r="P77" s="95"/>
      <c r="Q77" s="96">
        <v>1</v>
      </c>
      <c r="R77" s="96">
        <v>4</v>
      </c>
      <c r="S77" s="96">
        <v>89</v>
      </c>
      <c r="T77" s="96">
        <v>109</v>
      </c>
      <c r="U77" s="96">
        <v>0.3</v>
      </c>
      <c r="V77" s="96">
        <v>13</v>
      </c>
      <c r="W77" s="96">
        <v>0</v>
      </c>
      <c r="X77" s="96">
        <v>61</v>
      </c>
      <c r="Y77" s="96">
        <v>15</v>
      </c>
      <c r="Z77" s="96">
        <v>24</v>
      </c>
      <c r="AA77" s="96" t="str">
        <f t="shared" si="8"/>
        <v>DA_WPN_Bow_LethalRecurve</v>
      </c>
      <c r="AB77" s="90" t="str">
        <f t="shared" si="9"/>
        <v>/Game/DungeonSiege/Items/Weapons/bow/DA_WPN_Bow_LethalRecurve</v>
      </c>
      <c r="AC77" s="97" t="str">
        <f t="shared" si="10"/>
        <v>Texture2D'/Game/DungeonSiege/art/bitmaps/gui/in_game/inventory/weapons/bow/b_gui_ig_i_w_bow_120.b_gui_ig_i_w_bow_120'</v>
      </c>
      <c r="AD77" s="97" t="str">
        <f t="shared" si="6"/>
        <v>Texture2D'/Game/DungeonSiege/art/bitmaps/gui/in_game/inventory/icons/b_gui_ig_i_ic_bow_002.b_gui_ig_i_ic_bow_002'</v>
      </c>
      <c r="AE77" s="97" t="str">
        <f t="shared" si="11"/>
        <v>StaticMesh'/Game/DungeonSiege/art/meshes/weapons/bow/m_w_bow_028_AspMesh.m_w_bow_028_AspMesh'</v>
      </c>
    </row>
    <row r="78" spans="1:31" ht="23.25" thickBot="1" x14ac:dyDescent="0.3">
      <c r="A78" s="95">
        <v>76</v>
      </c>
      <c r="B78" s="95">
        <f>A78+Items!B$19</f>
        <v>85983308</v>
      </c>
      <c r="C78" s="96" t="s">
        <v>6298</v>
      </c>
      <c r="D78" s="96" t="s">
        <v>6295</v>
      </c>
      <c r="E78" s="96" t="s">
        <v>3524</v>
      </c>
      <c r="F78" s="96" t="s">
        <v>6068</v>
      </c>
      <c r="G78" s="96" t="s">
        <v>3529</v>
      </c>
      <c r="H78" s="96"/>
      <c r="I78" s="96"/>
      <c r="J78" s="96"/>
      <c r="K78" s="96"/>
      <c r="L78" s="96" t="s">
        <v>6299</v>
      </c>
      <c r="M78" s="96" t="s">
        <v>6300</v>
      </c>
      <c r="N78" s="96" t="s">
        <v>6051</v>
      </c>
      <c r="O78" s="95" t="str">
        <f t="shared" si="7"/>
        <v>FALSE</v>
      </c>
      <c r="P78" s="95"/>
      <c r="Q78" s="96">
        <v>1</v>
      </c>
      <c r="R78" s="96">
        <v>4</v>
      </c>
      <c r="S78" s="96">
        <v>232</v>
      </c>
      <c r="T78" s="96">
        <v>284</v>
      </c>
      <c r="U78" s="96">
        <v>0.3</v>
      </c>
      <c r="V78" s="96">
        <v>13</v>
      </c>
      <c r="W78" s="96">
        <v>39</v>
      </c>
      <c r="X78" s="96">
        <v>55</v>
      </c>
      <c r="Y78" s="96">
        <v>26</v>
      </c>
      <c r="Z78" s="96">
        <v>50</v>
      </c>
      <c r="AA78" s="96" t="str">
        <f t="shared" si="8"/>
        <v>DA_WPN_Bow_LethalRecurve_c_mag</v>
      </c>
      <c r="AB78" s="90" t="str">
        <f t="shared" si="9"/>
        <v>/Game/DungeonSiege/Items/Weapons/bow/DA_WPN_Bow_LethalRecurve_c_mag</v>
      </c>
      <c r="AC78" s="97" t="str">
        <f t="shared" si="10"/>
        <v>Texture2D'/Game/DungeonSiege/art/bitmaps/gui/in_game/inventory/weapons/bow/b_gui_ig_i_w_bow_122.b_gui_ig_i_w_bow_122'</v>
      </c>
      <c r="AD78" s="97" t="str">
        <f t="shared" si="6"/>
        <v>Texture2D'/Game/DungeonSiege/art/bitmaps/gui/in_game/inventory/icons/b_gui_ig_i_ic_bow_002.b_gui_ig_i_ic_bow_002'</v>
      </c>
      <c r="AE78" s="97" t="str">
        <f t="shared" si="11"/>
        <v>StaticMesh'/Game/DungeonSiege/art/meshes/weapons/bow/m_w_bow_031_AspMesh.m_w_bow_031_AspMesh'</v>
      </c>
    </row>
    <row r="79" spans="1:31" ht="15.75" thickBot="1" x14ac:dyDescent="0.3">
      <c r="A79" s="95">
        <v>77</v>
      </c>
      <c r="B79" s="95">
        <f>A79+Items!B$19</f>
        <v>85983309</v>
      </c>
      <c r="C79" s="96" t="s">
        <v>6301</v>
      </c>
      <c r="D79" s="96" t="s">
        <v>6295</v>
      </c>
      <c r="E79" s="96" t="s">
        <v>3524</v>
      </c>
      <c r="F79" s="96" t="s">
        <v>6056</v>
      </c>
      <c r="G79" s="96" t="s">
        <v>3530</v>
      </c>
      <c r="H79" s="96"/>
      <c r="I79" s="96"/>
      <c r="J79" s="96"/>
      <c r="K79" s="96"/>
      <c r="L79" s="96" t="s">
        <v>6302</v>
      </c>
      <c r="M79" s="96" t="s">
        <v>6303</v>
      </c>
      <c r="N79" s="96" t="s">
        <v>6051</v>
      </c>
      <c r="O79" s="95" t="str">
        <f t="shared" si="7"/>
        <v>FALSE</v>
      </c>
      <c r="P79" s="95"/>
      <c r="Q79" s="96">
        <v>1</v>
      </c>
      <c r="R79" s="96">
        <v>4</v>
      </c>
      <c r="S79" s="96">
        <v>165</v>
      </c>
      <c r="T79" s="96">
        <v>201</v>
      </c>
      <c r="U79" s="96">
        <v>0.3</v>
      </c>
      <c r="V79" s="96">
        <v>13</v>
      </c>
      <c r="W79" s="96">
        <v>21</v>
      </c>
      <c r="X79" s="96">
        <v>38</v>
      </c>
      <c r="Y79" s="96">
        <v>21</v>
      </c>
      <c r="Z79" s="96">
        <v>38</v>
      </c>
      <c r="AA79" s="96" t="str">
        <f t="shared" si="8"/>
        <v>DA_WPN_Bow_LethalRecurve_c_str</v>
      </c>
      <c r="AB79" s="90" t="str">
        <f t="shared" si="9"/>
        <v>/Game/DungeonSiege/Items/Weapons/bow/DA_WPN_Bow_LethalRecurve_c_str</v>
      </c>
      <c r="AC79" s="97" t="str">
        <f t="shared" si="10"/>
        <v>Texture2D'/Game/DungeonSiege/art/bitmaps/gui/in_game/inventory/weapons/bow/b_gui_ig_i_w_bow_121.b_gui_ig_i_w_bow_121'</v>
      </c>
      <c r="AD79" s="97" t="str">
        <f t="shared" si="6"/>
        <v>Texture2D'/Game/DungeonSiege/art/bitmaps/gui/in_game/inventory/icons/b_gui_ig_i_ic_bow_002.b_gui_ig_i_ic_bow_002'</v>
      </c>
      <c r="AE79" s="97" t="str">
        <f t="shared" si="11"/>
        <v>StaticMesh'/Game/DungeonSiege/art/meshes/weapons/bow/m_w_bow_037_AspMesh.m_w_bow_037_AspMesh'</v>
      </c>
    </row>
    <row r="80" spans="1:31" ht="15.75" thickBot="1" x14ac:dyDescent="0.3">
      <c r="A80" s="95">
        <v>78</v>
      </c>
      <c r="B80" s="95">
        <f>A80+Items!B$19</f>
        <v>85983310</v>
      </c>
      <c r="C80" s="96" t="s">
        <v>6304</v>
      </c>
      <c r="D80" s="96" t="s">
        <v>6295</v>
      </c>
      <c r="E80" s="96" t="s">
        <v>3524</v>
      </c>
      <c r="F80" s="96" t="s">
        <v>6048</v>
      </c>
      <c r="G80" s="96" t="s">
        <v>3528</v>
      </c>
      <c r="H80" s="96"/>
      <c r="I80" s="96"/>
      <c r="J80" s="96"/>
      <c r="K80" s="96"/>
      <c r="L80" s="96" t="s">
        <v>6305</v>
      </c>
      <c r="M80" s="96" t="s">
        <v>6306</v>
      </c>
      <c r="N80" s="96" t="s">
        <v>6066</v>
      </c>
      <c r="O80" s="95" t="str">
        <f t="shared" si="7"/>
        <v>FALSE</v>
      </c>
      <c r="P80" s="95"/>
      <c r="Q80" s="96">
        <v>1</v>
      </c>
      <c r="R80" s="96">
        <v>4</v>
      </c>
      <c r="S80" s="96">
        <v>122</v>
      </c>
      <c r="T80" s="96">
        <v>150</v>
      </c>
      <c r="U80" s="96">
        <v>0.3</v>
      </c>
      <c r="V80" s="96">
        <v>13</v>
      </c>
      <c r="W80" s="96">
        <v>8</v>
      </c>
      <c r="X80" s="96">
        <v>22</v>
      </c>
      <c r="Y80" s="96">
        <v>18</v>
      </c>
      <c r="Z80" s="96">
        <v>30</v>
      </c>
      <c r="AA80" s="96" t="str">
        <f t="shared" si="8"/>
        <v>DA_WPN_Bow_LethalRecurve_o_avg</v>
      </c>
      <c r="AB80" s="90" t="str">
        <f t="shared" si="9"/>
        <v>/Game/DungeonSiege/Items/Weapons/bow/DA_WPN_Bow_LethalRecurve_o_avg</v>
      </c>
      <c r="AC80" s="97" t="str">
        <f t="shared" si="10"/>
        <v>Texture2D'/Game/DungeonSiege/art/bitmaps/gui/in_game/inventory/weapons/bow/b_gui_ig_i_w_bow_123.b_gui_ig_i_w_bow_123'</v>
      </c>
      <c r="AD80" s="97" t="str">
        <f t="shared" si="6"/>
        <v>Texture2D'/Game/DungeonSiege/art/bitmaps/gui/in_game/inventory/icons/b_gui_ig_i_ic_bow_004.b_gui_ig_i_ic_bow_004'</v>
      </c>
      <c r="AE80" s="97" t="str">
        <f t="shared" si="11"/>
        <v>StaticMesh'/Game/DungeonSiege/art/meshes/weapons/bow/m_w_bow_028_AspMesh.m_w_bow_028_AspMesh'</v>
      </c>
    </row>
    <row r="81" spans="1:31" ht="15.75" thickBot="1" x14ac:dyDescent="0.3">
      <c r="A81" s="95">
        <v>79</v>
      </c>
      <c r="B81" s="95">
        <f>A81+Items!B$19</f>
        <v>85983311</v>
      </c>
      <c r="C81" s="96" t="s">
        <v>6307</v>
      </c>
      <c r="D81" s="96" t="s">
        <v>6295</v>
      </c>
      <c r="E81" s="96" t="s">
        <v>3524</v>
      </c>
      <c r="F81" s="96" t="s">
        <v>6087</v>
      </c>
      <c r="G81" s="96" t="s">
        <v>3532</v>
      </c>
      <c r="H81" s="96"/>
      <c r="I81" s="96"/>
      <c r="J81" s="96"/>
      <c r="K81" s="96"/>
      <c r="L81" s="96" t="s">
        <v>6308</v>
      </c>
      <c r="M81" s="96" t="s">
        <v>6309</v>
      </c>
      <c r="N81" s="96" t="s">
        <v>6066</v>
      </c>
      <c r="O81" s="95" t="str">
        <f t="shared" si="7"/>
        <v>FALSE</v>
      </c>
      <c r="P81" s="95"/>
      <c r="Q81" s="96">
        <v>1</v>
      </c>
      <c r="R81" s="96">
        <v>4</v>
      </c>
      <c r="S81" s="96">
        <v>142</v>
      </c>
      <c r="T81" s="96">
        <v>174</v>
      </c>
      <c r="U81" s="96">
        <v>0.3</v>
      </c>
      <c r="V81" s="96">
        <v>13</v>
      </c>
      <c r="W81" s="96">
        <v>13</v>
      </c>
      <c r="X81" s="96">
        <v>30</v>
      </c>
      <c r="Y81" s="96">
        <v>19</v>
      </c>
      <c r="Z81" s="96">
        <v>34</v>
      </c>
      <c r="AA81" s="96" t="str">
        <f t="shared" si="8"/>
        <v>DA_WPN_Bow_LethalRecurve_o_fin</v>
      </c>
      <c r="AB81" s="90" t="str">
        <f t="shared" si="9"/>
        <v>/Game/DungeonSiege/Items/Weapons/bow/DA_WPN_Bow_LethalRecurve_o_fin</v>
      </c>
      <c r="AC81" s="97" t="str">
        <f t="shared" si="10"/>
        <v>Texture2D'/Game/DungeonSiege/art/bitmaps/gui/in_game/inventory/weapons/bow/b_gui_ig_i_w_bow_124.b_gui_ig_i_w_bow_124'</v>
      </c>
      <c r="AD81" s="97" t="str">
        <f t="shared" si="6"/>
        <v>Texture2D'/Game/DungeonSiege/art/bitmaps/gui/in_game/inventory/icons/b_gui_ig_i_ic_bow_004.b_gui_ig_i_ic_bow_004'</v>
      </c>
      <c r="AE81" s="97" t="str">
        <f t="shared" si="11"/>
        <v>StaticMesh'/Game/DungeonSiege/art/meshes/weapons/bow/m_w_bow_008_AspMesh.m_w_bow_008_AspMesh'</v>
      </c>
    </row>
    <row r="82" spans="1:31" ht="23.25" thickBot="1" x14ac:dyDescent="0.3">
      <c r="A82" s="95">
        <v>80</v>
      </c>
      <c r="B82" s="95">
        <f>A82+Items!B$19</f>
        <v>85983312</v>
      </c>
      <c r="C82" s="96" t="s">
        <v>6310</v>
      </c>
      <c r="D82" s="96" t="s">
        <v>6295</v>
      </c>
      <c r="E82" s="96" t="s">
        <v>3524</v>
      </c>
      <c r="F82" s="96" t="s">
        <v>6091</v>
      </c>
      <c r="G82" s="96" t="s">
        <v>3533</v>
      </c>
      <c r="H82" s="96"/>
      <c r="I82" s="96"/>
      <c r="J82" s="96"/>
      <c r="K82" s="96"/>
      <c r="L82" s="96" t="s">
        <v>6311</v>
      </c>
      <c r="M82" s="96" t="s">
        <v>6093</v>
      </c>
      <c r="N82" s="96" t="s">
        <v>6066</v>
      </c>
      <c r="O82" s="95" t="str">
        <f t="shared" si="7"/>
        <v>FALSE</v>
      </c>
      <c r="P82" s="95"/>
      <c r="Q82" s="96">
        <v>1</v>
      </c>
      <c r="R82" s="96">
        <v>4</v>
      </c>
      <c r="S82" s="96">
        <v>201</v>
      </c>
      <c r="T82" s="96">
        <v>245</v>
      </c>
      <c r="U82" s="96">
        <v>0.3</v>
      </c>
      <c r="V82" s="96">
        <v>13</v>
      </c>
      <c r="W82" s="96">
        <v>1</v>
      </c>
      <c r="X82" s="96">
        <v>446</v>
      </c>
      <c r="Y82" s="96">
        <v>29</v>
      </c>
      <c r="Z82" s="96">
        <v>57</v>
      </c>
      <c r="AA82" s="96" t="str">
        <f t="shared" si="8"/>
        <v>DA_WPN_Bow_LethalRecurve_o_mag</v>
      </c>
      <c r="AB82" s="90" t="str">
        <f t="shared" si="9"/>
        <v>/Game/DungeonSiege/Items/Weapons/bow/DA_WPN_Bow_LethalRecurve_o_mag</v>
      </c>
      <c r="AC82" s="97" t="str">
        <f t="shared" si="10"/>
        <v>Texture2D'/Game/DungeonSiege/art/bitmaps/gui/in_game/inventory/weapons/bow/b_gui_ig_i_w_bow_078.b_gui_ig_i_w_bow_078'</v>
      </c>
      <c r="AD82" s="97" t="str">
        <f t="shared" si="6"/>
        <v>Texture2D'/Game/DungeonSiege/art/bitmaps/gui/in_game/inventory/icons/b_gui_ig_i_ic_bow_004.b_gui_ig_i_ic_bow_004'</v>
      </c>
      <c r="AE82" s="97" t="str">
        <f t="shared" si="11"/>
        <v>StaticMesh'/Game/DungeonSiege/art/meshes/weapons/bow/m_w_bow_033_AspMesh.m_w_bow_033_AspMesh'</v>
      </c>
    </row>
    <row r="83" spans="1:31" ht="15.75" thickBot="1" x14ac:dyDescent="0.3">
      <c r="A83" s="95">
        <v>81</v>
      </c>
      <c r="B83" s="95">
        <f>A83+Items!B$19</f>
        <v>85983313</v>
      </c>
      <c r="C83" s="96" t="s">
        <v>6312</v>
      </c>
      <c r="D83" s="96" t="s">
        <v>6295</v>
      </c>
      <c r="E83" s="96" t="s">
        <v>3524</v>
      </c>
      <c r="F83" s="96" t="s">
        <v>6087</v>
      </c>
      <c r="G83" s="96" t="s">
        <v>3534</v>
      </c>
      <c r="H83" s="96"/>
      <c r="I83" s="96"/>
      <c r="J83" s="96"/>
      <c r="K83" s="96"/>
      <c r="L83" s="96" t="s">
        <v>6313</v>
      </c>
      <c r="M83" s="96" t="s">
        <v>6314</v>
      </c>
      <c r="N83" s="96" t="s">
        <v>6066</v>
      </c>
      <c r="O83" s="95" t="str">
        <f t="shared" si="7"/>
        <v>FALSE</v>
      </c>
      <c r="P83" s="95"/>
      <c r="Q83" s="96">
        <v>1</v>
      </c>
      <c r="R83" s="96">
        <v>4</v>
      </c>
      <c r="S83" s="96">
        <v>202</v>
      </c>
      <c r="T83" s="96">
        <v>246</v>
      </c>
      <c r="U83" s="96">
        <v>0.3</v>
      </c>
      <c r="V83" s="96">
        <v>13</v>
      </c>
      <c r="W83" s="96">
        <v>33</v>
      </c>
      <c r="X83" s="96">
        <v>48</v>
      </c>
      <c r="Y83" s="96">
        <v>24</v>
      </c>
      <c r="Z83" s="96">
        <v>45</v>
      </c>
      <c r="AA83" s="96" t="str">
        <f t="shared" si="8"/>
        <v>DA_WPN_Bow_LethalRecurve_o_str</v>
      </c>
      <c r="AB83" s="90" t="str">
        <f t="shared" si="9"/>
        <v>/Game/DungeonSiege/Items/Weapons/bow/DA_WPN_Bow_LethalRecurve_o_str</v>
      </c>
      <c r="AC83" s="97" t="str">
        <f t="shared" si="10"/>
        <v>Texture2D'/Game/DungeonSiege/art/bitmaps/gui/in_game/inventory/weapons/bow/b_gui_ig_i_w_bow_125.b_gui_ig_i_w_bow_125'</v>
      </c>
      <c r="AD83" s="97" t="str">
        <f t="shared" si="6"/>
        <v>Texture2D'/Game/DungeonSiege/art/bitmaps/gui/in_game/inventory/icons/b_gui_ig_i_ic_bow_004.b_gui_ig_i_ic_bow_004'</v>
      </c>
      <c r="AE83" s="97" t="str">
        <f t="shared" si="11"/>
        <v>StaticMesh'/Game/DungeonSiege/art/meshes/weapons/bow/m_w_bow_008_AspMesh.m_w_bow_008_AspMesh'</v>
      </c>
    </row>
    <row r="84" spans="1:31" ht="15.75" thickBot="1" x14ac:dyDescent="0.3">
      <c r="A84" s="95">
        <v>82</v>
      </c>
      <c r="B84" s="95">
        <f>A84+Items!B$19</f>
        <v>85983314</v>
      </c>
      <c r="C84" s="96" t="s">
        <v>6315</v>
      </c>
      <c r="D84" s="96" t="s">
        <v>6315</v>
      </c>
      <c r="E84" s="96" t="s">
        <v>3524</v>
      </c>
      <c r="F84" s="96" t="s">
        <v>6048</v>
      </c>
      <c r="G84" s="96"/>
      <c r="H84" s="96"/>
      <c r="I84" s="96"/>
      <c r="J84" s="96"/>
      <c r="K84" s="96"/>
      <c r="L84" s="96" t="s">
        <v>6316</v>
      </c>
      <c r="M84" s="96" t="s">
        <v>6317</v>
      </c>
      <c r="N84" s="96" t="s">
        <v>6101</v>
      </c>
      <c r="O84" s="95" t="str">
        <f t="shared" si="7"/>
        <v>FALSE</v>
      </c>
      <c r="P84" s="95"/>
      <c r="Q84" s="96">
        <v>1</v>
      </c>
      <c r="R84" s="96">
        <v>4</v>
      </c>
      <c r="S84" s="96">
        <v>58</v>
      </c>
      <c r="T84" s="96">
        <v>76</v>
      </c>
      <c r="U84" s="96">
        <v>0.15</v>
      </c>
      <c r="V84" s="96">
        <v>12</v>
      </c>
      <c r="W84" s="96">
        <v>1</v>
      </c>
      <c r="X84" s="96">
        <v>134</v>
      </c>
      <c r="Y84" s="96">
        <v>15</v>
      </c>
      <c r="Z84" s="96">
        <v>23</v>
      </c>
      <c r="AA84" s="96" t="str">
        <f t="shared" si="8"/>
        <v>DA_WPN_Bow_SavageBow</v>
      </c>
      <c r="AB84" s="90" t="str">
        <f t="shared" si="9"/>
        <v>/Game/DungeonSiege/Items/Weapons/bow/DA_WPN_Bow_SavageBow</v>
      </c>
      <c r="AC84" s="97" t="str">
        <f t="shared" si="10"/>
        <v>Texture2D'/Game/DungeonSiege/art/bitmaps/gui/in_game/inventory/weapons/bow/b_gui_ig_i_w_bow_128.b_gui_ig_i_w_bow_128'</v>
      </c>
      <c r="AD84" s="97" t="str">
        <f t="shared" si="6"/>
        <v>Texture2D'/Game/DungeonSiege/art/bitmaps/gui/in_game/inventory/icons/b_gui_ig_i_ic_bow_001.b_gui_ig_i_ic_bow_001'</v>
      </c>
      <c r="AE84" s="97" t="str">
        <f t="shared" si="11"/>
        <v>StaticMesh'/Game/DungeonSiege/art/meshes/weapons/bow/m_w_bow_028_AspMesh.m_w_bow_028_AspMesh'</v>
      </c>
    </row>
    <row r="85" spans="1:31" ht="15.75" thickBot="1" x14ac:dyDescent="0.3">
      <c r="A85" s="95">
        <v>83</v>
      </c>
      <c r="B85" s="95">
        <f>A85+Items!B$19</f>
        <v>85983315</v>
      </c>
      <c r="C85" s="96" t="s">
        <v>6318</v>
      </c>
      <c r="D85" s="96" t="s">
        <v>6315</v>
      </c>
      <c r="E85" s="96" t="s">
        <v>3524</v>
      </c>
      <c r="F85" s="96" t="s">
        <v>6106</v>
      </c>
      <c r="G85" s="96" t="s">
        <v>3529</v>
      </c>
      <c r="H85" s="96"/>
      <c r="I85" s="96"/>
      <c r="J85" s="96"/>
      <c r="K85" s="96"/>
      <c r="L85" s="96" t="s">
        <v>6319</v>
      </c>
      <c r="M85" s="96" t="s">
        <v>6320</v>
      </c>
      <c r="N85" s="96" t="s">
        <v>6101</v>
      </c>
      <c r="O85" s="95" t="str">
        <f t="shared" si="7"/>
        <v>FALSE</v>
      </c>
      <c r="P85" s="95"/>
      <c r="Q85" s="96">
        <v>1</v>
      </c>
      <c r="R85" s="96">
        <v>4</v>
      </c>
      <c r="S85" s="96">
        <v>169</v>
      </c>
      <c r="T85" s="96">
        <v>219</v>
      </c>
      <c r="U85" s="96">
        <v>0.15</v>
      </c>
      <c r="V85" s="96">
        <v>12</v>
      </c>
      <c r="W85" s="96">
        <v>1</v>
      </c>
      <c r="X85" s="96">
        <v>387</v>
      </c>
      <c r="Y85" s="96">
        <v>26</v>
      </c>
      <c r="Z85" s="96">
        <v>51</v>
      </c>
      <c r="AA85" s="96" t="str">
        <f t="shared" si="8"/>
        <v>DA_WPN_Bow_SavageBow_c_mag</v>
      </c>
      <c r="AB85" s="90" t="str">
        <f t="shared" si="9"/>
        <v>/Game/DungeonSiege/Items/Weapons/bow/DA_WPN_Bow_SavageBow_c_mag</v>
      </c>
      <c r="AC85" s="97" t="str">
        <f t="shared" si="10"/>
        <v>Texture2D'/Game/DungeonSiege/art/bitmaps/gui/in_game/inventory/weapons/bow/b_gui_ig_i_w_bow_131.b_gui_ig_i_w_bow_131'</v>
      </c>
      <c r="AD85" s="97" t="str">
        <f t="shared" si="6"/>
        <v>Texture2D'/Game/DungeonSiege/art/bitmaps/gui/in_game/inventory/icons/b_gui_ig_i_ic_bow_001.b_gui_ig_i_ic_bow_001'</v>
      </c>
      <c r="AE85" s="97" t="str">
        <f t="shared" si="11"/>
        <v>StaticMesh'/Game/DungeonSiege/art/meshes/weapons/bow/m_w_bow_032_AspMesh.m_w_bow_032_AspMesh'</v>
      </c>
    </row>
    <row r="86" spans="1:31" ht="15.75" thickBot="1" x14ac:dyDescent="0.3">
      <c r="A86" s="95">
        <v>84</v>
      </c>
      <c r="B86" s="95">
        <f>A86+Items!B$19</f>
        <v>85983316</v>
      </c>
      <c r="C86" s="96" t="s">
        <v>6321</v>
      </c>
      <c r="D86" s="96" t="s">
        <v>6315</v>
      </c>
      <c r="E86" s="96" t="s">
        <v>3524</v>
      </c>
      <c r="F86" s="96" t="s">
        <v>6068</v>
      </c>
      <c r="G86" s="96" t="s">
        <v>3530</v>
      </c>
      <c r="H86" s="96"/>
      <c r="I86" s="96"/>
      <c r="J86" s="96"/>
      <c r="K86" s="96"/>
      <c r="L86" s="96" t="s">
        <v>6322</v>
      </c>
      <c r="M86" s="96" t="s">
        <v>6323</v>
      </c>
      <c r="N86" s="96" t="s">
        <v>6101</v>
      </c>
      <c r="O86" s="95" t="str">
        <f t="shared" si="7"/>
        <v>FALSE</v>
      </c>
      <c r="P86" s="95"/>
      <c r="Q86" s="96">
        <v>1</v>
      </c>
      <c r="R86" s="96">
        <v>4</v>
      </c>
      <c r="S86" s="96">
        <v>122</v>
      </c>
      <c r="T86" s="96">
        <v>158</v>
      </c>
      <c r="U86" s="96">
        <v>0.15</v>
      </c>
      <c r="V86" s="96">
        <v>12</v>
      </c>
      <c r="W86" s="96">
        <v>1</v>
      </c>
      <c r="X86" s="96">
        <v>280</v>
      </c>
      <c r="Y86" s="96">
        <v>22</v>
      </c>
      <c r="Z86" s="96">
        <v>39</v>
      </c>
      <c r="AA86" s="96" t="str">
        <f t="shared" si="8"/>
        <v>DA_WPN_Bow_SavageBow_c_str</v>
      </c>
      <c r="AB86" s="90" t="str">
        <f t="shared" si="9"/>
        <v>/Game/DungeonSiege/Items/Weapons/bow/DA_WPN_Bow_SavageBow_c_str</v>
      </c>
      <c r="AC86" s="97" t="str">
        <f t="shared" si="10"/>
        <v>Texture2D'/Game/DungeonSiege/art/bitmaps/gui/in_game/inventory/weapons/bow/b_gui_ig_i_w_bow_130.b_gui_ig_i_w_bow_130'</v>
      </c>
      <c r="AD86" s="97" t="str">
        <f t="shared" si="6"/>
        <v>Texture2D'/Game/DungeonSiege/art/bitmaps/gui/in_game/inventory/icons/b_gui_ig_i_ic_bow_001.b_gui_ig_i_ic_bow_001'</v>
      </c>
      <c r="AE86" s="97" t="str">
        <f t="shared" si="11"/>
        <v>StaticMesh'/Game/DungeonSiege/art/meshes/weapons/bow/m_w_bow_031_AspMesh.m_w_bow_031_AspMesh'</v>
      </c>
    </row>
    <row r="87" spans="1:31" ht="15.75" thickBot="1" x14ac:dyDescent="0.3">
      <c r="A87" s="95">
        <v>85</v>
      </c>
      <c r="B87" s="95">
        <f>A87+Items!B$19</f>
        <v>85983317</v>
      </c>
      <c r="C87" s="96" t="s">
        <v>6324</v>
      </c>
      <c r="D87" s="96" t="s">
        <v>6315</v>
      </c>
      <c r="E87" s="96" t="s">
        <v>3524</v>
      </c>
      <c r="F87" s="96" t="s">
        <v>6113</v>
      </c>
      <c r="G87" s="96" t="s">
        <v>3528</v>
      </c>
      <c r="H87" s="96"/>
      <c r="I87" s="96"/>
      <c r="J87" s="96"/>
      <c r="K87" s="96"/>
      <c r="L87" s="96" t="s">
        <v>6325</v>
      </c>
      <c r="M87" s="96" t="s">
        <v>6326</v>
      </c>
      <c r="N87" s="96" t="s">
        <v>6116</v>
      </c>
      <c r="O87" s="95" t="str">
        <f t="shared" si="7"/>
        <v>FALSE</v>
      </c>
      <c r="P87" s="95"/>
      <c r="Q87" s="96">
        <v>1</v>
      </c>
      <c r="R87" s="96">
        <v>4</v>
      </c>
      <c r="S87" s="96">
        <v>72</v>
      </c>
      <c r="T87" s="96">
        <v>94</v>
      </c>
      <c r="U87" s="96">
        <v>0.15</v>
      </c>
      <c r="V87" s="96">
        <v>12</v>
      </c>
      <c r="W87" s="96">
        <v>1</v>
      </c>
      <c r="X87" s="96">
        <v>166</v>
      </c>
      <c r="Y87" s="96">
        <v>17</v>
      </c>
      <c r="Z87" s="96">
        <v>27</v>
      </c>
      <c r="AA87" s="96" t="str">
        <f t="shared" si="8"/>
        <v>DA_WPN_Bow_SavageBow_o_avg</v>
      </c>
      <c r="AB87" s="90" t="str">
        <f t="shared" si="9"/>
        <v>/Game/DungeonSiege/Items/Weapons/bow/DA_WPN_Bow_SavageBow_o_avg</v>
      </c>
      <c r="AC87" s="97" t="str">
        <f t="shared" si="10"/>
        <v>Texture2D'/Game/DungeonSiege/art/bitmaps/gui/in_game/inventory/weapons/bow/b_gui_ig_i_w_bow_129.b_gui_ig_i_w_bow_129'</v>
      </c>
      <c r="AD87" s="97" t="str">
        <f t="shared" si="6"/>
        <v>Texture2D'/Game/DungeonSiege/art/bitmaps/gui/in_game/inventory/icons/b_gui_ig_i_ic_bow_003.b_gui_ig_i_ic_bow_003'</v>
      </c>
      <c r="AE87" s="97" t="str">
        <f t="shared" si="11"/>
        <v>StaticMesh'/Game/DungeonSiege/art/meshes/weapons/bow/m_w_bow_024_AspMesh.m_w_bow_024_AspMesh'</v>
      </c>
    </row>
    <row r="88" spans="1:31" ht="15.75" thickBot="1" x14ac:dyDescent="0.3">
      <c r="A88" s="95">
        <v>86</v>
      </c>
      <c r="B88" s="95">
        <f>A88+Items!B$19</f>
        <v>85983318</v>
      </c>
      <c r="C88" s="96" t="s">
        <v>6327</v>
      </c>
      <c r="D88" s="96" t="s">
        <v>6327</v>
      </c>
      <c r="E88" s="96" t="s">
        <v>3524</v>
      </c>
      <c r="F88" s="96" t="s">
        <v>6098</v>
      </c>
      <c r="G88" s="96"/>
      <c r="H88" s="96"/>
      <c r="I88" s="96"/>
      <c r="J88" s="96"/>
      <c r="K88" s="96"/>
      <c r="L88" s="96" t="s">
        <v>6328</v>
      </c>
      <c r="M88" s="96" t="s">
        <v>6329</v>
      </c>
      <c r="N88" s="96" t="s">
        <v>6101</v>
      </c>
      <c r="O88" s="95" t="str">
        <f t="shared" si="7"/>
        <v>FALSE</v>
      </c>
      <c r="P88" s="95"/>
      <c r="Q88" s="96">
        <v>1</v>
      </c>
      <c r="R88" s="96">
        <v>4</v>
      </c>
      <c r="S88" s="96">
        <v>55</v>
      </c>
      <c r="T88" s="96">
        <v>75</v>
      </c>
      <c r="U88" s="96">
        <v>0.15</v>
      </c>
      <c r="V88" s="96">
        <v>12</v>
      </c>
      <c r="W88" s="96">
        <v>0</v>
      </c>
      <c r="X88" s="96">
        <v>14</v>
      </c>
      <c r="Y88" s="96">
        <v>14</v>
      </c>
      <c r="Z88" s="96">
        <v>19</v>
      </c>
      <c r="AA88" s="96" t="str">
        <f t="shared" si="8"/>
        <v>DA_WPN_Bow_BasherBow</v>
      </c>
      <c r="AB88" s="90" t="str">
        <f t="shared" si="9"/>
        <v>/Game/DungeonSiege/Items/Weapons/bow/DA_WPN_Bow_BasherBow</v>
      </c>
      <c r="AC88" s="97" t="str">
        <f t="shared" si="10"/>
        <v>Texture2D'/Game/DungeonSiege/art/bitmaps/gui/in_game/inventory/weapons/bow/b_gui_ig_i_w_bow_114.b_gui_ig_i_w_bow_114'</v>
      </c>
      <c r="AD88" s="97" t="str">
        <f t="shared" si="6"/>
        <v>Texture2D'/Game/DungeonSiege/art/bitmaps/gui/in_game/inventory/icons/b_gui_ig_i_ic_bow_001.b_gui_ig_i_ic_bow_001'</v>
      </c>
      <c r="AE88" s="97" t="str">
        <f t="shared" si="11"/>
        <v>StaticMesh'/Game/DungeonSiege/art/meshes/weapons/bow/m_w_bow_021_AspMesh.m_w_bow_021_AspMesh'</v>
      </c>
    </row>
    <row r="89" spans="1:31" ht="15.75" thickBot="1" x14ac:dyDescent="0.3">
      <c r="A89" s="95">
        <v>87</v>
      </c>
      <c r="B89" s="95">
        <f>A89+Items!B$19</f>
        <v>85983319</v>
      </c>
      <c r="C89" s="96" t="s">
        <v>6330</v>
      </c>
      <c r="D89" s="96" t="s">
        <v>6327</v>
      </c>
      <c r="E89" s="96" t="s">
        <v>3524</v>
      </c>
      <c r="F89" s="96" t="s">
        <v>6048</v>
      </c>
      <c r="G89" s="96" t="s">
        <v>3531</v>
      </c>
      <c r="H89" s="96"/>
      <c r="I89" s="96"/>
      <c r="J89" s="96"/>
      <c r="K89" s="96"/>
      <c r="L89" s="96" t="s">
        <v>6331</v>
      </c>
      <c r="M89" s="96" t="s">
        <v>6332</v>
      </c>
      <c r="N89" s="96" t="s">
        <v>6101</v>
      </c>
      <c r="O89" s="95" t="str">
        <f t="shared" si="7"/>
        <v>FALSE</v>
      </c>
      <c r="P89" s="95"/>
      <c r="Q89" s="96">
        <v>1</v>
      </c>
      <c r="R89" s="96">
        <v>4</v>
      </c>
      <c r="S89" s="96">
        <v>60</v>
      </c>
      <c r="T89" s="96">
        <v>82</v>
      </c>
      <c r="U89" s="96">
        <v>0.15</v>
      </c>
      <c r="V89" s="96">
        <v>12</v>
      </c>
      <c r="W89" s="96">
        <v>1</v>
      </c>
      <c r="X89" s="96">
        <v>9</v>
      </c>
      <c r="Y89" s="96">
        <v>14</v>
      </c>
      <c r="Z89" s="96">
        <v>21</v>
      </c>
      <c r="AA89" s="96" t="str">
        <f t="shared" si="8"/>
        <v>DA_WPN_Bow_BasherBow_c_fin</v>
      </c>
      <c r="AB89" s="90" t="str">
        <f t="shared" si="9"/>
        <v>/Game/DungeonSiege/Items/Weapons/bow/DA_WPN_Bow_BasherBow_c_fin</v>
      </c>
      <c r="AC89" s="97" t="str">
        <f t="shared" si="10"/>
        <v>Texture2D'/Game/DungeonSiege/art/bitmaps/gui/in_game/inventory/weapons/bow/b_gui_ig_i_w_bow_115.b_gui_ig_i_w_bow_115'</v>
      </c>
      <c r="AD89" s="97" t="str">
        <f t="shared" si="6"/>
        <v>Texture2D'/Game/DungeonSiege/art/bitmaps/gui/in_game/inventory/icons/b_gui_ig_i_ic_bow_001.b_gui_ig_i_ic_bow_001'</v>
      </c>
      <c r="AE89" s="97" t="str">
        <f t="shared" si="11"/>
        <v>StaticMesh'/Game/DungeonSiege/art/meshes/weapons/bow/m_w_bow_028_AspMesh.m_w_bow_028_AspMesh'</v>
      </c>
    </row>
    <row r="90" spans="1:31" ht="15.75" thickBot="1" x14ac:dyDescent="0.3">
      <c r="A90" s="95">
        <v>88</v>
      </c>
      <c r="B90" s="95">
        <f>A90+Items!B$19</f>
        <v>85983320</v>
      </c>
      <c r="C90" s="96" t="s">
        <v>6333</v>
      </c>
      <c r="D90" s="96" t="s">
        <v>6327</v>
      </c>
      <c r="E90" s="96" t="s">
        <v>3524</v>
      </c>
      <c r="F90" s="96" t="s">
        <v>6121</v>
      </c>
      <c r="G90" s="96" t="s">
        <v>3529</v>
      </c>
      <c r="H90" s="96"/>
      <c r="I90" s="96"/>
      <c r="J90" s="96"/>
      <c r="K90" s="96"/>
      <c r="L90" s="96" t="s">
        <v>6334</v>
      </c>
      <c r="M90" s="96" t="s">
        <v>6335</v>
      </c>
      <c r="N90" s="96" t="s">
        <v>6101</v>
      </c>
      <c r="O90" s="95" t="str">
        <f t="shared" si="7"/>
        <v>FALSE</v>
      </c>
      <c r="P90" s="95"/>
      <c r="Q90" s="96">
        <v>1</v>
      </c>
      <c r="R90" s="96">
        <v>4</v>
      </c>
      <c r="S90" s="96">
        <v>144</v>
      </c>
      <c r="T90" s="96">
        <v>194</v>
      </c>
      <c r="U90" s="96">
        <v>0.15</v>
      </c>
      <c r="V90" s="96">
        <v>12</v>
      </c>
      <c r="W90" s="96">
        <v>29</v>
      </c>
      <c r="X90" s="96">
        <v>40</v>
      </c>
      <c r="Y90" s="96">
        <v>21</v>
      </c>
      <c r="Z90" s="96">
        <v>39</v>
      </c>
      <c r="AA90" s="96" t="str">
        <f t="shared" si="8"/>
        <v>DA_WPN_Bow_BasherBow_c_mag</v>
      </c>
      <c r="AB90" s="90" t="str">
        <f t="shared" si="9"/>
        <v>/Game/DungeonSiege/Items/Weapons/bow/DA_WPN_Bow_BasherBow_c_mag</v>
      </c>
      <c r="AC90" s="97" t="str">
        <f t="shared" si="10"/>
        <v>Texture2D'/Game/DungeonSiege/art/bitmaps/gui/in_game/inventory/weapons/bow/b_gui_ig_i_w_bow_119.b_gui_ig_i_w_bow_119'</v>
      </c>
      <c r="AD90" s="97" t="str">
        <f t="shared" si="6"/>
        <v>Texture2D'/Game/DungeonSiege/art/bitmaps/gui/in_game/inventory/icons/b_gui_ig_i_ic_bow_001.b_gui_ig_i_ic_bow_001'</v>
      </c>
      <c r="AE90" s="97" t="str">
        <f t="shared" si="11"/>
        <v>StaticMesh'/Game/DungeonSiege/art/meshes/weapons/bow/m_w_bow_034_AspMesh.m_w_bow_034_AspMesh'</v>
      </c>
    </row>
    <row r="91" spans="1:31" ht="15.75" thickBot="1" x14ac:dyDescent="0.3">
      <c r="A91" s="95">
        <v>89</v>
      </c>
      <c r="B91" s="95">
        <f>A91+Items!B$19</f>
        <v>85983321</v>
      </c>
      <c r="C91" s="96" t="s">
        <v>6336</v>
      </c>
      <c r="D91" s="96" t="s">
        <v>6327</v>
      </c>
      <c r="E91" s="96" t="s">
        <v>3524</v>
      </c>
      <c r="F91" s="96" t="s">
        <v>6068</v>
      </c>
      <c r="G91" s="96" t="s">
        <v>3530</v>
      </c>
      <c r="H91" s="96"/>
      <c r="I91" s="96"/>
      <c r="J91" s="96"/>
      <c r="K91" s="96"/>
      <c r="L91" s="96" t="s">
        <v>6337</v>
      </c>
      <c r="M91" s="96" t="s">
        <v>6144</v>
      </c>
      <c r="N91" s="96" t="s">
        <v>6101</v>
      </c>
      <c r="O91" s="95" t="str">
        <f t="shared" si="7"/>
        <v>FALSE</v>
      </c>
      <c r="P91" s="95"/>
      <c r="Q91" s="96">
        <v>1</v>
      </c>
      <c r="R91" s="96">
        <v>4</v>
      </c>
      <c r="S91" s="96">
        <v>95</v>
      </c>
      <c r="T91" s="96">
        <v>129</v>
      </c>
      <c r="U91" s="96">
        <v>0.15</v>
      </c>
      <c r="V91" s="96">
        <v>12</v>
      </c>
      <c r="W91" s="96">
        <v>38</v>
      </c>
      <c r="X91" s="96">
        <v>52</v>
      </c>
      <c r="Y91" s="96">
        <v>19</v>
      </c>
      <c r="Z91" s="96">
        <v>33</v>
      </c>
      <c r="AA91" s="96" t="str">
        <f t="shared" si="8"/>
        <v>DA_WPN_Bow_BasherBow_c_str</v>
      </c>
      <c r="AB91" s="90" t="str">
        <f t="shared" si="9"/>
        <v>/Game/DungeonSiege/Items/Weapons/bow/DA_WPN_Bow_BasherBow_c_str</v>
      </c>
      <c r="AC91" s="97" t="str">
        <f t="shared" si="10"/>
        <v>Texture2D'/Game/DungeonSiege/art/bitmaps/gui/in_game/inventory/weapons/bow/b_gui_ig_i_w_bow_033.b_gui_ig_i_w_bow_033'</v>
      </c>
      <c r="AD91" s="97" t="str">
        <f t="shared" si="6"/>
        <v>Texture2D'/Game/DungeonSiege/art/bitmaps/gui/in_game/inventory/icons/b_gui_ig_i_ic_bow_001.b_gui_ig_i_ic_bow_001'</v>
      </c>
      <c r="AE91" s="97" t="str">
        <f t="shared" si="11"/>
        <v>StaticMesh'/Game/DungeonSiege/art/meshes/weapons/bow/m_w_bow_031_AspMesh.m_w_bow_031_AspMesh'</v>
      </c>
    </row>
    <row r="92" spans="1:31" ht="15.75" thickBot="1" x14ac:dyDescent="0.3">
      <c r="A92" s="95">
        <v>90</v>
      </c>
      <c r="B92" s="95">
        <f>A92+Items!B$19</f>
        <v>85983322</v>
      </c>
      <c r="C92" s="96" t="s">
        <v>6338</v>
      </c>
      <c r="D92" s="96" t="s">
        <v>6327</v>
      </c>
      <c r="E92" s="96" t="s">
        <v>3524</v>
      </c>
      <c r="F92" s="96" t="s">
        <v>6223</v>
      </c>
      <c r="G92" s="96" t="s">
        <v>3528</v>
      </c>
      <c r="H92" s="96"/>
      <c r="I92" s="96"/>
      <c r="J92" s="96"/>
      <c r="K92" s="96"/>
      <c r="L92" s="96" t="s">
        <v>6339</v>
      </c>
      <c r="M92" s="96" t="s">
        <v>6340</v>
      </c>
      <c r="N92" s="96" t="s">
        <v>6116</v>
      </c>
      <c r="O92" s="95" t="str">
        <f t="shared" si="7"/>
        <v>FALSE</v>
      </c>
      <c r="P92" s="95"/>
      <c r="Q92" s="96">
        <v>1</v>
      </c>
      <c r="R92" s="96">
        <v>4</v>
      </c>
      <c r="S92" s="96">
        <v>71</v>
      </c>
      <c r="T92" s="96">
        <v>95</v>
      </c>
      <c r="U92" s="96">
        <v>0.15</v>
      </c>
      <c r="V92" s="96">
        <v>12</v>
      </c>
      <c r="W92" s="96">
        <v>5</v>
      </c>
      <c r="X92" s="96">
        <v>14</v>
      </c>
      <c r="Y92" s="96">
        <v>15</v>
      </c>
      <c r="Z92" s="96">
        <v>23</v>
      </c>
      <c r="AA92" s="96" t="str">
        <f t="shared" si="8"/>
        <v>DA_WPN_Bow_BasherBow_o_avg</v>
      </c>
      <c r="AB92" s="90" t="str">
        <f t="shared" si="9"/>
        <v>/Game/DungeonSiege/Items/Weapons/bow/DA_WPN_Bow_BasherBow_o_avg</v>
      </c>
      <c r="AC92" s="97" t="str">
        <f t="shared" si="10"/>
        <v>Texture2D'/Game/DungeonSiege/art/bitmaps/gui/in_game/inventory/weapons/bow/b_gui_ig_i_w_bow_116.b_gui_ig_i_w_bow_116'</v>
      </c>
      <c r="AD92" s="97" t="str">
        <f t="shared" si="6"/>
        <v>Texture2D'/Game/DungeonSiege/art/bitmaps/gui/in_game/inventory/icons/b_gui_ig_i_ic_bow_003.b_gui_ig_i_ic_bow_003'</v>
      </c>
      <c r="AE92" s="97" t="str">
        <f t="shared" si="11"/>
        <v>StaticMesh'/Game/DungeonSiege/art/meshes/weapons/bow/m_w_bow_014_AspMesh.m_w_bow_014_AspMesh'</v>
      </c>
    </row>
    <row r="93" spans="1:31" ht="15.75" thickBot="1" x14ac:dyDescent="0.3">
      <c r="A93" s="95">
        <v>91</v>
      </c>
      <c r="B93" s="95">
        <f>A93+Items!B$19</f>
        <v>85983323</v>
      </c>
      <c r="C93" s="96" t="s">
        <v>6341</v>
      </c>
      <c r="D93" s="96" t="s">
        <v>6327</v>
      </c>
      <c r="E93" s="96" t="s">
        <v>3524</v>
      </c>
      <c r="F93" s="96" t="s">
        <v>6091</v>
      </c>
      <c r="G93" s="96" t="s">
        <v>3533</v>
      </c>
      <c r="H93" s="96"/>
      <c r="I93" s="96"/>
      <c r="J93" s="96"/>
      <c r="K93" s="96"/>
      <c r="L93" s="96" t="s">
        <v>6342</v>
      </c>
      <c r="M93" s="96" t="s">
        <v>6343</v>
      </c>
      <c r="N93" s="96" t="s">
        <v>6116</v>
      </c>
      <c r="O93" s="95" t="str">
        <f t="shared" si="7"/>
        <v>FALSE</v>
      </c>
      <c r="P93" s="95"/>
      <c r="Q93" s="96">
        <v>1</v>
      </c>
      <c r="R93" s="96">
        <v>4</v>
      </c>
      <c r="S93" s="96">
        <v>170</v>
      </c>
      <c r="T93" s="96">
        <v>230</v>
      </c>
      <c r="U93" s="96">
        <v>0.15</v>
      </c>
      <c r="V93" s="96">
        <v>12</v>
      </c>
      <c r="W93" s="96">
        <v>36</v>
      </c>
      <c r="X93" s="96">
        <v>49</v>
      </c>
      <c r="Y93" s="96">
        <v>24</v>
      </c>
      <c r="Z93" s="96">
        <v>44</v>
      </c>
      <c r="AA93" s="96" t="str">
        <f t="shared" si="8"/>
        <v>DA_WPN_Bow_BasherBow_o_mag</v>
      </c>
      <c r="AB93" s="90" t="str">
        <f t="shared" si="9"/>
        <v>/Game/DungeonSiege/Items/Weapons/bow/DA_WPN_Bow_BasherBow_o_mag</v>
      </c>
      <c r="AC93" s="97" t="str">
        <f t="shared" si="10"/>
        <v>Texture2D'/Game/DungeonSiege/art/bitmaps/gui/in_game/inventory/weapons/bow/b_gui_ig_i_w_bow_118.b_gui_ig_i_w_bow_118'</v>
      </c>
      <c r="AD93" s="97" t="str">
        <f t="shared" si="6"/>
        <v>Texture2D'/Game/DungeonSiege/art/bitmaps/gui/in_game/inventory/icons/b_gui_ig_i_ic_bow_003.b_gui_ig_i_ic_bow_003'</v>
      </c>
      <c r="AE93" s="97" t="str">
        <f t="shared" si="11"/>
        <v>StaticMesh'/Game/DungeonSiege/art/meshes/weapons/bow/m_w_bow_033_AspMesh.m_w_bow_033_AspMesh'</v>
      </c>
    </row>
    <row r="94" spans="1:31" ht="15.75" thickBot="1" x14ac:dyDescent="0.3">
      <c r="A94" s="95">
        <v>92</v>
      </c>
      <c r="B94" s="95">
        <f>A94+Items!B$19</f>
        <v>85983324</v>
      </c>
      <c r="C94" s="96" t="s">
        <v>6344</v>
      </c>
      <c r="D94" s="96" t="s">
        <v>6327</v>
      </c>
      <c r="E94" s="96" t="s">
        <v>3524</v>
      </c>
      <c r="F94" s="96" t="s">
        <v>6152</v>
      </c>
      <c r="G94" s="96" t="s">
        <v>3534</v>
      </c>
      <c r="H94" s="96"/>
      <c r="I94" s="96"/>
      <c r="J94" s="96"/>
      <c r="K94" s="96"/>
      <c r="L94" s="96" t="s">
        <v>6345</v>
      </c>
      <c r="M94" s="96" t="s">
        <v>6346</v>
      </c>
      <c r="N94" s="96" t="s">
        <v>6101</v>
      </c>
      <c r="O94" s="95" t="str">
        <f t="shared" si="7"/>
        <v>FALSE</v>
      </c>
      <c r="P94" s="95"/>
      <c r="Q94" s="96">
        <v>1</v>
      </c>
      <c r="R94" s="96">
        <v>4</v>
      </c>
      <c r="S94" s="96">
        <v>122</v>
      </c>
      <c r="T94" s="96">
        <v>166</v>
      </c>
      <c r="U94" s="96">
        <v>0.15</v>
      </c>
      <c r="V94" s="96">
        <v>12</v>
      </c>
      <c r="W94" s="96">
        <v>22</v>
      </c>
      <c r="X94" s="96">
        <v>34</v>
      </c>
      <c r="Y94" s="96">
        <v>20</v>
      </c>
      <c r="Z94" s="96">
        <v>34</v>
      </c>
      <c r="AA94" s="96" t="str">
        <f t="shared" si="8"/>
        <v>DA_WPN_Bow_BasherBow_o_str</v>
      </c>
      <c r="AB94" s="90" t="str">
        <f t="shared" si="9"/>
        <v>/Game/DungeonSiege/Items/Weapons/bow/DA_WPN_Bow_BasherBow_o_str</v>
      </c>
      <c r="AC94" s="97" t="str">
        <f t="shared" si="10"/>
        <v>Texture2D'/Game/DungeonSiege/art/bitmaps/gui/in_game/inventory/weapons/bow/b_gui_ig_i_w_bow_117.b_gui_ig_i_w_bow_117'</v>
      </c>
      <c r="AD94" s="97" t="str">
        <f t="shared" si="6"/>
        <v>Texture2D'/Game/DungeonSiege/art/bitmaps/gui/in_game/inventory/icons/b_gui_ig_i_ic_bow_001.b_gui_ig_i_ic_bow_001'</v>
      </c>
      <c r="AE94" s="97" t="str">
        <f t="shared" si="11"/>
        <v>StaticMesh'/Game/DungeonSiege/art/meshes/weapons/bow/m_w_bow_025_AspMesh.m_w_bow_025_AspMesh'</v>
      </c>
    </row>
    <row r="95" spans="1:31" ht="15.75" thickBot="1" x14ac:dyDescent="0.3">
      <c r="A95" s="95">
        <v>93</v>
      </c>
      <c r="B95" s="95">
        <f>A95+Items!B$19</f>
        <v>85983325</v>
      </c>
      <c r="C95" s="96" t="s">
        <v>6347</v>
      </c>
      <c r="D95" s="96" t="s">
        <v>6347</v>
      </c>
      <c r="E95" s="96" t="s">
        <v>3524</v>
      </c>
      <c r="F95" s="96" t="s">
        <v>6245</v>
      </c>
      <c r="G95" s="96"/>
      <c r="H95" s="96"/>
      <c r="I95" s="96"/>
      <c r="J95" s="96"/>
      <c r="K95" s="96"/>
      <c r="L95" s="96" t="s">
        <v>6348</v>
      </c>
      <c r="M95" s="96" t="s">
        <v>6349</v>
      </c>
      <c r="N95" s="96" t="s">
        <v>6101</v>
      </c>
      <c r="O95" s="95" t="str">
        <f t="shared" si="7"/>
        <v>FALSE</v>
      </c>
      <c r="P95" s="95"/>
      <c r="Q95" s="96">
        <v>1</v>
      </c>
      <c r="R95" s="96">
        <v>3</v>
      </c>
      <c r="S95" s="96">
        <v>35</v>
      </c>
      <c r="T95" s="96">
        <v>47</v>
      </c>
      <c r="U95" s="96">
        <v>0</v>
      </c>
      <c r="V95" s="96">
        <v>10</v>
      </c>
      <c r="W95" s="96">
        <v>0</v>
      </c>
      <c r="X95" s="96">
        <v>1</v>
      </c>
      <c r="Y95" s="96">
        <v>13</v>
      </c>
      <c r="Z95" s="96">
        <v>18</v>
      </c>
      <c r="AA95" s="96" t="str">
        <f t="shared" si="8"/>
        <v>DA_WPN_Bow_ShortBleederBow</v>
      </c>
      <c r="AB95" s="90" t="str">
        <f t="shared" si="9"/>
        <v>/Game/DungeonSiege/Items/Weapons/bow/DA_WPN_Bow_ShortBleederBow</v>
      </c>
      <c r="AC95" s="97" t="str">
        <f t="shared" si="10"/>
        <v>Texture2D'/Game/DungeonSiege/art/bitmaps/gui/in_game/inventory/weapons/bow/b_gui_ig_i_w_bow_079.b_gui_ig_i_w_bow_079'</v>
      </c>
      <c r="AD95" s="97" t="str">
        <f t="shared" si="6"/>
        <v>Texture2D'/Game/DungeonSiege/art/bitmaps/gui/in_game/inventory/icons/b_gui_ig_i_ic_bow_001.b_gui_ig_i_ic_bow_001'</v>
      </c>
      <c r="AE95" s="97" t="str">
        <f t="shared" si="11"/>
        <v>StaticMesh'/Game/DungeonSiege/art/meshes/weapons/bow/m_w_bow_030_AspMesh.m_w_bow_030_AspMesh'</v>
      </c>
    </row>
    <row r="96" spans="1:31" ht="23.25" thickBot="1" x14ac:dyDescent="0.3">
      <c r="A96" s="95">
        <v>94</v>
      </c>
      <c r="B96" s="95">
        <f>A96+Items!B$19</f>
        <v>85983326</v>
      </c>
      <c r="C96" s="96" t="s">
        <v>6350</v>
      </c>
      <c r="D96" s="96" t="s">
        <v>6347</v>
      </c>
      <c r="E96" s="96" t="s">
        <v>3524</v>
      </c>
      <c r="F96" s="96" t="s">
        <v>6106</v>
      </c>
      <c r="G96" s="96" t="s">
        <v>3533</v>
      </c>
      <c r="H96" s="96"/>
      <c r="I96" s="96"/>
      <c r="J96" s="96"/>
      <c r="K96" s="96"/>
      <c r="L96" s="96" t="s">
        <v>6351</v>
      </c>
      <c r="M96" s="96" t="s">
        <v>6352</v>
      </c>
      <c r="N96" s="96" t="s">
        <v>6116</v>
      </c>
      <c r="O96" s="95" t="str">
        <f t="shared" si="7"/>
        <v>FALSE</v>
      </c>
      <c r="P96" s="95"/>
      <c r="Q96" s="96">
        <v>1</v>
      </c>
      <c r="R96" s="96">
        <v>3</v>
      </c>
      <c r="S96" s="96">
        <v>72</v>
      </c>
      <c r="T96" s="96">
        <v>89</v>
      </c>
      <c r="U96" s="96">
        <v>0</v>
      </c>
      <c r="V96" s="96">
        <v>10</v>
      </c>
      <c r="W96" s="96">
        <v>12</v>
      </c>
      <c r="X96" s="96">
        <v>16</v>
      </c>
      <c r="Y96" s="96">
        <v>14</v>
      </c>
      <c r="Z96" s="96">
        <v>21</v>
      </c>
      <c r="AA96" s="96" t="str">
        <f t="shared" si="8"/>
        <v>DA_WPN_Bow_ShortBleederBow_o_mag</v>
      </c>
      <c r="AB96" s="90" t="str">
        <f t="shared" si="9"/>
        <v>/Game/DungeonSiege/Items/Weapons/bow/DA_WPN_Bow_ShortBleederBow_o_mag</v>
      </c>
      <c r="AC96" s="97" t="str">
        <f t="shared" si="10"/>
        <v>Texture2D'/Game/DungeonSiege/art/bitmaps/gui/in_game/inventory/weapons/bow/b_gui_ig_i_w_bow_127.b_gui_ig_i_w_bow_127'</v>
      </c>
      <c r="AD96" s="97" t="str">
        <f t="shared" si="6"/>
        <v>Texture2D'/Game/DungeonSiege/art/bitmaps/gui/in_game/inventory/icons/b_gui_ig_i_ic_bow_003.b_gui_ig_i_ic_bow_003'</v>
      </c>
      <c r="AE96" s="97" t="str">
        <f t="shared" si="11"/>
        <v>StaticMesh'/Game/DungeonSiege/art/meshes/weapons/bow/m_w_bow_032_AspMesh.m_w_bow_032_AspMesh'</v>
      </c>
    </row>
    <row r="97" spans="1:31" ht="23.25" thickBot="1" x14ac:dyDescent="0.3">
      <c r="A97" s="95">
        <v>95</v>
      </c>
      <c r="B97" s="95">
        <f>A97+Items!B$19</f>
        <v>85983327</v>
      </c>
      <c r="C97" s="96" t="s">
        <v>6353</v>
      </c>
      <c r="D97" s="96" t="s">
        <v>6347</v>
      </c>
      <c r="E97" s="96" t="s">
        <v>3524</v>
      </c>
      <c r="F97" s="96" t="s">
        <v>6068</v>
      </c>
      <c r="G97" s="96" t="s">
        <v>3534</v>
      </c>
      <c r="H97" s="96"/>
      <c r="I97" s="96"/>
      <c r="J97" s="96"/>
      <c r="K97" s="96"/>
      <c r="L97" s="96" t="s">
        <v>6354</v>
      </c>
      <c r="M97" s="96" t="s">
        <v>6355</v>
      </c>
      <c r="N97" s="96" t="s">
        <v>6116</v>
      </c>
      <c r="O97" s="95" t="str">
        <f t="shared" si="7"/>
        <v>FALSE</v>
      </c>
      <c r="P97" s="95"/>
      <c r="Q97" s="96">
        <v>1</v>
      </c>
      <c r="R97" s="96">
        <v>3</v>
      </c>
      <c r="S97" s="96">
        <v>62</v>
      </c>
      <c r="T97" s="96">
        <v>70</v>
      </c>
      <c r="U97" s="96">
        <v>0</v>
      </c>
      <c r="V97" s="96">
        <v>10</v>
      </c>
      <c r="W97" s="96">
        <v>12</v>
      </c>
      <c r="X97" s="96">
        <v>16</v>
      </c>
      <c r="Y97" s="96">
        <v>14</v>
      </c>
      <c r="Z97" s="96">
        <v>21</v>
      </c>
      <c r="AA97" s="96" t="str">
        <f t="shared" si="8"/>
        <v>DA_WPN_Bow_ShortBleederBow_o_str</v>
      </c>
      <c r="AB97" s="90" t="str">
        <f t="shared" si="9"/>
        <v>/Game/DungeonSiege/Items/Weapons/bow/DA_WPN_Bow_ShortBleederBow_o_str</v>
      </c>
      <c r="AC97" s="97" t="str">
        <f t="shared" si="10"/>
        <v>Texture2D'/Game/DungeonSiege/art/bitmaps/gui/in_game/inventory/weapons/bow/b_gui_ig_i_w_bow_126.b_gui_ig_i_w_bow_126'</v>
      </c>
      <c r="AD97" s="97" t="str">
        <f t="shared" si="6"/>
        <v>Texture2D'/Game/DungeonSiege/art/bitmaps/gui/in_game/inventory/icons/b_gui_ig_i_ic_bow_003.b_gui_ig_i_ic_bow_003'</v>
      </c>
      <c r="AE97" s="97" t="str">
        <f t="shared" si="11"/>
        <v>StaticMesh'/Game/DungeonSiege/art/meshes/weapons/bow/m_w_bow_031_AspMesh.m_w_bow_031_AspMesh'</v>
      </c>
    </row>
    <row r="98" spans="1:31" ht="15.75" thickBot="1" x14ac:dyDescent="0.3">
      <c r="A98" s="95">
        <v>96</v>
      </c>
      <c r="B98" s="95">
        <f>A98+Items!B$19</f>
        <v>85983328</v>
      </c>
      <c r="C98" s="96" t="s">
        <v>6356</v>
      </c>
      <c r="D98" s="96" t="s">
        <v>6356</v>
      </c>
      <c r="E98" s="96" t="s">
        <v>3524</v>
      </c>
      <c r="F98" s="96" t="s">
        <v>6152</v>
      </c>
      <c r="G98" s="96"/>
      <c r="H98" s="96"/>
      <c r="I98" s="96"/>
      <c r="J98" s="96"/>
      <c r="K98" s="96"/>
      <c r="L98" s="96" t="s">
        <v>6357</v>
      </c>
      <c r="M98" s="96" t="s">
        <v>6358</v>
      </c>
      <c r="N98" s="96" t="s">
        <v>6101</v>
      </c>
      <c r="O98" s="95" t="str">
        <f t="shared" si="7"/>
        <v>FALSE</v>
      </c>
      <c r="P98" s="95"/>
      <c r="Q98" s="96">
        <v>1</v>
      </c>
      <c r="R98" s="96">
        <v>4</v>
      </c>
      <c r="S98" s="96">
        <v>74</v>
      </c>
      <c r="T98" s="96">
        <v>106</v>
      </c>
      <c r="U98" s="96">
        <v>0.3</v>
      </c>
      <c r="V98" s="96">
        <v>15</v>
      </c>
      <c r="W98" s="96">
        <v>0</v>
      </c>
      <c r="X98" s="96">
        <v>17</v>
      </c>
      <c r="Y98" s="96">
        <v>15</v>
      </c>
      <c r="Z98" s="96">
        <v>23</v>
      </c>
      <c r="AA98" s="96" t="str">
        <f t="shared" si="8"/>
        <v>DA_WPN_Bow_BeastBow</v>
      </c>
      <c r="AB98" s="90" t="str">
        <f t="shared" si="9"/>
        <v>/Game/DungeonSiege/Items/Weapons/bow/DA_WPN_Bow_BeastBow</v>
      </c>
      <c r="AC98" s="97" t="str">
        <f t="shared" si="10"/>
        <v>Texture2D'/Game/DungeonSiege/art/bitmaps/gui/in_game/inventory/weapons/bow/b_gui_ig_i_w_bow_104.b_gui_ig_i_w_bow_104'</v>
      </c>
      <c r="AD98" s="97" t="str">
        <f t="shared" si="6"/>
        <v>Texture2D'/Game/DungeonSiege/art/bitmaps/gui/in_game/inventory/icons/b_gui_ig_i_ic_bow_001.b_gui_ig_i_ic_bow_001'</v>
      </c>
      <c r="AE98" s="97" t="str">
        <f t="shared" si="11"/>
        <v>StaticMesh'/Game/DungeonSiege/art/meshes/weapons/bow/m_w_bow_025_AspMesh.m_w_bow_025_AspMesh'</v>
      </c>
    </row>
    <row r="99" spans="1:31" ht="15.75" thickBot="1" x14ac:dyDescent="0.3">
      <c r="A99" s="95">
        <v>97</v>
      </c>
      <c r="B99" s="95">
        <f>A99+Items!B$19</f>
        <v>85983329</v>
      </c>
      <c r="C99" s="96" t="s">
        <v>6359</v>
      </c>
      <c r="D99" s="96" t="s">
        <v>6356</v>
      </c>
      <c r="E99" s="96" t="s">
        <v>3524</v>
      </c>
      <c r="F99" s="96" t="s">
        <v>6087</v>
      </c>
      <c r="G99" s="96" t="s">
        <v>3528</v>
      </c>
      <c r="H99" s="96"/>
      <c r="I99" s="96"/>
      <c r="J99" s="96"/>
      <c r="K99" s="96"/>
      <c r="L99" s="96" t="s">
        <v>6360</v>
      </c>
      <c r="M99" s="96" t="s">
        <v>6361</v>
      </c>
      <c r="N99" s="96" t="s">
        <v>6066</v>
      </c>
      <c r="O99" s="95" t="str">
        <f t="shared" si="7"/>
        <v>FALSE</v>
      </c>
      <c r="P99" s="95"/>
      <c r="Q99" s="96">
        <v>1</v>
      </c>
      <c r="R99" s="96">
        <v>4</v>
      </c>
      <c r="S99" s="96">
        <v>87</v>
      </c>
      <c r="T99" s="96">
        <v>125</v>
      </c>
      <c r="U99" s="96">
        <v>0.3</v>
      </c>
      <c r="V99" s="96">
        <v>15</v>
      </c>
      <c r="W99" s="96">
        <v>6</v>
      </c>
      <c r="X99" s="96">
        <v>16</v>
      </c>
      <c r="Y99" s="96">
        <v>16</v>
      </c>
      <c r="Z99" s="96">
        <v>25</v>
      </c>
      <c r="AA99" s="96" t="str">
        <f t="shared" si="8"/>
        <v>DA_WPN_Bow_BeastBow_o_avg</v>
      </c>
      <c r="AB99" s="90" t="str">
        <f t="shared" si="9"/>
        <v>/Game/DungeonSiege/Items/Weapons/bow/DA_WPN_Bow_BeastBow_o_avg</v>
      </c>
      <c r="AC99" s="97" t="str">
        <f t="shared" si="10"/>
        <v>Texture2D'/Game/DungeonSiege/art/bitmaps/gui/in_game/inventory/weapons/bow/b_gui_ig_i_w_bow_105.b_gui_ig_i_w_bow_105'</v>
      </c>
      <c r="AD99" s="97" t="str">
        <f t="shared" si="6"/>
        <v>Texture2D'/Game/DungeonSiege/art/bitmaps/gui/in_game/inventory/icons/b_gui_ig_i_ic_bow_004.b_gui_ig_i_ic_bow_004'</v>
      </c>
      <c r="AE99" s="97" t="str">
        <f t="shared" si="11"/>
        <v>StaticMesh'/Game/DungeonSiege/art/meshes/weapons/bow/m_w_bow_008_AspMesh.m_w_bow_008_AspMesh'</v>
      </c>
    </row>
    <row r="100" spans="1:31" ht="15.75" thickBot="1" x14ac:dyDescent="0.3">
      <c r="A100" s="95">
        <v>98</v>
      </c>
      <c r="B100" s="95">
        <f>A100+Items!B$19</f>
        <v>85983330</v>
      </c>
      <c r="C100" s="96" t="s">
        <v>6362</v>
      </c>
      <c r="D100" s="96" t="s">
        <v>6362</v>
      </c>
      <c r="E100" s="96" t="s">
        <v>3524</v>
      </c>
      <c r="F100" s="96" t="s">
        <v>6048</v>
      </c>
      <c r="G100" s="96"/>
      <c r="H100" s="96"/>
      <c r="I100" s="96"/>
      <c r="J100" s="96"/>
      <c r="K100" s="96"/>
      <c r="L100" s="96" t="s">
        <v>6363</v>
      </c>
      <c r="M100" s="96" t="s">
        <v>6364</v>
      </c>
      <c r="N100" s="96" t="s">
        <v>6101</v>
      </c>
      <c r="O100" s="95" t="str">
        <f t="shared" si="7"/>
        <v>FALSE</v>
      </c>
      <c r="P100" s="95"/>
      <c r="Q100" s="96">
        <v>1</v>
      </c>
      <c r="R100" s="96">
        <v>4</v>
      </c>
      <c r="S100" s="96">
        <v>33</v>
      </c>
      <c r="T100" s="96">
        <v>51</v>
      </c>
      <c r="U100" s="96">
        <v>0.15</v>
      </c>
      <c r="V100" s="96">
        <v>12</v>
      </c>
      <c r="W100" s="96">
        <v>1</v>
      </c>
      <c r="X100" s="96">
        <v>8</v>
      </c>
      <c r="Y100" s="96">
        <v>12</v>
      </c>
      <c r="Z100" s="96">
        <v>15</v>
      </c>
      <c r="AA100" s="96" t="str">
        <f t="shared" si="8"/>
        <v>DA_WPN_Bow_ShatterBow</v>
      </c>
      <c r="AB100" s="90" t="str">
        <f t="shared" si="9"/>
        <v>/Game/DungeonSiege/Items/Weapons/bow/DA_WPN_Bow_ShatterBow</v>
      </c>
      <c r="AC100" s="97" t="str">
        <f t="shared" si="10"/>
        <v>Texture2D'/Game/DungeonSiege/art/bitmaps/gui/in_game/inventory/weapons/bow/b_gui_ig_i_w_bow_099.b_gui_ig_i_w_bow_099'</v>
      </c>
      <c r="AD100" s="97" t="str">
        <f t="shared" si="6"/>
        <v>Texture2D'/Game/DungeonSiege/art/bitmaps/gui/in_game/inventory/icons/b_gui_ig_i_ic_bow_001.b_gui_ig_i_ic_bow_001'</v>
      </c>
      <c r="AE100" s="97" t="str">
        <f t="shared" si="11"/>
        <v>StaticMesh'/Game/DungeonSiege/art/meshes/weapons/bow/m_w_bow_028_AspMesh.m_w_bow_028_AspMesh'</v>
      </c>
    </row>
    <row r="101" spans="1:31" ht="15.75" thickBot="1" x14ac:dyDescent="0.3">
      <c r="A101" s="95">
        <v>99</v>
      </c>
      <c r="B101" s="95">
        <f>A101+Items!B$19</f>
        <v>85983331</v>
      </c>
      <c r="C101" s="96" t="s">
        <v>6365</v>
      </c>
      <c r="D101" s="96" t="s">
        <v>6362</v>
      </c>
      <c r="E101" s="96" t="s">
        <v>3524</v>
      </c>
      <c r="F101" s="96" t="s">
        <v>6212</v>
      </c>
      <c r="G101" s="96" t="s">
        <v>3530</v>
      </c>
      <c r="H101" s="96"/>
      <c r="I101" s="96"/>
      <c r="J101" s="96"/>
      <c r="K101" s="96"/>
      <c r="L101" s="96" t="s">
        <v>6366</v>
      </c>
      <c r="M101" s="96" t="s">
        <v>6367</v>
      </c>
      <c r="N101" s="96" t="s">
        <v>6101</v>
      </c>
      <c r="O101" s="95" t="str">
        <f t="shared" si="7"/>
        <v>FALSE</v>
      </c>
      <c r="P101" s="95"/>
      <c r="Q101" s="96">
        <v>1</v>
      </c>
      <c r="R101" s="96">
        <v>4</v>
      </c>
      <c r="S101" s="96">
        <v>62</v>
      </c>
      <c r="T101" s="96">
        <v>96</v>
      </c>
      <c r="U101" s="96">
        <v>0.15</v>
      </c>
      <c r="V101" s="96">
        <v>12</v>
      </c>
      <c r="W101" s="96">
        <v>13</v>
      </c>
      <c r="X101" s="96">
        <v>22</v>
      </c>
      <c r="Y101" s="96">
        <v>15</v>
      </c>
      <c r="Z101" s="96">
        <v>22</v>
      </c>
      <c r="AA101" s="96" t="str">
        <f t="shared" si="8"/>
        <v>DA_WPN_Bow_ShatterBow_c_str</v>
      </c>
      <c r="AB101" s="90" t="str">
        <f t="shared" si="9"/>
        <v>/Game/DungeonSiege/Items/Weapons/bow/DA_WPN_Bow_ShatterBow_c_str</v>
      </c>
      <c r="AC101" s="97" t="str">
        <f t="shared" si="10"/>
        <v>Texture2D'/Game/DungeonSiege/art/bitmaps/gui/in_game/inventory/weapons/bow/b_gui_ig_i_w_bow_102.b_gui_ig_i_w_bow_102'</v>
      </c>
      <c r="AD101" s="97" t="str">
        <f t="shared" si="6"/>
        <v>Texture2D'/Game/DungeonSiege/art/bitmaps/gui/in_game/inventory/icons/b_gui_ig_i_ic_bow_001.b_gui_ig_i_ic_bow_001'</v>
      </c>
      <c r="AE101" s="97" t="str">
        <f t="shared" si="11"/>
        <v>StaticMesh'/Game/DungeonSiege/art/meshes/weapons/bow/m_w_bow_022_AspMesh.m_w_bow_022_AspMesh'</v>
      </c>
    </row>
    <row r="102" spans="1:31" ht="15.75" thickBot="1" x14ac:dyDescent="0.3">
      <c r="A102" s="95">
        <v>100</v>
      </c>
      <c r="B102" s="95">
        <f>A102+Items!B$19</f>
        <v>85983332</v>
      </c>
      <c r="C102" s="96" t="s">
        <v>6368</v>
      </c>
      <c r="D102" s="96" t="s">
        <v>6362</v>
      </c>
      <c r="E102" s="96" t="s">
        <v>3524</v>
      </c>
      <c r="F102" s="96" t="s">
        <v>6193</v>
      </c>
      <c r="G102" s="96" t="s">
        <v>3528</v>
      </c>
      <c r="H102" s="96"/>
      <c r="I102" s="96"/>
      <c r="J102" s="96"/>
      <c r="K102" s="96"/>
      <c r="L102" s="96" t="s">
        <v>6369</v>
      </c>
      <c r="M102" s="96" t="s">
        <v>6370</v>
      </c>
      <c r="N102" s="96" t="s">
        <v>6116</v>
      </c>
      <c r="O102" s="95" t="str">
        <f t="shared" si="7"/>
        <v>FALSE</v>
      </c>
      <c r="P102" s="95"/>
      <c r="Q102" s="96">
        <v>1</v>
      </c>
      <c r="R102" s="96">
        <v>4</v>
      </c>
      <c r="S102" s="96">
        <v>40</v>
      </c>
      <c r="T102" s="96">
        <v>62</v>
      </c>
      <c r="U102" s="96">
        <v>0.15</v>
      </c>
      <c r="V102" s="96">
        <v>12</v>
      </c>
      <c r="W102" s="96">
        <v>4</v>
      </c>
      <c r="X102" s="96">
        <v>14</v>
      </c>
      <c r="Y102" s="96">
        <v>13</v>
      </c>
      <c r="Z102" s="96">
        <v>17</v>
      </c>
      <c r="AA102" s="96" t="str">
        <f t="shared" si="8"/>
        <v>DA_WPN_Bow_ShatterBow_o_avg</v>
      </c>
      <c r="AB102" s="90" t="str">
        <f t="shared" si="9"/>
        <v>/Game/DungeonSiege/Items/Weapons/bow/DA_WPN_Bow_ShatterBow_o_avg</v>
      </c>
      <c r="AC102" s="97" t="str">
        <f t="shared" si="10"/>
        <v>Texture2D'/Game/DungeonSiege/art/bitmaps/gui/in_game/inventory/weapons/bow/b_gui_ig_i_w_bow_100.b_gui_ig_i_w_bow_100'</v>
      </c>
      <c r="AD102" s="97" t="str">
        <f t="shared" si="6"/>
        <v>Texture2D'/Game/DungeonSiege/art/bitmaps/gui/in_game/inventory/icons/b_gui_ig_i_ic_bow_003.b_gui_ig_i_ic_bow_003'</v>
      </c>
      <c r="AE102" s="97" t="str">
        <f t="shared" si="11"/>
        <v>StaticMesh'/Game/DungeonSiege/art/meshes/weapons/bow/m_w_bow_011_AspMesh.m_w_bow_011_AspMesh'</v>
      </c>
    </row>
    <row r="103" spans="1:31" ht="15.75" thickBot="1" x14ac:dyDescent="0.3">
      <c r="A103" s="95">
        <v>101</v>
      </c>
      <c r="B103" s="95">
        <f>A103+Items!B$19</f>
        <v>85983333</v>
      </c>
      <c r="C103" s="96" t="s">
        <v>6371</v>
      </c>
      <c r="D103" s="96" t="s">
        <v>6362</v>
      </c>
      <c r="E103" s="96" t="s">
        <v>3524</v>
      </c>
      <c r="F103" s="96" t="s">
        <v>6178</v>
      </c>
      <c r="G103" s="96" t="s">
        <v>3532</v>
      </c>
      <c r="H103" s="96"/>
      <c r="I103" s="96"/>
      <c r="J103" s="96"/>
      <c r="K103" s="96"/>
      <c r="L103" s="96" t="s">
        <v>6372</v>
      </c>
      <c r="M103" s="96" t="s">
        <v>6373</v>
      </c>
      <c r="N103" s="96" t="s">
        <v>6116</v>
      </c>
      <c r="O103" s="95" t="str">
        <f t="shared" si="7"/>
        <v>FALSE</v>
      </c>
      <c r="P103" s="95"/>
      <c r="Q103" s="96">
        <v>1</v>
      </c>
      <c r="R103" s="96">
        <v>4</v>
      </c>
      <c r="S103" s="96">
        <v>48</v>
      </c>
      <c r="T103" s="96">
        <v>74</v>
      </c>
      <c r="U103" s="96">
        <v>0.15</v>
      </c>
      <c r="V103" s="96">
        <v>12</v>
      </c>
      <c r="W103" s="96">
        <v>8</v>
      </c>
      <c r="X103" s="96">
        <v>17</v>
      </c>
      <c r="Y103" s="96">
        <v>13</v>
      </c>
      <c r="Z103" s="96">
        <v>19</v>
      </c>
      <c r="AA103" s="96" t="str">
        <f t="shared" si="8"/>
        <v>DA_WPN_Bow_ShatterBow_o_fin</v>
      </c>
      <c r="AB103" s="90" t="str">
        <f t="shared" si="9"/>
        <v>/Game/DungeonSiege/Items/Weapons/bow/DA_WPN_Bow_ShatterBow_o_fin</v>
      </c>
      <c r="AC103" s="97" t="str">
        <f t="shared" si="10"/>
        <v>Texture2D'/Game/DungeonSiege/art/bitmaps/gui/in_game/inventory/weapons/bow/b_gui_ig_i_w_bow_101.b_gui_ig_i_w_bow_101'</v>
      </c>
      <c r="AD103" s="97" t="str">
        <f t="shared" ref="AD103:AD123" si="12">CONCATENATE("Texture2D'/Game/DungeonSiege/art/bitmaps/gui/in_game/inventory/icons/",N103,".",N103,"'")</f>
        <v>Texture2D'/Game/DungeonSiege/art/bitmaps/gui/in_game/inventory/icons/b_gui_ig_i_ic_bow_003.b_gui_ig_i_ic_bow_003'</v>
      </c>
      <c r="AE103" s="97" t="str">
        <f t="shared" si="11"/>
        <v>StaticMesh'/Game/DungeonSiege/art/meshes/weapons/bow/m_w_bow_012_AspMesh.m_w_bow_012_AspMesh'</v>
      </c>
    </row>
    <row r="104" spans="1:31" ht="15.75" thickBot="1" x14ac:dyDescent="0.3">
      <c r="A104" s="95">
        <v>102</v>
      </c>
      <c r="B104" s="95">
        <f>A104+Items!B$19</f>
        <v>85983334</v>
      </c>
      <c r="C104" s="96" t="s">
        <v>6374</v>
      </c>
      <c r="D104" s="96" t="s">
        <v>6362</v>
      </c>
      <c r="E104" s="96" t="s">
        <v>3524</v>
      </c>
      <c r="F104" s="96" t="s">
        <v>6121</v>
      </c>
      <c r="G104" s="96" t="s">
        <v>3533</v>
      </c>
      <c r="H104" s="96"/>
      <c r="I104" s="96"/>
      <c r="J104" s="96"/>
      <c r="K104" s="96"/>
      <c r="L104" s="96" t="s">
        <v>6375</v>
      </c>
      <c r="M104" s="96" t="s">
        <v>6376</v>
      </c>
      <c r="N104" s="96" t="s">
        <v>6116</v>
      </c>
      <c r="O104" s="95" t="str">
        <f t="shared" si="7"/>
        <v>FALSE</v>
      </c>
      <c r="P104" s="95"/>
      <c r="Q104" s="96">
        <v>1</v>
      </c>
      <c r="R104" s="96">
        <v>4</v>
      </c>
      <c r="S104" s="96">
        <v>107</v>
      </c>
      <c r="T104" s="96">
        <v>163</v>
      </c>
      <c r="U104" s="96">
        <v>0.15</v>
      </c>
      <c r="V104" s="96">
        <v>12</v>
      </c>
      <c r="W104" s="96">
        <v>25</v>
      </c>
      <c r="X104" s="96">
        <v>32</v>
      </c>
      <c r="Y104" s="96">
        <v>19</v>
      </c>
      <c r="Z104" s="96">
        <v>32</v>
      </c>
      <c r="AA104" s="96" t="str">
        <f t="shared" si="8"/>
        <v>DA_WPN_Bow_ShatterBow_o_mag</v>
      </c>
      <c r="AB104" s="90" t="str">
        <f t="shared" si="9"/>
        <v>/Game/DungeonSiege/Items/Weapons/bow/DA_WPN_Bow_ShatterBow_o_mag</v>
      </c>
      <c r="AC104" s="97" t="str">
        <f t="shared" si="10"/>
        <v>Texture2D'/Game/DungeonSiege/art/bitmaps/gui/in_game/inventory/weapons/bow/b_gui_ig_i_w_bow_103.b_gui_ig_i_w_bow_103'</v>
      </c>
      <c r="AD104" s="97" t="str">
        <f t="shared" si="12"/>
        <v>Texture2D'/Game/DungeonSiege/art/bitmaps/gui/in_game/inventory/icons/b_gui_ig_i_ic_bow_003.b_gui_ig_i_ic_bow_003'</v>
      </c>
      <c r="AE104" s="97" t="str">
        <f t="shared" si="11"/>
        <v>StaticMesh'/Game/DungeonSiege/art/meshes/weapons/bow/m_w_bow_034_AspMesh.m_w_bow_034_AspMesh'</v>
      </c>
    </row>
    <row r="105" spans="1:31" ht="15.75" thickBot="1" x14ac:dyDescent="0.3">
      <c r="A105" s="95">
        <v>103</v>
      </c>
      <c r="B105" s="95">
        <f>A105+Items!B$19</f>
        <v>85983335</v>
      </c>
      <c r="C105" s="96" t="s">
        <v>6377</v>
      </c>
      <c r="D105" s="96" t="s">
        <v>6377</v>
      </c>
      <c r="E105" s="96" t="s">
        <v>3524</v>
      </c>
      <c r="F105" s="96" t="s">
        <v>6223</v>
      </c>
      <c r="G105" s="96"/>
      <c r="H105" s="96"/>
      <c r="I105" s="96"/>
      <c r="J105" s="96"/>
      <c r="K105" s="96"/>
      <c r="L105" s="96" t="s">
        <v>6378</v>
      </c>
      <c r="M105" s="96" t="s">
        <v>6379</v>
      </c>
      <c r="N105" s="96" t="s">
        <v>6101</v>
      </c>
      <c r="O105" s="95" t="str">
        <f t="shared" si="7"/>
        <v>FALSE</v>
      </c>
      <c r="P105" s="95"/>
      <c r="Q105" s="96">
        <v>1</v>
      </c>
      <c r="R105" s="96">
        <v>4</v>
      </c>
      <c r="S105" s="96">
        <v>48</v>
      </c>
      <c r="T105" s="96">
        <v>58</v>
      </c>
      <c r="U105" s="96">
        <v>0.15</v>
      </c>
      <c r="V105" s="96">
        <v>11</v>
      </c>
      <c r="W105" s="96">
        <v>1</v>
      </c>
      <c r="X105" s="96">
        <v>7</v>
      </c>
      <c r="Y105" s="96">
        <v>13</v>
      </c>
      <c r="Z105" s="96">
        <v>18</v>
      </c>
      <c r="AA105" s="96" t="str">
        <f t="shared" si="8"/>
        <v>DA_WPN_Bow_PunctureBow</v>
      </c>
      <c r="AB105" s="90" t="str">
        <f t="shared" si="9"/>
        <v>/Game/DungeonSiege/Items/Weapons/bow/DA_WPN_Bow_PunctureBow</v>
      </c>
      <c r="AC105" s="97" t="str">
        <f t="shared" si="10"/>
        <v>Texture2D'/Game/DungeonSiege/art/bitmaps/gui/in_game/inventory/weapons/bow/b_gui_ig_i_w_bow_110.b_gui_ig_i_w_bow_110'</v>
      </c>
      <c r="AD105" s="97" t="str">
        <f t="shared" si="12"/>
        <v>Texture2D'/Game/DungeonSiege/art/bitmaps/gui/in_game/inventory/icons/b_gui_ig_i_ic_bow_001.b_gui_ig_i_ic_bow_001'</v>
      </c>
      <c r="AE105" s="97" t="str">
        <f t="shared" si="11"/>
        <v>StaticMesh'/Game/DungeonSiege/art/meshes/weapons/bow/m_w_bow_014_AspMesh.m_w_bow_014_AspMesh'</v>
      </c>
    </row>
    <row r="106" spans="1:31" ht="15.75" thickBot="1" x14ac:dyDescent="0.3">
      <c r="A106" s="95">
        <v>104</v>
      </c>
      <c r="B106" s="95">
        <f>A106+Items!B$19</f>
        <v>85983336</v>
      </c>
      <c r="C106" s="96" t="s">
        <v>6380</v>
      </c>
      <c r="D106" s="96" t="s">
        <v>6377</v>
      </c>
      <c r="E106" s="96" t="s">
        <v>3524</v>
      </c>
      <c r="F106" s="96" t="s">
        <v>6163</v>
      </c>
      <c r="G106" s="96" t="s">
        <v>3529</v>
      </c>
      <c r="H106" s="96"/>
      <c r="I106" s="96"/>
      <c r="J106" s="96"/>
      <c r="K106" s="96"/>
      <c r="L106" s="96" t="s">
        <v>6381</v>
      </c>
      <c r="M106" s="96" t="s">
        <v>6382</v>
      </c>
      <c r="N106" s="96" t="s">
        <v>6101</v>
      </c>
      <c r="O106" s="95" t="str">
        <f t="shared" si="7"/>
        <v>FALSE</v>
      </c>
      <c r="P106" s="95"/>
      <c r="Q106" s="96">
        <v>1</v>
      </c>
      <c r="R106" s="96">
        <v>4</v>
      </c>
      <c r="S106" s="96">
        <v>131</v>
      </c>
      <c r="T106" s="96">
        <v>160</v>
      </c>
      <c r="U106" s="96">
        <v>0.15</v>
      </c>
      <c r="V106" s="96">
        <v>11</v>
      </c>
      <c r="W106" s="96">
        <v>25</v>
      </c>
      <c r="X106" s="96">
        <v>34</v>
      </c>
      <c r="Y106" s="96">
        <v>20</v>
      </c>
      <c r="Z106" s="96">
        <v>35</v>
      </c>
      <c r="AA106" s="96" t="str">
        <f t="shared" si="8"/>
        <v>DA_WPN_Bow_PunctureBow_c_mag</v>
      </c>
      <c r="AB106" s="90" t="str">
        <f t="shared" si="9"/>
        <v>/Game/DungeonSiege/Items/Weapons/bow/DA_WPN_Bow_PunctureBow_c_mag</v>
      </c>
      <c r="AC106" s="97" t="str">
        <f t="shared" si="10"/>
        <v>Texture2D'/Game/DungeonSiege/art/bitmaps/gui/in_game/inventory/weapons/bow/b_gui_ig_i_w_bow_112.b_gui_ig_i_w_bow_112'</v>
      </c>
      <c r="AD106" s="97" t="str">
        <f t="shared" si="12"/>
        <v>Texture2D'/Game/DungeonSiege/art/bitmaps/gui/in_game/inventory/icons/b_gui_ig_i_ic_bow_001.b_gui_ig_i_ic_bow_001'</v>
      </c>
      <c r="AE106" s="97" t="str">
        <f t="shared" si="11"/>
        <v>StaticMesh'/Game/DungeonSiege/art/meshes/weapons/bow/m_w_bow_027_AspMesh.m_w_bow_027_AspMesh'</v>
      </c>
    </row>
    <row r="107" spans="1:31" ht="15.75" thickBot="1" x14ac:dyDescent="0.3">
      <c r="A107" s="95">
        <v>105</v>
      </c>
      <c r="B107" s="95">
        <f>A107+Items!B$19</f>
        <v>85983337</v>
      </c>
      <c r="C107" s="96" t="s">
        <v>6383</v>
      </c>
      <c r="D107" s="96" t="s">
        <v>6377</v>
      </c>
      <c r="E107" s="96" t="s">
        <v>3524</v>
      </c>
      <c r="F107" s="96" t="s">
        <v>6121</v>
      </c>
      <c r="G107" s="96" t="s">
        <v>3533</v>
      </c>
      <c r="H107" s="96"/>
      <c r="I107" s="96"/>
      <c r="J107" s="96"/>
      <c r="K107" s="96"/>
      <c r="L107" s="96" t="s">
        <v>6384</v>
      </c>
      <c r="M107" s="96" t="s">
        <v>6385</v>
      </c>
      <c r="N107" s="96" t="s">
        <v>6101</v>
      </c>
      <c r="O107" s="95" t="str">
        <f t="shared" si="7"/>
        <v>FALSE</v>
      </c>
      <c r="P107" s="95"/>
      <c r="Q107" s="96">
        <v>1</v>
      </c>
      <c r="R107" s="96">
        <v>4</v>
      </c>
      <c r="S107" s="96">
        <v>158</v>
      </c>
      <c r="T107" s="96">
        <v>193</v>
      </c>
      <c r="U107" s="96">
        <v>0.15</v>
      </c>
      <c r="V107" s="96">
        <v>11</v>
      </c>
      <c r="W107" s="96">
        <v>31</v>
      </c>
      <c r="X107" s="96">
        <v>43</v>
      </c>
      <c r="Y107" s="96">
        <v>22</v>
      </c>
      <c r="Z107" s="96">
        <v>40</v>
      </c>
      <c r="AA107" s="96" t="str">
        <f t="shared" si="8"/>
        <v>DA_WPN_Bow_PunctureBow_o_mag</v>
      </c>
      <c r="AB107" s="90" t="str">
        <f t="shared" si="9"/>
        <v>/Game/DungeonSiege/Items/Weapons/bow/DA_WPN_Bow_PunctureBow_o_mag</v>
      </c>
      <c r="AC107" s="97" t="str">
        <f t="shared" si="10"/>
        <v>Texture2D'/Game/DungeonSiege/art/bitmaps/gui/in_game/inventory/weapons/bow/b_gui_ig_i_w_bow_113.b_gui_ig_i_w_bow_113'</v>
      </c>
      <c r="AD107" s="97" t="str">
        <f t="shared" si="12"/>
        <v>Texture2D'/Game/DungeonSiege/art/bitmaps/gui/in_game/inventory/icons/b_gui_ig_i_ic_bow_001.b_gui_ig_i_ic_bow_001'</v>
      </c>
      <c r="AE107" s="97" t="str">
        <f t="shared" si="11"/>
        <v>StaticMesh'/Game/DungeonSiege/art/meshes/weapons/bow/m_w_bow_034_AspMesh.m_w_bow_034_AspMesh'</v>
      </c>
    </row>
    <row r="108" spans="1:31" ht="15.75" thickBot="1" x14ac:dyDescent="0.3">
      <c r="A108" s="95">
        <v>106</v>
      </c>
      <c r="B108" s="95">
        <f>A108+Items!B$19</f>
        <v>85983338</v>
      </c>
      <c r="C108" s="96" t="s">
        <v>6386</v>
      </c>
      <c r="D108" s="96" t="s">
        <v>6377</v>
      </c>
      <c r="E108" s="96" t="s">
        <v>3524</v>
      </c>
      <c r="F108" s="96" t="s">
        <v>6068</v>
      </c>
      <c r="G108" s="96" t="s">
        <v>3534</v>
      </c>
      <c r="H108" s="96"/>
      <c r="I108" s="96"/>
      <c r="J108" s="96"/>
      <c r="K108" s="96"/>
      <c r="L108" s="96" t="s">
        <v>6387</v>
      </c>
      <c r="M108" s="96" t="s">
        <v>6388</v>
      </c>
      <c r="N108" s="96" t="s">
        <v>6101</v>
      </c>
      <c r="O108" s="95" t="str">
        <f t="shared" si="7"/>
        <v>FALSE</v>
      </c>
      <c r="P108" s="95"/>
      <c r="Q108" s="96">
        <v>1</v>
      </c>
      <c r="R108" s="96">
        <v>4</v>
      </c>
      <c r="S108" s="96">
        <v>112</v>
      </c>
      <c r="T108" s="96">
        <v>136</v>
      </c>
      <c r="U108" s="96">
        <v>0.15</v>
      </c>
      <c r="V108" s="96">
        <v>11</v>
      </c>
      <c r="W108" s="96">
        <v>19</v>
      </c>
      <c r="X108" s="96">
        <v>29</v>
      </c>
      <c r="Y108" s="96">
        <v>18</v>
      </c>
      <c r="Z108" s="96">
        <v>31</v>
      </c>
      <c r="AA108" s="96" t="str">
        <f t="shared" si="8"/>
        <v>DA_WPN_Bow_PunctureBow_o_str</v>
      </c>
      <c r="AB108" s="90" t="str">
        <f t="shared" si="9"/>
        <v>/Game/DungeonSiege/Items/Weapons/bow/DA_WPN_Bow_PunctureBow_o_str</v>
      </c>
      <c r="AC108" s="97" t="str">
        <f t="shared" si="10"/>
        <v>Texture2D'/Game/DungeonSiege/art/bitmaps/gui/in_game/inventory/weapons/bow/b_gui_ig_i_w_bow_111.b_gui_ig_i_w_bow_111'</v>
      </c>
      <c r="AD108" s="97" t="str">
        <f t="shared" si="12"/>
        <v>Texture2D'/Game/DungeonSiege/art/bitmaps/gui/in_game/inventory/icons/b_gui_ig_i_ic_bow_001.b_gui_ig_i_ic_bow_001'</v>
      </c>
      <c r="AE108" s="97" t="str">
        <f t="shared" si="11"/>
        <v>StaticMesh'/Game/DungeonSiege/art/meshes/weapons/bow/m_w_bow_031_AspMesh.m_w_bow_031_AspMesh'</v>
      </c>
    </row>
    <row r="109" spans="1:31" ht="15.75" thickBot="1" x14ac:dyDescent="0.3">
      <c r="A109" s="95">
        <v>107</v>
      </c>
      <c r="B109" s="95">
        <f>A109+Items!B$19</f>
        <v>85983339</v>
      </c>
      <c r="C109" s="96" t="s">
        <v>6389</v>
      </c>
      <c r="D109" s="96" t="s">
        <v>6389</v>
      </c>
      <c r="E109" s="96" t="s">
        <v>3524</v>
      </c>
      <c r="F109" s="96" t="s">
        <v>6241</v>
      </c>
      <c r="G109" s="96"/>
      <c r="H109" s="96"/>
      <c r="I109" s="96"/>
      <c r="J109" s="96" t="b">
        <v>1</v>
      </c>
      <c r="K109" s="96" t="b">
        <v>1</v>
      </c>
      <c r="L109" s="96" t="s">
        <v>6390</v>
      </c>
      <c r="M109" s="96" t="s">
        <v>6391</v>
      </c>
      <c r="N109" s="96" t="s">
        <v>6101</v>
      </c>
      <c r="O109" s="95" t="str">
        <f t="shared" si="7"/>
        <v>TRUE</v>
      </c>
      <c r="P109" s="95"/>
      <c r="Q109" s="96">
        <v>1</v>
      </c>
      <c r="R109" s="96">
        <v>3</v>
      </c>
      <c r="S109" s="96">
        <v>15</v>
      </c>
      <c r="T109" s="96">
        <v>27</v>
      </c>
      <c r="U109" s="96">
        <v>0</v>
      </c>
      <c r="V109" s="96">
        <v>10</v>
      </c>
      <c r="W109" s="96">
        <v>1</v>
      </c>
      <c r="X109" s="96">
        <v>4</v>
      </c>
      <c r="Y109" s="96">
        <v>0</v>
      </c>
      <c r="Z109" s="96">
        <v>12</v>
      </c>
      <c r="AA109" s="96" t="str">
        <f t="shared" si="8"/>
        <v>DA_WPN_Bow_FatalBow</v>
      </c>
      <c r="AB109" s="90" t="str">
        <f t="shared" si="9"/>
        <v>/Game/DungeonSiege/Items/Weapons/bow/DA_WPN_Bow_FatalBow</v>
      </c>
      <c r="AC109" s="97" t="str">
        <f t="shared" si="10"/>
        <v>Texture2D'/Game/DungeonSiege/art/bitmaps/gui/in_game/inventory/weapons/bow/b_gui_ig_i_w_bow_094.b_gui_ig_i_w_bow_094'</v>
      </c>
      <c r="AD109" s="97" t="str">
        <f t="shared" si="12"/>
        <v>Texture2D'/Game/DungeonSiege/art/bitmaps/gui/in_game/inventory/icons/b_gui_ig_i_ic_bow_001.b_gui_ig_i_ic_bow_001'</v>
      </c>
      <c r="AE109" s="97" t="str">
        <f t="shared" si="11"/>
        <v>StaticMesh'/Game/DungeonSiege/art/meshes/weapons/bow/m_w_bow_029_AspMesh.m_w_bow_029_AspMesh'</v>
      </c>
    </row>
    <row r="110" spans="1:31" ht="15.75" thickBot="1" x14ac:dyDescent="0.3">
      <c r="A110" s="95">
        <v>108</v>
      </c>
      <c r="B110" s="95">
        <f>A110+Items!B$19</f>
        <v>85983340</v>
      </c>
      <c r="C110" s="96" t="s">
        <v>6392</v>
      </c>
      <c r="D110" s="96" t="s">
        <v>6389</v>
      </c>
      <c r="E110" s="96" t="s">
        <v>3524</v>
      </c>
      <c r="F110" s="96" t="s">
        <v>6249</v>
      </c>
      <c r="G110" s="96" t="s">
        <v>3528</v>
      </c>
      <c r="H110" s="96"/>
      <c r="I110" s="96"/>
      <c r="J110" s="96" t="b">
        <v>1</v>
      </c>
      <c r="K110" s="96" t="b">
        <v>1</v>
      </c>
      <c r="L110" s="96" t="s">
        <v>6393</v>
      </c>
      <c r="M110" s="96" t="s">
        <v>6394</v>
      </c>
      <c r="N110" s="96" t="s">
        <v>6116</v>
      </c>
      <c r="O110" s="95" t="str">
        <f t="shared" si="7"/>
        <v>TRUE</v>
      </c>
      <c r="P110" s="95"/>
      <c r="Q110" s="96">
        <v>1</v>
      </c>
      <c r="R110" s="96">
        <v>3</v>
      </c>
      <c r="S110" s="96">
        <v>22</v>
      </c>
      <c r="T110" s="96">
        <v>38</v>
      </c>
      <c r="U110" s="96">
        <v>0</v>
      </c>
      <c r="V110" s="96">
        <v>10</v>
      </c>
      <c r="W110" s="96">
        <v>2</v>
      </c>
      <c r="X110" s="96">
        <v>9</v>
      </c>
      <c r="Y110" s="96">
        <v>0</v>
      </c>
      <c r="Z110" s="96">
        <v>13</v>
      </c>
      <c r="AA110" s="96" t="str">
        <f t="shared" si="8"/>
        <v>DA_WPN_Bow_FatalBow_o_avg</v>
      </c>
      <c r="AB110" s="90" t="str">
        <f t="shared" si="9"/>
        <v>/Game/DungeonSiege/Items/Weapons/bow/DA_WPN_Bow_FatalBow_o_avg</v>
      </c>
      <c r="AC110" s="97" t="str">
        <f t="shared" si="10"/>
        <v>Texture2D'/Game/DungeonSiege/art/bitmaps/gui/in_game/inventory/weapons/bow/b_gui_ig_i_w_bow_095.b_gui_ig_i_w_bow_095'</v>
      </c>
      <c r="AD110" s="97" t="str">
        <f t="shared" si="12"/>
        <v>Texture2D'/Game/DungeonSiege/art/bitmaps/gui/in_game/inventory/icons/b_gui_ig_i_ic_bow_003.b_gui_ig_i_ic_bow_003'</v>
      </c>
      <c r="AE110" s="97" t="str">
        <f t="shared" si="11"/>
        <v>StaticMesh'/Game/DungeonSiege/art/meshes/weapons/bow/m_w_bow_010_AspMesh.m_w_bow_010_AspMesh'</v>
      </c>
    </row>
    <row r="111" spans="1:31" ht="15.75" thickBot="1" x14ac:dyDescent="0.3">
      <c r="A111" s="95">
        <v>109</v>
      </c>
      <c r="B111" s="95">
        <f>A111+Items!B$19</f>
        <v>85983341</v>
      </c>
      <c r="C111" s="96" t="s">
        <v>6395</v>
      </c>
      <c r="D111" s="96" t="s">
        <v>6389</v>
      </c>
      <c r="E111" s="96" t="s">
        <v>3524</v>
      </c>
      <c r="F111" s="96" t="s">
        <v>6241</v>
      </c>
      <c r="G111" s="96" t="s">
        <v>3532</v>
      </c>
      <c r="H111" s="96"/>
      <c r="I111" s="96"/>
      <c r="J111" s="96" t="b">
        <v>1</v>
      </c>
      <c r="K111" s="96" t="b">
        <v>1</v>
      </c>
      <c r="L111" s="96" t="s">
        <v>6396</v>
      </c>
      <c r="M111" s="96" t="s">
        <v>6397</v>
      </c>
      <c r="N111" s="96" t="s">
        <v>6116</v>
      </c>
      <c r="O111" s="95" t="str">
        <f t="shared" ref="O111:O123" si="13">IF(OR(I111=TRUE,J111=TRUE,K111=TRUE),"TRUE","FALSE")</f>
        <v>TRUE</v>
      </c>
      <c r="P111" s="95"/>
      <c r="Q111" s="96">
        <v>1</v>
      </c>
      <c r="R111" s="96">
        <v>3</v>
      </c>
      <c r="S111" s="96">
        <v>30</v>
      </c>
      <c r="T111" s="96">
        <v>52</v>
      </c>
      <c r="U111" s="96">
        <v>0</v>
      </c>
      <c r="V111" s="96">
        <v>10</v>
      </c>
      <c r="W111" s="96">
        <v>6</v>
      </c>
      <c r="X111" s="96">
        <v>12</v>
      </c>
      <c r="Y111" s="96">
        <v>12</v>
      </c>
      <c r="Z111" s="96">
        <v>16</v>
      </c>
      <c r="AA111" s="96" t="str">
        <f t="shared" si="8"/>
        <v>DA_WPN_Bow_FatalBow_o_fin</v>
      </c>
      <c r="AB111" s="90" t="str">
        <f t="shared" si="9"/>
        <v>/Game/DungeonSiege/Items/Weapons/bow/DA_WPN_Bow_FatalBow_o_fin</v>
      </c>
      <c r="AC111" s="97" t="str">
        <f t="shared" si="10"/>
        <v>Texture2D'/Game/DungeonSiege/art/bitmaps/gui/in_game/inventory/weapons/bow/b_gui_ig_i_w_bow_096.b_gui_ig_i_w_bow_096'</v>
      </c>
      <c r="AD111" s="97" t="str">
        <f t="shared" si="12"/>
        <v>Texture2D'/Game/DungeonSiege/art/bitmaps/gui/in_game/inventory/icons/b_gui_ig_i_ic_bow_003.b_gui_ig_i_ic_bow_003'</v>
      </c>
      <c r="AE111" s="97" t="str">
        <f t="shared" si="11"/>
        <v>StaticMesh'/Game/DungeonSiege/art/meshes/weapons/bow/m_w_bow_029_AspMesh.m_w_bow_029_AspMesh'</v>
      </c>
    </row>
    <row r="112" spans="1:31" ht="15.75" thickBot="1" x14ac:dyDescent="0.3">
      <c r="A112" s="95">
        <v>110</v>
      </c>
      <c r="B112" s="95">
        <f>A112+Items!B$19</f>
        <v>85983342</v>
      </c>
      <c r="C112" s="96" t="s">
        <v>6398</v>
      </c>
      <c r="D112" s="96" t="s">
        <v>6389</v>
      </c>
      <c r="E112" s="96" t="s">
        <v>3524</v>
      </c>
      <c r="F112" s="96" t="s">
        <v>6256</v>
      </c>
      <c r="G112" s="96" t="s">
        <v>3533</v>
      </c>
      <c r="H112" s="96"/>
      <c r="I112" s="96"/>
      <c r="J112" s="96" t="b">
        <v>1</v>
      </c>
      <c r="K112" s="96" t="b">
        <v>1</v>
      </c>
      <c r="L112" s="96" t="s">
        <v>6399</v>
      </c>
      <c r="M112" s="96" t="s">
        <v>6400</v>
      </c>
      <c r="N112" s="96" t="s">
        <v>6116</v>
      </c>
      <c r="O112" s="95" t="str">
        <f t="shared" si="13"/>
        <v>TRUE</v>
      </c>
      <c r="P112" s="95"/>
      <c r="Q112" s="96">
        <v>1</v>
      </c>
      <c r="R112" s="96">
        <v>3</v>
      </c>
      <c r="S112" s="96">
        <v>80</v>
      </c>
      <c r="T112" s="96">
        <v>140</v>
      </c>
      <c r="U112" s="96">
        <v>0</v>
      </c>
      <c r="V112" s="96">
        <v>10</v>
      </c>
      <c r="W112" s="96">
        <v>22</v>
      </c>
      <c r="X112" s="96">
        <v>28</v>
      </c>
      <c r="Y112" s="96">
        <v>18</v>
      </c>
      <c r="Z112" s="96">
        <v>29</v>
      </c>
      <c r="AA112" s="96" t="str">
        <f t="shared" si="8"/>
        <v>DA_WPN_Bow_FatalBow_o_mag</v>
      </c>
      <c r="AB112" s="90" t="str">
        <f t="shared" si="9"/>
        <v>/Game/DungeonSiege/Items/Weapons/bow/DA_WPN_Bow_FatalBow_o_mag</v>
      </c>
      <c r="AC112" s="97" t="str">
        <f t="shared" si="10"/>
        <v>Texture2D'/Game/DungeonSiege/art/bitmaps/gui/in_game/inventory/weapons/bow/b_gui_ig_i_w_bow_098.b_gui_ig_i_w_bow_098'</v>
      </c>
      <c r="AD112" s="97" t="str">
        <f t="shared" si="12"/>
        <v>Texture2D'/Game/DungeonSiege/art/bitmaps/gui/in_game/inventory/icons/b_gui_ig_i_ic_bow_003.b_gui_ig_i_ic_bow_003'</v>
      </c>
      <c r="AE112" s="97" t="str">
        <f t="shared" si="11"/>
        <v>StaticMesh'/Game/DungeonSiege/art/meshes/weapons/bow/m_w_bow_015_AspMesh.m_w_bow_015_AspMesh'</v>
      </c>
    </row>
    <row r="113" spans="1:31" ht="15.75" thickBot="1" x14ac:dyDescent="0.3">
      <c r="A113" s="95">
        <v>111</v>
      </c>
      <c r="B113" s="95">
        <f>A113+Items!B$19</f>
        <v>85983343</v>
      </c>
      <c r="C113" s="96" t="s">
        <v>6401</v>
      </c>
      <c r="D113" s="96" t="s">
        <v>6389</v>
      </c>
      <c r="E113" s="96" t="s">
        <v>3524</v>
      </c>
      <c r="F113" s="96" t="s">
        <v>6245</v>
      </c>
      <c r="G113" s="96" t="s">
        <v>3534</v>
      </c>
      <c r="H113" s="96"/>
      <c r="I113" s="96"/>
      <c r="J113" s="96" t="b">
        <v>1</v>
      </c>
      <c r="K113" s="96" t="b">
        <v>1</v>
      </c>
      <c r="L113" s="96" t="s">
        <v>6402</v>
      </c>
      <c r="M113" s="96" t="s">
        <v>6403</v>
      </c>
      <c r="N113" s="96" t="s">
        <v>6116</v>
      </c>
      <c r="O113" s="95" t="str">
        <f t="shared" si="13"/>
        <v>TRUE</v>
      </c>
      <c r="P113" s="95"/>
      <c r="Q113" s="96">
        <v>1</v>
      </c>
      <c r="R113" s="96">
        <v>3</v>
      </c>
      <c r="S113" s="96">
        <v>51</v>
      </c>
      <c r="T113" s="96">
        <v>89</v>
      </c>
      <c r="U113" s="96">
        <v>0</v>
      </c>
      <c r="V113" s="96">
        <v>10</v>
      </c>
      <c r="W113" s="96">
        <v>14</v>
      </c>
      <c r="X113" s="96">
        <v>21</v>
      </c>
      <c r="Y113" s="96">
        <v>14</v>
      </c>
      <c r="Z113" s="96">
        <v>21</v>
      </c>
      <c r="AA113" s="96" t="str">
        <f t="shared" si="8"/>
        <v>DA_WPN_Bow_FatalBow_o_str</v>
      </c>
      <c r="AB113" s="90" t="str">
        <f t="shared" si="9"/>
        <v>/Game/DungeonSiege/Items/Weapons/bow/DA_WPN_Bow_FatalBow_o_str</v>
      </c>
      <c r="AC113" s="97" t="str">
        <f t="shared" si="10"/>
        <v>Texture2D'/Game/DungeonSiege/art/bitmaps/gui/in_game/inventory/weapons/bow/b_gui_ig_i_w_bow_097.b_gui_ig_i_w_bow_097'</v>
      </c>
      <c r="AD113" s="97" t="str">
        <f t="shared" si="12"/>
        <v>Texture2D'/Game/DungeonSiege/art/bitmaps/gui/in_game/inventory/icons/b_gui_ig_i_ic_bow_003.b_gui_ig_i_ic_bow_003'</v>
      </c>
      <c r="AE113" s="97" t="str">
        <f t="shared" si="11"/>
        <v>StaticMesh'/Game/DungeonSiege/art/meshes/weapons/bow/m_w_bow_030_AspMesh.m_w_bow_030_AspMesh'</v>
      </c>
    </row>
    <row r="114" spans="1:31" ht="15.75" thickBot="1" x14ac:dyDescent="0.3">
      <c r="A114" s="95">
        <v>112</v>
      </c>
      <c r="B114" s="95">
        <f>A114+Items!B$19</f>
        <v>85983344</v>
      </c>
      <c r="C114" s="96" t="s">
        <v>6404</v>
      </c>
      <c r="D114" s="96" t="s">
        <v>6404</v>
      </c>
      <c r="E114" s="96" t="s">
        <v>3524</v>
      </c>
      <c r="F114" s="96" t="s">
        <v>6249</v>
      </c>
      <c r="G114" s="96"/>
      <c r="H114" s="96" t="b">
        <v>1</v>
      </c>
      <c r="I114" s="96"/>
      <c r="J114" s="96"/>
      <c r="K114" s="96"/>
      <c r="L114" s="96" t="s">
        <v>6405</v>
      </c>
      <c r="M114" s="96" t="s">
        <v>6394</v>
      </c>
      <c r="N114" s="96" t="s">
        <v>6101</v>
      </c>
      <c r="O114" s="95" t="str">
        <f t="shared" si="13"/>
        <v>FALSE</v>
      </c>
      <c r="P114" s="95"/>
      <c r="Q114" s="96">
        <v>1</v>
      </c>
      <c r="R114" s="96">
        <v>3</v>
      </c>
      <c r="S114" s="96">
        <v>19</v>
      </c>
      <c r="T114" s="96">
        <v>21</v>
      </c>
      <c r="U114" s="96">
        <v>0</v>
      </c>
      <c r="V114" s="96">
        <v>10</v>
      </c>
      <c r="W114" s="96">
        <v>0</v>
      </c>
      <c r="X114" s="96">
        <v>1</v>
      </c>
      <c r="Y114" s="96">
        <v>0</v>
      </c>
      <c r="Z114" s="96">
        <v>13</v>
      </c>
      <c r="AA114" s="96" t="str">
        <f t="shared" si="8"/>
        <v>DA_WPN_Bow_HeartStopper</v>
      </c>
      <c r="AB114" s="90" t="str">
        <f t="shared" si="9"/>
        <v>/Game/DungeonSiege/Items/Weapons/bow/DA_WPN_Bow_HeartStopper</v>
      </c>
      <c r="AC114" s="97" t="str">
        <f t="shared" si="10"/>
        <v>Texture2D'/Game/DungeonSiege/art/bitmaps/gui/in_game/inventory/weapons/bow/b_gui_ig_i_w_bow_095.b_gui_ig_i_w_bow_095'</v>
      </c>
      <c r="AD114" s="97" t="str">
        <f t="shared" si="12"/>
        <v>Texture2D'/Game/DungeonSiege/art/bitmaps/gui/in_game/inventory/icons/b_gui_ig_i_ic_bow_001.b_gui_ig_i_ic_bow_001'</v>
      </c>
      <c r="AE114" s="97" t="str">
        <f t="shared" si="11"/>
        <v>StaticMesh'/Game/DungeonSiege/art/meshes/weapons/bow/m_w_bow_010_AspMesh.m_w_bow_010_AspMesh'</v>
      </c>
    </row>
    <row r="115" spans="1:31" ht="15.75" thickBot="1" x14ac:dyDescent="0.3">
      <c r="A115" s="95">
        <v>113</v>
      </c>
      <c r="B115" s="95">
        <f>A115+Items!B$19</f>
        <v>85983345</v>
      </c>
      <c r="C115" s="96" t="s">
        <v>6406</v>
      </c>
      <c r="D115" s="96" t="s">
        <v>6406</v>
      </c>
      <c r="E115" s="96" t="s">
        <v>3524</v>
      </c>
      <c r="F115" s="96" t="s">
        <v>6263</v>
      </c>
      <c r="G115" s="96"/>
      <c r="H115" s="96"/>
      <c r="I115" s="96"/>
      <c r="J115" s="96"/>
      <c r="K115" s="96"/>
      <c r="L115" s="96" t="s">
        <v>6407</v>
      </c>
      <c r="M115" s="96" t="s">
        <v>6408</v>
      </c>
      <c r="N115" s="96" t="s">
        <v>6101</v>
      </c>
      <c r="O115" s="95" t="str">
        <f t="shared" si="13"/>
        <v>FALSE</v>
      </c>
      <c r="P115" s="95"/>
      <c r="Q115" s="96">
        <v>1</v>
      </c>
      <c r="R115" s="96">
        <v>3</v>
      </c>
      <c r="S115" s="96">
        <v>27</v>
      </c>
      <c r="T115" s="96">
        <v>45</v>
      </c>
      <c r="U115" s="96">
        <v>0</v>
      </c>
      <c r="V115" s="96">
        <v>10</v>
      </c>
      <c r="W115" s="96">
        <v>3</v>
      </c>
      <c r="X115" s="96">
        <v>11</v>
      </c>
      <c r="Y115" s="96">
        <v>12</v>
      </c>
      <c r="Z115" s="96">
        <v>14</v>
      </c>
      <c r="AA115" s="96" t="str">
        <f t="shared" si="8"/>
        <v>DA_WPN_Bow_CruelRecurve</v>
      </c>
      <c r="AB115" s="90" t="str">
        <f t="shared" si="9"/>
        <v>/Game/DungeonSiege/Items/Weapons/bow/DA_WPN_Bow_CruelRecurve</v>
      </c>
      <c r="AC115" s="97" t="str">
        <f t="shared" si="10"/>
        <v>Texture2D'/Game/DungeonSiege/art/bitmaps/gui/in_game/inventory/weapons/bow/b_gui_ig_i_w_bow_106.b_gui_ig_i_w_bow_106'</v>
      </c>
      <c r="AD115" s="97" t="str">
        <f t="shared" si="12"/>
        <v>Texture2D'/Game/DungeonSiege/art/bitmaps/gui/in_game/inventory/icons/b_gui_ig_i_ic_bow_001.b_gui_ig_i_ic_bow_001'</v>
      </c>
      <c r="AE115" s="97" t="str">
        <f t="shared" si="11"/>
        <v>StaticMesh'/Game/DungeonSiege/art/meshes/weapons/bow/m_w_bow_013_AspMesh.m_w_bow_013_AspMesh'</v>
      </c>
    </row>
    <row r="116" spans="1:31" ht="15.75" thickBot="1" x14ac:dyDescent="0.3">
      <c r="A116" s="95">
        <v>114</v>
      </c>
      <c r="B116" s="95">
        <f>A116+Items!B$19</f>
        <v>85983346</v>
      </c>
      <c r="C116" s="96" t="s">
        <v>6409</v>
      </c>
      <c r="D116" s="96" t="s">
        <v>6406</v>
      </c>
      <c r="E116" s="96" t="s">
        <v>3524</v>
      </c>
      <c r="F116" s="96" t="s">
        <v>6256</v>
      </c>
      <c r="G116" s="96" t="s">
        <v>3529</v>
      </c>
      <c r="H116" s="96"/>
      <c r="I116" s="96"/>
      <c r="J116" s="96"/>
      <c r="K116" s="96"/>
      <c r="L116" s="96" t="s">
        <v>6410</v>
      </c>
      <c r="M116" s="96" t="s">
        <v>6411</v>
      </c>
      <c r="N116" s="96" t="s">
        <v>6101</v>
      </c>
      <c r="O116" s="95" t="str">
        <f t="shared" si="13"/>
        <v>FALSE</v>
      </c>
      <c r="P116" s="95"/>
      <c r="Q116" s="96">
        <v>1</v>
      </c>
      <c r="R116" s="96">
        <v>3</v>
      </c>
      <c r="S116" s="96">
        <v>75</v>
      </c>
      <c r="T116" s="96">
        <v>123</v>
      </c>
      <c r="U116" s="96">
        <v>0</v>
      </c>
      <c r="V116" s="96">
        <v>10</v>
      </c>
      <c r="W116" s="96">
        <v>20</v>
      </c>
      <c r="X116" s="96">
        <v>28</v>
      </c>
      <c r="Y116" s="96">
        <v>17</v>
      </c>
      <c r="Z116" s="96">
        <v>27</v>
      </c>
      <c r="AA116" s="96" t="str">
        <f t="shared" si="8"/>
        <v>DA_WPN_Bow_CruelRecurve_c_mag</v>
      </c>
      <c r="AB116" s="90" t="str">
        <f t="shared" si="9"/>
        <v>/Game/DungeonSiege/Items/Weapons/bow/DA_WPN_Bow_CruelRecurve_c_mag</v>
      </c>
      <c r="AC116" s="97" t="str">
        <f t="shared" si="10"/>
        <v>Texture2D'/Game/DungeonSiege/art/bitmaps/gui/in_game/inventory/weapons/bow/b_gui_ig_i_w_bow_109.b_gui_ig_i_w_bow_109'</v>
      </c>
      <c r="AD116" s="97" t="str">
        <f t="shared" si="12"/>
        <v>Texture2D'/Game/DungeonSiege/art/bitmaps/gui/in_game/inventory/icons/b_gui_ig_i_ic_bow_001.b_gui_ig_i_ic_bow_001'</v>
      </c>
      <c r="AE116" s="97" t="str">
        <f t="shared" si="11"/>
        <v>StaticMesh'/Game/DungeonSiege/art/meshes/weapons/bow/m_w_bow_015_AspMesh.m_w_bow_015_AspMesh'</v>
      </c>
    </row>
    <row r="117" spans="1:31" ht="15.75" thickBot="1" x14ac:dyDescent="0.3">
      <c r="A117" s="95">
        <v>115</v>
      </c>
      <c r="B117" s="95">
        <f>A117+Items!B$19</f>
        <v>85983347</v>
      </c>
      <c r="C117" s="96" t="s">
        <v>6412</v>
      </c>
      <c r="D117" s="96" t="s">
        <v>6406</v>
      </c>
      <c r="E117" s="96" t="s">
        <v>3524</v>
      </c>
      <c r="F117" s="96" t="s">
        <v>6241</v>
      </c>
      <c r="G117" s="96" t="s">
        <v>3532</v>
      </c>
      <c r="H117" s="96"/>
      <c r="I117" s="96"/>
      <c r="J117" s="96"/>
      <c r="K117" s="96"/>
      <c r="L117" s="96" t="s">
        <v>6413</v>
      </c>
      <c r="M117" s="96" t="s">
        <v>6414</v>
      </c>
      <c r="N117" s="96" t="s">
        <v>6101</v>
      </c>
      <c r="O117" s="95" t="str">
        <f t="shared" si="13"/>
        <v>FALSE</v>
      </c>
      <c r="P117" s="95"/>
      <c r="Q117" s="96">
        <v>1</v>
      </c>
      <c r="R117" s="96">
        <v>3</v>
      </c>
      <c r="S117" s="96">
        <v>34</v>
      </c>
      <c r="T117" s="96">
        <v>56</v>
      </c>
      <c r="U117" s="96">
        <v>0</v>
      </c>
      <c r="V117" s="96">
        <v>10</v>
      </c>
      <c r="W117" s="96">
        <v>6</v>
      </c>
      <c r="X117" s="96">
        <v>14</v>
      </c>
      <c r="Y117" s="96">
        <v>12</v>
      </c>
      <c r="Z117" s="96">
        <v>6</v>
      </c>
      <c r="AA117" s="96" t="str">
        <f t="shared" si="8"/>
        <v>DA_WPN_Bow_CruelRecurve_o_fin</v>
      </c>
      <c r="AB117" s="90" t="str">
        <f t="shared" si="9"/>
        <v>/Game/DungeonSiege/Items/Weapons/bow/DA_WPN_Bow_CruelRecurve_o_fin</v>
      </c>
      <c r="AC117" s="97" t="str">
        <f t="shared" si="10"/>
        <v>Texture2D'/Game/DungeonSiege/art/bitmaps/gui/in_game/inventory/weapons/bow/b_gui_ig_i_w_bow_107.b_gui_ig_i_w_bow_107'</v>
      </c>
      <c r="AD117" s="97" t="str">
        <f t="shared" si="12"/>
        <v>Texture2D'/Game/DungeonSiege/art/bitmaps/gui/in_game/inventory/icons/b_gui_ig_i_ic_bow_001.b_gui_ig_i_ic_bow_001'</v>
      </c>
      <c r="AE117" s="97" t="str">
        <f t="shared" si="11"/>
        <v>StaticMesh'/Game/DungeonSiege/art/meshes/weapons/bow/m_w_bow_029_AspMesh.m_w_bow_029_AspMesh'</v>
      </c>
    </row>
    <row r="118" spans="1:31" ht="15.75" thickBot="1" x14ac:dyDescent="0.3">
      <c r="A118" s="95">
        <v>116</v>
      </c>
      <c r="B118" s="95">
        <f>A118+Items!B$19</f>
        <v>85983348</v>
      </c>
      <c r="C118" s="96" t="s">
        <v>6415</v>
      </c>
      <c r="D118" s="96" t="s">
        <v>6406</v>
      </c>
      <c r="E118" s="96" t="s">
        <v>3524</v>
      </c>
      <c r="F118" s="96" t="s">
        <v>6245</v>
      </c>
      <c r="G118" s="96" t="s">
        <v>3534</v>
      </c>
      <c r="H118" s="96"/>
      <c r="I118" s="96"/>
      <c r="J118" s="96"/>
      <c r="K118" s="96"/>
      <c r="L118" s="96" t="s">
        <v>6416</v>
      </c>
      <c r="M118" s="96" t="s">
        <v>6417</v>
      </c>
      <c r="N118" s="96" t="s">
        <v>6101</v>
      </c>
      <c r="O118" s="95" t="str">
        <f t="shared" si="13"/>
        <v>FALSE</v>
      </c>
      <c r="P118" s="95"/>
      <c r="Q118" s="96">
        <v>1</v>
      </c>
      <c r="R118" s="96">
        <v>3</v>
      </c>
      <c r="S118" s="96">
        <v>58</v>
      </c>
      <c r="T118" s="96">
        <v>94</v>
      </c>
      <c r="U118" s="96">
        <v>0</v>
      </c>
      <c r="V118" s="96">
        <v>10</v>
      </c>
      <c r="W118" s="96">
        <v>15</v>
      </c>
      <c r="X118" s="96">
        <v>23</v>
      </c>
      <c r="Y118" s="96">
        <v>15</v>
      </c>
      <c r="Z118" s="96">
        <v>23</v>
      </c>
      <c r="AA118" s="96" t="str">
        <f t="shared" si="8"/>
        <v>DA_WPN_Bow_CruelRecurve_o_str</v>
      </c>
      <c r="AB118" s="90" t="str">
        <f t="shared" si="9"/>
        <v>/Game/DungeonSiege/Items/Weapons/bow/DA_WPN_Bow_CruelRecurve_o_str</v>
      </c>
      <c r="AC118" s="97" t="str">
        <f t="shared" si="10"/>
        <v>Texture2D'/Game/DungeonSiege/art/bitmaps/gui/in_game/inventory/weapons/bow/b_gui_ig_i_w_bow_108.b_gui_ig_i_w_bow_108'</v>
      </c>
      <c r="AD118" s="97" t="str">
        <f t="shared" si="12"/>
        <v>Texture2D'/Game/DungeonSiege/art/bitmaps/gui/in_game/inventory/icons/b_gui_ig_i_ic_bow_001.b_gui_ig_i_ic_bow_001'</v>
      </c>
      <c r="AE118" s="97" t="str">
        <f t="shared" si="11"/>
        <v>StaticMesh'/Game/DungeonSiege/art/meshes/weapons/bow/m_w_bow_030_AspMesh.m_w_bow_030_AspMesh'</v>
      </c>
    </row>
    <row r="119" spans="1:31" ht="15.75" thickBot="1" x14ac:dyDescent="0.3">
      <c r="A119" s="95">
        <v>117</v>
      </c>
      <c r="B119" s="95">
        <f>A119+Items!B$19</f>
        <v>85983349</v>
      </c>
      <c r="C119" s="96" t="s">
        <v>6418</v>
      </c>
      <c r="D119" s="96" t="s">
        <v>6418</v>
      </c>
      <c r="E119" s="96" t="s">
        <v>3524</v>
      </c>
      <c r="F119" s="96" t="s">
        <v>6419</v>
      </c>
      <c r="G119" s="96"/>
      <c r="H119" s="96" t="b">
        <v>1</v>
      </c>
      <c r="I119" s="96"/>
      <c r="J119" s="96"/>
      <c r="K119" s="96"/>
      <c r="L119" s="96" t="s">
        <v>6420</v>
      </c>
      <c r="M119" s="96" t="s">
        <v>6421</v>
      </c>
      <c r="N119" s="96" t="s">
        <v>6066</v>
      </c>
      <c r="O119" s="95" t="str">
        <f t="shared" si="13"/>
        <v>FALSE</v>
      </c>
      <c r="P119" s="95"/>
      <c r="Q119" s="96">
        <v>1</v>
      </c>
      <c r="R119" s="96">
        <v>3</v>
      </c>
      <c r="S119" s="96">
        <v>100</v>
      </c>
      <c r="T119" s="96">
        <v>140</v>
      </c>
      <c r="U119" s="96">
        <v>0.15</v>
      </c>
      <c r="V119" s="96">
        <v>12</v>
      </c>
      <c r="W119" s="96">
        <v>0</v>
      </c>
      <c r="X119" s="96">
        <v>0</v>
      </c>
      <c r="Y119" s="96">
        <v>22</v>
      </c>
      <c r="Z119" s="96">
        <v>35</v>
      </c>
      <c r="AA119" s="96" t="str">
        <f t="shared" si="8"/>
        <v>DA_WPN_Bow_DroogArcherBow</v>
      </c>
      <c r="AB119" s="90" t="str">
        <f t="shared" si="9"/>
        <v>/Game/DungeonSiege/Items/Weapons/bow/DA_WPN_Bow_DroogArcherBow</v>
      </c>
      <c r="AC119" s="97" t="str">
        <f t="shared" si="10"/>
        <v>Texture2D'/Game/DungeonSiege/art/bitmaps/gui/in_game/inventory/weapons/bow/b_gui_ig_i_w_bow_088.b_gui_ig_i_w_bow_088'</v>
      </c>
      <c r="AD119" s="97" t="str">
        <f t="shared" si="12"/>
        <v>Texture2D'/Game/DungeonSiege/art/bitmaps/gui/in_game/inventory/icons/b_gui_ig_i_ic_bow_004.b_gui_ig_i_ic_bow_004'</v>
      </c>
      <c r="AE119" s="97" t="str">
        <f t="shared" si="11"/>
        <v>StaticMesh'/Game/DungeonSiege/art/meshes/weapons/bow/m_w_bow_038_AspMesh.m_w_bow_038_AspMesh'</v>
      </c>
    </row>
    <row r="120" spans="1:31" ht="15.75" thickBot="1" x14ac:dyDescent="0.3">
      <c r="A120" s="95">
        <v>118</v>
      </c>
      <c r="B120" s="95">
        <f>A120+Items!B$19</f>
        <v>85983350</v>
      </c>
      <c r="C120" s="96" t="s">
        <v>6422</v>
      </c>
      <c r="D120" s="96" t="s">
        <v>6422</v>
      </c>
      <c r="E120" s="96" t="s">
        <v>3524</v>
      </c>
      <c r="F120" s="96" t="s">
        <v>6423</v>
      </c>
      <c r="G120" s="96"/>
      <c r="H120" s="96" t="b">
        <v>1</v>
      </c>
      <c r="I120" s="96"/>
      <c r="J120" s="96"/>
      <c r="K120" s="96"/>
      <c r="L120" s="96" t="s">
        <v>6424</v>
      </c>
      <c r="M120" s="96" t="s">
        <v>6425</v>
      </c>
      <c r="N120" s="96" t="s">
        <v>6066</v>
      </c>
      <c r="O120" s="95" t="str">
        <f t="shared" si="13"/>
        <v>FALSE</v>
      </c>
      <c r="P120" s="95"/>
      <c r="Q120" s="96">
        <v>1</v>
      </c>
      <c r="R120" s="96">
        <v>3</v>
      </c>
      <c r="S120" s="96">
        <v>33</v>
      </c>
      <c r="T120" s="96">
        <v>37</v>
      </c>
      <c r="U120" s="96">
        <v>0.3</v>
      </c>
      <c r="V120" s="96">
        <v>11</v>
      </c>
      <c r="W120" s="96">
        <v>0</v>
      </c>
      <c r="X120" s="96">
        <v>0</v>
      </c>
      <c r="Y120" s="96">
        <v>14</v>
      </c>
      <c r="Z120" s="96">
        <v>19</v>
      </c>
      <c r="AA120" s="96" t="str">
        <f t="shared" si="8"/>
        <v>DA_WPN_Bow_IceBow</v>
      </c>
      <c r="AB120" s="90" t="str">
        <f t="shared" si="9"/>
        <v>/Game/DungeonSiege/Items/Weapons/bow/DA_WPN_Bow_IceBow</v>
      </c>
      <c r="AC120" s="97" t="str">
        <f t="shared" si="10"/>
        <v>Texture2D'/Game/DungeonSiege/art/bitmaps/gui/in_game/inventory/weapons/bow/b_gui_ig_i_w_bow_087.b_gui_ig_i_w_bow_087'</v>
      </c>
      <c r="AD120" s="97" t="str">
        <f t="shared" si="12"/>
        <v>Texture2D'/Game/DungeonSiege/art/bitmaps/gui/in_game/inventory/icons/b_gui_ig_i_ic_bow_004.b_gui_ig_i_ic_bow_004'</v>
      </c>
      <c r="AE120" s="97" t="str">
        <f t="shared" si="11"/>
        <v>StaticMesh'/Game/DungeonSiege/art/meshes/weapons/bow/m_w_bow_009_AspMesh.m_w_bow_009_AspMesh'</v>
      </c>
    </row>
    <row r="121" spans="1:31" ht="15.75" thickBot="1" x14ac:dyDescent="0.3">
      <c r="A121" s="95">
        <v>119</v>
      </c>
      <c r="B121" s="95">
        <f>A121+Items!B$19</f>
        <v>85983351</v>
      </c>
      <c r="C121" s="96" t="s">
        <v>6426</v>
      </c>
      <c r="D121" s="96" t="s">
        <v>6426</v>
      </c>
      <c r="E121" s="96" t="s">
        <v>3524</v>
      </c>
      <c r="F121" s="96" t="s">
        <v>6427</v>
      </c>
      <c r="G121" s="96"/>
      <c r="H121" s="96" t="b">
        <v>1</v>
      </c>
      <c r="I121" s="96"/>
      <c r="J121" s="96"/>
      <c r="K121" s="96"/>
      <c r="L121" s="96" t="s">
        <v>6428</v>
      </c>
      <c r="M121" s="96" t="s">
        <v>6429</v>
      </c>
      <c r="N121" s="96" t="s">
        <v>6066</v>
      </c>
      <c r="O121" s="95" t="str">
        <f t="shared" si="13"/>
        <v>FALSE</v>
      </c>
      <c r="P121" s="95"/>
      <c r="Q121" s="96">
        <v>1</v>
      </c>
      <c r="R121" s="96">
        <v>3</v>
      </c>
      <c r="S121" s="96">
        <v>121</v>
      </c>
      <c r="T121" s="96">
        <v>149</v>
      </c>
      <c r="U121" s="96">
        <v>0.15</v>
      </c>
      <c r="V121" s="96">
        <v>13</v>
      </c>
      <c r="W121" s="96">
        <v>0</v>
      </c>
      <c r="X121" s="96">
        <v>0</v>
      </c>
      <c r="Y121" s="96">
        <v>22</v>
      </c>
      <c r="Z121" s="96">
        <v>38</v>
      </c>
      <c r="AA121" s="96" t="str">
        <f t="shared" si="8"/>
        <v>DA_WPN_Bow_SeckBow</v>
      </c>
      <c r="AB121" s="90" t="str">
        <f t="shared" si="9"/>
        <v>/Game/DungeonSiege/Items/Weapons/bow/DA_WPN_Bow_SeckBow</v>
      </c>
      <c r="AC121" s="97" t="str">
        <f t="shared" si="10"/>
        <v>Texture2D'/Game/DungeonSiege/art/bitmaps/gui/in_game/inventory/weapons/bow/b_gui_ig_i_w_bow_053.b_gui_ig_i_w_bow_053'</v>
      </c>
      <c r="AD121" s="97" t="str">
        <f t="shared" si="12"/>
        <v>Texture2D'/Game/DungeonSiege/art/bitmaps/gui/in_game/inventory/icons/b_gui_ig_i_ic_bow_004.b_gui_ig_i_ic_bow_004'</v>
      </c>
      <c r="AE121" s="97" t="str">
        <f t="shared" si="11"/>
        <v>StaticMesh'/Game/DungeonSiege/art/meshes/weapons/bow/m_w_bow_035_AspMesh.m_w_bow_035_AspMesh'</v>
      </c>
    </row>
    <row r="122" spans="1:31" ht="15.75" thickBot="1" x14ac:dyDescent="0.3">
      <c r="A122" s="95">
        <v>120</v>
      </c>
      <c r="B122" s="95">
        <f>A122+Items!B$19</f>
        <v>85983352</v>
      </c>
      <c r="C122" s="96" t="s">
        <v>6430</v>
      </c>
      <c r="D122" s="96" t="s">
        <v>6430</v>
      </c>
      <c r="E122" s="96" t="s">
        <v>3524</v>
      </c>
      <c r="F122" s="96" t="s">
        <v>6431</v>
      </c>
      <c r="G122" s="96"/>
      <c r="H122" s="96" t="b">
        <v>1</v>
      </c>
      <c r="I122" s="96"/>
      <c r="J122" s="96"/>
      <c r="K122" s="96"/>
      <c r="L122" s="96" t="s">
        <v>6432</v>
      </c>
      <c r="M122" s="96" t="s">
        <v>6433</v>
      </c>
      <c r="N122" s="96" t="s">
        <v>6066</v>
      </c>
      <c r="O122" s="95" t="str">
        <f t="shared" si="13"/>
        <v>FALSE</v>
      </c>
      <c r="P122" s="95"/>
      <c r="Q122" s="96">
        <v>1</v>
      </c>
      <c r="R122" s="96">
        <v>3</v>
      </c>
      <c r="S122" s="96">
        <v>140</v>
      </c>
      <c r="T122" s="96">
        <v>180</v>
      </c>
      <c r="U122" s="96">
        <v>0.15</v>
      </c>
      <c r="V122" s="96">
        <v>15</v>
      </c>
      <c r="W122" s="96">
        <v>0</v>
      </c>
      <c r="X122" s="96">
        <v>0</v>
      </c>
      <c r="Y122" s="96">
        <v>42</v>
      </c>
      <c r="Z122" s="96">
        <v>26</v>
      </c>
      <c r="AA122" s="96" t="str">
        <f t="shared" si="8"/>
        <v>DA_WPN_Bow_SeckEliteBow</v>
      </c>
      <c r="AB122" s="90" t="str">
        <f t="shared" si="9"/>
        <v>/Game/DungeonSiege/Items/Weapons/bow/DA_WPN_Bow_SeckEliteBow</v>
      </c>
      <c r="AC122" s="97" t="str">
        <f t="shared" si="10"/>
        <v>Texture2D'/Game/DungeonSiege/art/bitmaps/gui/in_game/inventory/weapons/bow/b_gui_ig_i_w_bow_054.b_gui_ig_i_w_bow_054'</v>
      </c>
      <c r="AD122" s="97" t="str">
        <f t="shared" si="12"/>
        <v>Texture2D'/Game/DungeonSiege/art/bitmaps/gui/in_game/inventory/icons/b_gui_ig_i_ic_bow_004.b_gui_ig_i_ic_bow_004'</v>
      </c>
      <c r="AE122" s="97" t="str">
        <f t="shared" si="11"/>
        <v>StaticMesh'/Game/DungeonSiege/art/meshes/weapons/bow/m_w_bow_036_AspMesh.m_w_bow_036_AspMesh'</v>
      </c>
    </row>
    <row r="123" spans="1:31" ht="15.75" thickBot="1" x14ac:dyDescent="0.3">
      <c r="A123" s="95">
        <v>121</v>
      </c>
      <c r="B123" s="95">
        <f>A123+Items!B$19</f>
        <v>85983353</v>
      </c>
      <c r="C123" s="96" t="s">
        <v>6434</v>
      </c>
      <c r="D123" s="96" t="s">
        <v>6434</v>
      </c>
      <c r="E123" s="96" t="s">
        <v>3524</v>
      </c>
      <c r="F123" s="96" t="s">
        <v>6431</v>
      </c>
      <c r="G123" s="96"/>
      <c r="H123" s="96" t="b">
        <v>1</v>
      </c>
      <c r="I123" s="96"/>
      <c r="J123" s="96"/>
      <c r="K123" s="96"/>
      <c r="L123" s="96" t="s">
        <v>6435</v>
      </c>
      <c r="M123" s="96" t="s">
        <v>6436</v>
      </c>
      <c r="N123" s="96" t="s">
        <v>6066</v>
      </c>
      <c r="O123" s="95" t="str">
        <f t="shared" si="13"/>
        <v>FALSE</v>
      </c>
      <c r="P123" s="95"/>
      <c r="Q123" s="96">
        <v>1</v>
      </c>
      <c r="R123" s="96">
        <v>3</v>
      </c>
      <c r="S123" s="96">
        <v>25</v>
      </c>
      <c r="T123" s="96">
        <v>35</v>
      </c>
      <c r="U123" s="96">
        <v>0.15</v>
      </c>
      <c r="V123" s="96">
        <v>15</v>
      </c>
      <c r="W123" s="96">
        <v>0</v>
      </c>
      <c r="X123" s="96">
        <v>0</v>
      </c>
      <c r="Y123" s="96">
        <v>42</v>
      </c>
      <c r="Z123" s="96">
        <v>26</v>
      </c>
      <c r="AA123" s="96" t="str">
        <f t="shared" si="8"/>
        <v>DA_WPN_Bow_SeckBattleBow</v>
      </c>
      <c r="AB123" s="90" t="str">
        <f t="shared" si="9"/>
        <v>/Game/DungeonSiege/Items/Weapons/bow/DA_WPN_Bow_SeckBattleBow</v>
      </c>
      <c r="AC123" s="97" t="str">
        <f t="shared" si="10"/>
        <v>Texture2D'/Game/DungeonSiege/art/bitmaps/gui/in_game/inventory/weapons/bow/b_gui_ig_i_w_bow_055.b_gui_ig_i_w_bow_055'</v>
      </c>
      <c r="AD123" s="97" t="str">
        <f t="shared" si="12"/>
        <v>Texture2D'/Game/DungeonSiege/art/bitmaps/gui/in_game/inventory/icons/b_gui_ig_i_ic_bow_004.b_gui_ig_i_ic_bow_004'</v>
      </c>
      <c r="AE123" s="97" t="str">
        <f t="shared" si="11"/>
        <v>StaticMesh'/Game/DungeonSiege/art/meshes/weapons/bow/m_w_bow_036_AspMesh.m_w_bow_036_AspMesh'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ExportWeapons_Bow">
                <anchor moveWithCells="1" sizeWithCells="1">
                  <from>
                    <xdr:col>0</xdr:col>
                    <xdr:colOff>0</xdr:colOff>
                    <xdr:row>0</xdr:row>
                    <xdr:rowOff>9525</xdr:rowOff>
                  </from>
                  <to>
                    <xdr:col>0</xdr:col>
                    <xdr:colOff>981075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72B1F-BA44-49CD-BE1A-9FC3E82DC001}">
  <sheetPr codeName="Sheet20"/>
  <dimension ref="A1:AE8"/>
  <sheetViews>
    <sheetView topLeftCell="W1" zoomScale="190" zoomScaleNormal="190" workbookViewId="0">
      <selection activeCell="Y5" sqref="Y5"/>
    </sheetView>
  </sheetViews>
  <sheetFormatPr defaultRowHeight="15" x14ac:dyDescent="0.25"/>
  <cols>
    <col min="1" max="1" width="14.85546875" style="1" customWidth="1"/>
    <col min="2" max="2" width="11.140625" style="1" customWidth="1"/>
    <col min="3" max="3" width="18.85546875" style="1" bestFit="1" customWidth="1"/>
    <col min="4" max="4" width="17" style="1" bestFit="1" customWidth="1"/>
    <col min="5" max="5" width="4.28515625" style="1" bestFit="1" customWidth="1"/>
    <col min="6" max="6" width="17.42578125" style="1" bestFit="1" customWidth="1"/>
    <col min="7" max="7" width="5.5703125" style="1" bestFit="1" customWidth="1"/>
    <col min="8" max="8" width="7" style="1" bestFit="1" customWidth="1"/>
    <col min="9" max="11" width="4.7109375" style="1" bestFit="1" customWidth="1"/>
    <col min="12" max="12" width="22.42578125" style="1" bestFit="1" customWidth="1"/>
    <col min="13" max="13" width="17.5703125" style="1" bestFit="1" customWidth="1"/>
    <col min="14" max="14" width="17.28515625" style="1" bestFit="1" customWidth="1"/>
    <col min="15" max="15" width="9.7109375" style="1" customWidth="1"/>
    <col min="16" max="16" width="6.28515625" style="1" bestFit="1" customWidth="1"/>
    <col min="17" max="18" width="8.42578125" style="1" bestFit="1" customWidth="1"/>
    <col min="19" max="19" width="9.140625" style="1"/>
    <col min="20" max="20" width="8.5703125" style="1" bestFit="1" customWidth="1"/>
    <col min="21" max="21" width="6" style="1" bestFit="1" customWidth="1"/>
    <col min="22" max="22" width="5.85546875" style="1" bestFit="1" customWidth="1"/>
    <col min="23" max="23" width="9" style="1" bestFit="1" customWidth="1"/>
    <col min="24" max="24" width="8.5703125" style="1" bestFit="1" customWidth="1"/>
    <col min="25" max="26" width="9.28515625" style="1" bestFit="1" customWidth="1"/>
    <col min="27" max="27" width="28" style="1" bestFit="1" customWidth="1"/>
    <col min="28" max="28" width="59" style="91" bestFit="1" customWidth="1"/>
    <col min="29" max="29" width="82.140625" style="91" bestFit="1" customWidth="1"/>
    <col min="30" max="30" width="75.5703125" style="91" bestFit="1" customWidth="1"/>
    <col min="31" max="31" width="81" style="91" bestFit="1" customWidth="1"/>
    <col min="32" max="16384" width="9.140625" style="1"/>
  </cols>
  <sheetData>
    <row r="1" spans="1:31" s="84" customFormat="1" ht="34.5" thickBot="1" x14ac:dyDescent="0.3">
      <c r="A1" s="30"/>
      <c r="B1" s="30" t="s">
        <v>28</v>
      </c>
      <c r="C1" s="30" t="s">
        <v>0</v>
      </c>
      <c r="D1" s="30" t="s">
        <v>3401</v>
      </c>
      <c r="E1" s="30" t="s">
        <v>3391</v>
      </c>
      <c r="F1" s="93" t="s">
        <v>3400</v>
      </c>
      <c r="G1" s="93" t="s">
        <v>3526</v>
      </c>
      <c r="H1" s="80" t="s">
        <v>2908</v>
      </c>
      <c r="I1" s="80" t="s">
        <v>2909</v>
      </c>
      <c r="J1" s="80" t="s">
        <v>2910</v>
      </c>
      <c r="K1" s="80" t="s">
        <v>2911</v>
      </c>
      <c r="L1" s="30" t="s">
        <v>2495</v>
      </c>
      <c r="M1" s="93" t="s">
        <v>406</v>
      </c>
      <c r="N1" s="93" t="s">
        <v>3399</v>
      </c>
      <c r="O1" s="93" t="s">
        <v>3398</v>
      </c>
      <c r="P1" s="93" t="s">
        <v>678</v>
      </c>
      <c r="Q1" s="93" t="s">
        <v>2502</v>
      </c>
      <c r="R1" s="93" t="s">
        <v>2501</v>
      </c>
      <c r="S1" s="30" t="s">
        <v>3392</v>
      </c>
      <c r="T1" s="30" t="s">
        <v>3393</v>
      </c>
      <c r="U1" s="30" t="s">
        <v>3394</v>
      </c>
      <c r="V1" s="30" t="s">
        <v>3395</v>
      </c>
      <c r="W1" s="30" t="s">
        <v>3397</v>
      </c>
      <c r="X1" s="30" t="s">
        <v>3396</v>
      </c>
      <c r="Y1" s="30" t="s">
        <v>2906</v>
      </c>
      <c r="Z1" s="30" t="s">
        <v>2907</v>
      </c>
      <c r="AA1" s="89" t="s">
        <v>335</v>
      </c>
      <c r="AB1" s="93" t="s">
        <v>334</v>
      </c>
      <c r="AC1" s="95" t="s">
        <v>5628</v>
      </c>
      <c r="AD1" s="95" t="s">
        <v>5629</v>
      </c>
      <c r="AE1" s="95" t="s">
        <v>5630</v>
      </c>
    </row>
    <row r="2" spans="1:31" ht="15.75" thickBot="1" x14ac:dyDescent="0.3">
      <c r="A2" s="95">
        <v>0</v>
      </c>
      <c r="B2" s="95">
        <f>A2+Items!B$21</f>
        <v>88080384</v>
      </c>
      <c r="C2" s="96" t="s">
        <v>6437</v>
      </c>
      <c r="D2" s="96" t="s">
        <v>6438</v>
      </c>
      <c r="E2" s="96" t="s">
        <v>3525</v>
      </c>
      <c r="F2" s="96" t="s">
        <v>6439</v>
      </c>
      <c r="G2" s="96" t="s">
        <v>3527</v>
      </c>
      <c r="H2" s="96" t="b">
        <v>1</v>
      </c>
      <c r="I2" s="96"/>
      <c r="J2" s="96"/>
      <c r="K2" s="96"/>
      <c r="L2" s="96" t="s">
        <v>6440</v>
      </c>
      <c r="M2" s="96" t="s">
        <v>6441</v>
      </c>
      <c r="N2" s="96" t="s">
        <v>6442</v>
      </c>
      <c r="O2" s="95" t="str">
        <f t="shared" ref="O2:O8" si="0">IF(OR(I2=TRUE,J2=TRUE,K2=TRUE),"TRUE","FALSE")</f>
        <v>FALSE</v>
      </c>
      <c r="P2" s="95"/>
      <c r="Q2" s="96">
        <v>1</v>
      </c>
      <c r="R2" s="96">
        <v>2</v>
      </c>
      <c r="S2" s="96">
        <v>4</v>
      </c>
      <c r="T2" s="96">
        <v>8</v>
      </c>
      <c r="U2" s="96" t="s">
        <v>3536</v>
      </c>
      <c r="V2" s="96">
        <v>0.5</v>
      </c>
      <c r="W2" s="96">
        <v>0</v>
      </c>
      <c r="X2" s="96">
        <v>0</v>
      </c>
      <c r="Y2" s="96"/>
      <c r="Z2" s="96"/>
      <c r="AA2" s="96" t="str">
        <f>CONCATENATE("DA_WPN_Dgr_",SUBSTITUTE(SUBSTITUTE(SUBSTITUTE(C2," ",""),"(","_"),")",""))</f>
        <v>DA_WPN_Dgr_Dagger_base</v>
      </c>
      <c r="AB2" s="90" t="str">
        <f>"/Game/DungeonSiege/Items/Weapons/dagger/" &amp; AA2</f>
        <v>/Game/DungeonSiege/Items/Weapons/dagger/DA_WPN_Dgr_Dagger_base</v>
      </c>
      <c r="AC2" s="97" t="str">
        <f>CONCATENATE("Texture2D'/Game/DungeonSiege/art/bitmaps/gui/in_game/inventory/weapons/dagger/",M2,".",M2,"'")</f>
        <v>Texture2D'/Game/DungeonSiege/art/bitmaps/gui/in_game/inventory/weapons/dagger/b_gui_ig_i_w_dgr_003.b_gui_ig_i_w_dgr_003'</v>
      </c>
      <c r="AD2" s="97" t="str">
        <f t="shared" ref="AD2:AD8" si="1">CONCATENATE("Texture2D'/Game/DungeonSiege/art/bitmaps/gui/in_game/inventory/icons/",N2,".",N2,"'")</f>
        <v>Texture2D'/Game/DungeonSiege/art/bitmaps/gui/in_game/inventory/icons/b_gui_ig_i_ic_dg_st.b_gui_ig_i_ic_dg_st'</v>
      </c>
      <c r="AE2" s="97" t="str">
        <f>CONCATENATE("StaticMesh'/Game/DungeonSiege/art/meshes/weapons/dagger/",F2,"_AspMesh.",F2,"_AspMesh'")</f>
        <v>StaticMesh'/Game/DungeonSiege/art/meshes/weapons/dagger/m_w_dag_001_AspMesh.m_w_dag_001_AspMesh'</v>
      </c>
    </row>
    <row r="3" spans="1:31" ht="15.75" thickBot="1" x14ac:dyDescent="0.3">
      <c r="A3" s="95">
        <v>1</v>
      </c>
      <c r="B3" s="95">
        <f>A3+Items!B$21</f>
        <v>88080385</v>
      </c>
      <c r="C3" s="96" t="s">
        <v>6443</v>
      </c>
      <c r="D3" s="96" t="s">
        <v>6438</v>
      </c>
      <c r="E3" s="96" t="s">
        <v>3525</v>
      </c>
      <c r="F3" s="96" t="s">
        <v>6439</v>
      </c>
      <c r="G3" s="96" t="s">
        <v>3531</v>
      </c>
      <c r="H3" s="96"/>
      <c r="I3" s="96" t="b">
        <v>1</v>
      </c>
      <c r="J3" s="96"/>
      <c r="K3" s="96"/>
      <c r="L3" s="96" t="s">
        <v>6444</v>
      </c>
      <c r="M3" s="96" t="s">
        <v>6445</v>
      </c>
      <c r="N3" s="96" t="s">
        <v>6442</v>
      </c>
      <c r="O3" s="95" t="str">
        <f t="shared" si="0"/>
        <v>TRUE</v>
      </c>
      <c r="P3" s="95"/>
      <c r="Q3" s="96">
        <v>1</v>
      </c>
      <c r="R3" s="96">
        <v>2</v>
      </c>
      <c r="S3" s="96">
        <v>4</v>
      </c>
      <c r="T3" s="96">
        <v>13</v>
      </c>
      <c r="U3" s="96" t="s">
        <v>3536</v>
      </c>
      <c r="V3" s="96">
        <v>0.5</v>
      </c>
      <c r="W3" s="96">
        <v>1</v>
      </c>
      <c r="X3" s="96">
        <v>2</v>
      </c>
      <c r="Y3" s="96"/>
      <c r="Z3" s="96"/>
      <c r="AA3" s="96" t="str">
        <f t="shared" ref="AA3:AA8" si="2">CONCATENATE("DA_WPN_Dgr_",SUBSTITUTE(SUBSTITUTE(SUBSTITUTE(C3," ",""),"(","_"),")",""))</f>
        <v>DA_WPN_Dgr_Dagger_c_fin</v>
      </c>
      <c r="AB3" s="90" t="str">
        <f t="shared" ref="AB3:AB8" si="3">"/Game/DungeonSiege/Items/Weapons/dagger/" &amp; AA3</f>
        <v>/Game/DungeonSiege/Items/Weapons/dagger/DA_WPN_Dgr_Dagger_c_fin</v>
      </c>
      <c r="AC3" s="97" t="str">
        <f t="shared" ref="AC3:AC8" si="4">CONCATENATE("Texture2D'/Game/DungeonSiege/art/bitmaps/gui/in_game/inventory/weapons/dagger/",M3,".",M3,"'")</f>
        <v>Texture2D'/Game/DungeonSiege/art/bitmaps/gui/in_game/inventory/weapons/dagger/b_gui_ig_i_w_dgr_004.b_gui_ig_i_w_dgr_004'</v>
      </c>
      <c r="AD3" s="97" t="str">
        <f t="shared" si="1"/>
        <v>Texture2D'/Game/DungeonSiege/art/bitmaps/gui/in_game/inventory/icons/b_gui_ig_i_ic_dg_st.b_gui_ig_i_ic_dg_st'</v>
      </c>
      <c r="AE3" s="97" t="str">
        <f t="shared" ref="AE3:AE8" si="5">CONCATENATE("StaticMesh'/Game/DungeonSiege/art/meshes/weapons/dagger/",F3,"_AspMesh.",F3,"_AspMesh'")</f>
        <v>StaticMesh'/Game/DungeonSiege/art/meshes/weapons/dagger/m_w_dag_001_AspMesh.m_w_dag_001_AspMesh'</v>
      </c>
    </row>
    <row r="4" spans="1:31" ht="15.75" thickBot="1" x14ac:dyDescent="0.3">
      <c r="A4" s="95">
        <v>2</v>
      </c>
      <c r="B4" s="95">
        <f>A4+Items!B$21</f>
        <v>88080386</v>
      </c>
      <c r="C4" s="96" t="s">
        <v>6446</v>
      </c>
      <c r="D4" s="96" t="s">
        <v>6438</v>
      </c>
      <c r="E4" s="96" t="s">
        <v>3525</v>
      </c>
      <c r="F4" s="96" t="s">
        <v>6439</v>
      </c>
      <c r="G4" s="96" t="s">
        <v>3529</v>
      </c>
      <c r="H4" s="96"/>
      <c r="I4" s="96" t="b">
        <v>1</v>
      </c>
      <c r="J4" s="96"/>
      <c r="K4" s="96"/>
      <c r="L4" s="96" t="s">
        <v>6447</v>
      </c>
      <c r="M4" s="96" t="s">
        <v>6448</v>
      </c>
      <c r="N4" s="96" t="s">
        <v>6442</v>
      </c>
      <c r="O4" s="95" t="str">
        <f t="shared" si="0"/>
        <v>TRUE</v>
      </c>
      <c r="P4" s="95"/>
      <c r="Q4" s="96">
        <v>1</v>
      </c>
      <c r="R4" s="96">
        <v>2</v>
      </c>
      <c r="S4" s="96">
        <v>15</v>
      </c>
      <c r="T4" s="96">
        <v>46</v>
      </c>
      <c r="U4" s="96" t="s">
        <v>3536</v>
      </c>
      <c r="V4" s="96">
        <v>0.5</v>
      </c>
      <c r="W4" s="96">
        <v>6</v>
      </c>
      <c r="X4" s="96">
        <v>9</v>
      </c>
      <c r="Y4" s="96" t="s">
        <v>2384</v>
      </c>
      <c r="Z4" s="96">
        <v>16</v>
      </c>
      <c r="AA4" s="96" t="str">
        <f t="shared" si="2"/>
        <v>DA_WPN_Dgr_Dagger_c_mag</v>
      </c>
      <c r="AB4" s="90" t="str">
        <f t="shared" si="3"/>
        <v>/Game/DungeonSiege/Items/Weapons/dagger/DA_WPN_Dgr_Dagger_c_mag</v>
      </c>
      <c r="AC4" s="97" t="str">
        <f t="shared" si="4"/>
        <v>Texture2D'/Game/DungeonSiege/art/bitmaps/gui/in_game/inventory/weapons/dagger/b_gui_ig_i_w_dgr_006.b_gui_ig_i_w_dgr_006'</v>
      </c>
      <c r="AD4" s="97" t="str">
        <f t="shared" si="1"/>
        <v>Texture2D'/Game/DungeonSiege/art/bitmaps/gui/in_game/inventory/icons/b_gui_ig_i_ic_dg_st.b_gui_ig_i_ic_dg_st'</v>
      </c>
      <c r="AE4" s="97" t="str">
        <f t="shared" si="5"/>
        <v>StaticMesh'/Game/DungeonSiege/art/meshes/weapons/dagger/m_w_dag_001_AspMesh.m_w_dag_001_AspMesh'</v>
      </c>
    </row>
    <row r="5" spans="1:31" ht="15.75" thickBot="1" x14ac:dyDescent="0.3">
      <c r="A5" s="95">
        <v>3</v>
      </c>
      <c r="B5" s="95">
        <f>A5+Items!B$21</f>
        <v>88080387</v>
      </c>
      <c r="C5" s="96" t="s">
        <v>6449</v>
      </c>
      <c r="D5" s="96" t="s">
        <v>6438</v>
      </c>
      <c r="E5" s="96" t="s">
        <v>3525</v>
      </c>
      <c r="F5" s="96" t="s">
        <v>6439</v>
      </c>
      <c r="G5" s="96" t="s">
        <v>3530</v>
      </c>
      <c r="H5" s="96"/>
      <c r="I5" s="96" t="b">
        <v>1</v>
      </c>
      <c r="J5" s="96"/>
      <c r="K5" s="96"/>
      <c r="L5" s="96" t="s">
        <v>6450</v>
      </c>
      <c r="M5" s="96" t="s">
        <v>6451</v>
      </c>
      <c r="N5" s="96" t="s">
        <v>6442</v>
      </c>
      <c r="O5" s="95" t="str">
        <f t="shared" si="0"/>
        <v>TRUE</v>
      </c>
      <c r="P5" s="95"/>
      <c r="Q5" s="96">
        <v>1</v>
      </c>
      <c r="R5" s="96">
        <v>2</v>
      </c>
      <c r="S5" s="96">
        <v>9</v>
      </c>
      <c r="T5" s="96">
        <v>27</v>
      </c>
      <c r="U5" s="96" t="s">
        <v>3536</v>
      </c>
      <c r="V5" s="96">
        <v>0.5</v>
      </c>
      <c r="W5" s="96">
        <v>4</v>
      </c>
      <c r="X5" s="96">
        <v>5</v>
      </c>
      <c r="Y5" s="96" t="s">
        <v>2384</v>
      </c>
      <c r="Z5" s="96">
        <v>13</v>
      </c>
      <c r="AA5" s="96" t="str">
        <f t="shared" si="2"/>
        <v>DA_WPN_Dgr_Dagger_c_str</v>
      </c>
      <c r="AB5" s="90" t="str">
        <f t="shared" si="3"/>
        <v>/Game/DungeonSiege/Items/Weapons/dagger/DA_WPN_Dgr_Dagger_c_str</v>
      </c>
      <c r="AC5" s="97" t="str">
        <f t="shared" si="4"/>
        <v>Texture2D'/Game/DungeonSiege/art/bitmaps/gui/in_game/inventory/weapons/dagger/b_gui_ig_i_w_dgr_005.b_gui_ig_i_w_dgr_005'</v>
      </c>
      <c r="AD5" s="97" t="str">
        <f t="shared" si="1"/>
        <v>Texture2D'/Game/DungeonSiege/art/bitmaps/gui/in_game/inventory/icons/b_gui_ig_i_ic_dg_st.b_gui_ig_i_ic_dg_st'</v>
      </c>
      <c r="AE5" s="97" t="str">
        <f t="shared" si="5"/>
        <v>StaticMesh'/Game/DungeonSiege/art/meshes/weapons/dagger/m_w_dag_001_AspMesh.m_w_dag_001_AspMesh'</v>
      </c>
    </row>
    <row r="6" spans="1:31" ht="15.75" thickBot="1" x14ac:dyDescent="0.3">
      <c r="A6" s="95">
        <v>4</v>
      </c>
      <c r="B6" s="95">
        <f>A6+Items!B$21</f>
        <v>88080388</v>
      </c>
      <c r="C6" s="96" t="s">
        <v>6452</v>
      </c>
      <c r="D6" s="96" t="s">
        <v>6452</v>
      </c>
      <c r="E6" s="96" t="s">
        <v>3525</v>
      </c>
      <c r="F6" s="96" t="s">
        <v>6439</v>
      </c>
      <c r="G6" s="96"/>
      <c r="H6" s="96" t="b">
        <v>1</v>
      </c>
      <c r="I6" s="96"/>
      <c r="J6" s="96"/>
      <c r="K6" s="96"/>
      <c r="L6" s="96" t="s">
        <v>6453</v>
      </c>
      <c r="M6" s="96" t="s">
        <v>6454</v>
      </c>
      <c r="N6" s="96" t="s">
        <v>6442</v>
      </c>
      <c r="O6" s="95" t="str">
        <f t="shared" si="0"/>
        <v>FALSE</v>
      </c>
      <c r="P6" s="95"/>
      <c r="Q6" s="96">
        <v>1</v>
      </c>
      <c r="R6" s="96">
        <v>2</v>
      </c>
      <c r="S6" s="96">
        <v>2</v>
      </c>
      <c r="T6" s="96">
        <v>5</v>
      </c>
      <c r="U6" s="96" t="s">
        <v>3536</v>
      </c>
      <c r="V6" s="96">
        <v>0.5</v>
      </c>
      <c r="W6" s="96">
        <v>0</v>
      </c>
      <c r="X6" s="96">
        <v>0</v>
      </c>
      <c r="Y6" s="96"/>
      <c r="Z6" s="96"/>
      <c r="AA6" s="96" t="str">
        <f t="shared" si="2"/>
        <v>DA_WPN_Dgr_BluntDagger</v>
      </c>
      <c r="AB6" s="90" t="str">
        <f t="shared" si="3"/>
        <v>/Game/DungeonSiege/Items/Weapons/dagger/DA_WPN_Dgr_BluntDagger</v>
      </c>
      <c r="AC6" s="97" t="str">
        <f t="shared" si="4"/>
        <v>Texture2D'/Game/DungeonSiege/art/bitmaps/gui/in_game/inventory/weapons/dagger/b_gui_ig_i_w_dgr_001.b_gui_ig_i_w_dgr_001'</v>
      </c>
      <c r="AD6" s="97" t="str">
        <f t="shared" si="1"/>
        <v>Texture2D'/Game/DungeonSiege/art/bitmaps/gui/in_game/inventory/icons/b_gui_ig_i_ic_dg_st.b_gui_ig_i_ic_dg_st'</v>
      </c>
      <c r="AE6" s="97" t="str">
        <f t="shared" si="5"/>
        <v>StaticMesh'/Game/DungeonSiege/art/meshes/weapons/dagger/m_w_dag_001_AspMesh.m_w_dag_001_AspMesh'</v>
      </c>
    </row>
    <row r="7" spans="1:31" ht="15.75" thickBot="1" x14ac:dyDescent="0.3">
      <c r="A7" s="95">
        <v>5</v>
      </c>
      <c r="B7" s="95">
        <f>A7+Items!B$21</f>
        <v>88080389</v>
      </c>
      <c r="C7" s="96" t="s">
        <v>6455</v>
      </c>
      <c r="D7" s="96" t="s">
        <v>6455</v>
      </c>
      <c r="E7" s="96" t="s">
        <v>3525</v>
      </c>
      <c r="F7" s="96" t="s">
        <v>6456</v>
      </c>
      <c r="G7" s="96"/>
      <c r="H7" s="96" t="b">
        <v>1</v>
      </c>
      <c r="I7" s="96"/>
      <c r="J7" s="96"/>
      <c r="K7" s="96"/>
      <c r="L7" s="96" t="s">
        <v>6457</v>
      </c>
      <c r="M7" s="96" t="s">
        <v>6458</v>
      </c>
      <c r="N7" s="96" t="s">
        <v>6442</v>
      </c>
      <c r="O7" s="95" t="str">
        <f t="shared" si="0"/>
        <v>FALSE</v>
      </c>
      <c r="P7" s="95"/>
      <c r="Q7" s="96">
        <v>1</v>
      </c>
      <c r="R7" s="96">
        <v>2</v>
      </c>
      <c r="S7" s="96">
        <v>1</v>
      </c>
      <c r="T7" s="96">
        <v>4</v>
      </c>
      <c r="U7" s="96" t="s">
        <v>3536</v>
      </c>
      <c r="V7" s="96">
        <v>0.5</v>
      </c>
      <c r="W7" s="96">
        <v>0</v>
      </c>
      <c r="X7" s="96">
        <v>0</v>
      </c>
      <c r="Y7" s="96"/>
      <c r="Z7" s="96"/>
      <c r="AA7" s="96" t="str">
        <f t="shared" si="2"/>
        <v>DA_WPN_Dgr_RustyDagger</v>
      </c>
      <c r="AB7" s="90" t="str">
        <f t="shared" si="3"/>
        <v>/Game/DungeonSiege/Items/Weapons/dagger/DA_WPN_Dgr_RustyDagger</v>
      </c>
      <c r="AC7" s="97" t="str">
        <f t="shared" si="4"/>
        <v>Texture2D'/Game/DungeonSiege/art/bitmaps/gui/in_game/inventory/weapons/dagger/b_gui_ig_i_w_dgr_002.b_gui_ig_i_w_dgr_002'</v>
      </c>
      <c r="AD7" s="97" t="str">
        <f t="shared" si="1"/>
        <v>Texture2D'/Game/DungeonSiege/art/bitmaps/gui/in_game/inventory/icons/b_gui_ig_i_ic_dg_st.b_gui_ig_i_ic_dg_st'</v>
      </c>
      <c r="AE7" s="97" t="str">
        <f t="shared" si="5"/>
        <v>StaticMesh'/Game/DungeonSiege/art/meshes/weapons/dagger/m_w_dag_002_AspMesh.m_w_dag_002_AspMesh'</v>
      </c>
    </row>
    <row r="8" spans="1:31" ht="15.75" thickBot="1" x14ac:dyDescent="0.3">
      <c r="A8" s="95">
        <v>6</v>
      </c>
      <c r="B8" s="95">
        <f>A8+Items!B$21</f>
        <v>88080390</v>
      </c>
      <c r="C8" s="96" t="s">
        <v>6459</v>
      </c>
      <c r="D8" s="96" t="s">
        <v>6459</v>
      </c>
      <c r="E8" s="96" t="s">
        <v>3525</v>
      </c>
      <c r="F8" s="96" t="s">
        <v>6460</v>
      </c>
      <c r="G8" s="96"/>
      <c r="H8" s="96" t="b">
        <v>1</v>
      </c>
      <c r="I8" s="96"/>
      <c r="J8" s="96"/>
      <c r="K8" s="96"/>
      <c r="L8" s="96" t="s">
        <v>6461</v>
      </c>
      <c r="M8" s="96" t="s">
        <v>6462</v>
      </c>
      <c r="N8" s="96" t="s">
        <v>6442</v>
      </c>
      <c r="O8" s="95" t="str">
        <f t="shared" si="0"/>
        <v>FALSE</v>
      </c>
      <c r="P8" s="95"/>
      <c r="Q8" s="96">
        <v>1</v>
      </c>
      <c r="R8" s="96">
        <v>2</v>
      </c>
      <c r="S8" s="96">
        <v>2</v>
      </c>
      <c r="T8" s="96">
        <v>4</v>
      </c>
      <c r="U8" s="96" t="s">
        <v>3536</v>
      </c>
      <c r="V8" s="96">
        <v>0.5</v>
      </c>
      <c r="W8" s="96">
        <v>0</v>
      </c>
      <c r="X8" s="96">
        <v>0</v>
      </c>
      <c r="Y8" s="96"/>
      <c r="Z8" s="96"/>
      <c r="AA8" s="96" t="str">
        <f t="shared" si="2"/>
        <v>DA_WPN_Dgr_Knife</v>
      </c>
      <c r="AB8" s="90" t="str">
        <f t="shared" si="3"/>
        <v>/Game/DungeonSiege/Items/Weapons/dagger/DA_WPN_Dgr_Knife</v>
      </c>
      <c r="AC8" s="97" t="str">
        <f t="shared" si="4"/>
        <v>Texture2D'/Game/DungeonSiege/art/bitmaps/gui/in_game/inventory/weapons/dagger/b_gui_ig_i_w_dgr_007.b_gui_ig_i_w_dgr_007'</v>
      </c>
      <c r="AD8" s="97" t="str">
        <f t="shared" si="1"/>
        <v>Texture2D'/Game/DungeonSiege/art/bitmaps/gui/in_game/inventory/icons/b_gui_ig_i_ic_dg_st.b_gui_ig_i_ic_dg_st'</v>
      </c>
      <c r="AE8" s="97" t="str">
        <f t="shared" si="5"/>
        <v>StaticMesh'/Game/DungeonSiege/art/meshes/weapons/dagger/m_w_dag_003_AspMesh.m_w_dag_003_AspMesh'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ExportWeapons_Dagger">
                <anchor moveWithCells="1" sizeWithCells="1">
                  <from>
                    <xdr:col>0</xdr:col>
                    <xdr:colOff>0</xdr:colOff>
                    <xdr:row>0</xdr:row>
                    <xdr:rowOff>28575</xdr:rowOff>
                  </from>
                  <to>
                    <xdr:col>0</xdr:col>
                    <xdr:colOff>838200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3C3D7-8539-411A-8ECD-CD1E79B6ED4E}">
  <sheetPr codeName="Sheet19"/>
  <dimension ref="A1:AF125"/>
  <sheetViews>
    <sheetView zoomScale="190" zoomScaleNormal="190" workbookViewId="0">
      <selection activeCell="C10" sqref="C10"/>
    </sheetView>
  </sheetViews>
  <sheetFormatPr defaultRowHeight="15" x14ac:dyDescent="0.25"/>
  <cols>
    <col min="1" max="1" width="15.7109375" style="1" customWidth="1"/>
    <col min="2" max="2" width="11.7109375" style="1" customWidth="1"/>
    <col min="3" max="3" width="11.140625" style="1" customWidth="1"/>
    <col min="4" max="4" width="18.85546875" style="1" bestFit="1" customWidth="1"/>
    <col min="5" max="5" width="17" style="1" bestFit="1" customWidth="1"/>
    <col min="6" max="6" width="4.28515625" style="1" bestFit="1" customWidth="1"/>
    <col min="7" max="7" width="17.42578125" style="1" bestFit="1" customWidth="1"/>
    <col min="8" max="8" width="5.5703125" style="1" bestFit="1" customWidth="1"/>
    <col min="9" max="9" width="7" style="1" bestFit="1" customWidth="1"/>
    <col min="10" max="12" width="4.7109375" style="1" bestFit="1" customWidth="1"/>
    <col min="13" max="13" width="22.42578125" style="1" bestFit="1" customWidth="1"/>
    <col min="14" max="14" width="17.5703125" style="1" bestFit="1" customWidth="1"/>
    <col min="15" max="15" width="17.28515625" style="1" bestFit="1" customWidth="1"/>
    <col min="16" max="16" width="9.7109375" style="1" customWidth="1"/>
    <col min="17" max="17" width="6.28515625" style="1" bestFit="1" customWidth="1"/>
    <col min="18" max="19" width="8.42578125" style="1" bestFit="1" customWidth="1"/>
    <col min="20" max="20" width="9.140625" style="1"/>
    <col min="21" max="21" width="8.5703125" style="1" bestFit="1" customWidth="1"/>
    <col min="22" max="22" width="6" style="1" bestFit="1" customWidth="1"/>
    <col min="23" max="23" width="5.85546875" style="1" bestFit="1" customWidth="1"/>
    <col min="24" max="24" width="9" style="1" bestFit="1" customWidth="1"/>
    <col min="25" max="25" width="8.5703125" style="1" bestFit="1" customWidth="1"/>
    <col min="26" max="27" width="9.28515625" style="1" bestFit="1" customWidth="1"/>
    <col min="28" max="28" width="28" style="1" bestFit="1" customWidth="1"/>
    <col min="29" max="29" width="59" style="91" bestFit="1" customWidth="1"/>
    <col min="30" max="30" width="82.140625" style="91" bestFit="1" customWidth="1"/>
    <col min="31" max="31" width="75.5703125" style="91" bestFit="1" customWidth="1"/>
    <col min="32" max="32" width="81" style="91" bestFit="1" customWidth="1"/>
    <col min="33" max="16384" width="9.140625" style="1"/>
  </cols>
  <sheetData>
    <row r="1" spans="1:32" s="84" customFormat="1" ht="34.5" thickBot="1" x14ac:dyDescent="0.3">
      <c r="A1" s="30"/>
      <c r="B1" s="30"/>
      <c r="C1" s="30" t="s">
        <v>28</v>
      </c>
      <c r="D1" s="30" t="s">
        <v>0</v>
      </c>
      <c r="E1" s="30" t="s">
        <v>3401</v>
      </c>
      <c r="F1" s="30" t="s">
        <v>3391</v>
      </c>
      <c r="G1" s="93" t="s">
        <v>3400</v>
      </c>
      <c r="H1" s="93" t="s">
        <v>3526</v>
      </c>
      <c r="I1" s="80" t="s">
        <v>2908</v>
      </c>
      <c r="J1" s="80" t="s">
        <v>2909</v>
      </c>
      <c r="K1" s="80" t="s">
        <v>2910</v>
      </c>
      <c r="L1" s="80" t="s">
        <v>2911</v>
      </c>
      <c r="M1" s="30" t="s">
        <v>2495</v>
      </c>
      <c r="N1" s="93" t="s">
        <v>406</v>
      </c>
      <c r="O1" s="93" t="s">
        <v>3399</v>
      </c>
      <c r="P1" s="93" t="s">
        <v>3398</v>
      </c>
      <c r="Q1" s="93" t="s">
        <v>678</v>
      </c>
      <c r="R1" s="93" t="s">
        <v>2502</v>
      </c>
      <c r="S1" s="93" t="s">
        <v>2501</v>
      </c>
      <c r="T1" s="30" t="s">
        <v>3392</v>
      </c>
      <c r="U1" s="30" t="s">
        <v>3393</v>
      </c>
      <c r="V1" s="30" t="s">
        <v>3394</v>
      </c>
      <c r="W1" s="30" t="s">
        <v>3395</v>
      </c>
      <c r="X1" s="30" t="s">
        <v>3397</v>
      </c>
      <c r="Y1" s="30" t="s">
        <v>3396</v>
      </c>
      <c r="Z1" s="30" t="s">
        <v>2906</v>
      </c>
      <c r="AA1" s="30" t="s">
        <v>2907</v>
      </c>
      <c r="AB1" s="89" t="s">
        <v>335</v>
      </c>
      <c r="AC1" s="93" t="s">
        <v>334</v>
      </c>
      <c r="AD1" s="95" t="s">
        <v>5628</v>
      </c>
      <c r="AE1" s="95" t="s">
        <v>5629</v>
      </c>
      <c r="AF1" s="95" t="s">
        <v>5630</v>
      </c>
    </row>
    <row r="2" spans="1:32" ht="15.75" thickBot="1" x14ac:dyDescent="0.3">
      <c r="A2" s="95">
        <v>0</v>
      </c>
      <c r="B2" s="95">
        <v>0</v>
      </c>
      <c r="C2" s="95">
        <f>Items!B$27+B2</f>
        <v>94371840</v>
      </c>
      <c r="D2" s="95" t="s">
        <v>3402</v>
      </c>
      <c r="E2" s="95" t="s">
        <v>3540</v>
      </c>
      <c r="F2" s="95" t="s">
        <v>3524</v>
      </c>
      <c r="G2" s="95" t="s">
        <v>3756</v>
      </c>
      <c r="H2" s="95" t="s">
        <v>3527</v>
      </c>
      <c r="I2" s="95"/>
      <c r="J2" s="95"/>
      <c r="K2" s="95"/>
      <c r="L2" s="95" t="b">
        <v>1</v>
      </c>
      <c r="M2" s="95" t="s">
        <v>3589</v>
      </c>
      <c r="N2" s="96" t="s">
        <v>3538</v>
      </c>
      <c r="O2" s="96" t="s">
        <v>3539</v>
      </c>
      <c r="P2" s="95" t="str">
        <f>IF(OR(J2=TRUE,K2=TRUE,L2=TRUE),"TRUE","FALSE")</f>
        <v>TRUE</v>
      </c>
      <c r="Q2" s="95" t="s">
        <v>3537</v>
      </c>
      <c r="R2" s="95">
        <v>1</v>
      </c>
      <c r="S2" s="95">
        <v>4</v>
      </c>
      <c r="T2" s="95">
        <v>297</v>
      </c>
      <c r="U2" s="95">
        <v>401</v>
      </c>
      <c r="V2" s="95" t="s">
        <v>3535</v>
      </c>
      <c r="W2" s="95">
        <v>0.5</v>
      </c>
      <c r="X2" s="81">
        <v>30</v>
      </c>
      <c r="Y2" s="81">
        <v>75</v>
      </c>
      <c r="Z2" s="81" t="s">
        <v>2384</v>
      </c>
      <c r="AA2" s="81">
        <v>71</v>
      </c>
      <c r="AB2" s="95" t="str">
        <f>CONCATENATE("DA_WPN_SW_",SUBSTITUTE(SUBSTITUTE(SUBSTITUTE(D2," ",""),"(","_"),")",""))</f>
        <v>DA_WPN_SW_BarbedSword_base</v>
      </c>
      <c r="AC2" s="90" t="str">
        <f>"/Game/DungeonSiege/Items/Weapons/Sword/" &amp; AB2</f>
        <v>/Game/DungeonSiege/Items/Weapons/Sword/DA_WPN_SW_BarbedSword_base</v>
      </c>
      <c r="AD2" s="97" t="str">
        <f>CONCATENATE("Texture2D'/Game/DungeonSiege/art/bitmaps/gui/in_game/inventory/weapons/sword/",N2,".",N2,"'")</f>
        <v>Texture2D'/Game/DungeonSiege/art/bitmaps/gui/in_game/inventory/weapons/sword/b_gui_ig_i_w_swd_078.b_gui_ig_i_w_swd_078'</v>
      </c>
      <c r="AE2" s="97" t="str">
        <f>CONCATENATE("Texture2D'/Game/DungeonSiege/art/bitmaps/gui/in_game/inventory/icons/",O2,".",O2,"'")</f>
        <v>Texture2D'/Game/DungeonSiege/art/bitmaps/gui/in_game/inventory/icons/b_gui_ig_i_ic_swd_007.b_gui_ig_i_ic_swd_007'</v>
      </c>
      <c r="AF2" s="97" t="str">
        <f>CONCATENATE("StaticMesh'/Game/DungeonSiege/art/meshes/weapons/sword/",G2,"_AspMesh.",G2,"_AspMesh'")</f>
        <v>StaticMesh'/Game/DungeonSiege/art/meshes/weapons/sword/m_w_swd_046_AspMesh.m_w_swd_046_AspMesh'</v>
      </c>
    </row>
    <row r="3" spans="1:32" ht="15.75" thickBot="1" x14ac:dyDescent="0.3">
      <c r="A3" s="95">
        <v>1</v>
      </c>
      <c r="B3" s="95">
        <v>1</v>
      </c>
      <c r="C3" s="95">
        <f>Items!B$27+B3</f>
        <v>94371841</v>
      </c>
      <c r="D3" s="95" t="s">
        <v>3403</v>
      </c>
      <c r="E3" s="95" t="s">
        <v>3541</v>
      </c>
      <c r="F3" s="95" t="s">
        <v>3525</v>
      </c>
      <c r="G3" s="95" t="s">
        <v>3757</v>
      </c>
      <c r="H3" s="95" t="s">
        <v>3527</v>
      </c>
      <c r="I3" s="95"/>
      <c r="J3" s="95" t="b">
        <v>1</v>
      </c>
      <c r="K3" s="95"/>
      <c r="L3" s="95"/>
      <c r="M3" s="95" t="s">
        <v>3588</v>
      </c>
      <c r="N3" s="96" t="s">
        <v>3587</v>
      </c>
      <c r="O3" s="96" t="s">
        <v>3584</v>
      </c>
      <c r="P3" s="95" t="b">
        <v>1</v>
      </c>
      <c r="Q3" s="95"/>
      <c r="R3" s="95">
        <v>1</v>
      </c>
      <c r="S3" s="95">
        <v>3</v>
      </c>
      <c r="T3" s="95">
        <v>16</v>
      </c>
      <c r="U3" s="95">
        <v>29</v>
      </c>
      <c r="V3" s="95" t="s">
        <v>3536</v>
      </c>
      <c r="W3" s="95">
        <v>0.5</v>
      </c>
      <c r="X3" s="81">
        <v>0</v>
      </c>
      <c r="Y3" s="81">
        <v>1</v>
      </c>
      <c r="Z3" s="81" t="s">
        <v>2384</v>
      </c>
      <c r="AA3" s="81">
        <v>14</v>
      </c>
      <c r="AB3" s="95" t="str">
        <f t="shared" ref="AB3:AB66" si="0">CONCATENATE("DA_WPN_SW_",SUBSTITUTE(SUBSTITUTE(SUBSTITUTE(D3," ",""),"(","_"),")",""))</f>
        <v>DA_WPN_SW_Blade_base</v>
      </c>
      <c r="AC3" s="90" t="str">
        <f t="shared" ref="AC3:AC66" si="1">"/Game/DungeonSiege/Items/Weapons/Sword/" &amp; AB3</f>
        <v>/Game/DungeonSiege/Items/Weapons/Sword/DA_WPN_SW_Blade_base</v>
      </c>
      <c r="AD3" s="97" t="str">
        <f t="shared" ref="AD3:AD66" si="2">CONCATENATE("Texture2D'/Game/DungeonSiege/art/bitmaps/gui/in_game/inventory/weapons/sword/",N3,".",N3,"'")</f>
        <v>Texture2D'/Game/DungeonSiege/art/bitmaps/gui/in_game/inventory/weapons/sword/b_gui_ig_i_w_swd_007.b_gui_ig_i_w_swd_007'</v>
      </c>
      <c r="AE3" s="97" t="str">
        <f t="shared" ref="AE3:AE66" si="3">CONCATENATE("Texture2D'/Game/DungeonSiege/art/bitmaps/gui/in_game/inventory/icons/",O3,".",O3,"'")</f>
        <v>Texture2D'/Game/DungeonSiege/art/bitmaps/gui/in_game/inventory/icons/b_gui_ig_i_ic_swd_001.b_gui_ig_i_ic_swd_001'</v>
      </c>
      <c r="AF3" s="97" t="str">
        <f t="shared" ref="AF3:AF66" si="4">CONCATENATE("StaticMesh'/Game/DungeonSiege/art/meshes/weapons/sword/",G3,"_AspMesh.",G3,"_AspMesh'")</f>
        <v>StaticMesh'/Game/DungeonSiege/art/meshes/weapons/sword/m_w_swd_014_AspMesh.m_w_swd_014_AspMesh'</v>
      </c>
    </row>
    <row r="4" spans="1:32" ht="15.75" thickBot="1" x14ac:dyDescent="0.3">
      <c r="A4" s="95">
        <v>2</v>
      </c>
      <c r="B4" s="95">
        <v>2</v>
      </c>
      <c r="C4" s="95">
        <f>Items!B$27+B4</f>
        <v>94371842</v>
      </c>
      <c r="D4" s="95" t="s">
        <v>3404</v>
      </c>
      <c r="E4" s="95" t="s">
        <v>3541</v>
      </c>
      <c r="F4" s="95" t="s">
        <v>3525</v>
      </c>
      <c r="G4" s="95" t="s">
        <v>3757</v>
      </c>
      <c r="H4" s="95" t="s">
        <v>3528</v>
      </c>
      <c r="I4" s="95"/>
      <c r="J4" s="95" t="b">
        <v>1</v>
      </c>
      <c r="K4" s="95"/>
      <c r="L4" s="95"/>
      <c r="M4" s="95" t="s">
        <v>3801</v>
      </c>
      <c r="N4" s="96" t="s">
        <v>3585</v>
      </c>
      <c r="O4" s="96" t="s">
        <v>3586</v>
      </c>
      <c r="P4" s="95" t="b">
        <v>1</v>
      </c>
      <c r="Q4" s="95"/>
      <c r="R4" s="95">
        <v>1</v>
      </c>
      <c r="S4" s="95">
        <v>3</v>
      </c>
      <c r="T4" s="95">
        <v>25</v>
      </c>
      <c r="U4" s="95">
        <v>47</v>
      </c>
      <c r="V4" s="95" t="s">
        <v>3536</v>
      </c>
      <c r="W4" s="95">
        <v>0.5</v>
      </c>
      <c r="X4" s="81">
        <v>3</v>
      </c>
      <c r="Y4" s="81">
        <v>12</v>
      </c>
      <c r="Z4" s="81" t="s">
        <v>2384</v>
      </c>
      <c r="AA4" s="81">
        <v>17</v>
      </c>
      <c r="AB4" s="95" t="str">
        <f t="shared" si="0"/>
        <v>DA_WPN_SW_Blade_o_avg</v>
      </c>
      <c r="AC4" s="90" t="str">
        <f t="shared" si="1"/>
        <v>/Game/DungeonSiege/Items/Weapons/Sword/DA_WPN_SW_Blade_o_avg</v>
      </c>
      <c r="AD4" s="97" t="str">
        <f t="shared" si="2"/>
        <v>Texture2D'/Game/DungeonSiege/art/bitmaps/gui/in_game/inventory/weapons/sword/b_gui_ig_i_w_swd_102.b_gui_ig_i_w_swd_102'</v>
      </c>
      <c r="AE4" s="97" t="str">
        <f t="shared" si="3"/>
        <v>Texture2D'/Game/DungeonSiege/art/bitmaps/gui/in_game/inventory/icons/b_gui_ig_i_ic_swd_002.b_gui_ig_i_ic_swd_002'</v>
      </c>
      <c r="AF4" s="97" t="str">
        <f t="shared" si="4"/>
        <v>StaticMesh'/Game/DungeonSiege/art/meshes/weapons/sword/m_w_swd_014_AspMesh.m_w_swd_014_AspMesh'</v>
      </c>
    </row>
    <row r="5" spans="1:32" ht="15.75" thickBot="1" x14ac:dyDescent="0.3">
      <c r="A5" s="95">
        <v>3</v>
      </c>
      <c r="B5" s="95">
        <v>3</v>
      </c>
      <c r="C5" s="95">
        <f>Items!B$27+B5</f>
        <v>94371843</v>
      </c>
      <c r="D5" s="95" t="s">
        <v>3405</v>
      </c>
      <c r="E5" s="95" t="s">
        <v>3405</v>
      </c>
      <c r="F5" s="95" t="s">
        <v>3525</v>
      </c>
      <c r="G5" s="95" t="s">
        <v>3758</v>
      </c>
      <c r="H5" s="95"/>
      <c r="I5" s="95" t="b">
        <v>1</v>
      </c>
      <c r="J5" s="95"/>
      <c r="K5" s="95"/>
      <c r="L5" s="95"/>
      <c r="M5" s="95" t="s">
        <v>3590</v>
      </c>
      <c r="N5" s="96" t="s">
        <v>3591</v>
      </c>
      <c r="O5" s="96" t="s">
        <v>3586</v>
      </c>
      <c r="P5" s="95" t="b">
        <v>0</v>
      </c>
      <c r="Q5" s="95"/>
      <c r="R5" s="95">
        <v>1</v>
      </c>
      <c r="S5" s="95">
        <v>3</v>
      </c>
      <c r="T5" s="95">
        <v>19</v>
      </c>
      <c r="U5" s="95">
        <v>26</v>
      </c>
      <c r="V5" s="95" t="s">
        <v>3536</v>
      </c>
      <c r="W5" s="95">
        <v>0.5</v>
      </c>
      <c r="X5" s="81">
        <v>0</v>
      </c>
      <c r="Y5" s="81">
        <v>0</v>
      </c>
      <c r="Z5" s="81" t="s">
        <v>2384</v>
      </c>
      <c r="AA5" s="81">
        <v>14</v>
      </c>
      <c r="AB5" s="95" t="str">
        <f t="shared" si="0"/>
        <v>DA_WPN_SW_BluntFullGladius</v>
      </c>
      <c r="AC5" s="90" t="str">
        <f t="shared" si="1"/>
        <v>/Game/DungeonSiege/Items/Weapons/Sword/DA_WPN_SW_BluntFullGladius</v>
      </c>
      <c r="AD5" s="97" t="str">
        <f t="shared" si="2"/>
        <v>Texture2D'/Game/DungeonSiege/art/bitmaps/gui/in_game/inventory/weapons/sword/b_gui_ig_i_w_swd_003.b_gui_ig_i_w_swd_003'</v>
      </c>
      <c r="AE5" s="97" t="str">
        <f t="shared" si="3"/>
        <v>Texture2D'/Game/DungeonSiege/art/bitmaps/gui/in_game/inventory/icons/b_gui_ig_i_ic_swd_002.b_gui_ig_i_ic_swd_002'</v>
      </c>
      <c r="AF5" s="97" t="str">
        <f t="shared" si="4"/>
        <v>StaticMesh'/Game/DungeonSiege/art/meshes/weapons/sword/m_w_swd_011_AspMesh.m_w_swd_011_AspMesh'</v>
      </c>
    </row>
    <row r="6" spans="1:32" ht="15.75" thickBot="1" x14ac:dyDescent="0.3">
      <c r="A6" s="95">
        <v>4</v>
      </c>
      <c r="B6" s="95">
        <v>4</v>
      </c>
      <c r="C6" s="95">
        <f>Items!B$27+B6</f>
        <v>94371844</v>
      </c>
      <c r="D6" s="95" t="s">
        <v>3406</v>
      </c>
      <c r="E6" s="95" t="s">
        <v>3542</v>
      </c>
      <c r="F6" s="95" t="s">
        <v>3525</v>
      </c>
      <c r="G6" s="95" t="s">
        <v>3759</v>
      </c>
      <c r="H6" s="95" t="s">
        <v>3527</v>
      </c>
      <c r="I6" s="95"/>
      <c r="J6" s="95"/>
      <c r="K6" s="95" t="b">
        <v>1</v>
      </c>
      <c r="L6" s="95"/>
      <c r="M6" s="95" t="s">
        <v>3599</v>
      </c>
      <c r="N6" s="96" t="s">
        <v>3593</v>
      </c>
      <c r="O6" s="96" t="s">
        <v>3596</v>
      </c>
      <c r="P6" s="95" t="b">
        <v>1</v>
      </c>
      <c r="Q6" s="95" t="s">
        <v>3592</v>
      </c>
      <c r="R6" s="95">
        <v>1</v>
      </c>
      <c r="S6" s="95">
        <v>3</v>
      </c>
      <c r="T6" s="95">
        <v>64</v>
      </c>
      <c r="U6" s="95">
        <v>90</v>
      </c>
      <c r="V6" s="95" t="s">
        <v>3536</v>
      </c>
      <c r="W6" s="95">
        <v>0.5</v>
      </c>
      <c r="X6" s="81">
        <v>2</v>
      </c>
      <c r="Y6" s="81">
        <v>11</v>
      </c>
      <c r="Z6" s="81" t="s">
        <v>2384</v>
      </c>
      <c r="AA6" s="81">
        <v>26</v>
      </c>
      <c r="AB6" s="95" t="str">
        <f t="shared" si="0"/>
        <v>DA_WPN_SW_BoneCutter_base</v>
      </c>
      <c r="AC6" s="90" t="str">
        <f t="shared" si="1"/>
        <v>/Game/DungeonSiege/Items/Weapons/Sword/DA_WPN_SW_BoneCutter_base</v>
      </c>
      <c r="AD6" s="97" t="str">
        <f t="shared" si="2"/>
        <v>Texture2D'/Game/DungeonSiege/art/bitmaps/gui/in_game/inventory/weapons/sword/b_gui_ig_i_w_swd_125.b_gui_ig_i_w_swd_125'</v>
      </c>
      <c r="AE6" s="97" t="str">
        <f t="shared" si="3"/>
        <v>Texture2D'/Game/DungeonSiege/art/bitmaps/gui/in_game/inventory/icons/b_gui_ig_i_ic_swd_003.b_gui_ig_i_ic_swd_003'</v>
      </c>
      <c r="AF6" s="97" t="str">
        <f t="shared" si="4"/>
        <v>StaticMesh'/Game/DungeonSiege/art/meshes/weapons/sword/m_w_swd_031_AspMesh.m_w_swd_031_AspMesh'</v>
      </c>
    </row>
    <row r="7" spans="1:32" ht="15.75" thickBot="1" x14ac:dyDescent="0.3">
      <c r="A7" s="95">
        <v>5</v>
      </c>
      <c r="B7" s="95">
        <v>5</v>
      </c>
      <c r="C7" s="95">
        <f>Items!B$27+B7</f>
        <v>94371845</v>
      </c>
      <c r="D7" s="95" t="s">
        <v>3407</v>
      </c>
      <c r="E7" s="95" t="s">
        <v>3542</v>
      </c>
      <c r="F7" s="95" t="s">
        <v>3525</v>
      </c>
      <c r="G7" s="95" t="s">
        <v>3760</v>
      </c>
      <c r="H7" s="95" t="s">
        <v>3529</v>
      </c>
      <c r="I7" s="95"/>
      <c r="J7" s="95"/>
      <c r="K7" s="95" t="b">
        <v>1</v>
      </c>
      <c r="L7" s="95"/>
      <c r="M7" s="95" t="s">
        <v>3802</v>
      </c>
      <c r="N7" s="96" t="s">
        <v>3594</v>
      </c>
      <c r="O7" s="96" t="s">
        <v>3597</v>
      </c>
      <c r="P7" s="95" t="b">
        <v>1</v>
      </c>
      <c r="Q7" s="95" t="s">
        <v>3592</v>
      </c>
      <c r="R7" s="95">
        <v>1</v>
      </c>
      <c r="S7" s="95">
        <v>3</v>
      </c>
      <c r="T7" s="95">
        <v>133</v>
      </c>
      <c r="U7" s="95">
        <v>188</v>
      </c>
      <c r="V7" s="95" t="s">
        <v>3536</v>
      </c>
      <c r="W7" s="95">
        <v>0.5</v>
      </c>
      <c r="X7" s="81">
        <v>32</v>
      </c>
      <c r="Y7" s="81">
        <v>45</v>
      </c>
      <c r="Z7" s="81" t="s">
        <v>2384</v>
      </c>
      <c r="AA7" s="81">
        <v>45</v>
      </c>
      <c r="AB7" s="95" t="str">
        <f t="shared" si="0"/>
        <v>DA_WPN_SW_BoneCutter_c_mag</v>
      </c>
      <c r="AC7" s="90" t="str">
        <f t="shared" si="1"/>
        <v>/Game/DungeonSiege/Items/Weapons/Sword/DA_WPN_SW_BoneCutter_c_mag</v>
      </c>
      <c r="AD7" s="97" t="str">
        <f t="shared" si="2"/>
        <v>Texture2D'/Game/DungeonSiege/art/bitmaps/gui/in_game/inventory/weapons/sword/b_gui_ig_i_w_swd_127.b_gui_ig_i_w_swd_127'</v>
      </c>
      <c r="AE7" s="97" t="str">
        <f t="shared" si="3"/>
        <v>Texture2D'/Game/DungeonSiege/art/bitmaps/gui/in_game/inventory/icons/b_gui_ig_i_ic_swd_004.b_gui_ig_i_ic_swd_004'</v>
      </c>
      <c r="AF7" s="97" t="str">
        <f t="shared" si="4"/>
        <v>StaticMesh'/Game/DungeonSiege/art/meshes/weapons/sword/m_w_swd_035_AspMesh.m_w_swd_035_AspMesh'</v>
      </c>
    </row>
    <row r="8" spans="1:32" ht="15.75" thickBot="1" x14ac:dyDescent="0.3">
      <c r="A8" s="95">
        <v>6</v>
      </c>
      <c r="B8" s="95">
        <v>6</v>
      </c>
      <c r="C8" s="95">
        <f>Items!B$27+B8</f>
        <v>94371846</v>
      </c>
      <c r="D8" s="95" t="s">
        <v>3408</v>
      </c>
      <c r="E8" s="95" t="s">
        <v>3542</v>
      </c>
      <c r="F8" s="95" t="s">
        <v>3525</v>
      </c>
      <c r="G8" s="95" t="s">
        <v>3761</v>
      </c>
      <c r="H8" s="95" t="s">
        <v>3530</v>
      </c>
      <c r="I8" s="95"/>
      <c r="J8" s="95"/>
      <c r="K8" s="95" t="b">
        <v>1</v>
      </c>
      <c r="L8" s="95"/>
      <c r="M8" s="95" t="s">
        <v>3803</v>
      </c>
      <c r="N8" s="96" t="s">
        <v>3595</v>
      </c>
      <c r="O8" s="96" t="s">
        <v>3598</v>
      </c>
      <c r="P8" s="95" t="b">
        <v>1</v>
      </c>
      <c r="Q8" s="95" t="s">
        <v>3592</v>
      </c>
      <c r="R8" s="95">
        <v>1</v>
      </c>
      <c r="S8" s="95">
        <v>3</v>
      </c>
      <c r="T8" s="95">
        <v>95</v>
      </c>
      <c r="U8" s="95">
        <v>134</v>
      </c>
      <c r="V8" s="95" t="s">
        <v>3536</v>
      </c>
      <c r="W8" s="95">
        <v>0.5</v>
      </c>
      <c r="X8" s="81">
        <v>16</v>
      </c>
      <c r="Y8" s="81">
        <v>32</v>
      </c>
      <c r="Z8" s="81" t="s">
        <v>2384</v>
      </c>
      <c r="AA8" s="81">
        <v>34</v>
      </c>
      <c r="AB8" s="95" t="str">
        <f t="shared" si="0"/>
        <v>DA_WPN_SW_BoneCutter_c_str</v>
      </c>
      <c r="AC8" s="90" t="str">
        <f t="shared" si="1"/>
        <v>/Game/DungeonSiege/Items/Weapons/Sword/DA_WPN_SW_BoneCutter_c_str</v>
      </c>
      <c r="AD8" s="97" t="str">
        <f t="shared" si="2"/>
        <v>Texture2D'/Game/DungeonSiege/art/bitmaps/gui/in_game/inventory/weapons/sword/b_gui_ig_i_w_swd_126.b_gui_ig_i_w_swd_126'</v>
      </c>
      <c r="AE8" s="97" t="str">
        <f t="shared" si="3"/>
        <v>Texture2D'/Game/DungeonSiege/art/bitmaps/gui/in_game/inventory/icons/b_gui_ig_i_ic_swd_005.b_gui_ig_i_ic_swd_005'</v>
      </c>
      <c r="AF8" s="97" t="str">
        <f t="shared" si="4"/>
        <v>StaticMesh'/Game/DungeonSiege/art/meshes/weapons/sword/m_w_swd_029_AspMesh.m_w_swd_029_AspMesh'</v>
      </c>
    </row>
    <row r="9" spans="1:32" ht="23.25" thickBot="1" x14ac:dyDescent="0.3">
      <c r="A9" s="95">
        <v>7</v>
      </c>
      <c r="B9" s="95">
        <v>7</v>
      </c>
      <c r="C9" s="95">
        <f>Items!B$27+B9</f>
        <v>94371847</v>
      </c>
      <c r="D9" s="95" t="s">
        <v>3409</v>
      </c>
      <c r="E9" s="95" t="s">
        <v>3543</v>
      </c>
      <c r="F9" s="95" t="s">
        <v>3525</v>
      </c>
      <c r="G9" s="95" t="s">
        <v>3762</v>
      </c>
      <c r="H9" s="95" t="s">
        <v>3527</v>
      </c>
      <c r="I9" s="95"/>
      <c r="J9" s="95"/>
      <c r="K9" s="95"/>
      <c r="L9" s="95" t="b">
        <v>1</v>
      </c>
      <c r="M9" s="95" t="s">
        <v>3600</v>
      </c>
      <c r="N9" s="96" t="s">
        <v>3601</v>
      </c>
      <c r="O9" s="96" t="s">
        <v>3539</v>
      </c>
      <c r="P9" s="95"/>
      <c r="Q9" s="95" t="s">
        <v>3537</v>
      </c>
      <c r="R9" s="95">
        <v>1</v>
      </c>
      <c r="S9" s="95">
        <v>4</v>
      </c>
      <c r="T9" s="95">
        <v>185</v>
      </c>
      <c r="U9" s="95">
        <v>250</v>
      </c>
      <c r="V9" s="95" t="s">
        <v>3536</v>
      </c>
      <c r="W9" s="95">
        <v>0.5</v>
      </c>
      <c r="X9" s="81">
        <v>24</v>
      </c>
      <c r="Y9" s="81">
        <v>59</v>
      </c>
      <c r="Z9" s="81" t="s">
        <v>2384</v>
      </c>
      <c r="AA9" s="81">
        <v>58</v>
      </c>
      <c r="AB9" s="95" t="str">
        <f t="shared" si="0"/>
        <v>DA_WPN_SW_CascadeSword_base</v>
      </c>
      <c r="AC9" s="90" t="str">
        <f t="shared" si="1"/>
        <v>/Game/DungeonSiege/Items/Weapons/Sword/DA_WPN_SW_CascadeSword_base</v>
      </c>
      <c r="AD9" s="97" t="str">
        <f t="shared" si="2"/>
        <v>Texture2D'/Game/DungeonSiege/art/bitmaps/gui/in_game/inventory/weapons/sword/b_gui_ig_i_w_swd_071.b_gui_ig_i_w_swd_071'</v>
      </c>
      <c r="AE9" s="97" t="str">
        <f t="shared" si="3"/>
        <v>Texture2D'/Game/DungeonSiege/art/bitmaps/gui/in_game/inventory/icons/b_gui_ig_i_ic_swd_007.b_gui_ig_i_ic_swd_007'</v>
      </c>
      <c r="AF9" s="97" t="str">
        <f t="shared" si="4"/>
        <v>StaticMesh'/Game/DungeonSiege/art/meshes/weapons/sword/m_w_swd_039_AspMesh.m_w_swd_039_AspMesh'</v>
      </c>
    </row>
    <row r="10" spans="1:32" ht="15.75" thickBot="1" x14ac:dyDescent="0.3">
      <c r="A10" s="95">
        <v>8</v>
      </c>
      <c r="B10" s="95">
        <v>8</v>
      </c>
      <c r="C10" s="95">
        <f>Items!B$27+B10</f>
        <v>94371848</v>
      </c>
      <c r="D10" s="95" t="s">
        <v>3410</v>
      </c>
      <c r="E10" s="95" t="s">
        <v>3410</v>
      </c>
      <c r="F10" s="95" t="s">
        <v>3525</v>
      </c>
      <c r="G10" s="95" t="s">
        <v>3763</v>
      </c>
      <c r="H10" s="95"/>
      <c r="I10" s="95" t="b">
        <v>1</v>
      </c>
      <c r="J10" s="95"/>
      <c r="K10" s="95"/>
      <c r="L10" s="95"/>
      <c r="M10" s="95" t="s">
        <v>3602</v>
      </c>
      <c r="N10" s="96" t="s">
        <v>3603</v>
      </c>
      <c r="O10" s="96" t="s">
        <v>3586</v>
      </c>
      <c r="P10" s="95" t="b">
        <v>0</v>
      </c>
      <c r="Q10" s="95"/>
      <c r="R10" s="95">
        <v>1</v>
      </c>
      <c r="S10" s="95">
        <v>3</v>
      </c>
      <c r="T10" s="95">
        <v>26</v>
      </c>
      <c r="U10" s="95">
        <v>35</v>
      </c>
      <c r="V10" s="95" t="s">
        <v>3536</v>
      </c>
      <c r="W10" s="95">
        <v>0.5</v>
      </c>
      <c r="X10" s="81">
        <v>0</v>
      </c>
      <c r="Y10" s="81">
        <v>0</v>
      </c>
      <c r="Z10" s="81" t="s">
        <v>2384</v>
      </c>
      <c r="AA10" s="81">
        <v>16</v>
      </c>
      <c r="AB10" s="95" t="str">
        <f t="shared" si="0"/>
        <v>DA_WPN_SW_CrackedFullBlade</v>
      </c>
      <c r="AC10" s="90" t="str">
        <f t="shared" si="1"/>
        <v>/Game/DungeonSiege/Items/Weapons/Sword/DA_WPN_SW_CrackedFullBlade</v>
      </c>
      <c r="AD10" s="97" t="str">
        <f t="shared" si="2"/>
        <v>Texture2D'/Game/DungeonSiege/art/bitmaps/gui/in_game/inventory/weapons/sword/b_gui_ig_i_w_swd_009.b_gui_ig_i_w_swd_009'</v>
      </c>
      <c r="AE10" s="97" t="str">
        <f t="shared" si="3"/>
        <v>Texture2D'/Game/DungeonSiege/art/bitmaps/gui/in_game/inventory/icons/b_gui_ig_i_ic_swd_002.b_gui_ig_i_ic_swd_002'</v>
      </c>
      <c r="AF10" s="97" t="str">
        <f t="shared" si="4"/>
        <v>StaticMesh'/Game/DungeonSiege/art/meshes/weapons/sword/m_w_swd_013_AspMesh.m_w_swd_013_AspMesh'</v>
      </c>
    </row>
    <row r="11" spans="1:32" ht="15.75" thickBot="1" x14ac:dyDescent="0.3">
      <c r="A11" s="95">
        <v>9</v>
      </c>
      <c r="B11" s="95">
        <v>9</v>
      </c>
      <c r="C11" s="95">
        <f>Items!B$27+B11</f>
        <v>94371849</v>
      </c>
      <c r="D11" s="95" t="s">
        <v>3411</v>
      </c>
      <c r="E11" s="95" t="s">
        <v>3411</v>
      </c>
      <c r="F11" s="95" t="s">
        <v>3525</v>
      </c>
      <c r="G11" s="95" t="s">
        <v>3758</v>
      </c>
      <c r="H11" s="95"/>
      <c r="I11" s="95" t="b">
        <v>1</v>
      </c>
      <c r="J11" s="95"/>
      <c r="K11" s="95"/>
      <c r="L11" s="95"/>
      <c r="M11" s="95" t="s">
        <v>3605</v>
      </c>
      <c r="N11" s="96" t="s">
        <v>3604</v>
      </c>
      <c r="O11" s="96" t="s">
        <v>3584</v>
      </c>
      <c r="P11" s="95" t="b">
        <v>0</v>
      </c>
      <c r="Q11" s="95"/>
      <c r="R11" s="95">
        <v>1</v>
      </c>
      <c r="S11" s="95">
        <v>3</v>
      </c>
      <c r="T11" s="95">
        <v>12</v>
      </c>
      <c r="U11" s="95">
        <v>17</v>
      </c>
      <c r="V11" s="95" t="s">
        <v>3536</v>
      </c>
      <c r="W11" s="95">
        <v>0.5</v>
      </c>
      <c r="X11" s="81">
        <v>0</v>
      </c>
      <c r="Y11" s="81">
        <v>0</v>
      </c>
      <c r="Z11" s="81"/>
      <c r="AA11" s="81"/>
      <c r="AB11" s="95" t="str">
        <f t="shared" si="0"/>
        <v>DA_WPN_SW_CrudeGladius</v>
      </c>
      <c r="AC11" s="90" t="str">
        <f t="shared" si="1"/>
        <v>/Game/DungeonSiege/Items/Weapons/Sword/DA_WPN_SW_CrudeGladius</v>
      </c>
      <c r="AD11" s="97" t="str">
        <f t="shared" si="2"/>
        <v>Texture2D'/Game/DungeonSiege/art/bitmaps/gui/in_game/inventory/weapons/sword/b_gui_ig_i_w_swd_001.b_gui_ig_i_w_swd_001'</v>
      </c>
      <c r="AE11" s="97" t="str">
        <f t="shared" si="3"/>
        <v>Texture2D'/Game/DungeonSiege/art/bitmaps/gui/in_game/inventory/icons/b_gui_ig_i_ic_swd_001.b_gui_ig_i_ic_swd_001'</v>
      </c>
      <c r="AF11" s="97" t="str">
        <f t="shared" si="4"/>
        <v>StaticMesh'/Game/DungeonSiege/art/meshes/weapons/sword/m_w_swd_011_AspMesh.m_w_swd_011_AspMesh'</v>
      </c>
    </row>
    <row r="12" spans="1:32" ht="15.75" thickBot="1" x14ac:dyDescent="0.3">
      <c r="A12" s="95">
        <v>10</v>
      </c>
      <c r="B12" s="95">
        <v>10</v>
      </c>
      <c r="C12" s="95">
        <f>Items!B$27+B12</f>
        <v>94371850</v>
      </c>
      <c r="D12" s="95" t="s">
        <v>3412</v>
      </c>
      <c r="E12" s="95" t="s">
        <v>3544</v>
      </c>
      <c r="F12" s="95" t="s">
        <v>3525</v>
      </c>
      <c r="G12" s="95" t="s">
        <v>3764</v>
      </c>
      <c r="H12" s="95" t="s">
        <v>3527</v>
      </c>
      <c r="I12" s="95"/>
      <c r="J12" s="95"/>
      <c r="K12" s="95" t="b">
        <v>1</v>
      </c>
      <c r="L12" s="95"/>
      <c r="M12" s="95" t="s">
        <v>3607</v>
      </c>
      <c r="N12" s="96" t="s">
        <v>3606</v>
      </c>
      <c r="O12" s="96" t="s">
        <v>3586</v>
      </c>
      <c r="P12" s="95" t="b">
        <v>1</v>
      </c>
      <c r="Q12" s="95" t="s">
        <v>3592</v>
      </c>
      <c r="R12" s="95">
        <v>1</v>
      </c>
      <c r="S12" s="95">
        <v>3</v>
      </c>
      <c r="T12" s="95">
        <v>36</v>
      </c>
      <c r="U12" s="95">
        <v>49</v>
      </c>
      <c r="V12" s="95" t="s">
        <v>3536</v>
      </c>
      <c r="W12" s="95">
        <v>0.5</v>
      </c>
      <c r="X12" s="81">
        <v>2</v>
      </c>
      <c r="Y12" s="81">
        <v>10</v>
      </c>
      <c r="Z12" s="81" t="s">
        <v>2384</v>
      </c>
      <c r="AA12" s="81">
        <v>18</v>
      </c>
      <c r="AB12" s="95" t="str">
        <f t="shared" si="0"/>
        <v>DA_WPN_SW_CruelBlade_base</v>
      </c>
      <c r="AC12" s="90" t="str">
        <f t="shared" si="1"/>
        <v>/Game/DungeonSiege/Items/Weapons/Sword/DA_WPN_SW_CruelBlade_base</v>
      </c>
      <c r="AD12" s="97" t="str">
        <f t="shared" si="2"/>
        <v>Texture2D'/Game/DungeonSiege/art/bitmaps/gui/in_game/inventory/weapons/sword/b_gui_ig_i_w_swd_111.b_gui_ig_i_w_swd_111'</v>
      </c>
      <c r="AE12" s="97" t="str">
        <f t="shared" si="3"/>
        <v>Texture2D'/Game/DungeonSiege/art/bitmaps/gui/in_game/inventory/icons/b_gui_ig_i_ic_swd_002.b_gui_ig_i_ic_swd_002'</v>
      </c>
      <c r="AF12" s="97" t="str">
        <f t="shared" si="4"/>
        <v>StaticMesh'/Game/DungeonSiege/art/meshes/weapons/sword/m_w_swd_012_AspMesh.m_w_swd_012_AspMesh'</v>
      </c>
    </row>
    <row r="13" spans="1:32" ht="15.75" thickBot="1" x14ac:dyDescent="0.3">
      <c r="A13" s="95">
        <v>11</v>
      </c>
      <c r="B13" s="95">
        <v>11</v>
      </c>
      <c r="C13" s="95">
        <f>Items!B$27+B13</f>
        <v>94371851</v>
      </c>
      <c r="D13" s="95" t="s">
        <v>3413</v>
      </c>
      <c r="E13" s="95" t="s">
        <v>3413</v>
      </c>
      <c r="F13" s="95" t="s">
        <v>3525</v>
      </c>
      <c r="G13" s="95" t="s">
        <v>3758</v>
      </c>
      <c r="H13" s="95"/>
      <c r="I13" s="95" t="b">
        <v>1</v>
      </c>
      <c r="J13" s="95"/>
      <c r="K13" s="95"/>
      <c r="L13" s="95"/>
      <c r="M13" s="95" t="s">
        <v>3608</v>
      </c>
      <c r="N13" s="96" t="s">
        <v>3604</v>
      </c>
      <c r="O13" s="96" t="s">
        <v>3584</v>
      </c>
      <c r="P13" s="95" t="b">
        <v>0</v>
      </c>
      <c r="Q13" s="95"/>
      <c r="R13" s="95">
        <v>1</v>
      </c>
      <c r="S13" s="95">
        <v>3</v>
      </c>
      <c r="T13" s="95">
        <v>8</v>
      </c>
      <c r="U13" s="95">
        <v>15</v>
      </c>
      <c r="V13" s="95" t="s">
        <v>3536</v>
      </c>
      <c r="W13" s="95">
        <v>0.5</v>
      </c>
      <c r="X13" s="81">
        <v>0</v>
      </c>
      <c r="Y13" s="81">
        <v>0</v>
      </c>
      <c r="Z13" s="81"/>
      <c r="AA13" s="81"/>
      <c r="AB13" s="95" t="str">
        <f t="shared" si="0"/>
        <v>DA_WPN_SW_CrustedGladius</v>
      </c>
      <c r="AC13" s="90" t="str">
        <f t="shared" si="1"/>
        <v>/Game/DungeonSiege/Items/Weapons/Sword/DA_WPN_SW_CrustedGladius</v>
      </c>
      <c r="AD13" s="97" t="str">
        <f t="shared" si="2"/>
        <v>Texture2D'/Game/DungeonSiege/art/bitmaps/gui/in_game/inventory/weapons/sword/b_gui_ig_i_w_swd_001.b_gui_ig_i_w_swd_001'</v>
      </c>
      <c r="AE13" s="97" t="str">
        <f t="shared" si="3"/>
        <v>Texture2D'/Game/DungeonSiege/art/bitmaps/gui/in_game/inventory/icons/b_gui_ig_i_ic_swd_001.b_gui_ig_i_ic_swd_001'</v>
      </c>
      <c r="AF13" s="97" t="str">
        <f t="shared" si="4"/>
        <v>StaticMesh'/Game/DungeonSiege/art/meshes/weapons/sword/m_w_swd_011_AspMesh.m_w_swd_011_AspMesh'</v>
      </c>
    </row>
    <row r="14" spans="1:32" ht="23.25" thickBot="1" x14ac:dyDescent="0.3">
      <c r="A14" s="95">
        <v>12</v>
      </c>
      <c r="B14" s="95">
        <v>12</v>
      </c>
      <c r="C14" s="95">
        <f>Items!B$27+B14</f>
        <v>94371852</v>
      </c>
      <c r="D14" s="95" t="s">
        <v>3414</v>
      </c>
      <c r="E14" s="95" t="s">
        <v>3414</v>
      </c>
      <c r="F14" s="95" t="s">
        <v>3524</v>
      </c>
      <c r="G14" s="95" t="s">
        <v>3765</v>
      </c>
      <c r="H14" s="95"/>
      <c r="I14" s="95" t="b">
        <v>1</v>
      </c>
      <c r="J14" s="95"/>
      <c r="K14" s="95"/>
      <c r="L14" s="95"/>
      <c r="M14" s="95" t="s">
        <v>3609</v>
      </c>
      <c r="N14" s="96" t="s">
        <v>3610</v>
      </c>
      <c r="O14" s="96" t="s">
        <v>3539</v>
      </c>
      <c r="P14" s="95" t="b">
        <v>0</v>
      </c>
      <c r="Q14" s="95"/>
      <c r="R14" s="95">
        <v>1</v>
      </c>
      <c r="S14" s="95">
        <v>4</v>
      </c>
      <c r="T14" s="95">
        <v>74</v>
      </c>
      <c r="U14" s="95">
        <v>112</v>
      </c>
      <c r="V14" s="95" t="s">
        <v>3535</v>
      </c>
      <c r="W14" s="95">
        <v>0.5</v>
      </c>
      <c r="X14" s="81">
        <v>0</v>
      </c>
      <c r="Y14" s="81">
        <v>0</v>
      </c>
      <c r="Z14" s="81" t="s">
        <v>2384</v>
      </c>
      <c r="AA14" s="81">
        <v>26</v>
      </c>
      <c r="AB14" s="95" t="str">
        <f t="shared" si="0"/>
        <v>DA_WPN_SW_DamagedGreatSword</v>
      </c>
      <c r="AC14" s="90" t="str">
        <f t="shared" si="1"/>
        <v>/Game/DungeonSiege/Items/Weapons/Sword/DA_WPN_SW_DamagedGreatSword</v>
      </c>
      <c r="AD14" s="97" t="str">
        <f t="shared" si="2"/>
        <v>Texture2D'/Game/DungeonSiege/art/bitmaps/gui/in_game/inventory/weapons/sword/b_gui_ig_i_w_swd_023.b_gui_ig_i_w_swd_023'</v>
      </c>
      <c r="AE14" s="97" t="str">
        <f t="shared" si="3"/>
        <v>Texture2D'/Game/DungeonSiege/art/bitmaps/gui/in_game/inventory/icons/b_gui_ig_i_ic_swd_007.b_gui_ig_i_ic_swd_007'</v>
      </c>
      <c r="AF14" s="97" t="str">
        <f t="shared" si="4"/>
        <v>StaticMesh'/Game/DungeonSiege/art/meshes/weapons/sword/m_w_swd_020_AspMesh.m_w_swd_020_AspMesh'</v>
      </c>
    </row>
    <row r="15" spans="1:32" ht="15.75" thickBot="1" x14ac:dyDescent="0.3">
      <c r="A15" s="95">
        <v>13</v>
      </c>
      <c r="B15" s="95">
        <v>13</v>
      </c>
      <c r="C15" s="95">
        <f>Items!B$27+B15</f>
        <v>94371853</v>
      </c>
      <c r="D15" s="95" t="s">
        <v>3415</v>
      </c>
      <c r="E15" s="95" t="s">
        <v>3415</v>
      </c>
      <c r="F15" s="95" t="s">
        <v>3524</v>
      </c>
      <c r="G15" s="95" t="s">
        <v>3766</v>
      </c>
      <c r="H15" s="95"/>
      <c r="I15" s="95" t="b">
        <v>1</v>
      </c>
      <c r="J15" s="95"/>
      <c r="K15" s="95"/>
      <c r="L15" s="95"/>
      <c r="M15" s="95" t="s">
        <v>3611</v>
      </c>
      <c r="N15" s="96" t="s">
        <v>3612</v>
      </c>
      <c r="O15" s="96" t="s">
        <v>3539</v>
      </c>
      <c r="P15" s="95" t="b">
        <v>0</v>
      </c>
      <c r="Q15" s="95"/>
      <c r="R15" s="95">
        <v>1</v>
      </c>
      <c r="S15" s="95">
        <v>4</v>
      </c>
      <c r="T15" s="95">
        <v>72</v>
      </c>
      <c r="U15" s="95">
        <v>108</v>
      </c>
      <c r="V15" s="95" t="s">
        <v>3535</v>
      </c>
      <c r="W15" s="95">
        <v>0.5</v>
      </c>
      <c r="X15" s="81">
        <v>0</v>
      </c>
      <c r="Y15" s="81">
        <v>0</v>
      </c>
      <c r="Z15" s="81" t="s">
        <v>2384</v>
      </c>
      <c r="AA15" s="81">
        <v>26</v>
      </c>
      <c r="AB15" s="95" t="str">
        <f t="shared" si="0"/>
        <v>DA_WPN_SW_DentedGreatSword</v>
      </c>
      <c r="AC15" s="90" t="str">
        <f t="shared" si="1"/>
        <v>/Game/DungeonSiege/Items/Weapons/Sword/DA_WPN_SW_DentedGreatSword</v>
      </c>
      <c r="AD15" s="97" t="str">
        <f t="shared" si="2"/>
        <v>Texture2D'/Game/DungeonSiege/art/bitmaps/gui/in_game/inventory/weapons/sword/b_gui_ig_i_w_swd_021.b_gui_ig_i_w_swd_021'</v>
      </c>
      <c r="AE15" s="97" t="str">
        <f t="shared" si="3"/>
        <v>Texture2D'/Game/DungeonSiege/art/bitmaps/gui/in_game/inventory/icons/b_gui_ig_i_ic_swd_007.b_gui_ig_i_ic_swd_007'</v>
      </c>
      <c r="AF15" s="97" t="str">
        <f t="shared" si="4"/>
        <v>StaticMesh'/Game/DungeonSiege/art/meshes/weapons/sword/m_w_swd_017_AspMesh.m_w_swd_017_AspMesh'</v>
      </c>
    </row>
    <row r="16" spans="1:32" ht="23.25" thickBot="1" x14ac:dyDescent="0.3">
      <c r="A16" s="95">
        <v>14</v>
      </c>
      <c r="B16" s="95">
        <v>14</v>
      </c>
      <c r="C16" s="95">
        <f>Items!B$27+B16</f>
        <v>94371854</v>
      </c>
      <c r="D16" s="95" t="s">
        <v>3416</v>
      </c>
      <c r="E16" s="95" t="s">
        <v>3545</v>
      </c>
      <c r="F16" s="95" t="s">
        <v>3524</v>
      </c>
      <c r="G16" s="95" t="s">
        <v>3767</v>
      </c>
      <c r="H16" s="95" t="s">
        <v>3527</v>
      </c>
      <c r="I16" s="95"/>
      <c r="J16" s="95"/>
      <c r="K16" s="95"/>
      <c r="L16" s="95" t="b">
        <v>1</v>
      </c>
      <c r="M16" s="95" t="s">
        <v>3613</v>
      </c>
      <c r="N16" s="96" t="s">
        <v>3615</v>
      </c>
      <c r="O16" s="96" t="s">
        <v>3614</v>
      </c>
      <c r="P16" s="95" t="b">
        <v>1</v>
      </c>
      <c r="Q16" s="95" t="s">
        <v>3537</v>
      </c>
      <c r="R16" s="95">
        <v>1</v>
      </c>
      <c r="S16" s="95">
        <v>4</v>
      </c>
      <c r="T16" s="95">
        <v>230</v>
      </c>
      <c r="U16" s="95">
        <v>311</v>
      </c>
      <c r="V16" s="95" t="s">
        <v>3535</v>
      </c>
      <c r="W16" s="95">
        <v>0.5</v>
      </c>
      <c r="X16" s="81">
        <v>34</v>
      </c>
      <c r="Y16" s="81">
        <v>62</v>
      </c>
      <c r="Z16" s="81" t="s">
        <v>2384</v>
      </c>
      <c r="AA16" s="81">
        <v>57</v>
      </c>
      <c r="AB16" s="95" t="str">
        <f t="shared" si="0"/>
        <v>DA_WPN_SW_DiamondSword_base</v>
      </c>
      <c r="AC16" s="90" t="str">
        <f t="shared" si="1"/>
        <v>/Game/DungeonSiege/Items/Weapons/Sword/DA_WPN_SW_DiamondSword_base</v>
      </c>
      <c r="AD16" s="97" t="str">
        <f t="shared" si="2"/>
        <v>Texture2D'/Game/DungeonSiege/art/bitmaps/gui/in_game/inventory/weapons/sword/b_gui_ig_i_w_swd_089.b_gui_ig_i_w_swd_089'</v>
      </c>
      <c r="AE16" s="97" t="str">
        <f t="shared" si="3"/>
        <v>Texture2D'/Game/DungeonSiege/art/bitmaps/gui/in_game/inventory/icons/b_gui_ig_i_ic_swd_008.b_gui_ig_i_ic_swd_008'</v>
      </c>
      <c r="AF16" s="97" t="str">
        <f t="shared" si="4"/>
        <v>StaticMesh'/Game/DungeonSiege/art/meshes/weapons/sword/m_w_swd_056_AspMesh.m_w_swd_056_AspMesh'</v>
      </c>
    </row>
    <row r="17" spans="1:32" ht="15.75" thickBot="1" x14ac:dyDescent="0.3">
      <c r="A17" s="95">
        <v>15</v>
      </c>
      <c r="B17" s="95">
        <v>15</v>
      </c>
      <c r="C17" s="95">
        <f>Items!B$27+B17</f>
        <v>94371855</v>
      </c>
      <c r="D17" s="95" t="s">
        <v>3417</v>
      </c>
      <c r="E17" s="95" t="s">
        <v>3546</v>
      </c>
      <c r="F17" s="95" t="s">
        <v>3525</v>
      </c>
      <c r="G17" s="95" t="s">
        <v>3768</v>
      </c>
      <c r="H17" s="95" t="s">
        <v>3527</v>
      </c>
      <c r="I17" s="95"/>
      <c r="J17" s="95"/>
      <c r="K17" s="95"/>
      <c r="L17" s="95" t="b">
        <v>1</v>
      </c>
      <c r="M17" s="95" t="s">
        <v>3616</v>
      </c>
      <c r="N17" s="96" t="s">
        <v>3618</v>
      </c>
      <c r="O17" s="96" t="s">
        <v>3617</v>
      </c>
      <c r="P17" s="95" t="b">
        <v>1</v>
      </c>
      <c r="Q17" s="95" t="s">
        <v>3537</v>
      </c>
      <c r="R17" s="95">
        <v>1</v>
      </c>
      <c r="S17" s="95">
        <v>4</v>
      </c>
      <c r="T17" s="95">
        <v>247</v>
      </c>
      <c r="U17" s="95">
        <v>334</v>
      </c>
      <c r="V17" s="95" t="s">
        <v>3536</v>
      </c>
      <c r="W17" s="95">
        <v>0.5</v>
      </c>
      <c r="X17" s="81">
        <v>47</v>
      </c>
      <c r="Y17" s="81">
        <v>81</v>
      </c>
      <c r="Z17" s="81" t="s">
        <v>2384</v>
      </c>
      <c r="AA17" s="81">
        <v>74</v>
      </c>
      <c r="AB17" s="95" t="str">
        <f t="shared" si="0"/>
        <v>DA_WPN_SW_DragonWing_base</v>
      </c>
      <c r="AC17" s="90" t="str">
        <f t="shared" si="1"/>
        <v>/Game/DungeonSiege/Items/Weapons/Sword/DA_WPN_SW_DragonWing_base</v>
      </c>
      <c r="AD17" s="97" t="str">
        <f t="shared" si="2"/>
        <v>Texture2D'/Game/DungeonSiege/art/bitmaps/gui/in_game/inventory/weapons/sword/b_gui_ig_i_w_swd_086.b_gui_ig_i_w_swd_086'</v>
      </c>
      <c r="AE17" s="97" t="str">
        <f t="shared" si="3"/>
        <v>Texture2D'/Game/DungeonSiege/art/bitmaps/gui/in_game/inventory/icons/b_gui_ig_i_ic_swd_011.b_gui_ig_i_ic_swd_011'</v>
      </c>
      <c r="AF17" s="97" t="str">
        <f t="shared" si="4"/>
        <v>StaticMesh'/Game/DungeonSiege/art/meshes/weapons/sword/m_w_swd_053_AspMesh.m_w_swd_053_AspMesh'</v>
      </c>
    </row>
    <row r="18" spans="1:32" ht="15.75" thickBot="1" x14ac:dyDescent="0.3">
      <c r="A18" s="95">
        <v>16</v>
      </c>
      <c r="B18" s="95">
        <v>16</v>
      </c>
      <c r="C18" s="95">
        <f>Items!B$27+B18</f>
        <v>94371856</v>
      </c>
      <c r="D18" s="95" t="s">
        <v>3418</v>
      </c>
      <c r="E18" s="95" t="s">
        <v>3418</v>
      </c>
      <c r="F18" s="95" t="s">
        <v>3525</v>
      </c>
      <c r="G18" s="95" t="s">
        <v>3769</v>
      </c>
      <c r="H18" s="95"/>
      <c r="I18" s="95" t="b">
        <v>1</v>
      </c>
      <c r="J18" s="95"/>
      <c r="K18" s="95"/>
      <c r="L18" s="95"/>
      <c r="M18" s="95" t="s">
        <v>3619</v>
      </c>
      <c r="N18" s="96" t="s">
        <v>3620</v>
      </c>
      <c r="O18" s="96" t="s">
        <v>3598</v>
      </c>
      <c r="P18" s="95" t="b">
        <v>0</v>
      </c>
      <c r="Q18" s="95"/>
      <c r="R18" s="95">
        <v>1</v>
      </c>
      <c r="S18" s="95">
        <v>3</v>
      </c>
      <c r="T18" s="95">
        <v>90</v>
      </c>
      <c r="U18" s="95">
        <v>130</v>
      </c>
      <c r="V18" s="95" t="s">
        <v>3536</v>
      </c>
      <c r="W18" s="95">
        <v>0.5</v>
      </c>
      <c r="X18" s="81">
        <v>0</v>
      </c>
      <c r="Y18" s="81">
        <v>0</v>
      </c>
      <c r="Z18" s="81" t="s">
        <v>2384</v>
      </c>
      <c r="AA18" s="81">
        <v>34</v>
      </c>
      <c r="AB18" s="95" t="str">
        <f t="shared" si="0"/>
        <v>DA_WPN_SW_DroogSword</v>
      </c>
      <c r="AC18" s="90" t="str">
        <f t="shared" si="1"/>
        <v>/Game/DungeonSiege/Items/Weapons/Sword/DA_WPN_SW_DroogSword</v>
      </c>
      <c r="AD18" s="97" t="str">
        <f t="shared" si="2"/>
        <v>Texture2D'/Game/DungeonSiege/art/bitmaps/gui/in_game/inventory/weapons/sword/b_gui_ig_i_w_swd_100.b_gui_ig_i_w_swd_100'</v>
      </c>
      <c r="AE18" s="97" t="str">
        <f t="shared" si="3"/>
        <v>Texture2D'/Game/DungeonSiege/art/bitmaps/gui/in_game/inventory/icons/b_gui_ig_i_ic_swd_005.b_gui_ig_i_ic_swd_005'</v>
      </c>
      <c r="AF18" s="97" t="str">
        <f t="shared" si="4"/>
        <v>StaticMesh'/Game/DungeonSiege/art/meshes/weapons/sword/m_w_swd_059_AspMesh.m_w_swd_059_AspMesh'</v>
      </c>
    </row>
    <row r="19" spans="1:32" ht="15.75" thickBot="1" x14ac:dyDescent="0.3">
      <c r="A19" s="95">
        <v>17</v>
      </c>
      <c r="B19" s="95">
        <v>17</v>
      </c>
      <c r="C19" s="95">
        <f>Items!B$27+B19</f>
        <v>94371857</v>
      </c>
      <c r="D19" s="95" t="s">
        <v>3419</v>
      </c>
      <c r="E19" s="95" t="s">
        <v>3419</v>
      </c>
      <c r="F19" s="95" t="s">
        <v>3525</v>
      </c>
      <c r="G19" s="95" t="s">
        <v>3757</v>
      </c>
      <c r="H19" s="95"/>
      <c r="I19" s="95" t="b">
        <v>1</v>
      </c>
      <c r="J19" s="95"/>
      <c r="K19" s="95"/>
      <c r="L19" s="95"/>
      <c r="M19" s="95" t="s">
        <v>3621</v>
      </c>
      <c r="N19" s="96" t="s">
        <v>3622</v>
      </c>
      <c r="O19" s="96" t="s">
        <v>3584</v>
      </c>
      <c r="P19" s="95" t="b">
        <v>0</v>
      </c>
      <c r="Q19" s="95"/>
      <c r="R19" s="95">
        <v>1</v>
      </c>
      <c r="S19" s="95">
        <v>3</v>
      </c>
      <c r="T19" s="95">
        <v>14</v>
      </c>
      <c r="U19" s="95">
        <v>25</v>
      </c>
      <c r="V19" s="95" t="s">
        <v>3536</v>
      </c>
      <c r="W19" s="95">
        <v>0.5</v>
      </c>
      <c r="X19" s="81">
        <v>0</v>
      </c>
      <c r="Y19" s="81">
        <v>0</v>
      </c>
      <c r="Z19" s="81" t="s">
        <v>2384</v>
      </c>
      <c r="AA19" s="81">
        <v>13</v>
      </c>
      <c r="AB19" s="95" t="str">
        <f t="shared" si="0"/>
        <v>DA_WPN_SW_DullBlade</v>
      </c>
      <c r="AC19" s="90" t="str">
        <f t="shared" si="1"/>
        <v>/Game/DungeonSiege/Items/Weapons/Sword/DA_WPN_SW_DullBlade</v>
      </c>
      <c r="AD19" s="97" t="str">
        <f t="shared" si="2"/>
        <v>Texture2D'/Game/DungeonSiege/art/bitmaps/gui/in_game/inventory/weapons/sword/b_gui_ig_i_w_swd_006.b_gui_ig_i_w_swd_006'</v>
      </c>
      <c r="AE19" s="97" t="str">
        <f t="shared" si="3"/>
        <v>Texture2D'/Game/DungeonSiege/art/bitmaps/gui/in_game/inventory/icons/b_gui_ig_i_ic_swd_001.b_gui_ig_i_ic_swd_001'</v>
      </c>
      <c r="AF19" s="97" t="str">
        <f t="shared" si="4"/>
        <v>StaticMesh'/Game/DungeonSiege/art/meshes/weapons/sword/m_w_swd_014_AspMesh.m_w_swd_014_AspMesh'</v>
      </c>
    </row>
    <row r="20" spans="1:32" ht="15.75" thickBot="1" x14ac:dyDescent="0.3">
      <c r="A20" s="95">
        <v>18</v>
      </c>
      <c r="B20" s="95">
        <v>18</v>
      </c>
      <c r="C20" s="95">
        <f>Items!B$27+B20</f>
        <v>94371858</v>
      </c>
      <c r="D20" s="95" t="s">
        <v>3420</v>
      </c>
      <c r="E20" s="95" t="s">
        <v>3547</v>
      </c>
      <c r="F20" s="95" t="s">
        <v>3525</v>
      </c>
      <c r="G20" s="95" t="s">
        <v>3770</v>
      </c>
      <c r="H20" s="95" t="s">
        <v>3527</v>
      </c>
      <c r="I20" s="95"/>
      <c r="J20" s="95"/>
      <c r="K20" s="95"/>
      <c r="L20" s="95" t="b">
        <v>1</v>
      </c>
      <c r="M20" s="95" t="s">
        <v>3623</v>
      </c>
      <c r="N20" s="96" t="s">
        <v>3624</v>
      </c>
      <c r="O20" s="96" t="s">
        <v>3598</v>
      </c>
      <c r="P20" s="95" t="b">
        <v>1</v>
      </c>
      <c r="Q20" s="95" t="s">
        <v>3537</v>
      </c>
      <c r="R20" s="95">
        <v>1</v>
      </c>
      <c r="S20" s="95">
        <v>4</v>
      </c>
      <c r="T20" s="95">
        <v>70</v>
      </c>
      <c r="U20" s="95">
        <v>95</v>
      </c>
      <c r="V20" s="95" t="s">
        <v>3536</v>
      </c>
      <c r="W20" s="95">
        <v>0.5</v>
      </c>
      <c r="X20" s="81">
        <v>6</v>
      </c>
      <c r="Y20" s="81">
        <v>19</v>
      </c>
      <c r="Z20" s="81" t="s">
        <v>2384</v>
      </c>
      <c r="AA20" s="81">
        <v>27</v>
      </c>
      <c r="AB20" s="95" t="str">
        <f t="shared" si="0"/>
        <v>DA_WPN_SW_EdgedSword_base</v>
      </c>
      <c r="AC20" s="90" t="str">
        <f t="shared" si="1"/>
        <v>/Game/DungeonSiege/Items/Weapons/Sword/DA_WPN_SW_EdgedSword_base</v>
      </c>
      <c r="AD20" s="97" t="str">
        <f t="shared" si="2"/>
        <v>Texture2D'/Game/DungeonSiege/art/bitmaps/gui/in_game/inventory/weapons/sword/b_gui_ig_i_w_swd_079.b_gui_ig_i_w_swd_079'</v>
      </c>
      <c r="AE20" s="97" t="str">
        <f t="shared" si="3"/>
        <v>Texture2D'/Game/DungeonSiege/art/bitmaps/gui/in_game/inventory/icons/b_gui_ig_i_ic_swd_005.b_gui_ig_i_ic_swd_005'</v>
      </c>
      <c r="AF20" s="97" t="str">
        <f t="shared" si="4"/>
        <v>StaticMesh'/Game/DungeonSiege/art/meshes/weapons/sword/m_w_swd_047_AspMesh.m_w_swd_047_AspMesh'</v>
      </c>
    </row>
    <row r="21" spans="1:32" ht="15.75" thickBot="1" x14ac:dyDescent="0.3">
      <c r="A21" s="95">
        <v>19</v>
      </c>
      <c r="B21" s="95">
        <v>19</v>
      </c>
      <c r="C21" s="95">
        <f>Items!B$27+B21</f>
        <v>94371859</v>
      </c>
      <c r="D21" s="95" t="s">
        <v>3421</v>
      </c>
      <c r="E21" s="95" t="s">
        <v>3548</v>
      </c>
      <c r="F21" s="95" t="s">
        <v>3524</v>
      </c>
      <c r="G21" s="95" t="s">
        <v>3771</v>
      </c>
      <c r="H21" s="95" t="s">
        <v>3527</v>
      </c>
      <c r="I21" s="95"/>
      <c r="J21" s="95"/>
      <c r="K21" s="95"/>
      <c r="L21" s="95" t="b">
        <v>1</v>
      </c>
      <c r="M21" s="95" t="s">
        <v>3625</v>
      </c>
      <c r="N21" s="96" t="s">
        <v>3626</v>
      </c>
      <c r="O21" s="96" t="s">
        <v>3614</v>
      </c>
      <c r="P21" s="95" t="b">
        <v>1</v>
      </c>
      <c r="Q21" s="95" t="s">
        <v>3537</v>
      </c>
      <c r="R21" s="95">
        <v>1</v>
      </c>
      <c r="S21" s="95">
        <v>4</v>
      </c>
      <c r="T21" s="95">
        <v>111</v>
      </c>
      <c r="U21" s="95">
        <v>150</v>
      </c>
      <c r="V21" s="95" t="s">
        <v>3535</v>
      </c>
      <c r="W21" s="95">
        <v>0.5</v>
      </c>
      <c r="X21" s="81">
        <v>11</v>
      </c>
      <c r="Y21" s="81">
        <v>28</v>
      </c>
      <c r="Z21" s="81" t="s">
        <v>2384</v>
      </c>
      <c r="AA21" s="81">
        <v>32</v>
      </c>
      <c r="AB21" s="95" t="str">
        <f t="shared" si="0"/>
        <v>DA_WPN_SW_ElegantSword_base</v>
      </c>
      <c r="AC21" s="90" t="str">
        <f t="shared" si="1"/>
        <v>/Game/DungeonSiege/Items/Weapons/Sword/DA_WPN_SW_ElegantSword_base</v>
      </c>
      <c r="AD21" s="97" t="str">
        <f t="shared" si="2"/>
        <v>Texture2D'/Game/DungeonSiege/art/bitmaps/gui/in_game/inventory/weapons/sword/b_gui_ig_i_w_swd_080.b_gui_ig_i_w_swd_080'</v>
      </c>
      <c r="AE21" s="97" t="str">
        <f t="shared" si="3"/>
        <v>Texture2D'/Game/DungeonSiege/art/bitmaps/gui/in_game/inventory/icons/b_gui_ig_i_ic_swd_008.b_gui_ig_i_ic_swd_008'</v>
      </c>
      <c r="AF21" s="97" t="str">
        <f t="shared" si="4"/>
        <v>StaticMesh'/Game/DungeonSiege/art/meshes/weapons/sword/m_w_swd_048_AspMesh.m_w_swd_048_AspMesh'</v>
      </c>
    </row>
    <row r="22" spans="1:32" ht="15.75" thickBot="1" x14ac:dyDescent="0.3">
      <c r="A22" s="95">
        <v>20</v>
      </c>
      <c r="B22" s="95">
        <v>20</v>
      </c>
      <c r="C22" s="95">
        <f>Items!B$27+B22</f>
        <v>94371860</v>
      </c>
      <c r="D22" s="95" t="s">
        <v>3549</v>
      </c>
      <c r="E22" s="95" t="s">
        <v>3549</v>
      </c>
      <c r="F22" s="95" t="s">
        <v>3525</v>
      </c>
      <c r="G22" s="95" t="s">
        <v>3772</v>
      </c>
      <c r="H22" s="95"/>
      <c r="I22" s="95" t="b">
        <v>1</v>
      </c>
      <c r="J22" s="95"/>
      <c r="K22" s="95"/>
      <c r="L22" s="95"/>
      <c r="M22" s="95" t="s">
        <v>3627</v>
      </c>
      <c r="N22" s="96" t="s">
        <v>3631</v>
      </c>
      <c r="O22" s="96" t="s">
        <v>3586</v>
      </c>
      <c r="P22" s="95" t="b">
        <v>0</v>
      </c>
      <c r="Q22" s="95"/>
      <c r="R22" s="95">
        <v>1</v>
      </c>
      <c r="S22" s="95">
        <v>3</v>
      </c>
      <c r="T22" s="95">
        <v>55</v>
      </c>
      <c r="U22" s="95">
        <v>77</v>
      </c>
      <c r="V22" s="95" t="s">
        <v>3536</v>
      </c>
      <c r="W22" s="95">
        <v>0.5</v>
      </c>
      <c r="X22" s="81">
        <v>0</v>
      </c>
      <c r="Y22" s="81">
        <v>0</v>
      </c>
      <c r="Z22" s="81" t="s">
        <v>2384</v>
      </c>
      <c r="AA22" s="81">
        <v>24</v>
      </c>
      <c r="AB22" s="95" t="str">
        <f t="shared" si="0"/>
        <v>DA_WPN_SW_Falchion</v>
      </c>
      <c r="AC22" s="90" t="str">
        <f t="shared" si="1"/>
        <v>/Game/DungeonSiege/Items/Weapons/Sword/DA_WPN_SW_Falchion</v>
      </c>
      <c r="AD22" s="97" t="str">
        <f t="shared" si="2"/>
        <v>Texture2D'/Game/DungeonSiege/art/bitmaps/gui/in_game/inventory/weapons/sword/b_gui_ig_i_w_swd_058.b_gui_ig_i_w_swd_058'</v>
      </c>
      <c r="AE22" s="97" t="str">
        <f t="shared" si="3"/>
        <v>Texture2D'/Game/DungeonSiege/art/bitmaps/gui/in_game/inventory/icons/b_gui_ig_i_ic_swd_002.b_gui_ig_i_ic_swd_002'</v>
      </c>
      <c r="AF22" s="97" t="str">
        <f t="shared" si="4"/>
        <v>StaticMesh'/Game/DungeonSiege/art/meshes/weapons/sword/m_w_swd_027_AspMesh.m_w_swd_027_AspMesh'</v>
      </c>
    </row>
    <row r="23" spans="1:32" ht="15.75" thickBot="1" x14ac:dyDescent="0.3">
      <c r="A23" s="95">
        <v>21</v>
      </c>
      <c r="B23" s="95">
        <v>21</v>
      </c>
      <c r="C23" s="95">
        <f>Items!B$27+B23</f>
        <v>94371861</v>
      </c>
      <c r="D23" s="95" t="s">
        <v>3422</v>
      </c>
      <c r="E23" s="95" t="s">
        <v>3549</v>
      </c>
      <c r="F23" s="95" t="s">
        <v>3525</v>
      </c>
      <c r="G23" s="95" t="s">
        <v>3773</v>
      </c>
      <c r="H23" s="95" t="s">
        <v>3531</v>
      </c>
      <c r="I23" s="95"/>
      <c r="J23" s="95" t="b">
        <v>1</v>
      </c>
      <c r="K23" s="95"/>
      <c r="L23" s="95"/>
      <c r="M23" s="95" t="s">
        <v>3804</v>
      </c>
      <c r="N23" s="96" t="s">
        <v>3628</v>
      </c>
      <c r="O23" s="96" t="s">
        <v>3586</v>
      </c>
      <c r="P23" s="95" t="b">
        <v>1</v>
      </c>
      <c r="Q23" s="95" t="s">
        <v>3722</v>
      </c>
      <c r="R23" s="95">
        <v>1</v>
      </c>
      <c r="S23" s="95">
        <v>3</v>
      </c>
      <c r="T23" s="95">
        <v>59</v>
      </c>
      <c r="U23" s="95">
        <v>83</v>
      </c>
      <c r="V23" s="95" t="s">
        <v>3536</v>
      </c>
      <c r="W23" s="95">
        <v>0.5</v>
      </c>
      <c r="X23" s="81">
        <v>1</v>
      </c>
      <c r="Y23" s="81">
        <v>11</v>
      </c>
      <c r="Z23" s="81" t="s">
        <v>2384</v>
      </c>
      <c r="AA23" s="81">
        <v>26</v>
      </c>
      <c r="AB23" s="95" t="str">
        <f t="shared" si="0"/>
        <v>DA_WPN_SW_Falchion_c_fin</v>
      </c>
      <c r="AC23" s="90" t="str">
        <f t="shared" si="1"/>
        <v>/Game/DungeonSiege/Items/Weapons/Sword/DA_WPN_SW_Falchion_c_fin</v>
      </c>
      <c r="AD23" s="97" t="str">
        <f t="shared" si="2"/>
        <v>Texture2D'/Game/DungeonSiege/art/bitmaps/gui/in_game/inventory/weapons/sword/b_gui_ig_i_w_swd_059.b_gui_ig_i_w_swd_059'</v>
      </c>
      <c r="AE23" s="97" t="str">
        <f t="shared" si="3"/>
        <v>Texture2D'/Game/DungeonSiege/art/bitmaps/gui/in_game/inventory/icons/b_gui_ig_i_ic_swd_002.b_gui_ig_i_ic_swd_002'</v>
      </c>
      <c r="AF23" s="97" t="str">
        <f t="shared" si="4"/>
        <v>StaticMesh'/Game/DungeonSiege/art/meshes/weapons/sword/m_w_swd_026_AspMesh.m_w_swd_026_AspMesh'</v>
      </c>
    </row>
    <row r="24" spans="1:32" ht="15.75" thickBot="1" x14ac:dyDescent="0.3">
      <c r="A24" s="95">
        <v>22</v>
      </c>
      <c r="B24" s="95">
        <v>22</v>
      </c>
      <c r="C24" s="95">
        <f>Items!B$27+B24</f>
        <v>94371862</v>
      </c>
      <c r="D24" s="95" t="s">
        <v>3423</v>
      </c>
      <c r="E24" s="95" t="s">
        <v>3549</v>
      </c>
      <c r="F24" s="95" t="s">
        <v>3525</v>
      </c>
      <c r="G24" s="95" t="s">
        <v>3760</v>
      </c>
      <c r="H24" s="95" t="s">
        <v>3529</v>
      </c>
      <c r="I24" s="95"/>
      <c r="J24" s="95" t="b">
        <v>1</v>
      </c>
      <c r="K24" s="95"/>
      <c r="L24" s="95"/>
      <c r="M24" s="95" t="s">
        <v>3805</v>
      </c>
      <c r="N24" s="96" t="s">
        <v>3629</v>
      </c>
      <c r="O24" s="96" t="s">
        <v>3586</v>
      </c>
      <c r="P24" s="95" t="b">
        <v>1</v>
      </c>
      <c r="Q24" s="95" t="s">
        <v>3722</v>
      </c>
      <c r="R24" s="95">
        <v>1</v>
      </c>
      <c r="S24" s="95">
        <v>3</v>
      </c>
      <c r="T24" s="95">
        <v>127</v>
      </c>
      <c r="U24" s="95">
        <v>179</v>
      </c>
      <c r="V24" s="95" t="s">
        <v>3536</v>
      </c>
      <c r="W24" s="95">
        <v>0.5</v>
      </c>
      <c r="X24" s="81">
        <v>31</v>
      </c>
      <c r="Y24" s="81">
        <v>43</v>
      </c>
      <c r="Z24" s="81" t="s">
        <v>2384</v>
      </c>
      <c r="AA24" s="81">
        <v>45</v>
      </c>
      <c r="AB24" s="95" t="str">
        <f t="shared" si="0"/>
        <v>DA_WPN_SW_Falchion_c_mag</v>
      </c>
      <c r="AC24" s="90" t="str">
        <f t="shared" si="1"/>
        <v>/Game/DungeonSiege/Items/Weapons/Sword/DA_WPN_SW_Falchion_c_mag</v>
      </c>
      <c r="AD24" s="97" t="str">
        <f t="shared" si="2"/>
        <v>Texture2D'/Game/DungeonSiege/art/bitmaps/gui/in_game/inventory/weapons/sword/b_gui_ig_i_w_swd_061.b_gui_ig_i_w_swd_061'</v>
      </c>
      <c r="AE24" s="97" t="str">
        <f t="shared" si="3"/>
        <v>Texture2D'/Game/DungeonSiege/art/bitmaps/gui/in_game/inventory/icons/b_gui_ig_i_ic_swd_002.b_gui_ig_i_ic_swd_002'</v>
      </c>
      <c r="AF24" s="97" t="str">
        <f t="shared" si="4"/>
        <v>StaticMesh'/Game/DungeonSiege/art/meshes/weapons/sword/m_w_swd_035_AspMesh.m_w_swd_035_AspMesh'</v>
      </c>
    </row>
    <row r="25" spans="1:32" ht="15.75" thickBot="1" x14ac:dyDescent="0.3">
      <c r="A25" s="95">
        <v>23</v>
      </c>
      <c r="B25" s="95">
        <v>23</v>
      </c>
      <c r="C25" s="95">
        <f>Items!B$27+B25</f>
        <v>94371863</v>
      </c>
      <c r="D25" s="95" t="s">
        <v>3424</v>
      </c>
      <c r="E25" s="95" t="s">
        <v>3549</v>
      </c>
      <c r="F25" s="95" t="s">
        <v>3525</v>
      </c>
      <c r="G25" s="95" t="s">
        <v>3761</v>
      </c>
      <c r="H25" s="95" t="s">
        <v>3530</v>
      </c>
      <c r="I25" s="95"/>
      <c r="J25" s="95" t="b">
        <v>1</v>
      </c>
      <c r="K25" s="95"/>
      <c r="L25" s="95"/>
      <c r="M25" s="95" t="s">
        <v>3806</v>
      </c>
      <c r="N25" s="96" t="s">
        <v>3630</v>
      </c>
      <c r="O25" s="96" t="s">
        <v>3586</v>
      </c>
      <c r="P25" s="95" t="b">
        <v>1</v>
      </c>
      <c r="Q25" s="95" t="s">
        <v>3722</v>
      </c>
      <c r="R25" s="95">
        <v>1</v>
      </c>
      <c r="S25" s="95">
        <v>3</v>
      </c>
      <c r="T25" s="95">
        <v>93</v>
      </c>
      <c r="U25" s="95">
        <v>131</v>
      </c>
      <c r="V25" s="95" t="s">
        <v>3536</v>
      </c>
      <c r="W25" s="95">
        <v>0.5</v>
      </c>
      <c r="X25" s="81">
        <v>16</v>
      </c>
      <c r="Y25" s="81">
        <v>31</v>
      </c>
      <c r="Z25" s="81" t="s">
        <v>2384</v>
      </c>
      <c r="AA25" s="81">
        <v>35</v>
      </c>
      <c r="AB25" s="95" t="str">
        <f t="shared" si="0"/>
        <v>DA_WPN_SW_Falchion_c_str</v>
      </c>
      <c r="AC25" s="90" t="str">
        <f t="shared" si="1"/>
        <v>/Game/DungeonSiege/Items/Weapons/Sword/DA_WPN_SW_Falchion_c_str</v>
      </c>
      <c r="AD25" s="97" t="str">
        <f t="shared" si="2"/>
        <v>Texture2D'/Game/DungeonSiege/art/bitmaps/gui/in_game/inventory/weapons/sword/b_gui_ig_i_w_swd_060.b_gui_ig_i_w_swd_060'</v>
      </c>
      <c r="AE25" s="97" t="str">
        <f t="shared" si="3"/>
        <v>Texture2D'/Game/DungeonSiege/art/bitmaps/gui/in_game/inventory/icons/b_gui_ig_i_ic_swd_002.b_gui_ig_i_ic_swd_002'</v>
      </c>
      <c r="AF25" s="97" t="str">
        <f t="shared" si="4"/>
        <v>StaticMesh'/Game/DungeonSiege/art/meshes/weapons/sword/m_w_swd_029_AspMesh.m_w_swd_029_AspMesh'</v>
      </c>
    </row>
    <row r="26" spans="1:32" ht="15.75" thickBot="1" x14ac:dyDescent="0.3">
      <c r="A26" s="95">
        <v>24</v>
      </c>
      <c r="B26" s="95">
        <v>24</v>
      </c>
      <c r="C26" s="95">
        <f>Items!B$27+B26</f>
        <v>94371864</v>
      </c>
      <c r="D26" s="95" t="s">
        <v>3425</v>
      </c>
      <c r="E26" s="95" t="s">
        <v>3550</v>
      </c>
      <c r="F26" s="95" t="s">
        <v>3525</v>
      </c>
      <c r="G26" s="95" t="s">
        <v>3764</v>
      </c>
      <c r="H26" s="95" t="s">
        <v>3527</v>
      </c>
      <c r="I26" s="95"/>
      <c r="J26" s="95"/>
      <c r="K26" s="95" t="b">
        <v>1</v>
      </c>
      <c r="L26" s="95" t="b">
        <v>1</v>
      </c>
      <c r="M26" s="95" t="s">
        <v>3648</v>
      </c>
      <c r="N26" s="96" t="s">
        <v>3632</v>
      </c>
      <c r="O26" s="96" t="s">
        <v>3586</v>
      </c>
      <c r="P26" s="95" t="b">
        <v>1</v>
      </c>
      <c r="Q26" s="95"/>
      <c r="R26" s="95">
        <v>1</v>
      </c>
      <c r="S26" s="95">
        <v>3</v>
      </c>
      <c r="T26" s="95">
        <v>37</v>
      </c>
      <c r="U26" s="95">
        <v>51</v>
      </c>
      <c r="V26" s="95" t="s">
        <v>3536</v>
      </c>
      <c r="W26" s="95">
        <v>0.5</v>
      </c>
      <c r="X26" s="81">
        <v>4</v>
      </c>
      <c r="Y26" s="81">
        <v>15</v>
      </c>
      <c r="Z26" s="81" t="s">
        <v>2384</v>
      </c>
      <c r="AA26" s="81">
        <v>18</v>
      </c>
      <c r="AB26" s="95" t="str">
        <f t="shared" si="0"/>
        <v>DA_WPN_SW_FingerChopper_base</v>
      </c>
      <c r="AC26" s="90" t="str">
        <f t="shared" si="1"/>
        <v>/Game/DungeonSiege/Items/Weapons/Sword/DA_WPN_SW_FingerChopper_base</v>
      </c>
      <c r="AD26" s="97" t="str">
        <f t="shared" si="2"/>
        <v>Texture2D'/Game/DungeonSiege/art/bitmaps/gui/in_game/inventory/weapons/sword/b_gui_ig_i_w_swd_110.b_gui_ig_i_w_swd_110'</v>
      </c>
      <c r="AE26" s="97" t="str">
        <f t="shared" si="3"/>
        <v>Texture2D'/Game/DungeonSiege/art/bitmaps/gui/in_game/inventory/icons/b_gui_ig_i_ic_swd_002.b_gui_ig_i_ic_swd_002'</v>
      </c>
      <c r="AF26" s="97" t="str">
        <f t="shared" si="4"/>
        <v>StaticMesh'/Game/DungeonSiege/art/meshes/weapons/sword/m_w_swd_012_AspMesh.m_w_swd_012_AspMesh'</v>
      </c>
    </row>
    <row r="27" spans="1:32" ht="15.75" thickBot="1" x14ac:dyDescent="0.3">
      <c r="A27" s="95">
        <v>25</v>
      </c>
      <c r="B27" s="95">
        <v>25</v>
      </c>
      <c r="C27" s="95">
        <f>Items!B$27+B27</f>
        <v>94371865</v>
      </c>
      <c r="D27" s="95" t="s">
        <v>3426</v>
      </c>
      <c r="E27" s="95" t="s">
        <v>3551</v>
      </c>
      <c r="F27" s="95" t="s">
        <v>3525</v>
      </c>
      <c r="G27" s="95" t="s">
        <v>3757</v>
      </c>
      <c r="H27" s="95" t="s">
        <v>3527</v>
      </c>
      <c r="I27" s="95"/>
      <c r="J27" s="95" t="b">
        <v>1</v>
      </c>
      <c r="K27" s="95"/>
      <c r="L27" s="95"/>
      <c r="M27" s="95" t="s">
        <v>3634</v>
      </c>
      <c r="N27" s="96" t="s">
        <v>3633</v>
      </c>
      <c r="O27" s="96" t="s">
        <v>3586</v>
      </c>
      <c r="P27" s="95" t="b">
        <v>1</v>
      </c>
      <c r="Q27" s="95" t="s">
        <v>3722</v>
      </c>
      <c r="R27" s="95">
        <v>1</v>
      </c>
      <c r="S27" s="95">
        <v>3</v>
      </c>
      <c r="T27" s="95">
        <v>31</v>
      </c>
      <c r="U27" s="95">
        <v>41</v>
      </c>
      <c r="V27" s="95" t="s">
        <v>3536</v>
      </c>
      <c r="W27" s="95">
        <v>0.5</v>
      </c>
      <c r="X27" s="81">
        <v>0</v>
      </c>
      <c r="Y27" s="81">
        <v>1</v>
      </c>
      <c r="Z27" s="81" t="s">
        <v>2384</v>
      </c>
      <c r="AA27" s="81">
        <v>17</v>
      </c>
      <c r="AB27" s="95" t="str">
        <f t="shared" si="0"/>
        <v>DA_WPN_SW_FullBlade_base</v>
      </c>
      <c r="AC27" s="90" t="str">
        <f t="shared" si="1"/>
        <v>/Game/DungeonSiege/Items/Weapons/Sword/DA_WPN_SW_FullBlade_base</v>
      </c>
      <c r="AD27" s="97" t="str">
        <f t="shared" si="2"/>
        <v>Texture2D'/Game/DungeonSiege/art/bitmaps/gui/in_game/inventory/weapons/sword/b_gui_ig_i_w_swd_014.b_gui_ig_i_w_swd_014'</v>
      </c>
      <c r="AE27" s="97" t="str">
        <f t="shared" si="3"/>
        <v>Texture2D'/Game/DungeonSiege/art/bitmaps/gui/in_game/inventory/icons/b_gui_ig_i_ic_swd_002.b_gui_ig_i_ic_swd_002'</v>
      </c>
      <c r="AF27" s="97" t="str">
        <f t="shared" si="4"/>
        <v>StaticMesh'/Game/DungeonSiege/art/meshes/weapons/sword/m_w_swd_014_AspMesh.m_w_swd_014_AspMesh'</v>
      </c>
    </row>
    <row r="28" spans="1:32" ht="15.75" thickBot="1" x14ac:dyDescent="0.3">
      <c r="A28" s="95">
        <v>26</v>
      </c>
      <c r="B28" s="95">
        <v>26</v>
      </c>
      <c r="C28" s="95">
        <f>Items!B$27+B28</f>
        <v>94371866</v>
      </c>
      <c r="D28" s="95" t="s">
        <v>3427</v>
      </c>
      <c r="E28" s="95" t="s">
        <v>3551</v>
      </c>
      <c r="F28" s="95" t="s">
        <v>3525</v>
      </c>
      <c r="G28" s="95" t="s">
        <v>3764</v>
      </c>
      <c r="H28" s="95" t="s">
        <v>3531</v>
      </c>
      <c r="I28" s="95"/>
      <c r="J28" s="95" t="b">
        <v>1</v>
      </c>
      <c r="K28" s="95"/>
      <c r="L28" s="95"/>
      <c r="M28" s="95" t="s">
        <v>3807</v>
      </c>
      <c r="N28" s="96" t="s">
        <v>3635</v>
      </c>
      <c r="O28" s="96" t="s">
        <v>3586</v>
      </c>
      <c r="P28" s="95" t="b">
        <v>1</v>
      </c>
      <c r="Q28" s="95" t="s">
        <v>3722</v>
      </c>
      <c r="R28" s="95">
        <v>1</v>
      </c>
      <c r="S28" s="95">
        <v>3</v>
      </c>
      <c r="T28" s="95">
        <v>35</v>
      </c>
      <c r="U28" s="95">
        <v>47</v>
      </c>
      <c r="V28" s="95" t="s">
        <v>3536</v>
      </c>
      <c r="W28" s="95">
        <v>0.5</v>
      </c>
      <c r="X28" s="81">
        <v>2</v>
      </c>
      <c r="Y28" s="81">
        <v>9</v>
      </c>
      <c r="Z28" s="81" t="s">
        <v>2384</v>
      </c>
      <c r="AA28" s="81">
        <v>18</v>
      </c>
      <c r="AB28" s="95" t="str">
        <f t="shared" si="0"/>
        <v>DA_WPN_SW_FullBlade_c_fin</v>
      </c>
      <c r="AC28" s="90" t="str">
        <f t="shared" si="1"/>
        <v>/Game/DungeonSiege/Items/Weapons/Sword/DA_WPN_SW_FullBlade_c_fin</v>
      </c>
      <c r="AD28" s="97" t="str">
        <f t="shared" si="2"/>
        <v>Texture2D'/Game/DungeonSiege/art/bitmaps/gui/in_game/inventory/weapons/sword/b_gui_ig_i_w_swd_098.b_gui_ig_i_w_swd_098'</v>
      </c>
      <c r="AE28" s="97" t="str">
        <f t="shared" si="3"/>
        <v>Texture2D'/Game/DungeonSiege/art/bitmaps/gui/in_game/inventory/icons/b_gui_ig_i_ic_swd_002.b_gui_ig_i_ic_swd_002'</v>
      </c>
      <c r="AF28" s="97" t="str">
        <f t="shared" si="4"/>
        <v>StaticMesh'/Game/DungeonSiege/art/meshes/weapons/sword/m_w_swd_012_AspMesh.m_w_swd_012_AspMesh'</v>
      </c>
    </row>
    <row r="29" spans="1:32" ht="15.75" thickBot="1" x14ac:dyDescent="0.3">
      <c r="A29" s="95">
        <v>27</v>
      </c>
      <c r="B29" s="95">
        <v>27</v>
      </c>
      <c r="C29" s="95">
        <f>Items!B$27+B29</f>
        <v>94371867</v>
      </c>
      <c r="D29" s="95" t="s">
        <v>3428</v>
      </c>
      <c r="E29" s="95" t="s">
        <v>3551</v>
      </c>
      <c r="F29" s="95" t="s">
        <v>3525</v>
      </c>
      <c r="G29" s="95" t="s">
        <v>3757</v>
      </c>
      <c r="H29" s="95" t="s">
        <v>3528</v>
      </c>
      <c r="I29" s="95"/>
      <c r="J29" s="95" t="b">
        <v>1</v>
      </c>
      <c r="K29" s="95"/>
      <c r="L29" s="95"/>
      <c r="M29" s="95" t="s">
        <v>3808</v>
      </c>
      <c r="N29" s="96" t="s">
        <v>3636</v>
      </c>
      <c r="O29" s="96" t="s">
        <v>3597</v>
      </c>
      <c r="P29" s="95" t="b">
        <v>1</v>
      </c>
      <c r="Q29" s="95" t="s">
        <v>3722</v>
      </c>
      <c r="R29" s="95">
        <v>1</v>
      </c>
      <c r="S29" s="95">
        <v>3</v>
      </c>
      <c r="T29" s="95">
        <v>40</v>
      </c>
      <c r="U29" s="95">
        <v>54</v>
      </c>
      <c r="V29" s="95" t="s">
        <v>3536</v>
      </c>
      <c r="W29" s="95">
        <v>0.5</v>
      </c>
      <c r="X29" s="81">
        <v>4</v>
      </c>
      <c r="Y29" s="81">
        <v>15</v>
      </c>
      <c r="Z29" s="81" t="s">
        <v>2384</v>
      </c>
      <c r="AA29" s="81">
        <v>20</v>
      </c>
      <c r="AB29" s="95" t="str">
        <f t="shared" si="0"/>
        <v>DA_WPN_SW_FullBlade_o_avg</v>
      </c>
      <c r="AC29" s="90" t="str">
        <f t="shared" si="1"/>
        <v>/Game/DungeonSiege/Items/Weapons/Sword/DA_WPN_SW_FullBlade_o_avg</v>
      </c>
      <c r="AD29" s="97" t="str">
        <f t="shared" si="2"/>
        <v>Texture2D'/Game/DungeonSiege/art/bitmaps/gui/in_game/inventory/weapons/sword/b_gui_ig_i_w_swd_019.b_gui_ig_i_w_swd_019'</v>
      </c>
      <c r="AE29" s="97" t="str">
        <f t="shared" si="3"/>
        <v>Texture2D'/Game/DungeonSiege/art/bitmaps/gui/in_game/inventory/icons/b_gui_ig_i_ic_swd_004.b_gui_ig_i_ic_swd_004'</v>
      </c>
      <c r="AF29" s="97" t="str">
        <f t="shared" si="4"/>
        <v>StaticMesh'/Game/DungeonSiege/art/meshes/weapons/sword/m_w_swd_014_AspMesh.m_w_swd_014_AspMesh'</v>
      </c>
    </row>
    <row r="30" spans="1:32" ht="15.75" thickBot="1" x14ac:dyDescent="0.3">
      <c r="A30" s="95">
        <v>28</v>
      </c>
      <c r="B30" s="95">
        <v>28</v>
      </c>
      <c r="C30" s="95">
        <f>Items!B$27+B30</f>
        <v>94371868</v>
      </c>
      <c r="D30" s="95" t="s">
        <v>3429</v>
      </c>
      <c r="E30" s="95" t="s">
        <v>3551</v>
      </c>
      <c r="F30" s="95" t="s">
        <v>3525</v>
      </c>
      <c r="G30" s="95" t="s">
        <v>3757</v>
      </c>
      <c r="H30" s="95" t="s">
        <v>3532</v>
      </c>
      <c r="I30" s="95"/>
      <c r="J30" s="95" t="b">
        <v>1</v>
      </c>
      <c r="K30" s="95"/>
      <c r="L30" s="95"/>
      <c r="M30" s="95" t="s">
        <v>3809</v>
      </c>
      <c r="N30" s="96" t="s">
        <v>3637</v>
      </c>
      <c r="O30" s="96" t="s">
        <v>3597</v>
      </c>
      <c r="P30" s="95" t="b">
        <v>1</v>
      </c>
      <c r="Q30" s="95" t="s">
        <v>3722</v>
      </c>
      <c r="R30" s="95">
        <v>1</v>
      </c>
      <c r="S30" s="95">
        <v>3</v>
      </c>
      <c r="T30" s="95">
        <v>48</v>
      </c>
      <c r="U30" s="95">
        <v>65</v>
      </c>
      <c r="V30" s="95" t="s">
        <v>3536</v>
      </c>
      <c r="W30" s="95">
        <v>0.5</v>
      </c>
      <c r="X30" s="81">
        <v>8</v>
      </c>
      <c r="Y30" s="81">
        <v>19</v>
      </c>
      <c r="Z30" s="81" t="s">
        <v>2384</v>
      </c>
      <c r="AA30" s="81">
        <v>22</v>
      </c>
      <c r="AB30" s="95" t="str">
        <f t="shared" si="0"/>
        <v>DA_WPN_SW_FullBlade_o_fin</v>
      </c>
      <c r="AC30" s="90" t="str">
        <f t="shared" si="1"/>
        <v>/Game/DungeonSiege/Items/Weapons/Sword/DA_WPN_SW_FullBlade_o_fin</v>
      </c>
      <c r="AD30" s="97" t="str">
        <f t="shared" si="2"/>
        <v>Texture2D'/Game/DungeonSiege/art/bitmaps/gui/in_game/inventory/weapons/sword/b_gui_ig_i_w_swd_029.b_gui_ig_i_w_swd_029'</v>
      </c>
      <c r="AE30" s="97" t="str">
        <f t="shared" si="3"/>
        <v>Texture2D'/Game/DungeonSiege/art/bitmaps/gui/in_game/inventory/icons/b_gui_ig_i_ic_swd_004.b_gui_ig_i_ic_swd_004'</v>
      </c>
      <c r="AF30" s="97" t="str">
        <f t="shared" si="4"/>
        <v>StaticMesh'/Game/DungeonSiege/art/meshes/weapons/sword/m_w_swd_014_AspMesh.m_w_swd_014_AspMesh'</v>
      </c>
    </row>
    <row r="31" spans="1:32" ht="15.75" thickBot="1" x14ac:dyDescent="0.3">
      <c r="A31" s="95">
        <v>29</v>
      </c>
      <c r="B31" s="95">
        <v>29</v>
      </c>
      <c r="C31" s="95">
        <f>Items!B$27+B31</f>
        <v>94371869</v>
      </c>
      <c r="D31" s="95" t="s">
        <v>3430</v>
      </c>
      <c r="E31" s="95" t="s">
        <v>3552</v>
      </c>
      <c r="F31" s="95" t="s">
        <v>3525</v>
      </c>
      <c r="G31" s="95" t="s">
        <v>3758</v>
      </c>
      <c r="H31" s="95" t="s">
        <v>3527</v>
      </c>
      <c r="I31" s="95"/>
      <c r="J31" s="95" t="b">
        <v>1</v>
      </c>
      <c r="K31" s="95"/>
      <c r="L31" s="95"/>
      <c r="M31" s="95" t="s">
        <v>3638</v>
      </c>
      <c r="N31" s="96" t="s">
        <v>3639</v>
      </c>
      <c r="O31" s="96" t="s">
        <v>3586</v>
      </c>
      <c r="P31" s="95" t="b">
        <v>1</v>
      </c>
      <c r="Q31" s="95" t="s">
        <v>3722</v>
      </c>
      <c r="R31" s="95">
        <v>1</v>
      </c>
      <c r="S31" s="95">
        <v>3</v>
      </c>
      <c r="T31" s="95">
        <v>24</v>
      </c>
      <c r="U31" s="95">
        <v>32</v>
      </c>
      <c r="V31" s="95" t="s">
        <v>3536</v>
      </c>
      <c r="W31" s="95">
        <v>0.5</v>
      </c>
      <c r="X31" s="81">
        <v>0</v>
      </c>
      <c r="Y31" s="81">
        <v>1</v>
      </c>
      <c r="Z31" s="81" t="s">
        <v>2384</v>
      </c>
      <c r="AA31" s="81">
        <v>15</v>
      </c>
      <c r="AB31" s="95" t="str">
        <f t="shared" si="0"/>
        <v>DA_WPN_SW_FullGladius_base</v>
      </c>
      <c r="AC31" s="90" t="str">
        <f t="shared" si="1"/>
        <v>/Game/DungeonSiege/Items/Weapons/Sword/DA_WPN_SW_FullGladius_base</v>
      </c>
      <c r="AD31" s="97" t="str">
        <f t="shared" si="2"/>
        <v>Texture2D'/Game/DungeonSiege/art/bitmaps/gui/in_game/inventory/weapons/sword/b_gui_ig_i_w_swd_012.b_gui_ig_i_w_swd_012'</v>
      </c>
      <c r="AE31" s="97" t="str">
        <f t="shared" si="3"/>
        <v>Texture2D'/Game/DungeonSiege/art/bitmaps/gui/in_game/inventory/icons/b_gui_ig_i_ic_swd_002.b_gui_ig_i_ic_swd_002'</v>
      </c>
      <c r="AF31" s="97" t="str">
        <f t="shared" si="4"/>
        <v>StaticMesh'/Game/DungeonSiege/art/meshes/weapons/sword/m_w_swd_011_AspMesh.m_w_swd_011_AspMesh'</v>
      </c>
    </row>
    <row r="32" spans="1:32" ht="15.75" thickBot="1" x14ac:dyDescent="0.3">
      <c r="A32" s="95">
        <v>30</v>
      </c>
      <c r="B32" s="95">
        <v>30</v>
      </c>
      <c r="C32" s="95">
        <f>Items!B$27+B32</f>
        <v>94371870</v>
      </c>
      <c r="D32" s="95" t="s">
        <v>3431</v>
      </c>
      <c r="E32" s="95" t="s">
        <v>3552</v>
      </c>
      <c r="F32" s="95" t="s">
        <v>3525</v>
      </c>
      <c r="G32" s="95" t="s">
        <v>3764</v>
      </c>
      <c r="H32" s="95" t="s">
        <v>3528</v>
      </c>
      <c r="I32" s="95"/>
      <c r="J32" s="95" t="b">
        <v>1</v>
      </c>
      <c r="K32" s="95"/>
      <c r="L32" s="95"/>
      <c r="M32" s="95" t="s">
        <v>3810</v>
      </c>
      <c r="N32" s="96" t="s">
        <v>3640</v>
      </c>
      <c r="O32" s="96" t="s">
        <v>3597</v>
      </c>
      <c r="P32" s="95" t="b">
        <v>1</v>
      </c>
      <c r="Q32" s="95" t="s">
        <v>3722</v>
      </c>
      <c r="R32" s="95">
        <v>1</v>
      </c>
      <c r="S32" s="95">
        <v>3</v>
      </c>
      <c r="T32" s="95">
        <v>35</v>
      </c>
      <c r="U32" s="95">
        <v>47</v>
      </c>
      <c r="V32" s="95" t="s">
        <v>3536</v>
      </c>
      <c r="W32" s="95">
        <v>0.5</v>
      </c>
      <c r="X32" s="81">
        <v>4</v>
      </c>
      <c r="Y32" s="81">
        <v>14</v>
      </c>
      <c r="Z32" s="81" t="s">
        <v>2384</v>
      </c>
      <c r="AA32" s="81">
        <v>18</v>
      </c>
      <c r="AB32" s="95" t="str">
        <f t="shared" si="0"/>
        <v>DA_WPN_SW_FullGladius_o_avg</v>
      </c>
      <c r="AC32" s="90" t="str">
        <f t="shared" si="1"/>
        <v>/Game/DungeonSiege/Items/Weapons/Sword/DA_WPN_SW_FullGladius_o_avg</v>
      </c>
      <c r="AD32" s="97" t="str">
        <f t="shared" si="2"/>
        <v>Texture2D'/Game/DungeonSiege/art/bitmaps/gui/in_game/inventory/weapons/sword/b_gui_ig_i_w_swd_018.b_gui_ig_i_w_swd_018'</v>
      </c>
      <c r="AE32" s="97" t="str">
        <f t="shared" si="3"/>
        <v>Texture2D'/Game/DungeonSiege/art/bitmaps/gui/in_game/inventory/icons/b_gui_ig_i_ic_swd_004.b_gui_ig_i_ic_swd_004'</v>
      </c>
      <c r="AF32" s="97" t="str">
        <f t="shared" si="4"/>
        <v>StaticMesh'/Game/DungeonSiege/art/meshes/weapons/sword/m_w_swd_012_AspMesh.m_w_swd_012_AspMesh'</v>
      </c>
    </row>
    <row r="33" spans="1:32" ht="15.75" thickBot="1" x14ac:dyDescent="0.3">
      <c r="A33" s="95">
        <v>31</v>
      </c>
      <c r="B33" s="95">
        <v>31</v>
      </c>
      <c r="C33" s="95">
        <f>Items!B$27+B33</f>
        <v>94371871</v>
      </c>
      <c r="D33" s="95" t="s">
        <v>3432</v>
      </c>
      <c r="E33" s="95" t="s">
        <v>3552</v>
      </c>
      <c r="F33" s="95" t="s">
        <v>3525</v>
      </c>
      <c r="G33" s="95" t="s">
        <v>3764</v>
      </c>
      <c r="H33" s="95" t="s">
        <v>3532</v>
      </c>
      <c r="I33" s="95"/>
      <c r="J33" s="95" t="b">
        <v>1</v>
      </c>
      <c r="K33" s="95"/>
      <c r="L33" s="95"/>
      <c r="M33" s="95" t="s">
        <v>3811</v>
      </c>
      <c r="N33" s="96" t="s">
        <v>3641</v>
      </c>
      <c r="O33" s="96" t="s">
        <v>3597</v>
      </c>
      <c r="P33" s="95" t="b">
        <v>1</v>
      </c>
      <c r="Q33" s="95" t="s">
        <v>3722</v>
      </c>
      <c r="R33" s="95">
        <v>1</v>
      </c>
      <c r="S33" s="95">
        <v>3</v>
      </c>
      <c r="T33" s="95">
        <v>42</v>
      </c>
      <c r="U33" s="95">
        <v>57</v>
      </c>
      <c r="V33" s="95" t="s">
        <v>3536</v>
      </c>
      <c r="W33" s="95">
        <v>0.5</v>
      </c>
      <c r="X33" s="81">
        <v>7</v>
      </c>
      <c r="Y33" s="81">
        <v>16</v>
      </c>
      <c r="Z33" s="81" t="s">
        <v>2384</v>
      </c>
      <c r="AA33" s="81">
        <v>20</v>
      </c>
      <c r="AB33" s="95" t="str">
        <f t="shared" si="0"/>
        <v>DA_WPN_SW_FullGladius_o_fin</v>
      </c>
      <c r="AC33" s="90" t="str">
        <f t="shared" si="1"/>
        <v>/Game/DungeonSiege/Items/Weapons/Sword/DA_WPN_SW_FullGladius_o_fin</v>
      </c>
      <c r="AD33" s="97" t="str">
        <f t="shared" si="2"/>
        <v>Texture2D'/Game/DungeonSiege/art/bitmaps/gui/in_game/inventory/weapons/sword/b_gui_ig_i_w_swd_026.b_gui_ig_i_w_swd_026'</v>
      </c>
      <c r="AE33" s="97" t="str">
        <f t="shared" si="3"/>
        <v>Texture2D'/Game/DungeonSiege/art/bitmaps/gui/in_game/inventory/icons/b_gui_ig_i_ic_swd_004.b_gui_ig_i_ic_swd_004'</v>
      </c>
      <c r="AF33" s="97" t="str">
        <f t="shared" si="4"/>
        <v>StaticMesh'/Game/DungeonSiege/art/meshes/weapons/sword/m_w_swd_012_AspMesh.m_w_swd_012_AspMesh'</v>
      </c>
    </row>
    <row r="34" spans="1:32" ht="15.75" thickBot="1" x14ac:dyDescent="0.3">
      <c r="A34" s="95">
        <v>32</v>
      </c>
      <c r="B34" s="95">
        <v>32</v>
      </c>
      <c r="C34" s="95">
        <f>Items!B$27+B34</f>
        <v>94371872</v>
      </c>
      <c r="D34" s="95" t="s">
        <v>3433</v>
      </c>
      <c r="E34" s="95" t="s">
        <v>3553</v>
      </c>
      <c r="F34" s="95" t="s">
        <v>3525</v>
      </c>
      <c r="G34" s="95" t="s">
        <v>3758</v>
      </c>
      <c r="H34" s="95" t="s">
        <v>3527</v>
      </c>
      <c r="I34" s="95"/>
      <c r="J34" s="95" t="b">
        <v>1</v>
      </c>
      <c r="K34" s="95"/>
      <c r="L34" s="95"/>
      <c r="M34" s="95" t="s">
        <v>3642</v>
      </c>
      <c r="N34" s="96" t="s">
        <v>3643</v>
      </c>
      <c r="O34" s="96" t="s">
        <v>3584</v>
      </c>
      <c r="P34" s="95" t="b">
        <v>1</v>
      </c>
      <c r="Q34" s="95" t="s">
        <v>3722</v>
      </c>
      <c r="R34" s="95">
        <v>1</v>
      </c>
      <c r="S34" s="95">
        <v>3</v>
      </c>
      <c r="T34" s="95">
        <v>12</v>
      </c>
      <c r="U34" s="95">
        <v>22</v>
      </c>
      <c r="V34" s="95" t="s">
        <v>3536</v>
      </c>
      <c r="W34" s="95">
        <v>0.5</v>
      </c>
      <c r="X34" s="81">
        <v>0</v>
      </c>
      <c r="Y34" s="81">
        <v>1</v>
      </c>
      <c r="Z34" s="81" t="s">
        <v>2384</v>
      </c>
      <c r="AA34" s="81">
        <v>13</v>
      </c>
      <c r="AB34" s="95" t="str">
        <f t="shared" si="0"/>
        <v>DA_WPN_SW_Gladius_base</v>
      </c>
      <c r="AC34" s="90" t="str">
        <f t="shared" si="1"/>
        <v>/Game/DungeonSiege/Items/Weapons/Sword/DA_WPN_SW_Gladius_base</v>
      </c>
      <c r="AD34" s="97" t="str">
        <f t="shared" si="2"/>
        <v>Texture2D'/Game/DungeonSiege/art/bitmaps/gui/in_game/inventory/weapons/sword/b_gui_ig_i_w_swd_004.b_gui_ig_i_w_swd_004'</v>
      </c>
      <c r="AE34" s="97" t="str">
        <f t="shared" si="3"/>
        <v>Texture2D'/Game/DungeonSiege/art/bitmaps/gui/in_game/inventory/icons/b_gui_ig_i_ic_swd_001.b_gui_ig_i_ic_swd_001'</v>
      </c>
      <c r="AF34" s="97" t="str">
        <f t="shared" si="4"/>
        <v>StaticMesh'/Game/DungeonSiege/art/meshes/weapons/sword/m_w_swd_011_AspMesh.m_w_swd_011_AspMesh'</v>
      </c>
    </row>
    <row r="35" spans="1:32" ht="15.75" thickBot="1" x14ac:dyDescent="0.3">
      <c r="A35" s="95">
        <v>33</v>
      </c>
      <c r="B35" s="95">
        <v>33</v>
      </c>
      <c r="C35" s="95">
        <f>Items!B$27+B35</f>
        <v>94371873</v>
      </c>
      <c r="D35" s="95" t="s">
        <v>3434</v>
      </c>
      <c r="E35" s="95" t="s">
        <v>3553</v>
      </c>
      <c r="F35" s="95" t="s">
        <v>3525</v>
      </c>
      <c r="G35" s="95" t="s">
        <v>3764</v>
      </c>
      <c r="H35" s="95" t="s">
        <v>3531</v>
      </c>
      <c r="I35" s="95"/>
      <c r="J35" s="95" t="b">
        <v>1</v>
      </c>
      <c r="K35" s="95"/>
      <c r="L35" s="95"/>
      <c r="M35" s="95" t="s">
        <v>3812</v>
      </c>
      <c r="N35" s="96" t="s">
        <v>3644</v>
      </c>
      <c r="O35" s="96" t="s">
        <v>3586</v>
      </c>
      <c r="P35" s="95" t="b">
        <v>1</v>
      </c>
      <c r="Q35" s="95" t="s">
        <v>3722</v>
      </c>
      <c r="R35" s="95">
        <v>1</v>
      </c>
      <c r="S35" s="95">
        <v>3</v>
      </c>
      <c r="T35" s="95">
        <v>14</v>
      </c>
      <c r="U35" s="95">
        <v>25</v>
      </c>
      <c r="V35" s="95" t="s">
        <v>3536</v>
      </c>
      <c r="W35" s="95">
        <v>0.5</v>
      </c>
      <c r="X35" s="81">
        <v>1</v>
      </c>
      <c r="Y35" s="81">
        <v>5</v>
      </c>
      <c r="Z35" s="81" t="s">
        <v>2384</v>
      </c>
      <c r="AA35" s="81">
        <v>13</v>
      </c>
      <c r="AB35" s="95" t="str">
        <f t="shared" si="0"/>
        <v>DA_WPN_SW_Gladius_c_fin</v>
      </c>
      <c r="AC35" s="90" t="str">
        <f t="shared" si="1"/>
        <v>/Game/DungeonSiege/Items/Weapons/Sword/DA_WPN_SW_Gladius_c_fin</v>
      </c>
      <c r="AD35" s="97" t="str">
        <f t="shared" si="2"/>
        <v>Texture2D'/Game/DungeonSiege/art/bitmaps/gui/in_game/inventory/weapons/sword/b_gui_ig_i_w_swd_005.b_gui_ig_i_w_swd_005'</v>
      </c>
      <c r="AE35" s="97" t="str">
        <f t="shared" si="3"/>
        <v>Texture2D'/Game/DungeonSiege/art/bitmaps/gui/in_game/inventory/icons/b_gui_ig_i_ic_swd_002.b_gui_ig_i_ic_swd_002'</v>
      </c>
      <c r="AF35" s="97" t="str">
        <f t="shared" si="4"/>
        <v>StaticMesh'/Game/DungeonSiege/art/meshes/weapons/sword/m_w_swd_012_AspMesh.m_w_swd_012_AspMesh'</v>
      </c>
    </row>
    <row r="36" spans="1:32" ht="15.75" thickBot="1" x14ac:dyDescent="0.3">
      <c r="A36" s="95">
        <v>34</v>
      </c>
      <c r="B36" s="95">
        <v>34</v>
      </c>
      <c r="C36" s="95">
        <f>Items!B$27+B36</f>
        <v>94371874</v>
      </c>
      <c r="D36" s="95" t="s">
        <v>3435</v>
      </c>
      <c r="E36" s="95" t="s">
        <v>3554</v>
      </c>
      <c r="F36" s="95" t="s">
        <v>3524</v>
      </c>
      <c r="G36" s="95" t="s">
        <v>3765</v>
      </c>
      <c r="H36" s="95" t="s">
        <v>3527</v>
      </c>
      <c r="I36" s="95"/>
      <c r="J36" s="95" t="b">
        <v>1</v>
      </c>
      <c r="K36" s="95"/>
      <c r="L36" s="95"/>
      <c r="M36" s="95" t="s">
        <v>3645</v>
      </c>
      <c r="N36" s="96" t="s">
        <v>3646</v>
      </c>
      <c r="O36" s="96" t="s">
        <v>3539</v>
      </c>
      <c r="P36" s="95" t="b">
        <v>1</v>
      </c>
      <c r="Q36" s="95" t="s">
        <v>3722</v>
      </c>
      <c r="R36" s="95">
        <v>1</v>
      </c>
      <c r="S36" s="95">
        <v>4</v>
      </c>
      <c r="T36" s="95">
        <v>74</v>
      </c>
      <c r="U36" s="95">
        <v>112</v>
      </c>
      <c r="V36" s="95" t="s">
        <v>3535</v>
      </c>
      <c r="W36" s="95">
        <v>0.5</v>
      </c>
      <c r="X36" s="81">
        <v>0</v>
      </c>
      <c r="Y36" s="81">
        <v>4</v>
      </c>
      <c r="Z36" s="81" t="s">
        <v>2384</v>
      </c>
      <c r="AA36" s="81">
        <v>26</v>
      </c>
      <c r="AB36" s="95" t="str">
        <f t="shared" si="0"/>
        <v>DA_WPN_SW_GreatSteel_base</v>
      </c>
      <c r="AC36" s="90" t="str">
        <f t="shared" si="1"/>
        <v>/Game/DungeonSiege/Items/Weapons/Sword/DA_WPN_SW_GreatSteel_base</v>
      </c>
      <c r="AD36" s="97" t="str">
        <f t="shared" si="2"/>
        <v>Texture2D'/Game/DungeonSiege/art/bitmaps/gui/in_game/inventory/weapons/sword/b_gui_ig_i_w_swd_034.b_gui_ig_i_w_swd_034'</v>
      </c>
      <c r="AE36" s="97" t="str">
        <f t="shared" si="3"/>
        <v>Texture2D'/Game/DungeonSiege/art/bitmaps/gui/in_game/inventory/icons/b_gui_ig_i_ic_swd_007.b_gui_ig_i_ic_swd_007'</v>
      </c>
      <c r="AF36" s="97" t="str">
        <f t="shared" si="4"/>
        <v>StaticMesh'/Game/DungeonSiege/art/meshes/weapons/sword/m_w_swd_020_AspMesh.m_w_swd_020_AspMesh'</v>
      </c>
    </row>
    <row r="37" spans="1:32" ht="15.75" thickBot="1" x14ac:dyDescent="0.3">
      <c r="A37" s="95">
        <v>35</v>
      </c>
      <c r="B37" s="95">
        <v>35</v>
      </c>
      <c r="C37" s="95">
        <f>Items!B$27+B37</f>
        <v>94371875</v>
      </c>
      <c r="D37" s="95" t="s">
        <v>3436</v>
      </c>
      <c r="E37" s="95" t="s">
        <v>3554</v>
      </c>
      <c r="F37" s="95" t="s">
        <v>3524</v>
      </c>
      <c r="G37" s="95" t="s">
        <v>3766</v>
      </c>
      <c r="H37" s="95" t="s">
        <v>3531</v>
      </c>
      <c r="I37" s="95"/>
      <c r="J37" s="95" t="b">
        <v>1</v>
      </c>
      <c r="K37" s="95"/>
      <c r="L37" s="95"/>
      <c r="M37" s="95" t="s">
        <v>3813</v>
      </c>
      <c r="N37" s="96" t="s">
        <v>3647</v>
      </c>
      <c r="O37" s="96" t="s">
        <v>3539</v>
      </c>
      <c r="P37" s="95" t="b">
        <v>1</v>
      </c>
      <c r="Q37" s="95" t="s">
        <v>3722</v>
      </c>
      <c r="R37" s="95">
        <v>1</v>
      </c>
      <c r="S37" s="95">
        <v>4</v>
      </c>
      <c r="T37" s="95">
        <v>86</v>
      </c>
      <c r="U37" s="95">
        <v>128</v>
      </c>
      <c r="V37" s="95" t="s">
        <v>3535</v>
      </c>
      <c r="W37" s="95">
        <v>0.5</v>
      </c>
      <c r="X37" s="81">
        <v>3</v>
      </c>
      <c r="Y37" s="81">
        <v>13</v>
      </c>
      <c r="Z37" s="81" t="s">
        <v>2384</v>
      </c>
      <c r="AA37" s="81">
        <v>29</v>
      </c>
      <c r="AB37" s="95" t="str">
        <f t="shared" si="0"/>
        <v>DA_WPN_SW_GreatSteel_c_fin</v>
      </c>
      <c r="AC37" s="90" t="str">
        <f t="shared" si="1"/>
        <v>/Game/DungeonSiege/Items/Weapons/Sword/DA_WPN_SW_GreatSteel_c_fin</v>
      </c>
      <c r="AD37" s="97" t="str">
        <f t="shared" si="2"/>
        <v>Texture2D'/Game/DungeonSiege/art/bitmaps/gui/in_game/inventory/weapons/sword/b_gui_ig_i_w_swd_040.b_gui_ig_i_w_swd_040'</v>
      </c>
      <c r="AE37" s="97" t="str">
        <f t="shared" si="3"/>
        <v>Texture2D'/Game/DungeonSiege/art/bitmaps/gui/in_game/inventory/icons/b_gui_ig_i_ic_swd_007.b_gui_ig_i_ic_swd_007'</v>
      </c>
      <c r="AF37" s="97" t="str">
        <f t="shared" si="4"/>
        <v>StaticMesh'/Game/DungeonSiege/art/meshes/weapons/sword/m_w_swd_017_AspMesh.m_w_swd_017_AspMesh'</v>
      </c>
    </row>
    <row r="38" spans="1:32" ht="15.75" thickBot="1" x14ac:dyDescent="0.3">
      <c r="A38" s="95">
        <v>36</v>
      </c>
      <c r="B38" s="95">
        <v>36</v>
      </c>
      <c r="C38" s="95">
        <f>Items!B$27+B38</f>
        <v>94371876</v>
      </c>
      <c r="D38" s="95" t="s">
        <v>3437</v>
      </c>
      <c r="E38" s="95" t="s">
        <v>3554</v>
      </c>
      <c r="F38" s="95" t="s">
        <v>3524</v>
      </c>
      <c r="G38" s="95" t="s">
        <v>3765</v>
      </c>
      <c r="H38" s="95" t="s">
        <v>3529</v>
      </c>
      <c r="I38" s="95"/>
      <c r="J38" s="95" t="b">
        <v>1</v>
      </c>
      <c r="K38" s="95"/>
      <c r="L38" s="95"/>
      <c r="M38" s="95" t="s">
        <v>3814</v>
      </c>
      <c r="N38" s="96" t="s">
        <v>3650</v>
      </c>
      <c r="O38" s="96" t="s">
        <v>3586</v>
      </c>
      <c r="P38" s="95" t="b">
        <v>1</v>
      </c>
      <c r="Q38" s="95" t="s">
        <v>3722</v>
      </c>
      <c r="R38" s="95">
        <v>1</v>
      </c>
      <c r="S38" s="95">
        <v>4</v>
      </c>
      <c r="T38" s="95">
        <v>192</v>
      </c>
      <c r="U38" s="95">
        <v>288</v>
      </c>
      <c r="V38" s="95" t="s">
        <v>3535</v>
      </c>
      <c r="W38" s="95">
        <v>0.5</v>
      </c>
      <c r="X38" s="81">
        <v>38</v>
      </c>
      <c r="Y38" s="81">
        <v>53</v>
      </c>
      <c r="Z38" s="81" t="s">
        <v>2384</v>
      </c>
      <c r="AA38" s="81">
        <v>54</v>
      </c>
      <c r="AB38" s="95" t="str">
        <f t="shared" si="0"/>
        <v>DA_WPN_SW_GreatSteel_c_mag</v>
      </c>
      <c r="AC38" s="90" t="str">
        <f t="shared" si="1"/>
        <v>/Game/DungeonSiege/Items/Weapons/Sword/DA_WPN_SW_GreatSteel_c_mag</v>
      </c>
      <c r="AD38" s="97" t="str">
        <f t="shared" si="2"/>
        <v>Texture2D'/Game/DungeonSiege/art/bitmaps/gui/in_game/inventory/weapons/sword/b_gui_ig_i_w_swd_050.b_gui_ig_i_w_swd_050'</v>
      </c>
      <c r="AE38" s="97" t="str">
        <f t="shared" si="3"/>
        <v>Texture2D'/Game/DungeonSiege/art/bitmaps/gui/in_game/inventory/icons/b_gui_ig_i_ic_swd_002.b_gui_ig_i_ic_swd_002'</v>
      </c>
      <c r="AF38" s="97" t="str">
        <f t="shared" si="4"/>
        <v>StaticMesh'/Game/DungeonSiege/art/meshes/weapons/sword/m_w_swd_020_AspMesh.m_w_swd_020_AspMesh'</v>
      </c>
    </row>
    <row r="39" spans="1:32" ht="15.75" thickBot="1" x14ac:dyDescent="0.3">
      <c r="A39" s="95">
        <v>37</v>
      </c>
      <c r="B39" s="95">
        <v>37</v>
      </c>
      <c r="C39" s="95">
        <f>Items!B$27+B39</f>
        <v>94371877</v>
      </c>
      <c r="D39" s="95" t="s">
        <v>3438</v>
      </c>
      <c r="E39" s="95" t="s">
        <v>3554</v>
      </c>
      <c r="F39" s="95" t="s">
        <v>3524</v>
      </c>
      <c r="G39" s="95" t="s">
        <v>3766</v>
      </c>
      <c r="H39" s="95" t="s">
        <v>3530</v>
      </c>
      <c r="I39" s="95"/>
      <c r="J39" s="95" t="b">
        <v>1</v>
      </c>
      <c r="K39" s="95"/>
      <c r="L39" s="95"/>
      <c r="M39" s="95" t="s">
        <v>3815</v>
      </c>
      <c r="N39" s="96" t="s">
        <v>3649</v>
      </c>
      <c r="O39" s="96" t="s">
        <v>3586</v>
      </c>
      <c r="P39" s="95" t="b">
        <v>1</v>
      </c>
      <c r="Q39" s="95" t="s">
        <v>3722</v>
      </c>
      <c r="R39" s="95">
        <v>1</v>
      </c>
      <c r="S39" s="95">
        <v>4</v>
      </c>
      <c r="T39" s="95">
        <v>140</v>
      </c>
      <c r="U39" s="95">
        <v>210</v>
      </c>
      <c r="V39" s="95" t="s">
        <v>3535</v>
      </c>
      <c r="W39" s="95">
        <v>0.5</v>
      </c>
      <c r="X39" s="81">
        <v>21</v>
      </c>
      <c r="Y39" s="81">
        <v>38</v>
      </c>
      <c r="Z39" s="81" t="s">
        <v>2384</v>
      </c>
      <c r="AA39" s="81">
        <v>42</v>
      </c>
      <c r="AB39" s="95" t="str">
        <f t="shared" si="0"/>
        <v>DA_WPN_SW_GreatSteel_c_str</v>
      </c>
      <c r="AC39" s="90" t="str">
        <f t="shared" si="1"/>
        <v>/Game/DungeonSiege/Items/Weapons/Sword/DA_WPN_SW_GreatSteel_c_str</v>
      </c>
      <c r="AD39" s="97" t="str">
        <f t="shared" si="2"/>
        <v>Texture2D'/Game/DungeonSiege/art/bitmaps/gui/in_game/inventory/weapons/sword/b_gui_ig_i_w_swd_046.b_gui_ig_i_w_swd_046'</v>
      </c>
      <c r="AE39" s="97" t="str">
        <f t="shared" si="3"/>
        <v>Texture2D'/Game/DungeonSiege/art/bitmaps/gui/in_game/inventory/icons/b_gui_ig_i_ic_swd_002.b_gui_ig_i_ic_swd_002'</v>
      </c>
      <c r="AF39" s="97" t="str">
        <f t="shared" si="4"/>
        <v>StaticMesh'/Game/DungeonSiege/art/meshes/weapons/sword/m_w_swd_017_AspMesh.m_w_swd_017_AspMesh'</v>
      </c>
    </row>
    <row r="40" spans="1:32" ht="15.75" thickBot="1" x14ac:dyDescent="0.3">
      <c r="A40" s="95">
        <v>38</v>
      </c>
      <c r="B40" s="95">
        <v>38</v>
      </c>
      <c r="C40" s="95">
        <f>Items!B$27+B40</f>
        <v>94371878</v>
      </c>
      <c r="D40" s="95" t="s">
        <v>3439</v>
      </c>
      <c r="E40" s="95" t="s">
        <v>3554</v>
      </c>
      <c r="F40" s="95" t="s">
        <v>3524</v>
      </c>
      <c r="G40" s="95" t="s">
        <v>3766</v>
      </c>
      <c r="H40" s="95" t="s">
        <v>3528</v>
      </c>
      <c r="I40" s="95"/>
      <c r="J40" s="95" t="b">
        <v>1</v>
      </c>
      <c r="K40" s="95"/>
      <c r="L40" s="95"/>
      <c r="M40" s="95" t="s">
        <v>3816</v>
      </c>
      <c r="N40" s="96" t="s">
        <v>3651</v>
      </c>
      <c r="O40" s="96" t="s">
        <v>3614</v>
      </c>
      <c r="P40" s="95" t="b">
        <v>1</v>
      </c>
      <c r="Q40" s="95" t="s">
        <v>3722</v>
      </c>
      <c r="R40" s="95">
        <v>1</v>
      </c>
      <c r="S40" s="95">
        <v>4</v>
      </c>
      <c r="T40" s="95">
        <v>101</v>
      </c>
      <c r="U40" s="95">
        <v>151</v>
      </c>
      <c r="V40" s="95" t="s">
        <v>3535</v>
      </c>
      <c r="W40" s="95">
        <v>0.5</v>
      </c>
      <c r="X40" s="81">
        <v>8</v>
      </c>
      <c r="Y40" s="81">
        <v>21</v>
      </c>
      <c r="Z40" s="81" t="s">
        <v>2384</v>
      </c>
      <c r="AA40" s="81">
        <v>32</v>
      </c>
      <c r="AB40" s="95" t="str">
        <f t="shared" si="0"/>
        <v>DA_WPN_SW_GreatSteel_o_avg</v>
      </c>
      <c r="AC40" s="90" t="str">
        <f t="shared" si="1"/>
        <v>/Game/DungeonSiege/Items/Weapons/Sword/DA_WPN_SW_GreatSteel_o_avg</v>
      </c>
      <c r="AD40" s="97" t="str">
        <f t="shared" si="2"/>
        <v>Texture2D'/Game/DungeonSiege/art/bitmaps/gui/in_game/inventory/weapons/sword/b_gui_ig_i_w_swd_042.b_gui_ig_i_w_swd_042'</v>
      </c>
      <c r="AE40" s="97" t="str">
        <f t="shared" si="3"/>
        <v>Texture2D'/Game/DungeonSiege/art/bitmaps/gui/in_game/inventory/icons/b_gui_ig_i_ic_swd_008.b_gui_ig_i_ic_swd_008'</v>
      </c>
      <c r="AF40" s="97" t="str">
        <f t="shared" si="4"/>
        <v>StaticMesh'/Game/DungeonSiege/art/meshes/weapons/sword/m_w_swd_017_AspMesh.m_w_swd_017_AspMesh'</v>
      </c>
    </row>
    <row r="41" spans="1:32" ht="15.75" thickBot="1" x14ac:dyDescent="0.3">
      <c r="A41" s="95">
        <v>39</v>
      </c>
      <c r="B41" s="95">
        <v>39</v>
      </c>
      <c r="C41" s="95">
        <f>Items!B$27+B41</f>
        <v>94371879</v>
      </c>
      <c r="D41" s="95" t="s">
        <v>3440</v>
      </c>
      <c r="E41" s="95" t="s">
        <v>3554</v>
      </c>
      <c r="F41" s="95" t="s">
        <v>3524</v>
      </c>
      <c r="G41" s="95" t="s">
        <v>3766</v>
      </c>
      <c r="H41" s="95" t="s">
        <v>3532</v>
      </c>
      <c r="I41" s="95"/>
      <c r="J41" s="95" t="b">
        <v>1</v>
      </c>
      <c r="K41" s="95"/>
      <c r="L41" s="95"/>
      <c r="M41" s="95" t="s">
        <v>3817</v>
      </c>
      <c r="N41" s="96" t="s">
        <v>3654</v>
      </c>
      <c r="O41" s="96" t="s">
        <v>3614</v>
      </c>
      <c r="P41" s="95" t="b">
        <v>1</v>
      </c>
      <c r="Q41" s="95" t="s">
        <v>3722</v>
      </c>
      <c r="R41" s="95">
        <v>1</v>
      </c>
      <c r="S41" s="95">
        <v>4</v>
      </c>
      <c r="T41" s="95">
        <v>118</v>
      </c>
      <c r="U41" s="95">
        <v>178</v>
      </c>
      <c r="V41" s="95" t="s">
        <v>3535</v>
      </c>
      <c r="W41" s="95">
        <v>0.5</v>
      </c>
      <c r="X41" s="81">
        <v>13</v>
      </c>
      <c r="Y41" s="81">
        <v>29</v>
      </c>
      <c r="Z41" s="81" t="s">
        <v>2384</v>
      </c>
      <c r="AA41" s="81">
        <v>36</v>
      </c>
      <c r="AB41" s="95" t="str">
        <f t="shared" si="0"/>
        <v>DA_WPN_SW_GreatSteel_o_fin</v>
      </c>
      <c r="AC41" s="90" t="str">
        <f t="shared" si="1"/>
        <v>/Game/DungeonSiege/Items/Weapons/Sword/DA_WPN_SW_GreatSteel_o_fin</v>
      </c>
      <c r="AD41" s="97" t="str">
        <f t="shared" si="2"/>
        <v>Texture2D'/Game/DungeonSiege/art/bitmaps/gui/in_game/inventory/weapons/sword/b_gui_ig_i_w_swd_048.b_gui_ig_i_w_swd_048'</v>
      </c>
      <c r="AE41" s="97" t="str">
        <f t="shared" si="3"/>
        <v>Texture2D'/Game/DungeonSiege/art/bitmaps/gui/in_game/inventory/icons/b_gui_ig_i_ic_swd_008.b_gui_ig_i_ic_swd_008'</v>
      </c>
      <c r="AF41" s="97" t="str">
        <f t="shared" si="4"/>
        <v>StaticMesh'/Game/DungeonSiege/art/meshes/weapons/sword/m_w_swd_017_AspMesh.m_w_swd_017_AspMesh'</v>
      </c>
    </row>
    <row r="42" spans="1:32" ht="15.75" thickBot="1" x14ac:dyDescent="0.3">
      <c r="A42" s="95">
        <v>40</v>
      </c>
      <c r="B42" s="95">
        <v>40</v>
      </c>
      <c r="C42" s="95">
        <f>Items!B$27+B42</f>
        <v>94371880</v>
      </c>
      <c r="D42" s="95" t="s">
        <v>3441</v>
      </c>
      <c r="E42" s="95" t="s">
        <v>3554</v>
      </c>
      <c r="F42" s="95" t="s">
        <v>3524</v>
      </c>
      <c r="G42" s="95" t="s">
        <v>3765</v>
      </c>
      <c r="H42" s="95" t="s">
        <v>3533</v>
      </c>
      <c r="I42" s="95"/>
      <c r="J42" s="95" t="b">
        <v>1</v>
      </c>
      <c r="K42" s="95"/>
      <c r="L42" s="95"/>
      <c r="M42" s="95" t="s">
        <v>3818</v>
      </c>
      <c r="N42" s="96" t="s">
        <v>3653</v>
      </c>
      <c r="O42" s="96" t="s">
        <v>3614</v>
      </c>
      <c r="P42" s="95" t="b">
        <v>1</v>
      </c>
      <c r="Q42" s="95" t="s">
        <v>3722</v>
      </c>
      <c r="R42" s="95">
        <v>1</v>
      </c>
      <c r="S42" s="95">
        <v>4</v>
      </c>
      <c r="T42" s="95">
        <v>222</v>
      </c>
      <c r="U42" s="95">
        <v>334</v>
      </c>
      <c r="V42" s="95" t="s">
        <v>3535</v>
      </c>
      <c r="W42" s="95">
        <v>0.5</v>
      </c>
      <c r="X42" s="81">
        <v>46</v>
      </c>
      <c r="Y42" s="81">
        <v>64</v>
      </c>
      <c r="Z42" s="81" t="s">
        <v>2384</v>
      </c>
      <c r="AA42" s="81">
        <v>61</v>
      </c>
      <c r="AB42" s="95" t="str">
        <f t="shared" si="0"/>
        <v>DA_WPN_SW_GreatSteel_o_mag</v>
      </c>
      <c r="AC42" s="90" t="str">
        <f t="shared" si="1"/>
        <v>/Game/DungeonSiege/Items/Weapons/Sword/DA_WPN_SW_GreatSteel_o_mag</v>
      </c>
      <c r="AD42" s="97" t="str">
        <f t="shared" si="2"/>
        <v>Texture2D'/Game/DungeonSiege/art/bitmaps/gui/in_game/inventory/weapons/sword/b_gui_ig_i_w_swd_054.b_gui_ig_i_w_swd_054'</v>
      </c>
      <c r="AE42" s="97" t="str">
        <f t="shared" si="3"/>
        <v>Texture2D'/Game/DungeonSiege/art/bitmaps/gui/in_game/inventory/icons/b_gui_ig_i_ic_swd_008.b_gui_ig_i_ic_swd_008'</v>
      </c>
      <c r="AF42" s="97" t="str">
        <f t="shared" si="4"/>
        <v>StaticMesh'/Game/DungeonSiege/art/meshes/weapons/sword/m_w_swd_020_AspMesh.m_w_swd_020_AspMesh'</v>
      </c>
    </row>
    <row r="43" spans="1:32" ht="15.75" thickBot="1" x14ac:dyDescent="0.3">
      <c r="A43" s="95">
        <v>41</v>
      </c>
      <c r="B43" s="95">
        <v>41</v>
      </c>
      <c r="C43" s="95">
        <f>Items!B$27+B43</f>
        <v>94371881</v>
      </c>
      <c r="D43" s="95" t="s">
        <v>3442</v>
      </c>
      <c r="E43" s="95" t="s">
        <v>3554</v>
      </c>
      <c r="F43" s="95" t="s">
        <v>3524</v>
      </c>
      <c r="G43" s="95" t="s">
        <v>3766</v>
      </c>
      <c r="H43" s="95" t="s">
        <v>3534</v>
      </c>
      <c r="I43" s="95"/>
      <c r="J43" s="95" t="b">
        <v>1</v>
      </c>
      <c r="K43" s="95"/>
      <c r="L43" s="95"/>
      <c r="M43" s="95" t="s">
        <v>3819</v>
      </c>
      <c r="N43" s="96" t="s">
        <v>3652</v>
      </c>
      <c r="O43" s="96" t="s">
        <v>3614</v>
      </c>
      <c r="P43" s="95" t="b">
        <v>1</v>
      </c>
      <c r="Q43" s="95" t="s">
        <v>3722</v>
      </c>
      <c r="R43" s="95">
        <v>1</v>
      </c>
      <c r="S43" s="95">
        <v>4</v>
      </c>
      <c r="T43" s="95">
        <v>165</v>
      </c>
      <c r="U43" s="95">
        <v>247</v>
      </c>
      <c r="V43" s="95" t="s">
        <v>3535</v>
      </c>
      <c r="W43" s="95">
        <v>0.5</v>
      </c>
      <c r="X43" s="81">
        <v>31</v>
      </c>
      <c r="Y43" s="81">
        <v>46</v>
      </c>
      <c r="Z43" s="81" t="s">
        <v>2384</v>
      </c>
      <c r="AA43" s="81">
        <v>47</v>
      </c>
      <c r="AB43" s="95" t="str">
        <f t="shared" si="0"/>
        <v>DA_WPN_SW_GreatSteel_o_str</v>
      </c>
      <c r="AC43" s="90" t="str">
        <f t="shared" si="1"/>
        <v>/Game/DungeonSiege/Items/Weapons/Sword/DA_WPN_SW_GreatSteel_o_str</v>
      </c>
      <c r="AD43" s="97" t="str">
        <f t="shared" si="2"/>
        <v>Texture2D'/Game/DungeonSiege/art/bitmaps/gui/in_game/inventory/weapons/sword/b_gui_ig_i_w_swd_052.b_gui_ig_i_w_swd_052'</v>
      </c>
      <c r="AE43" s="97" t="str">
        <f t="shared" si="3"/>
        <v>Texture2D'/Game/DungeonSiege/art/bitmaps/gui/in_game/inventory/icons/b_gui_ig_i_ic_swd_008.b_gui_ig_i_ic_swd_008'</v>
      </c>
      <c r="AF43" s="97" t="str">
        <f t="shared" si="4"/>
        <v>StaticMesh'/Game/DungeonSiege/art/meshes/weapons/sword/m_w_swd_017_AspMesh.m_w_swd_017_AspMesh'</v>
      </c>
    </row>
    <row r="44" spans="1:32" ht="15.75" thickBot="1" x14ac:dyDescent="0.3">
      <c r="A44" s="95">
        <v>42</v>
      </c>
      <c r="B44" s="95">
        <v>42</v>
      </c>
      <c r="C44" s="95">
        <f>Items!B$27+B44</f>
        <v>94371882</v>
      </c>
      <c r="D44" s="95" t="s">
        <v>3443</v>
      </c>
      <c r="E44" s="95" t="s">
        <v>3555</v>
      </c>
      <c r="F44" s="95" t="s">
        <v>3524</v>
      </c>
      <c r="G44" s="95" t="s">
        <v>3766</v>
      </c>
      <c r="H44" s="95" t="s">
        <v>3527</v>
      </c>
      <c r="I44" s="95"/>
      <c r="J44" s="95"/>
      <c r="K44" s="95" t="b">
        <v>1</v>
      </c>
      <c r="L44" s="95" t="b">
        <v>1</v>
      </c>
      <c r="M44" s="95" t="s">
        <v>3657</v>
      </c>
      <c r="N44" s="96" t="s">
        <v>3655</v>
      </c>
      <c r="O44" s="96" t="s">
        <v>3539</v>
      </c>
      <c r="P44" s="95" t="b">
        <v>1</v>
      </c>
      <c r="Q44" s="95"/>
      <c r="R44" s="95">
        <v>1</v>
      </c>
      <c r="S44" s="95">
        <v>4</v>
      </c>
      <c r="T44" s="95">
        <v>78</v>
      </c>
      <c r="U44" s="95">
        <v>116</v>
      </c>
      <c r="V44" s="95" t="s">
        <v>3535</v>
      </c>
      <c r="W44" s="95">
        <v>0.5</v>
      </c>
      <c r="X44" s="81">
        <v>0</v>
      </c>
      <c r="Y44" s="81">
        <v>5</v>
      </c>
      <c r="Z44" s="81" t="s">
        <v>2384</v>
      </c>
      <c r="AA44" s="81">
        <v>27</v>
      </c>
      <c r="AB44" s="95" t="str">
        <f t="shared" si="0"/>
        <v>DA_WPN_SW_GreatSword_base</v>
      </c>
      <c r="AC44" s="90" t="str">
        <f t="shared" si="1"/>
        <v>/Game/DungeonSiege/Items/Weapons/Sword/DA_WPN_SW_GreatSword_base</v>
      </c>
      <c r="AD44" s="97" t="str">
        <f t="shared" si="2"/>
        <v>Texture2D'/Game/DungeonSiege/art/bitmaps/gui/in_game/inventory/weapons/sword/b_gui_ig_i_w_swd_035.b_gui_ig_i_w_swd_035'</v>
      </c>
      <c r="AE44" s="97" t="str">
        <f t="shared" si="3"/>
        <v>Texture2D'/Game/DungeonSiege/art/bitmaps/gui/in_game/inventory/icons/b_gui_ig_i_ic_swd_007.b_gui_ig_i_ic_swd_007'</v>
      </c>
      <c r="AF44" s="97" t="str">
        <f t="shared" si="4"/>
        <v>StaticMesh'/Game/DungeonSiege/art/meshes/weapons/sword/m_w_swd_017_AspMesh.m_w_swd_017_AspMesh'</v>
      </c>
    </row>
    <row r="45" spans="1:32" ht="15.75" thickBot="1" x14ac:dyDescent="0.3">
      <c r="A45" s="95">
        <v>43</v>
      </c>
      <c r="B45" s="95">
        <v>43</v>
      </c>
      <c r="C45" s="95">
        <f>Items!B$27+B45</f>
        <v>94371883</v>
      </c>
      <c r="D45" s="95" t="s">
        <v>3444</v>
      </c>
      <c r="E45" s="95" t="s">
        <v>3555</v>
      </c>
      <c r="F45" s="95" t="s">
        <v>3524</v>
      </c>
      <c r="G45" s="95" t="s">
        <v>3766</v>
      </c>
      <c r="H45" s="95" t="s">
        <v>3531</v>
      </c>
      <c r="I45" s="95"/>
      <c r="J45" s="95"/>
      <c r="K45" s="95" t="b">
        <v>1</v>
      </c>
      <c r="L45" s="95" t="b">
        <v>1</v>
      </c>
      <c r="M45" s="95" t="s">
        <v>3820</v>
      </c>
      <c r="N45" s="96" t="s">
        <v>3656</v>
      </c>
      <c r="O45" s="96" t="s">
        <v>3586</v>
      </c>
      <c r="P45" s="95" t="b">
        <v>1</v>
      </c>
      <c r="Q45" s="95"/>
      <c r="R45" s="95">
        <v>1</v>
      </c>
      <c r="S45" s="95">
        <v>4</v>
      </c>
      <c r="T45" s="95">
        <v>88</v>
      </c>
      <c r="U45" s="95">
        <v>132</v>
      </c>
      <c r="V45" s="95" t="s">
        <v>3535</v>
      </c>
      <c r="W45" s="95">
        <v>0.5</v>
      </c>
      <c r="X45" s="81">
        <v>3</v>
      </c>
      <c r="Y45" s="81">
        <v>13</v>
      </c>
      <c r="Z45" s="81" t="s">
        <v>2384</v>
      </c>
      <c r="AA45" s="81">
        <v>29</v>
      </c>
      <c r="AB45" s="95" t="str">
        <f t="shared" si="0"/>
        <v>DA_WPN_SW_GreatSword_c_fin</v>
      </c>
      <c r="AC45" s="90" t="str">
        <f t="shared" si="1"/>
        <v>/Game/DungeonSiege/Items/Weapons/Sword/DA_WPN_SW_GreatSword_c_fin</v>
      </c>
      <c r="AD45" s="97" t="str">
        <f t="shared" si="2"/>
        <v>Texture2D'/Game/DungeonSiege/art/bitmaps/gui/in_game/inventory/weapons/sword/b_gui_ig_i_w_swd_041.b_gui_ig_i_w_swd_041'</v>
      </c>
      <c r="AE45" s="97" t="str">
        <f t="shared" si="3"/>
        <v>Texture2D'/Game/DungeonSiege/art/bitmaps/gui/in_game/inventory/icons/b_gui_ig_i_ic_swd_002.b_gui_ig_i_ic_swd_002'</v>
      </c>
      <c r="AF45" s="97" t="str">
        <f t="shared" si="4"/>
        <v>StaticMesh'/Game/DungeonSiege/art/meshes/weapons/sword/m_w_swd_017_AspMesh.m_w_swd_017_AspMesh'</v>
      </c>
    </row>
    <row r="46" spans="1:32" ht="15.75" thickBot="1" x14ac:dyDescent="0.3">
      <c r="A46" s="95">
        <v>44</v>
      </c>
      <c r="B46" s="95">
        <v>44</v>
      </c>
      <c r="C46" s="95">
        <f>Items!B$27+B46</f>
        <v>94371884</v>
      </c>
      <c r="D46" s="95" t="s">
        <v>3445</v>
      </c>
      <c r="E46" s="95" t="s">
        <v>3555</v>
      </c>
      <c r="F46" s="95" t="s">
        <v>3524</v>
      </c>
      <c r="G46" s="95" t="s">
        <v>3765</v>
      </c>
      <c r="H46" s="95" t="s">
        <v>3529</v>
      </c>
      <c r="I46" s="95"/>
      <c r="J46" s="95"/>
      <c r="K46" s="95" t="b">
        <v>1</v>
      </c>
      <c r="L46" s="95" t="b">
        <v>1</v>
      </c>
      <c r="M46" s="95" t="s">
        <v>3821</v>
      </c>
      <c r="N46" s="96" t="s">
        <v>3660</v>
      </c>
      <c r="O46" s="96" t="s">
        <v>3586</v>
      </c>
      <c r="P46" s="95" t="b">
        <v>1</v>
      </c>
      <c r="Q46" s="95"/>
      <c r="R46" s="95">
        <v>1</v>
      </c>
      <c r="S46" s="95">
        <v>4</v>
      </c>
      <c r="T46" s="95">
        <v>195</v>
      </c>
      <c r="U46" s="95">
        <v>293</v>
      </c>
      <c r="V46" s="95" t="s">
        <v>3535</v>
      </c>
      <c r="W46" s="95">
        <v>0.5</v>
      </c>
      <c r="X46" s="81">
        <v>39</v>
      </c>
      <c r="Y46" s="81">
        <v>54</v>
      </c>
      <c r="Z46" s="81" t="s">
        <v>2384</v>
      </c>
      <c r="AA46" s="81">
        <v>54</v>
      </c>
      <c r="AB46" s="95" t="str">
        <f t="shared" si="0"/>
        <v>DA_WPN_SW_GreatSword_c_mag</v>
      </c>
      <c r="AC46" s="90" t="str">
        <f t="shared" si="1"/>
        <v>/Game/DungeonSiege/Items/Weapons/Sword/DA_WPN_SW_GreatSword_c_mag</v>
      </c>
      <c r="AD46" s="97" t="str">
        <f t="shared" si="2"/>
        <v>Texture2D'/Game/DungeonSiege/art/bitmaps/gui/in_game/inventory/weapons/sword/b_gui_ig_i_w_swd_051.b_gui_ig_i_w_swd_051'</v>
      </c>
      <c r="AE46" s="97" t="str">
        <f t="shared" si="3"/>
        <v>Texture2D'/Game/DungeonSiege/art/bitmaps/gui/in_game/inventory/icons/b_gui_ig_i_ic_swd_002.b_gui_ig_i_ic_swd_002'</v>
      </c>
      <c r="AF46" s="97" t="str">
        <f t="shared" si="4"/>
        <v>StaticMesh'/Game/DungeonSiege/art/meshes/weapons/sword/m_w_swd_020_AspMesh.m_w_swd_020_AspMesh'</v>
      </c>
    </row>
    <row r="47" spans="1:32" ht="15.75" thickBot="1" x14ac:dyDescent="0.3">
      <c r="A47" s="95">
        <v>45</v>
      </c>
      <c r="B47" s="95">
        <v>45</v>
      </c>
      <c r="C47" s="95">
        <f>Items!B$27+B47</f>
        <v>94371885</v>
      </c>
      <c r="D47" s="95" t="s">
        <v>3446</v>
      </c>
      <c r="E47" s="95" t="s">
        <v>3555</v>
      </c>
      <c r="F47" s="95" t="s">
        <v>3524</v>
      </c>
      <c r="G47" s="95" t="s">
        <v>3765</v>
      </c>
      <c r="H47" s="95" t="s">
        <v>3530</v>
      </c>
      <c r="I47" s="95"/>
      <c r="J47" s="95"/>
      <c r="K47" s="95" t="b">
        <v>1</v>
      </c>
      <c r="L47" s="95" t="b">
        <v>1</v>
      </c>
      <c r="M47" s="95" t="s">
        <v>3822</v>
      </c>
      <c r="N47" s="96" t="s">
        <v>3659</v>
      </c>
      <c r="O47" s="96" t="s">
        <v>3586</v>
      </c>
      <c r="P47" s="95" t="b">
        <v>1</v>
      </c>
      <c r="Q47" s="95"/>
      <c r="R47" s="95">
        <v>1</v>
      </c>
      <c r="S47" s="95">
        <v>4</v>
      </c>
      <c r="T47" s="95">
        <v>143</v>
      </c>
      <c r="U47" s="95">
        <v>215</v>
      </c>
      <c r="V47" s="95" t="s">
        <v>3535</v>
      </c>
      <c r="W47" s="95">
        <v>0.5</v>
      </c>
      <c r="X47" s="81">
        <v>21</v>
      </c>
      <c r="Y47" s="81">
        <v>38</v>
      </c>
      <c r="Z47" s="81" t="s">
        <v>2384</v>
      </c>
      <c r="AA47" s="81">
        <v>42</v>
      </c>
      <c r="AB47" s="95" t="str">
        <f t="shared" si="0"/>
        <v>DA_WPN_SW_GreatSword_c_str</v>
      </c>
      <c r="AC47" s="90" t="str">
        <f t="shared" si="1"/>
        <v>/Game/DungeonSiege/Items/Weapons/Sword/DA_WPN_SW_GreatSword_c_str</v>
      </c>
      <c r="AD47" s="97" t="str">
        <f t="shared" si="2"/>
        <v>Texture2D'/Game/DungeonSiege/art/bitmaps/gui/in_game/inventory/weapons/sword/b_gui_ig_i_w_swd_047.b_gui_ig_i_w_swd_047'</v>
      </c>
      <c r="AE47" s="97" t="str">
        <f t="shared" si="3"/>
        <v>Texture2D'/Game/DungeonSiege/art/bitmaps/gui/in_game/inventory/icons/b_gui_ig_i_ic_swd_002.b_gui_ig_i_ic_swd_002'</v>
      </c>
      <c r="AF47" s="97" t="str">
        <f t="shared" si="4"/>
        <v>StaticMesh'/Game/DungeonSiege/art/meshes/weapons/sword/m_w_swd_020_AspMesh.m_w_swd_020_AspMesh'</v>
      </c>
    </row>
    <row r="48" spans="1:32" ht="15.75" thickBot="1" x14ac:dyDescent="0.3">
      <c r="A48" s="95">
        <v>46</v>
      </c>
      <c r="B48" s="95">
        <v>46</v>
      </c>
      <c r="C48" s="95">
        <f>Items!B$27+B48</f>
        <v>94371886</v>
      </c>
      <c r="D48" s="95" t="s">
        <v>3447</v>
      </c>
      <c r="E48" s="95" t="s">
        <v>3555</v>
      </c>
      <c r="F48" s="95" t="s">
        <v>3524</v>
      </c>
      <c r="G48" s="95" t="s">
        <v>3765</v>
      </c>
      <c r="H48" s="95" t="s">
        <v>3528</v>
      </c>
      <c r="I48" s="95"/>
      <c r="J48" s="95"/>
      <c r="K48" s="95" t="b">
        <v>1</v>
      </c>
      <c r="L48" s="95" t="b">
        <v>1</v>
      </c>
      <c r="M48" s="95" t="s">
        <v>3823</v>
      </c>
      <c r="N48" s="96" t="s">
        <v>3658</v>
      </c>
      <c r="O48" s="96" t="s">
        <v>3614</v>
      </c>
      <c r="P48" s="95" t="b">
        <v>1</v>
      </c>
      <c r="Q48" s="95"/>
      <c r="R48" s="95">
        <v>1</v>
      </c>
      <c r="S48" s="95">
        <v>4</v>
      </c>
      <c r="T48" s="95">
        <v>102</v>
      </c>
      <c r="U48" s="95">
        <v>152</v>
      </c>
      <c r="V48" s="95" t="s">
        <v>3535</v>
      </c>
      <c r="W48" s="95">
        <v>0.5</v>
      </c>
      <c r="X48" s="81">
        <v>8</v>
      </c>
      <c r="Y48" s="81">
        <v>21</v>
      </c>
      <c r="Z48" s="81" t="s">
        <v>2384</v>
      </c>
      <c r="AA48" s="81">
        <v>33</v>
      </c>
      <c r="AB48" s="95" t="str">
        <f t="shared" si="0"/>
        <v>DA_WPN_SW_GreatSword_o_avg</v>
      </c>
      <c r="AC48" s="90" t="str">
        <f t="shared" si="1"/>
        <v>/Game/DungeonSiege/Items/Weapons/Sword/DA_WPN_SW_GreatSword_o_avg</v>
      </c>
      <c r="AD48" s="97" t="str">
        <f t="shared" si="2"/>
        <v>Texture2D'/Game/DungeonSiege/art/bitmaps/gui/in_game/inventory/weapons/sword/b_gui_ig_i_w_swd_043.b_gui_ig_i_w_swd_043'</v>
      </c>
      <c r="AE48" s="97" t="str">
        <f t="shared" si="3"/>
        <v>Texture2D'/Game/DungeonSiege/art/bitmaps/gui/in_game/inventory/icons/b_gui_ig_i_ic_swd_008.b_gui_ig_i_ic_swd_008'</v>
      </c>
      <c r="AF48" s="97" t="str">
        <f t="shared" si="4"/>
        <v>StaticMesh'/Game/DungeonSiege/art/meshes/weapons/sword/m_w_swd_020_AspMesh.m_w_swd_020_AspMesh'</v>
      </c>
    </row>
    <row r="49" spans="1:32" ht="15.75" thickBot="1" x14ac:dyDescent="0.3">
      <c r="A49" s="95">
        <v>47</v>
      </c>
      <c r="B49" s="95">
        <v>47</v>
      </c>
      <c r="C49" s="95">
        <f>Items!B$27+B49</f>
        <v>94371887</v>
      </c>
      <c r="D49" s="95" t="s">
        <v>3448</v>
      </c>
      <c r="E49" s="95" t="s">
        <v>3556</v>
      </c>
      <c r="F49" s="95" t="s">
        <v>3525</v>
      </c>
      <c r="G49" s="95" t="s">
        <v>3774</v>
      </c>
      <c r="H49" s="95" t="s">
        <v>3527</v>
      </c>
      <c r="I49" s="95"/>
      <c r="J49" s="95"/>
      <c r="K49" s="95" t="b">
        <v>1</v>
      </c>
      <c r="L49" s="95"/>
      <c r="M49" s="95" t="s">
        <v>3661</v>
      </c>
      <c r="N49" s="96" t="s">
        <v>3663</v>
      </c>
      <c r="O49" s="96" t="s">
        <v>3662</v>
      </c>
      <c r="P49" s="95" t="b">
        <v>1</v>
      </c>
      <c r="Q49" s="95" t="s">
        <v>3592</v>
      </c>
      <c r="R49" s="95">
        <v>1</v>
      </c>
      <c r="S49" s="95">
        <v>3</v>
      </c>
      <c r="T49" s="95">
        <v>56</v>
      </c>
      <c r="U49" s="95">
        <v>79</v>
      </c>
      <c r="V49" s="95" t="s">
        <v>3536</v>
      </c>
      <c r="W49" s="95">
        <v>0.5</v>
      </c>
      <c r="X49" s="81">
        <v>1</v>
      </c>
      <c r="Y49" s="81">
        <v>10</v>
      </c>
      <c r="Z49" s="81" t="s">
        <v>2384</v>
      </c>
      <c r="AA49" s="81">
        <v>24</v>
      </c>
      <c r="AB49" s="95" t="str">
        <f t="shared" si="0"/>
        <v>DA_WPN_SW_GutMasher_base</v>
      </c>
      <c r="AC49" s="90" t="str">
        <f t="shared" si="1"/>
        <v>/Game/DungeonSiege/Items/Weapons/Sword/DA_WPN_SW_GutMasher_base</v>
      </c>
      <c r="AD49" s="97" t="str">
        <f t="shared" si="2"/>
        <v>Texture2D'/Game/DungeonSiege/art/bitmaps/gui/in_game/inventory/weapons/sword/b_gui_ig_i_w_swd_122.b_gui_ig_i_w_swd_122'</v>
      </c>
      <c r="AE49" s="97" t="str">
        <f t="shared" si="3"/>
        <v>Texture2D'/Game/DungeonSiege/art/bitmaps/gui/in_game/inventory/icons/b_gui_ig_i_ic_swd_006.b_gui_ig_i_ic_swd_006'</v>
      </c>
      <c r="AF49" s="97" t="str">
        <f t="shared" si="4"/>
        <v>StaticMesh'/Game/DungeonSiege/art/meshes/weapons/sword/m_w_swd_032_AspMesh.m_w_swd_032_AspMesh'</v>
      </c>
    </row>
    <row r="50" spans="1:32" ht="15.75" thickBot="1" x14ac:dyDescent="0.3">
      <c r="A50" s="95">
        <v>48</v>
      </c>
      <c r="B50" s="95">
        <v>48</v>
      </c>
      <c r="C50" s="95">
        <f>Items!B$27+B50</f>
        <v>94371888</v>
      </c>
      <c r="D50" s="95" t="s">
        <v>3449</v>
      </c>
      <c r="E50" s="95" t="s">
        <v>3556</v>
      </c>
      <c r="F50" s="95" t="s">
        <v>3525</v>
      </c>
      <c r="G50" s="95" t="s">
        <v>3775</v>
      </c>
      <c r="H50" s="95" t="s">
        <v>3529</v>
      </c>
      <c r="I50" s="95"/>
      <c r="J50" s="95"/>
      <c r="K50" s="95" t="b">
        <v>1</v>
      </c>
      <c r="L50" s="95"/>
      <c r="M50" s="95" t="s">
        <v>3824</v>
      </c>
      <c r="N50" s="96" t="s">
        <v>3664</v>
      </c>
      <c r="O50" s="96" t="s">
        <v>3586</v>
      </c>
      <c r="P50" s="95" t="b">
        <v>1</v>
      </c>
      <c r="Q50" s="95" t="s">
        <v>3592</v>
      </c>
      <c r="R50" s="95">
        <v>1</v>
      </c>
      <c r="S50" s="95">
        <v>3</v>
      </c>
      <c r="T50" s="95">
        <v>122</v>
      </c>
      <c r="U50" s="95">
        <v>172</v>
      </c>
      <c r="V50" s="95" t="s">
        <v>3536</v>
      </c>
      <c r="W50" s="95">
        <v>0.5</v>
      </c>
      <c r="X50" s="81">
        <v>29</v>
      </c>
      <c r="Y50" s="81">
        <v>41</v>
      </c>
      <c r="Z50" s="81" t="s">
        <v>2384</v>
      </c>
      <c r="AA50" s="81">
        <v>42</v>
      </c>
      <c r="AB50" s="95" t="str">
        <f t="shared" si="0"/>
        <v>DA_WPN_SW_GutMasher_c_mag</v>
      </c>
      <c r="AC50" s="90" t="str">
        <f t="shared" si="1"/>
        <v>/Game/DungeonSiege/Items/Weapons/Sword/DA_WPN_SW_GutMasher_c_mag</v>
      </c>
      <c r="AD50" s="97" t="str">
        <f t="shared" si="2"/>
        <v>Texture2D'/Game/DungeonSiege/art/bitmaps/gui/in_game/inventory/weapons/sword/b_gui_ig_i_w_swd_124.b_gui_ig_i_w_swd_124'</v>
      </c>
      <c r="AE50" s="97" t="str">
        <f t="shared" si="3"/>
        <v>Texture2D'/Game/DungeonSiege/art/bitmaps/gui/in_game/inventory/icons/b_gui_ig_i_ic_swd_002.b_gui_ig_i_ic_swd_002'</v>
      </c>
      <c r="AF50" s="97" t="str">
        <f t="shared" si="4"/>
        <v>StaticMesh'/Game/DungeonSiege/art/meshes/weapons/sword/m_w_swd_036_AspMesh.m_w_swd_036_AspMesh'</v>
      </c>
    </row>
    <row r="51" spans="1:32" ht="15.75" thickBot="1" x14ac:dyDescent="0.3">
      <c r="A51" s="95">
        <v>49</v>
      </c>
      <c r="B51" s="95">
        <v>49</v>
      </c>
      <c r="C51" s="95">
        <f>Items!B$27+B51</f>
        <v>94371889</v>
      </c>
      <c r="D51" s="95" t="s">
        <v>3450</v>
      </c>
      <c r="E51" s="95" t="s">
        <v>3556</v>
      </c>
      <c r="F51" s="95" t="s">
        <v>3525</v>
      </c>
      <c r="G51" s="95" t="s">
        <v>3776</v>
      </c>
      <c r="H51" s="95" t="s">
        <v>3530</v>
      </c>
      <c r="I51" s="95"/>
      <c r="J51" s="95"/>
      <c r="K51" s="95" t="b">
        <v>1</v>
      </c>
      <c r="L51" s="95"/>
      <c r="M51" s="95" t="s">
        <v>3825</v>
      </c>
      <c r="N51" s="96" t="s">
        <v>3665</v>
      </c>
      <c r="O51" s="96" t="s">
        <v>3586</v>
      </c>
      <c r="P51" s="95" t="b">
        <v>1</v>
      </c>
      <c r="Q51" s="95" t="s">
        <v>3592</v>
      </c>
      <c r="R51" s="95">
        <v>1</v>
      </c>
      <c r="S51" s="95">
        <v>3</v>
      </c>
      <c r="T51" s="95">
        <v>88</v>
      </c>
      <c r="U51" s="95">
        <v>125</v>
      </c>
      <c r="V51" s="95" t="s">
        <v>3536</v>
      </c>
      <c r="W51" s="95">
        <v>0.5</v>
      </c>
      <c r="X51" s="81">
        <v>15</v>
      </c>
      <c r="Y51" s="81">
        <v>30</v>
      </c>
      <c r="Z51" s="81" t="s">
        <v>2384</v>
      </c>
      <c r="AA51" s="81">
        <v>33</v>
      </c>
      <c r="AB51" s="95" t="str">
        <f t="shared" si="0"/>
        <v>DA_WPN_SW_GutMasher_c_str</v>
      </c>
      <c r="AC51" s="90" t="str">
        <f t="shared" si="1"/>
        <v>/Game/DungeonSiege/Items/Weapons/Sword/DA_WPN_SW_GutMasher_c_str</v>
      </c>
      <c r="AD51" s="97" t="str">
        <f t="shared" si="2"/>
        <v>Texture2D'/Game/DungeonSiege/art/bitmaps/gui/in_game/inventory/weapons/sword/b_gui_ig_i_w_swd_123.b_gui_ig_i_w_swd_123'</v>
      </c>
      <c r="AE51" s="97" t="str">
        <f t="shared" si="3"/>
        <v>Texture2D'/Game/DungeonSiege/art/bitmaps/gui/in_game/inventory/icons/b_gui_ig_i_ic_swd_002.b_gui_ig_i_ic_swd_002'</v>
      </c>
      <c r="AF51" s="97" t="str">
        <f t="shared" si="4"/>
        <v>StaticMesh'/Game/DungeonSiege/art/meshes/weapons/sword/m_w_swd_034_AspMesh.m_w_swd_034_AspMesh'</v>
      </c>
    </row>
    <row r="52" spans="1:32" ht="15.75" thickBot="1" x14ac:dyDescent="0.3">
      <c r="A52" s="95">
        <v>50</v>
      </c>
      <c r="B52" s="95">
        <v>50</v>
      </c>
      <c r="C52" s="95">
        <f>Items!B$27+B52</f>
        <v>94371890</v>
      </c>
      <c r="D52" s="95" t="s">
        <v>3451</v>
      </c>
      <c r="E52" s="95" t="s">
        <v>3557</v>
      </c>
      <c r="F52" s="95" t="s">
        <v>3525</v>
      </c>
      <c r="G52" s="95" t="s">
        <v>3777</v>
      </c>
      <c r="H52" s="95" t="s">
        <v>3527</v>
      </c>
      <c r="I52" s="95"/>
      <c r="J52" s="95"/>
      <c r="K52" s="95" t="b">
        <v>1</v>
      </c>
      <c r="L52" s="95" t="b">
        <v>1</v>
      </c>
      <c r="M52" s="95" t="s">
        <v>3666</v>
      </c>
      <c r="N52" s="96" t="s">
        <v>3668</v>
      </c>
      <c r="O52" s="96" t="s">
        <v>3586</v>
      </c>
      <c r="P52" s="95" t="b">
        <v>1</v>
      </c>
      <c r="Q52" s="95"/>
      <c r="R52" s="95">
        <v>1</v>
      </c>
      <c r="S52" s="95">
        <v>4</v>
      </c>
      <c r="T52" s="95">
        <v>25</v>
      </c>
      <c r="U52" s="95">
        <v>101</v>
      </c>
      <c r="V52" s="95" t="s">
        <v>3536</v>
      </c>
      <c r="W52" s="95">
        <v>0.5</v>
      </c>
      <c r="X52" s="81">
        <v>0</v>
      </c>
      <c r="Y52" s="81">
        <v>5</v>
      </c>
      <c r="Z52" s="81" t="s">
        <v>2384</v>
      </c>
      <c r="AA52" s="81">
        <v>24</v>
      </c>
      <c r="AB52" s="95" t="str">
        <f t="shared" si="0"/>
        <v>DA_WPN_SW_HeadSplitter_base</v>
      </c>
      <c r="AC52" s="90" t="str">
        <f t="shared" si="1"/>
        <v>/Game/DungeonSiege/Items/Weapons/Sword/DA_WPN_SW_HeadSplitter_base</v>
      </c>
      <c r="AD52" s="97" t="str">
        <f t="shared" si="2"/>
        <v>Texture2D'/Game/DungeonSiege/art/bitmaps/gui/in_game/inventory/weapons/sword/b_gui_ig_i_w_swd_116.b_gui_ig_i_w_swd_116'</v>
      </c>
      <c r="AE52" s="97" t="str">
        <f t="shared" si="3"/>
        <v>Texture2D'/Game/DungeonSiege/art/bitmaps/gui/in_game/inventory/icons/b_gui_ig_i_ic_swd_002.b_gui_ig_i_ic_swd_002'</v>
      </c>
      <c r="AF52" s="97" t="str">
        <f t="shared" si="4"/>
        <v>StaticMesh'/Game/DungeonSiege/art/meshes/weapons/sword/m_w_swd_019_AspMesh.m_w_swd_019_AspMesh'</v>
      </c>
    </row>
    <row r="53" spans="1:32" ht="15.75" thickBot="1" x14ac:dyDescent="0.3">
      <c r="A53" s="95">
        <v>51</v>
      </c>
      <c r="B53" s="95">
        <v>51</v>
      </c>
      <c r="C53" s="95">
        <f>Items!B$27+B53</f>
        <v>94371891</v>
      </c>
      <c r="D53" s="95" t="s">
        <v>3452</v>
      </c>
      <c r="E53" s="95" t="s">
        <v>3557</v>
      </c>
      <c r="F53" s="95" t="s">
        <v>3525</v>
      </c>
      <c r="G53" s="95" t="s">
        <v>3778</v>
      </c>
      <c r="H53" s="95" t="s">
        <v>3531</v>
      </c>
      <c r="I53" s="95"/>
      <c r="J53" s="95"/>
      <c r="K53" s="95" t="b">
        <v>1</v>
      </c>
      <c r="L53" s="95" t="b">
        <v>1</v>
      </c>
      <c r="M53" s="95" t="s">
        <v>3826</v>
      </c>
      <c r="N53" s="96" t="s">
        <v>3667</v>
      </c>
      <c r="O53" s="96" t="s">
        <v>3597</v>
      </c>
      <c r="P53" s="95" t="b">
        <v>1</v>
      </c>
      <c r="Q53" s="95"/>
      <c r="R53" s="95">
        <v>1</v>
      </c>
      <c r="S53" s="95">
        <v>4</v>
      </c>
      <c r="T53" s="95">
        <v>37</v>
      </c>
      <c r="U53" s="95">
        <v>149</v>
      </c>
      <c r="V53" s="95" t="s">
        <v>3536</v>
      </c>
      <c r="W53" s="95">
        <v>0.5</v>
      </c>
      <c r="X53" s="81">
        <v>23</v>
      </c>
      <c r="Y53" s="81">
        <v>37</v>
      </c>
      <c r="Z53" s="81" t="s">
        <v>2384</v>
      </c>
      <c r="AA53" s="81">
        <v>31</v>
      </c>
      <c r="AB53" s="95" t="str">
        <f t="shared" si="0"/>
        <v>DA_WPN_SW_HeadSplitter_c_fin</v>
      </c>
      <c r="AC53" s="90" t="str">
        <f t="shared" si="1"/>
        <v>/Game/DungeonSiege/Items/Weapons/Sword/DA_WPN_SW_HeadSplitter_c_fin</v>
      </c>
      <c r="AD53" s="97" t="str">
        <f t="shared" si="2"/>
        <v>Texture2D'/Game/DungeonSiege/art/bitmaps/gui/in_game/inventory/weapons/sword/b_gui_ig_i_w_swd_115.b_gui_ig_i_w_swd_115'</v>
      </c>
      <c r="AE53" s="97" t="str">
        <f t="shared" si="3"/>
        <v>Texture2D'/Game/DungeonSiege/art/bitmaps/gui/in_game/inventory/icons/b_gui_ig_i_ic_swd_004.b_gui_ig_i_ic_swd_004'</v>
      </c>
      <c r="AF53" s="97" t="str">
        <f t="shared" si="4"/>
        <v>StaticMesh'/Game/DungeonSiege/art/meshes/weapons/sword/m_w_swd_016_AspMesh.m_w_swd_016_AspMesh'</v>
      </c>
    </row>
    <row r="54" spans="1:32" ht="15.75" thickBot="1" x14ac:dyDescent="0.3">
      <c r="A54" s="95">
        <v>52</v>
      </c>
      <c r="B54" s="95">
        <v>52</v>
      </c>
      <c r="C54" s="95">
        <f>Items!B$27+B54</f>
        <v>94371892</v>
      </c>
      <c r="D54" s="95" t="s">
        <v>3453</v>
      </c>
      <c r="E54" s="95" t="s">
        <v>3557</v>
      </c>
      <c r="F54" s="95" t="s">
        <v>3525</v>
      </c>
      <c r="G54" s="95" t="s">
        <v>3779</v>
      </c>
      <c r="H54" s="95" t="s">
        <v>3529</v>
      </c>
      <c r="I54" s="95"/>
      <c r="J54" s="95"/>
      <c r="K54" s="95" t="b">
        <v>1</v>
      </c>
      <c r="L54" s="95" t="b">
        <v>1</v>
      </c>
      <c r="M54" s="95" t="s">
        <v>3827</v>
      </c>
      <c r="N54" s="96" t="s">
        <v>3669</v>
      </c>
      <c r="O54" s="96" t="s">
        <v>3586</v>
      </c>
      <c r="P54" s="95" t="b">
        <v>1</v>
      </c>
      <c r="Q54" s="95"/>
      <c r="R54" s="95">
        <v>1</v>
      </c>
      <c r="S54" s="95">
        <v>4</v>
      </c>
      <c r="T54" s="95">
        <v>89</v>
      </c>
      <c r="U54" s="95">
        <v>357</v>
      </c>
      <c r="V54" s="95" t="s">
        <v>3536</v>
      </c>
      <c r="W54" s="95">
        <v>0.5</v>
      </c>
      <c r="X54" s="81">
        <v>94</v>
      </c>
      <c r="Y54" s="81">
        <v>107</v>
      </c>
      <c r="Z54" s="81" t="s">
        <v>2384</v>
      </c>
      <c r="AA54" s="81">
        <v>61</v>
      </c>
      <c r="AB54" s="95" t="str">
        <f t="shared" si="0"/>
        <v>DA_WPN_SW_HeadSplitter_c_mag</v>
      </c>
      <c r="AC54" s="90" t="str">
        <f t="shared" si="1"/>
        <v>/Game/DungeonSiege/Items/Weapons/Sword/DA_WPN_SW_HeadSplitter_c_mag</v>
      </c>
      <c r="AD54" s="97" t="str">
        <f t="shared" si="2"/>
        <v>Texture2D'/Game/DungeonSiege/art/bitmaps/gui/in_game/inventory/weapons/sword/b_gui_ig_i_w_swd_120.b_gui_ig_i_w_swd_120'</v>
      </c>
      <c r="AE54" s="97" t="str">
        <f t="shared" si="3"/>
        <v>Texture2D'/Game/DungeonSiege/art/bitmaps/gui/in_game/inventory/icons/b_gui_ig_i_ic_swd_002.b_gui_ig_i_ic_swd_002'</v>
      </c>
      <c r="AF54" s="97" t="str">
        <f t="shared" si="4"/>
        <v>StaticMesh'/Game/DungeonSiege/art/meshes/weapons/sword/m_w_swd_018_AspMesh.m_w_swd_018_AspMesh'</v>
      </c>
    </row>
    <row r="55" spans="1:32" ht="15.75" thickBot="1" x14ac:dyDescent="0.3">
      <c r="A55" s="95">
        <v>53</v>
      </c>
      <c r="B55" s="95">
        <v>53</v>
      </c>
      <c r="C55" s="95">
        <f>Items!B$27+B55</f>
        <v>94371893</v>
      </c>
      <c r="D55" s="95" t="s">
        <v>3454</v>
      </c>
      <c r="E55" s="95" t="s">
        <v>3557</v>
      </c>
      <c r="F55" s="95" t="s">
        <v>3525</v>
      </c>
      <c r="G55" s="95" t="s">
        <v>3778</v>
      </c>
      <c r="H55" s="95" t="s">
        <v>3530</v>
      </c>
      <c r="I55" s="95"/>
      <c r="J55" s="95"/>
      <c r="K55" s="95" t="b">
        <v>1</v>
      </c>
      <c r="L55" s="95" t="b">
        <v>1</v>
      </c>
      <c r="M55" s="95" t="s">
        <v>3828</v>
      </c>
      <c r="N55" s="96" t="s">
        <v>3670</v>
      </c>
      <c r="O55" s="96" t="s">
        <v>3586</v>
      </c>
      <c r="P55" s="95" t="b">
        <v>1</v>
      </c>
      <c r="Q55" s="95"/>
      <c r="R55" s="95">
        <v>1</v>
      </c>
      <c r="S55" s="95">
        <v>4</v>
      </c>
      <c r="T55" s="95">
        <v>59</v>
      </c>
      <c r="U55" s="95">
        <v>236</v>
      </c>
      <c r="V55" s="95" t="s">
        <v>3536</v>
      </c>
      <c r="W55" s="95">
        <v>0.5</v>
      </c>
      <c r="X55" s="81">
        <v>56</v>
      </c>
      <c r="Y55" s="81">
        <v>69</v>
      </c>
      <c r="Z55" s="81" t="s">
        <v>2384</v>
      </c>
      <c r="AA55" s="81">
        <v>43</v>
      </c>
      <c r="AB55" s="95" t="str">
        <f t="shared" si="0"/>
        <v>DA_WPN_SW_HeadSplitter_c_str</v>
      </c>
      <c r="AC55" s="90" t="str">
        <f t="shared" si="1"/>
        <v>/Game/DungeonSiege/Items/Weapons/Sword/DA_WPN_SW_HeadSplitter_c_str</v>
      </c>
      <c r="AD55" s="97" t="str">
        <f t="shared" si="2"/>
        <v>Texture2D'/Game/DungeonSiege/art/bitmaps/gui/in_game/inventory/weapons/sword/b_gui_ig_i_w_swd_118.b_gui_ig_i_w_swd_118'</v>
      </c>
      <c r="AE55" s="97" t="str">
        <f t="shared" si="3"/>
        <v>Texture2D'/Game/DungeonSiege/art/bitmaps/gui/in_game/inventory/icons/b_gui_ig_i_ic_swd_002.b_gui_ig_i_ic_swd_002'</v>
      </c>
      <c r="AF55" s="97" t="str">
        <f t="shared" si="4"/>
        <v>StaticMesh'/Game/DungeonSiege/art/meshes/weapons/sword/m_w_swd_016_AspMesh.m_w_swd_016_AspMesh'</v>
      </c>
    </row>
    <row r="56" spans="1:32" ht="15.75" thickBot="1" x14ac:dyDescent="0.3">
      <c r="A56" s="95">
        <v>54</v>
      </c>
      <c r="B56" s="95">
        <v>54</v>
      </c>
      <c r="C56" s="95">
        <f>Items!B$27+B56</f>
        <v>94371894</v>
      </c>
      <c r="D56" s="95" t="s">
        <v>3455</v>
      </c>
      <c r="E56" s="95" t="s">
        <v>3557</v>
      </c>
      <c r="F56" s="95" t="s">
        <v>3525</v>
      </c>
      <c r="G56" s="95" t="s">
        <v>3777</v>
      </c>
      <c r="H56" s="95" t="s">
        <v>3532</v>
      </c>
      <c r="I56" s="95"/>
      <c r="J56" s="95"/>
      <c r="K56" s="95" t="b">
        <v>1</v>
      </c>
      <c r="L56" s="95" t="b">
        <v>1</v>
      </c>
      <c r="M56" s="95" t="s">
        <v>3829</v>
      </c>
      <c r="N56" s="96" t="s">
        <v>3671</v>
      </c>
      <c r="O56" s="96" t="s">
        <v>3597</v>
      </c>
      <c r="P56" s="95" t="b">
        <v>1</v>
      </c>
      <c r="Q56" s="95"/>
      <c r="R56" s="95">
        <v>1</v>
      </c>
      <c r="S56" s="95">
        <v>4</v>
      </c>
      <c r="T56" s="95">
        <v>57</v>
      </c>
      <c r="U56" s="95">
        <v>169</v>
      </c>
      <c r="V56" s="95" t="s">
        <v>3536</v>
      </c>
      <c r="W56" s="95">
        <v>0.5</v>
      </c>
      <c r="X56" s="81">
        <v>23</v>
      </c>
      <c r="Y56" s="81">
        <v>37</v>
      </c>
      <c r="Z56" s="81" t="s">
        <v>2384</v>
      </c>
      <c r="AA56" s="81">
        <v>31</v>
      </c>
      <c r="AB56" s="95" t="str">
        <f t="shared" si="0"/>
        <v>DA_WPN_SW_HeadSplitter_o_fin</v>
      </c>
      <c r="AC56" s="90" t="str">
        <f t="shared" si="1"/>
        <v>/Game/DungeonSiege/Items/Weapons/Sword/DA_WPN_SW_HeadSplitter_o_fin</v>
      </c>
      <c r="AD56" s="97" t="str">
        <f t="shared" si="2"/>
        <v>Texture2D'/Game/DungeonSiege/art/bitmaps/gui/in_game/inventory/weapons/sword/b_gui_ig_i_w_swd_117.b_gui_ig_i_w_swd_117'</v>
      </c>
      <c r="AE56" s="97" t="str">
        <f t="shared" si="3"/>
        <v>Texture2D'/Game/DungeonSiege/art/bitmaps/gui/in_game/inventory/icons/b_gui_ig_i_ic_swd_004.b_gui_ig_i_ic_swd_004'</v>
      </c>
      <c r="AF56" s="97" t="str">
        <f t="shared" si="4"/>
        <v>StaticMesh'/Game/DungeonSiege/art/meshes/weapons/sword/m_w_swd_019_AspMesh.m_w_swd_019_AspMesh'</v>
      </c>
    </row>
    <row r="57" spans="1:32" ht="15.75" thickBot="1" x14ac:dyDescent="0.3">
      <c r="A57" s="95">
        <v>55</v>
      </c>
      <c r="B57" s="95">
        <v>55</v>
      </c>
      <c r="C57" s="95">
        <f>Items!B$27+B57</f>
        <v>94371895</v>
      </c>
      <c r="D57" s="95" t="s">
        <v>3456</v>
      </c>
      <c r="E57" s="95" t="s">
        <v>3557</v>
      </c>
      <c r="F57" s="95" t="s">
        <v>3525</v>
      </c>
      <c r="G57" s="95" t="s">
        <v>3777</v>
      </c>
      <c r="H57" s="95" t="s">
        <v>3533</v>
      </c>
      <c r="I57" s="95"/>
      <c r="J57" s="95"/>
      <c r="K57" s="95" t="b">
        <v>1</v>
      </c>
      <c r="L57" s="95" t="b">
        <v>1</v>
      </c>
      <c r="M57" s="95" t="s">
        <v>3830</v>
      </c>
      <c r="N57" s="96" t="s">
        <v>3672</v>
      </c>
      <c r="O57" s="96" t="s">
        <v>3586</v>
      </c>
      <c r="P57" s="95" t="b">
        <v>1</v>
      </c>
      <c r="Q57" s="95"/>
      <c r="R57" s="95">
        <v>1</v>
      </c>
      <c r="S57" s="95">
        <v>4</v>
      </c>
      <c r="T57" s="95">
        <v>94</v>
      </c>
      <c r="U57" s="95">
        <v>363</v>
      </c>
      <c r="V57" s="95" t="s">
        <v>3536</v>
      </c>
      <c r="W57" s="95">
        <v>0.5</v>
      </c>
      <c r="X57" s="81">
        <v>94</v>
      </c>
      <c r="Y57" s="81">
        <v>107</v>
      </c>
      <c r="Z57" s="81" t="s">
        <v>2384</v>
      </c>
      <c r="AA57" s="81">
        <v>61</v>
      </c>
      <c r="AB57" s="95" t="str">
        <f t="shared" si="0"/>
        <v>DA_WPN_SW_HeadSplitter_o_mag</v>
      </c>
      <c r="AC57" s="90" t="str">
        <f t="shared" si="1"/>
        <v>/Game/DungeonSiege/Items/Weapons/Sword/DA_WPN_SW_HeadSplitter_o_mag</v>
      </c>
      <c r="AD57" s="97" t="str">
        <f t="shared" si="2"/>
        <v>Texture2D'/Game/DungeonSiege/art/bitmaps/gui/in_game/inventory/weapons/sword/b_gui_ig_i_w_swd_121.b_gui_ig_i_w_swd_121'</v>
      </c>
      <c r="AE57" s="97" t="str">
        <f t="shared" si="3"/>
        <v>Texture2D'/Game/DungeonSiege/art/bitmaps/gui/in_game/inventory/icons/b_gui_ig_i_ic_swd_002.b_gui_ig_i_ic_swd_002'</v>
      </c>
      <c r="AF57" s="97" t="str">
        <f t="shared" si="4"/>
        <v>StaticMesh'/Game/DungeonSiege/art/meshes/weapons/sword/m_w_swd_019_AspMesh.m_w_swd_019_AspMesh'</v>
      </c>
    </row>
    <row r="58" spans="1:32" ht="15.75" thickBot="1" x14ac:dyDescent="0.3">
      <c r="A58" s="95">
        <v>56</v>
      </c>
      <c r="B58" s="95">
        <v>56</v>
      </c>
      <c r="C58" s="95">
        <f>Items!B$27+B58</f>
        <v>94371896</v>
      </c>
      <c r="D58" s="95" t="s">
        <v>3457</v>
      </c>
      <c r="E58" s="95" t="s">
        <v>3557</v>
      </c>
      <c r="F58" s="95" t="s">
        <v>3525</v>
      </c>
      <c r="G58" s="95" t="s">
        <v>3780</v>
      </c>
      <c r="H58" s="95" t="s">
        <v>3534</v>
      </c>
      <c r="I58" s="95"/>
      <c r="J58" s="95"/>
      <c r="K58" s="95" t="b">
        <v>1</v>
      </c>
      <c r="L58" s="95" t="b">
        <v>1</v>
      </c>
      <c r="M58" s="95" t="s">
        <v>3831</v>
      </c>
      <c r="N58" s="96" t="s">
        <v>3673</v>
      </c>
      <c r="O58" s="96" t="s">
        <v>3586</v>
      </c>
      <c r="P58" s="95" t="b">
        <v>1</v>
      </c>
      <c r="Q58" s="95"/>
      <c r="R58" s="95">
        <v>1</v>
      </c>
      <c r="S58" s="95">
        <v>4</v>
      </c>
      <c r="T58" s="95">
        <v>69</v>
      </c>
      <c r="U58" s="95">
        <v>257</v>
      </c>
      <c r="V58" s="95" t="s">
        <v>3536</v>
      </c>
      <c r="W58" s="95">
        <v>0.5</v>
      </c>
      <c r="X58" s="81">
        <v>56</v>
      </c>
      <c r="Y58" s="81">
        <v>69</v>
      </c>
      <c r="Z58" s="81" t="s">
        <v>2384</v>
      </c>
      <c r="AA58" s="81">
        <v>43</v>
      </c>
      <c r="AB58" s="95" t="str">
        <f t="shared" si="0"/>
        <v>DA_WPN_SW_HeadSplitter_o_str</v>
      </c>
      <c r="AC58" s="90" t="str">
        <f t="shared" si="1"/>
        <v>/Game/DungeonSiege/Items/Weapons/Sword/DA_WPN_SW_HeadSplitter_o_str</v>
      </c>
      <c r="AD58" s="97" t="str">
        <f t="shared" si="2"/>
        <v>Texture2D'/Game/DungeonSiege/art/bitmaps/gui/in_game/inventory/weapons/sword/b_gui_ig_i_w_swd_119.b_gui_ig_i_w_swd_119'</v>
      </c>
      <c r="AE58" s="97" t="str">
        <f t="shared" si="3"/>
        <v>Texture2D'/Game/DungeonSiege/art/bitmaps/gui/in_game/inventory/icons/b_gui_ig_i_ic_swd_002.b_gui_ig_i_ic_swd_002'</v>
      </c>
      <c r="AF58" s="97" t="str">
        <f t="shared" si="4"/>
        <v>StaticMesh'/Game/DungeonSiege/art/meshes/weapons/sword/m_w_swd_023_AspMesh.m_w_swd_023_AspMesh'</v>
      </c>
    </row>
    <row r="59" spans="1:32" ht="15.75" thickBot="1" x14ac:dyDescent="0.3">
      <c r="A59" s="95">
        <v>57</v>
      </c>
      <c r="B59" s="95">
        <v>57</v>
      </c>
      <c r="C59" s="95">
        <f>Items!B$27+B59</f>
        <v>94371897</v>
      </c>
      <c r="D59" s="95" t="s">
        <v>3458</v>
      </c>
      <c r="E59" s="95" t="s">
        <v>3458</v>
      </c>
      <c r="F59" s="95" t="s">
        <v>3525</v>
      </c>
      <c r="G59" s="95" t="s">
        <v>3781</v>
      </c>
      <c r="H59" s="95"/>
      <c r="I59" s="95" t="b">
        <v>1</v>
      </c>
      <c r="J59" s="95"/>
      <c r="K59" s="95"/>
      <c r="L59" s="95"/>
      <c r="M59" s="95" t="s">
        <v>3675</v>
      </c>
      <c r="N59" s="96" t="s">
        <v>3674</v>
      </c>
      <c r="O59" s="96" t="s">
        <v>3598</v>
      </c>
      <c r="P59" s="95" t="b">
        <v>0</v>
      </c>
      <c r="Q59" s="95"/>
      <c r="R59" s="95">
        <v>1</v>
      </c>
      <c r="S59" s="95">
        <v>4</v>
      </c>
      <c r="T59" s="95">
        <v>40</v>
      </c>
      <c r="U59" s="95">
        <v>48</v>
      </c>
      <c r="V59" s="95" t="s">
        <v>3536</v>
      </c>
      <c r="W59" s="95">
        <v>0.5</v>
      </c>
      <c r="X59" s="81">
        <v>0</v>
      </c>
      <c r="Y59" s="81">
        <v>0</v>
      </c>
      <c r="Z59" s="81" t="s">
        <v>2384</v>
      </c>
      <c r="AA59" s="81">
        <v>19</v>
      </c>
      <c r="AB59" s="95" t="str">
        <f t="shared" si="0"/>
        <v>DA_WPN_SW_IceSword</v>
      </c>
      <c r="AC59" s="90" t="str">
        <f t="shared" si="1"/>
        <v>/Game/DungeonSiege/Items/Weapons/Sword/DA_WPN_SW_IceSword</v>
      </c>
      <c r="AD59" s="97" t="str">
        <f t="shared" si="2"/>
        <v>Texture2D'/Game/DungeonSiege/art/bitmaps/gui/in_game/inventory/weapons/sword/b_gui_ig_i_w_swd_068.b_gui_ig_i_w_swd_068'</v>
      </c>
      <c r="AE59" s="97" t="str">
        <f t="shared" si="3"/>
        <v>Texture2D'/Game/DungeonSiege/art/bitmaps/gui/in_game/inventory/icons/b_gui_ig_i_ic_swd_005.b_gui_ig_i_ic_swd_005'</v>
      </c>
      <c r="AF59" s="97" t="str">
        <f t="shared" si="4"/>
        <v>StaticMesh'/Game/DungeonSiege/art/meshes/weapons/sword/m_w_swd_003_AspMesh.m_w_swd_003_AspMesh'</v>
      </c>
    </row>
    <row r="60" spans="1:32" ht="15.75" thickBot="1" x14ac:dyDescent="0.3">
      <c r="A60" s="95">
        <v>58</v>
      </c>
      <c r="B60" s="95">
        <v>58</v>
      </c>
      <c r="C60" s="95">
        <f>Items!B$27+B60</f>
        <v>94371898</v>
      </c>
      <c r="D60" s="95" t="s">
        <v>3459</v>
      </c>
      <c r="E60" s="95" t="s">
        <v>3558</v>
      </c>
      <c r="F60" s="95" t="s">
        <v>3525</v>
      </c>
      <c r="G60" s="95" t="s">
        <v>3782</v>
      </c>
      <c r="H60" s="95" t="s">
        <v>3527</v>
      </c>
      <c r="I60" s="95"/>
      <c r="J60" s="95"/>
      <c r="K60" s="95"/>
      <c r="L60" s="95" t="b">
        <v>1</v>
      </c>
      <c r="M60" s="95" t="s">
        <v>3676</v>
      </c>
      <c r="N60" s="96" t="s">
        <v>3677</v>
      </c>
      <c r="O60" s="96" t="s">
        <v>3539</v>
      </c>
      <c r="P60" s="95" t="b">
        <v>1</v>
      </c>
      <c r="Q60" s="95" t="s">
        <v>3537</v>
      </c>
      <c r="R60" s="95">
        <v>1</v>
      </c>
      <c r="S60" s="95">
        <v>4</v>
      </c>
      <c r="T60" s="95">
        <v>199</v>
      </c>
      <c r="U60" s="95">
        <v>269</v>
      </c>
      <c r="V60" s="95" t="s">
        <v>3536</v>
      </c>
      <c r="W60" s="95">
        <v>0.5</v>
      </c>
      <c r="X60" s="81">
        <v>26</v>
      </c>
      <c r="Y60" s="81">
        <v>63</v>
      </c>
      <c r="Z60" s="81" t="s">
        <v>2384</v>
      </c>
      <c r="AA60" s="81">
        <v>61</v>
      </c>
      <c r="AB60" s="95" t="str">
        <f t="shared" si="0"/>
        <v>DA_WPN_SW_JaggedSword_base</v>
      </c>
      <c r="AC60" s="90" t="str">
        <f t="shared" si="1"/>
        <v>/Game/DungeonSiege/Items/Weapons/Sword/DA_WPN_SW_JaggedSword_base</v>
      </c>
      <c r="AD60" s="97" t="str">
        <f t="shared" si="2"/>
        <v>Texture2D'/Game/DungeonSiege/art/bitmaps/gui/in_game/inventory/weapons/sword/b_gui_ig_i_w_swd_074.b_gui_ig_i_w_swd_074'</v>
      </c>
      <c r="AE60" s="97" t="str">
        <f t="shared" si="3"/>
        <v>Texture2D'/Game/DungeonSiege/art/bitmaps/gui/in_game/inventory/icons/b_gui_ig_i_ic_swd_007.b_gui_ig_i_ic_swd_007'</v>
      </c>
      <c r="AF60" s="97" t="str">
        <f t="shared" si="4"/>
        <v>StaticMesh'/Game/DungeonSiege/art/meshes/weapons/sword/m_w_swd_044_AspMesh.m_w_swd_044_AspMesh'</v>
      </c>
    </row>
    <row r="61" spans="1:32" ht="15.75" thickBot="1" x14ac:dyDescent="0.3">
      <c r="A61" s="95">
        <v>59</v>
      </c>
      <c r="B61" s="95">
        <v>59</v>
      </c>
      <c r="C61" s="95">
        <f>Items!B$27+B61</f>
        <v>94371899</v>
      </c>
      <c r="D61" s="95" t="s">
        <v>3460</v>
      </c>
      <c r="E61" s="95" t="s">
        <v>3559</v>
      </c>
      <c r="F61" s="95" t="s">
        <v>3525</v>
      </c>
      <c r="G61" s="95" t="s">
        <v>3783</v>
      </c>
      <c r="H61" s="95" t="s">
        <v>3527</v>
      </c>
      <c r="I61" s="95"/>
      <c r="J61" s="95"/>
      <c r="K61" s="95"/>
      <c r="L61" s="95" t="b">
        <v>1</v>
      </c>
      <c r="M61" s="95" t="s">
        <v>3679</v>
      </c>
      <c r="N61" s="96" t="s">
        <v>3678</v>
      </c>
      <c r="O61" s="96" t="s">
        <v>3598</v>
      </c>
      <c r="P61" s="95" t="b">
        <v>1</v>
      </c>
      <c r="Q61" s="95" t="s">
        <v>3537</v>
      </c>
      <c r="R61" s="95">
        <v>1</v>
      </c>
      <c r="S61" s="95">
        <v>3</v>
      </c>
      <c r="T61" s="95">
        <v>83</v>
      </c>
      <c r="U61" s="95">
        <v>113</v>
      </c>
      <c r="V61" s="95" t="s">
        <v>3536</v>
      </c>
      <c r="W61" s="95">
        <v>0.5</v>
      </c>
      <c r="X61" s="81">
        <v>7</v>
      </c>
      <c r="Y61" s="81">
        <v>23</v>
      </c>
      <c r="Z61" s="81" t="s">
        <v>2384</v>
      </c>
      <c r="AA61" s="81">
        <v>31</v>
      </c>
      <c r="AB61" s="95" t="str">
        <f t="shared" si="0"/>
        <v>DA_WPN_SW_JewelSword_base</v>
      </c>
      <c r="AC61" s="90" t="str">
        <f t="shared" si="1"/>
        <v>/Game/DungeonSiege/Items/Weapons/Sword/DA_WPN_SW_JewelSword_base</v>
      </c>
      <c r="AD61" s="97" t="str">
        <f t="shared" si="2"/>
        <v>Texture2D'/Game/DungeonSiege/art/bitmaps/gui/in_game/inventory/weapons/sword/b_gui_ig_i_w_swd_069.b_gui_ig_i_w_swd_069'</v>
      </c>
      <c r="AE61" s="97" t="str">
        <f t="shared" si="3"/>
        <v>Texture2D'/Game/DungeonSiege/art/bitmaps/gui/in_game/inventory/icons/b_gui_ig_i_ic_swd_005.b_gui_ig_i_ic_swd_005'</v>
      </c>
      <c r="AF61" s="97" t="str">
        <f t="shared" si="4"/>
        <v>StaticMesh'/Game/DungeonSiege/art/meshes/weapons/sword/m_w_swd_038_AspMesh.m_w_swd_038_AspMesh'</v>
      </c>
    </row>
    <row r="62" spans="1:32" ht="15.75" thickBot="1" x14ac:dyDescent="0.3">
      <c r="A62" s="95">
        <v>60</v>
      </c>
      <c r="B62" s="95">
        <v>60</v>
      </c>
      <c r="C62" s="95">
        <f>Items!B$27+B62</f>
        <v>94371900</v>
      </c>
      <c r="D62" s="95" t="s">
        <v>3461</v>
      </c>
      <c r="E62" s="95" t="s">
        <v>3560</v>
      </c>
      <c r="F62" s="95" t="s">
        <v>3524</v>
      </c>
      <c r="G62" s="95" t="s">
        <v>3766</v>
      </c>
      <c r="H62" s="95" t="s">
        <v>3527</v>
      </c>
      <c r="I62" s="95"/>
      <c r="J62" s="95"/>
      <c r="K62" s="95" t="b">
        <v>1</v>
      </c>
      <c r="L62" s="95" t="b">
        <v>1</v>
      </c>
      <c r="M62" s="95" t="s">
        <v>3680</v>
      </c>
      <c r="N62" s="96" t="s">
        <v>3681</v>
      </c>
      <c r="O62" s="96" t="s">
        <v>3539</v>
      </c>
      <c r="P62" s="95" t="b">
        <v>1</v>
      </c>
      <c r="Q62" s="95"/>
      <c r="R62" s="95">
        <v>1</v>
      </c>
      <c r="S62" s="95">
        <v>4</v>
      </c>
      <c r="T62" s="95">
        <v>78</v>
      </c>
      <c r="U62" s="95">
        <v>233</v>
      </c>
      <c r="V62" s="95" t="s">
        <v>3535</v>
      </c>
      <c r="W62" s="95">
        <v>0.5</v>
      </c>
      <c r="X62" s="81">
        <v>0</v>
      </c>
      <c r="Y62" s="81">
        <v>6</v>
      </c>
      <c r="Z62" s="81" t="s">
        <v>2384</v>
      </c>
      <c r="AA62" s="81">
        <v>26</v>
      </c>
      <c r="AB62" s="95" t="str">
        <f t="shared" si="0"/>
        <v>DA_WPN_SW_LegCleaver_base</v>
      </c>
      <c r="AC62" s="90" t="str">
        <f t="shared" si="1"/>
        <v>/Game/DungeonSiege/Items/Weapons/Sword/DA_WPN_SW_LegCleaver_base</v>
      </c>
      <c r="AD62" s="97" t="str">
        <f t="shared" si="2"/>
        <v>Texture2D'/Game/DungeonSiege/art/bitmaps/gui/in_game/inventory/weapons/sword/b_gui_ig_i_w_swd_129.b_gui_ig_i_w_swd_129'</v>
      </c>
      <c r="AE62" s="97" t="str">
        <f t="shared" si="3"/>
        <v>Texture2D'/Game/DungeonSiege/art/bitmaps/gui/in_game/inventory/icons/b_gui_ig_i_ic_swd_007.b_gui_ig_i_ic_swd_007'</v>
      </c>
      <c r="AF62" s="97" t="str">
        <f t="shared" si="4"/>
        <v>StaticMesh'/Game/DungeonSiege/art/meshes/weapons/sword/m_w_swd_017_AspMesh.m_w_swd_017_AspMesh'</v>
      </c>
    </row>
    <row r="63" spans="1:32" ht="15.75" thickBot="1" x14ac:dyDescent="0.3">
      <c r="A63" s="95">
        <v>61</v>
      </c>
      <c r="B63" s="95">
        <v>61</v>
      </c>
      <c r="C63" s="95">
        <f>Items!B$27+B63</f>
        <v>94371901</v>
      </c>
      <c r="D63" s="95" t="s">
        <v>3462</v>
      </c>
      <c r="E63" s="95" t="s">
        <v>3560</v>
      </c>
      <c r="F63" s="95" t="s">
        <v>3524</v>
      </c>
      <c r="G63" s="95" t="s">
        <v>3766</v>
      </c>
      <c r="H63" s="95" t="s">
        <v>3531</v>
      </c>
      <c r="I63" s="95"/>
      <c r="J63" s="95"/>
      <c r="K63" s="95" t="b">
        <v>1</v>
      </c>
      <c r="L63" s="95" t="b">
        <v>1</v>
      </c>
      <c r="M63" s="95" t="s">
        <v>3832</v>
      </c>
      <c r="N63" s="96" t="s">
        <v>3682</v>
      </c>
      <c r="O63" s="96" t="s">
        <v>3614</v>
      </c>
      <c r="P63" s="95" t="b">
        <v>1</v>
      </c>
      <c r="Q63" s="95"/>
      <c r="R63" s="95">
        <v>1</v>
      </c>
      <c r="S63" s="95">
        <v>4</v>
      </c>
      <c r="T63" s="95">
        <v>106</v>
      </c>
      <c r="U63" s="95">
        <v>318</v>
      </c>
      <c r="V63" s="95" t="s">
        <v>3535</v>
      </c>
      <c r="W63" s="95">
        <v>0.5</v>
      </c>
      <c r="X63" s="81">
        <v>25</v>
      </c>
      <c r="Y63" s="81">
        <v>40</v>
      </c>
      <c r="Z63" s="81" t="s">
        <v>2384</v>
      </c>
      <c r="AA63" s="81">
        <v>33</v>
      </c>
      <c r="AB63" s="95" t="str">
        <f t="shared" si="0"/>
        <v>DA_WPN_SW_LegCleaver_c_fin</v>
      </c>
      <c r="AC63" s="90" t="str">
        <f t="shared" si="1"/>
        <v>/Game/DungeonSiege/Items/Weapons/Sword/DA_WPN_SW_LegCleaver_c_fin</v>
      </c>
      <c r="AD63" s="97" t="str">
        <f t="shared" si="2"/>
        <v>Texture2D'/Game/DungeonSiege/art/bitmaps/gui/in_game/inventory/weapons/sword/b_gui_ig_i_w_swd_128.b_gui_ig_i_w_swd_128'</v>
      </c>
      <c r="AE63" s="97" t="str">
        <f t="shared" si="3"/>
        <v>Texture2D'/Game/DungeonSiege/art/bitmaps/gui/in_game/inventory/icons/b_gui_ig_i_ic_swd_008.b_gui_ig_i_ic_swd_008'</v>
      </c>
      <c r="AF63" s="97" t="str">
        <f t="shared" si="4"/>
        <v>StaticMesh'/Game/DungeonSiege/art/meshes/weapons/sword/m_w_swd_017_AspMesh.m_w_swd_017_AspMesh'</v>
      </c>
    </row>
    <row r="64" spans="1:32" ht="15.75" thickBot="1" x14ac:dyDescent="0.3">
      <c r="A64" s="95">
        <v>62</v>
      </c>
      <c r="B64" s="95">
        <v>62</v>
      </c>
      <c r="C64" s="95">
        <f>Items!B$27+B64</f>
        <v>94371902</v>
      </c>
      <c r="D64" s="95" t="s">
        <v>3463</v>
      </c>
      <c r="E64" s="95" t="s">
        <v>3560</v>
      </c>
      <c r="F64" s="95" t="s">
        <v>3524</v>
      </c>
      <c r="G64" s="95" t="s">
        <v>3765</v>
      </c>
      <c r="H64" s="95" t="s">
        <v>3529</v>
      </c>
      <c r="I64" s="95"/>
      <c r="J64" s="95"/>
      <c r="K64" s="95" t="b">
        <v>1</v>
      </c>
      <c r="L64" s="95" t="b">
        <v>1</v>
      </c>
      <c r="M64" s="95" t="s">
        <v>3833</v>
      </c>
      <c r="N64" s="96" t="s">
        <v>3683</v>
      </c>
      <c r="O64" s="96" t="s">
        <v>3586</v>
      </c>
      <c r="P64" s="95" t="b">
        <v>1</v>
      </c>
      <c r="Q64" s="95"/>
      <c r="R64" s="95">
        <v>1</v>
      </c>
      <c r="S64" s="95">
        <v>4</v>
      </c>
      <c r="T64" s="95">
        <v>246</v>
      </c>
      <c r="U64" s="95">
        <v>738</v>
      </c>
      <c r="V64" s="95" t="s">
        <v>3535</v>
      </c>
      <c r="W64" s="95">
        <v>0.5</v>
      </c>
      <c r="X64" s="81">
        <v>98</v>
      </c>
      <c r="Y64" s="81">
        <v>112</v>
      </c>
      <c r="Z64" s="81" t="s">
        <v>2384</v>
      </c>
      <c r="AA64" s="81">
        <v>64</v>
      </c>
      <c r="AB64" s="95" t="str">
        <f t="shared" si="0"/>
        <v>DA_WPN_SW_LegCleaver_c_mag</v>
      </c>
      <c r="AC64" s="90" t="str">
        <f t="shared" si="1"/>
        <v>/Game/DungeonSiege/Items/Weapons/Sword/DA_WPN_SW_LegCleaver_c_mag</v>
      </c>
      <c r="AD64" s="97" t="str">
        <f t="shared" si="2"/>
        <v>Texture2D'/Game/DungeonSiege/art/bitmaps/gui/in_game/inventory/weapons/sword/b_gui_ig_i_w_swd_131.b_gui_ig_i_w_swd_131'</v>
      </c>
      <c r="AE64" s="97" t="str">
        <f t="shared" si="3"/>
        <v>Texture2D'/Game/DungeonSiege/art/bitmaps/gui/in_game/inventory/icons/b_gui_ig_i_ic_swd_002.b_gui_ig_i_ic_swd_002'</v>
      </c>
      <c r="AF64" s="97" t="str">
        <f t="shared" si="4"/>
        <v>StaticMesh'/Game/DungeonSiege/art/meshes/weapons/sword/m_w_swd_020_AspMesh.m_w_swd_020_AspMesh'</v>
      </c>
    </row>
    <row r="65" spans="1:32" ht="15.75" thickBot="1" x14ac:dyDescent="0.3">
      <c r="A65" s="95">
        <v>63</v>
      </c>
      <c r="B65" s="95">
        <v>63</v>
      </c>
      <c r="C65" s="95">
        <f>Items!B$27+B65</f>
        <v>94371903</v>
      </c>
      <c r="D65" s="95" t="s">
        <v>3464</v>
      </c>
      <c r="E65" s="95" t="s">
        <v>3560</v>
      </c>
      <c r="F65" s="95" t="s">
        <v>3524</v>
      </c>
      <c r="G65" s="95" t="s">
        <v>3766</v>
      </c>
      <c r="H65" s="95" t="s">
        <v>3534</v>
      </c>
      <c r="I65" s="95"/>
      <c r="J65" s="95"/>
      <c r="K65" s="95" t="b">
        <v>1</v>
      </c>
      <c r="L65" s="95" t="b">
        <v>1</v>
      </c>
      <c r="M65" s="95" t="s">
        <v>3834</v>
      </c>
      <c r="N65" s="96" t="s">
        <v>3684</v>
      </c>
      <c r="O65" s="96" t="s">
        <v>3614</v>
      </c>
      <c r="P65" s="95" t="b">
        <v>1</v>
      </c>
      <c r="Q65" s="95"/>
      <c r="R65" s="95">
        <v>1</v>
      </c>
      <c r="S65" s="95">
        <v>4</v>
      </c>
      <c r="T65" s="95">
        <v>203</v>
      </c>
      <c r="U65" s="95">
        <v>609</v>
      </c>
      <c r="V65" s="95" t="s">
        <v>3535</v>
      </c>
      <c r="W65" s="95">
        <v>0.5</v>
      </c>
      <c r="X65" s="81">
        <v>81</v>
      </c>
      <c r="Y65" s="81">
        <v>95</v>
      </c>
      <c r="Z65" s="81" t="s">
        <v>2384</v>
      </c>
      <c r="AA65" s="81">
        <v>54</v>
      </c>
      <c r="AB65" s="95" t="str">
        <f t="shared" si="0"/>
        <v>DA_WPN_SW_LegCleaver_o_str</v>
      </c>
      <c r="AC65" s="90" t="str">
        <f t="shared" si="1"/>
        <v>/Game/DungeonSiege/Items/Weapons/Sword/DA_WPN_SW_LegCleaver_o_str</v>
      </c>
      <c r="AD65" s="97" t="str">
        <f t="shared" si="2"/>
        <v>Texture2D'/Game/DungeonSiege/art/bitmaps/gui/in_game/inventory/weapons/sword/b_gui_ig_i_w_swd_130.b_gui_ig_i_w_swd_130'</v>
      </c>
      <c r="AE65" s="97" t="str">
        <f t="shared" si="3"/>
        <v>Texture2D'/Game/DungeonSiege/art/bitmaps/gui/in_game/inventory/icons/b_gui_ig_i_ic_swd_008.b_gui_ig_i_ic_swd_008'</v>
      </c>
      <c r="AF65" s="97" t="str">
        <f t="shared" si="4"/>
        <v>StaticMesh'/Game/DungeonSiege/art/meshes/weapons/sword/m_w_swd_017_AspMesh.m_w_swd_017_AspMesh'</v>
      </c>
    </row>
    <row r="66" spans="1:32" ht="15.75" thickBot="1" x14ac:dyDescent="0.3">
      <c r="A66" s="95">
        <v>64</v>
      </c>
      <c r="B66" s="95">
        <v>64</v>
      </c>
      <c r="C66" s="95">
        <f>Items!B$27+B66</f>
        <v>94371904</v>
      </c>
      <c r="D66" s="95" t="s">
        <v>3465</v>
      </c>
      <c r="E66" s="95" t="s">
        <v>3561</v>
      </c>
      <c r="F66" s="95" t="s">
        <v>3524</v>
      </c>
      <c r="G66" s="95" t="s">
        <v>3766</v>
      </c>
      <c r="H66" s="95" t="s">
        <v>3527</v>
      </c>
      <c r="I66" s="95"/>
      <c r="J66" s="95"/>
      <c r="K66" s="95" t="b">
        <v>1</v>
      </c>
      <c r="L66" s="95" t="b">
        <v>1</v>
      </c>
      <c r="M66" s="95" t="s">
        <v>3685</v>
      </c>
      <c r="N66" s="96" t="s">
        <v>3655</v>
      </c>
      <c r="O66" s="96" t="s">
        <v>3539</v>
      </c>
      <c r="P66" s="95" t="b">
        <v>1</v>
      </c>
      <c r="Q66" s="95"/>
      <c r="R66" s="95">
        <v>1</v>
      </c>
      <c r="S66" s="95">
        <v>4</v>
      </c>
      <c r="T66" s="95">
        <v>94</v>
      </c>
      <c r="U66" s="95">
        <v>140</v>
      </c>
      <c r="V66" s="95" t="s">
        <v>3535</v>
      </c>
      <c r="W66" s="95">
        <v>0.5</v>
      </c>
      <c r="X66" s="81">
        <v>3</v>
      </c>
      <c r="Y66" s="81">
        <v>14</v>
      </c>
      <c r="Z66" s="81" t="s">
        <v>2384</v>
      </c>
      <c r="AA66" s="81">
        <v>29</v>
      </c>
      <c r="AB66" s="95" t="str">
        <f t="shared" si="0"/>
        <v>DA_WPN_SW_LethalSword_base</v>
      </c>
      <c r="AC66" s="90" t="str">
        <f t="shared" si="1"/>
        <v>/Game/DungeonSiege/Items/Weapons/Sword/DA_WPN_SW_LethalSword_base</v>
      </c>
      <c r="AD66" s="97" t="str">
        <f t="shared" si="2"/>
        <v>Texture2D'/Game/DungeonSiege/art/bitmaps/gui/in_game/inventory/weapons/sword/b_gui_ig_i_w_swd_035.b_gui_ig_i_w_swd_035'</v>
      </c>
      <c r="AE66" s="97" t="str">
        <f t="shared" si="3"/>
        <v>Texture2D'/Game/DungeonSiege/art/bitmaps/gui/in_game/inventory/icons/b_gui_ig_i_ic_swd_007.b_gui_ig_i_ic_swd_007'</v>
      </c>
      <c r="AF66" s="97" t="str">
        <f t="shared" si="4"/>
        <v>StaticMesh'/Game/DungeonSiege/art/meshes/weapons/sword/m_w_swd_017_AspMesh.m_w_swd_017_AspMesh'</v>
      </c>
    </row>
    <row r="67" spans="1:32" ht="15.75" thickBot="1" x14ac:dyDescent="0.3">
      <c r="A67" s="95">
        <v>65</v>
      </c>
      <c r="B67" s="95">
        <v>65</v>
      </c>
      <c r="C67" s="95">
        <f>Items!B$27+B67</f>
        <v>94371905</v>
      </c>
      <c r="D67" s="95" t="s">
        <v>3466</v>
      </c>
      <c r="E67" s="95" t="s">
        <v>3561</v>
      </c>
      <c r="F67" s="95" t="s">
        <v>3524</v>
      </c>
      <c r="G67" s="95" t="s">
        <v>3765</v>
      </c>
      <c r="H67" s="95" t="s">
        <v>3529</v>
      </c>
      <c r="I67" s="95"/>
      <c r="J67" s="95"/>
      <c r="K67" s="95" t="b">
        <v>1</v>
      </c>
      <c r="L67" s="95" t="b">
        <v>1</v>
      </c>
      <c r="M67" s="95" t="s">
        <v>3835</v>
      </c>
      <c r="N67" s="96" t="s">
        <v>3687</v>
      </c>
      <c r="O67" s="96" t="s">
        <v>3539</v>
      </c>
      <c r="P67" s="95" t="b">
        <v>1</v>
      </c>
      <c r="Q67" s="95"/>
      <c r="R67" s="95">
        <v>1</v>
      </c>
      <c r="S67" s="95">
        <v>4</v>
      </c>
      <c r="T67" s="95">
        <v>200</v>
      </c>
      <c r="U67" s="95">
        <v>300</v>
      </c>
      <c r="V67" s="95" t="s">
        <v>3535</v>
      </c>
      <c r="W67" s="95">
        <v>0.5</v>
      </c>
      <c r="X67" s="81">
        <v>40</v>
      </c>
      <c r="Y67" s="81">
        <v>56</v>
      </c>
      <c r="Z67" s="81" t="s">
        <v>2384</v>
      </c>
      <c r="AA67" s="81">
        <v>54</v>
      </c>
      <c r="AB67" s="95" t="str">
        <f t="shared" ref="AB67:AB125" si="5">CONCATENATE("DA_WPN_SW_",SUBSTITUTE(SUBSTITUTE(SUBSTITUTE(D67," ",""),"(","_"),")",""))</f>
        <v>DA_WPN_SW_LethalSword_c_mag</v>
      </c>
      <c r="AC67" s="90" t="str">
        <f t="shared" ref="AC67:AC125" si="6">"/Game/DungeonSiege/Items/Weapons/Sword/" &amp; AB67</f>
        <v>/Game/DungeonSiege/Items/Weapons/Sword/DA_WPN_SW_LethalSword_c_mag</v>
      </c>
      <c r="AD67" s="97" t="str">
        <f t="shared" ref="AD67:AD125" si="7">CONCATENATE("Texture2D'/Game/DungeonSiege/art/bitmaps/gui/in_game/inventory/weapons/sword/",N67,".",N67,"'")</f>
        <v>Texture2D'/Game/DungeonSiege/art/bitmaps/gui/in_game/inventory/weapons/sword/b_gui_ig_i_w_swd_134.b_gui_ig_i_w_swd_134'</v>
      </c>
      <c r="AE67" s="97" t="str">
        <f t="shared" ref="AE67:AE125" si="8">CONCATENATE("Texture2D'/Game/DungeonSiege/art/bitmaps/gui/in_game/inventory/icons/",O67,".",O67,"'")</f>
        <v>Texture2D'/Game/DungeonSiege/art/bitmaps/gui/in_game/inventory/icons/b_gui_ig_i_ic_swd_007.b_gui_ig_i_ic_swd_007'</v>
      </c>
      <c r="AF67" s="97" t="str">
        <f t="shared" ref="AF67:AF125" si="9">CONCATENATE("StaticMesh'/Game/DungeonSiege/art/meshes/weapons/sword/",G67,"_AspMesh.",G67,"_AspMesh'")</f>
        <v>StaticMesh'/Game/DungeonSiege/art/meshes/weapons/sword/m_w_swd_020_AspMesh.m_w_swd_020_AspMesh'</v>
      </c>
    </row>
    <row r="68" spans="1:32" ht="15.75" thickBot="1" x14ac:dyDescent="0.3">
      <c r="A68" s="95">
        <v>66</v>
      </c>
      <c r="B68" s="95">
        <v>66</v>
      </c>
      <c r="C68" s="95">
        <f>Items!B$27+B68</f>
        <v>94371906</v>
      </c>
      <c r="D68" s="95" t="s">
        <v>3467</v>
      </c>
      <c r="E68" s="95" t="s">
        <v>3561</v>
      </c>
      <c r="F68" s="95" t="s">
        <v>3524</v>
      </c>
      <c r="G68" s="95" t="s">
        <v>3765</v>
      </c>
      <c r="H68" s="95" t="s">
        <v>3532</v>
      </c>
      <c r="I68" s="95"/>
      <c r="J68" s="95"/>
      <c r="K68" s="95" t="b">
        <v>1</v>
      </c>
      <c r="L68" s="95" t="b">
        <v>1</v>
      </c>
      <c r="M68" s="95" t="s">
        <v>3836</v>
      </c>
      <c r="N68" s="96" t="s">
        <v>3686</v>
      </c>
      <c r="O68" s="96" t="s">
        <v>3539</v>
      </c>
      <c r="P68" s="95" t="b">
        <v>1</v>
      </c>
      <c r="Q68" s="95"/>
      <c r="R68" s="95">
        <v>1</v>
      </c>
      <c r="S68" s="95">
        <v>4</v>
      </c>
      <c r="T68" s="95">
        <v>126</v>
      </c>
      <c r="U68" s="95">
        <v>190</v>
      </c>
      <c r="V68" s="95" t="s">
        <v>3535</v>
      </c>
      <c r="W68" s="95">
        <v>0.5</v>
      </c>
      <c r="X68" s="81">
        <v>14</v>
      </c>
      <c r="Y68" s="81">
        <v>31</v>
      </c>
      <c r="Z68" s="81" t="s">
        <v>2384</v>
      </c>
      <c r="AA68" s="81">
        <v>37</v>
      </c>
      <c r="AB68" s="95" t="str">
        <f t="shared" si="5"/>
        <v>DA_WPN_SW_LethalSword_o_fin</v>
      </c>
      <c r="AC68" s="90" t="str">
        <f t="shared" si="6"/>
        <v>/Game/DungeonSiege/Items/Weapons/Sword/DA_WPN_SW_LethalSword_o_fin</v>
      </c>
      <c r="AD68" s="97" t="str">
        <f t="shared" si="7"/>
        <v>Texture2D'/Game/DungeonSiege/art/bitmaps/gui/in_game/inventory/weapons/sword/b_gui_ig_i_w_swd_133.b_gui_ig_i_w_swd_133'</v>
      </c>
      <c r="AE68" s="97" t="str">
        <f t="shared" si="8"/>
        <v>Texture2D'/Game/DungeonSiege/art/bitmaps/gui/in_game/inventory/icons/b_gui_ig_i_ic_swd_007.b_gui_ig_i_ic_swd_007'</v>
      </c>
      <c r="AF68" s="97" t="str">
        <f t="shared" si="9"/>
        <v>StaticMesh'/Game/DungeonSiege/art/meshes/weapons/sword/m_w_swd_020_AspMesh.m_w_swd_020_AspMesh'</v>
      </c>
    </row>
    <row r="69" spans="1:32" ht="15.75" thickBot="1" x14ac:dyDescent="0.3">
      <c r="A69" s="95">
        <v>67</v>
      </c>
      <c r="B69" s="95">
        <v>67</v>
      </c>
      <c r="C69" s="95">
        <f>Items!B$27+B69</f>
        <v>94371907</v>
      </c>
      <c r="D69" s="95" t="s">
        <v>3468</v>
      </c>
      <c r="E69" s="95" t="s">
        <v>3562</v>
      </c>
      <c r="F69" s="95" t="s">
        <v>3525</v>
      </c>
      <c r="G69" s="95" t="s">
        <v>3779</v>
      </c>
      <c r="H69" s="95" t="s">
        <v>3527</v>
      </c>
      <c r="I69" s="95"/>
      <c r="J69" s="95"/>
      <c r="K69" s="95" t="b">
        <v>1</v>
      </c>
      <c r="L69" s="95" t="b">
        <v>1</v>
      </c>
      <c r="M69" s="95" t="s">
        <v>3666</v>
      </c>
      <c r="N69" s="96" t="s">
        <v>5694</v>
      </c>
      <c r="O69" s="96" t="s">
        <v>3586</v>
      </c>
      <c r="P69" s="95"/>
      <c r="Q69" s="95"/>
      <c r="R69" s="95">
        <v>1</v>
      </c>
      <c r="S69" s="95">
        <v>4</v>
      </c>
      <c r="T69" s="95">
        <v>50</v>
      </c>
      <c r="U69" s="95">
        <v>76</v>
      </c>
      <c r="V69" s="95" t="s">
        <v>3536</v>
      </c>
      <c r="W69" s="95">
        <v>0.5</v>
      </c>
      <c r="X69" s="81">
        <v>0</v>
      </c>
      <c r="Y69" s="81">
        <v>4</v>
      </c>
      <c r="Z69" s="81" t="s">
        <v>2384</v>
      </c>
      <c r="AA69" s="81">
        <v>24</v>
      </c>
      <c r="AB69" s="95" t="str">
        <f t="shared" si="5"/>
        <v>DA_WPN_SW_LongSword_base</v>
      </c>
      <c r="AC69" s="90" t="str">
        <f t="shared" si="6"/>
        <v>/Game/DungeonSiege/Items/Weapons/Sword/DA_WPN_SW_LongSword_base</v>
      </c>
      <c r="AD69" s="97" t="str">
        <f t="shared" si="7"/>
        <v>Texture2D'/Game/DungeonSiege/art/bitmaps/gui/in_game/inventory/weapons/sword/b_gui_ig_i_w_swd_017.b_gui_ig_i_w_swd_017'</v>
      </c>
      <c r="AE69" s="97" t="str">
        <f t="shared" si="8"/>
        <v>Texture2D'/Game/DungeonSiege/art/bitmaps/gui/in_game/inventory/icons/b_gui_ig_i_ic_swd_002.b_gui_ig_i_ic_swd_002'</v>
      </c>
      <c r="AF69" s="97" t="str">
        <f t="shared" si="9"/>
        <v>StaticMesh'/Game/DungeonSiege/art/meshes/weapons/sword/m_w_swd_018_AspMesh.m_w_swd_018_AspMesh'</v>
      </c>
    </row>
    <row r="70" spans="1:32" ht="15.75" thickBot="1" x14ac:dyDescent="0.3">
      <c r="A70" s="95">
        <v>68</v>
      </c>
      <c r="B70" s="95">
        <v>68</v>
      </c>
      <c r="C70" s="95">
        <f>Items!B$27+B70</f>
        <v>94371908</v>
      </c>
      <c r="D70" s="95" t="s">
        <v>3469</v>
      </c>
      <c r="E70" s="95" t="s">
        <v>3562</v>
      </c>
      <c r="F70" s="95" t="s">
        <v>3525</v>
      </c>
      <c r="G70" s="95" t="s">
        <v>3778</v>
      </c>
      <c r="H70" s="95" t="s">
        <v>3531</v>
      </c>
      <c r="I70" s="95"/>
      <c r="J70" s="95"/>
      <c r="K70" s="95" t="b">
        <v>1</v>
      </c>
      <c r="L70" s="95" t="b">
        <v>1</v>
      </c>
      <c r="M70" s="95" t="s">
        <v>3826</v>
      </c>
      <c r="N70" s="96" t="s">
        <v>5695</v>
      </c>
      <c r="O70" s="96" t="s">
        <v>3586</v>
      </c>
      <c r="P70" s="95"/>
      <c r="Q70" s="95"/>
      <c r="R70" s="95">
        <v>1</v>
      </c>
      <c r="S70" s="95">
        <v>4</v>
      </c>
      <c r="T70" s="95">
        <v>57</v>
      </c>
      <c r="U70" s="95">
        <v>85</v>
      </c>
      <c r="V70" s="95" t="s">
        <v>3536</v>
      </c>
      <c r="W70" s="95">
        <v>0.5</v>
      </c>
      <c r="X70" s="81">
        <v>2</v>
      </c>
      <c r="Y70" s="81">
        <v>11</v>
      </c>
      <c r="Z70" s="81" t="s">
        <v>2384</v>
      </c>
      <c r="AA70" s="81">
        <v>26</v>
      </c>
      <c r="AB70" s="95" t="str">
        <f t="shared" si="5"/>
        <v>DA_WPN_SW_LongSword_c_fin</v>
      </c>
      <c r="AC70" s="90" t="str">
        <f t="shared" si="6"/>
        <v>/Game/DungeonSiege/Items/Weapons/Sword/DA_WPN_SW_LongSword_c_fin</v>
      </c>
      <c r="AD70" s="97" t="str">
        <f t="shared" si="7"/>
        <v>Texture2D'/Game/DungeonSiege/art/bitmaps/gui/in_game/inventory/weapons/sword/b_gui_ig_i_w_swd_025.b_gui_ig_i_w_swd_025'</v>
      </c>
      <c r="AE70" s="97" t="str">
        <f t="shared" si="8"/>
        <v>Texture2D'/Game/DungeonSiege/art/bitmaps/gui/in_game/inventory/icons/b_gui_ig_i_ic_swd_002.b_gui_ig_i_ic_swd_002'</v>
      </c>
      <c r="AF70" s="97" t="str">
        <f t="shared" si="9"/>
        <v>StaticMesh'/Game/DungeonSiege/art/meshes/weapons/sword/m_w_swd_016_AspMesh.m_w_swd_016_AspMesh'</v>
      </c>
    </row>
    <row r="71" spans="1:32" ht="15.75" thickBot="1" x14ac:dyDescent="0.3">
      <c r="A71" s="95">
        <v>69</v>
      </c>
      <c r="B71" s="95">
        <v>69</v>
      </c>
      <c r="C71" s="95">
        <f>Items!B$27+B71</f>
        <v>94371909</v>
      </c>
      <c r="D71" s="95" t="s">
        <v>3470</v>
      </c>
      <c r="E71" s="95" t="s">
        <v>3562</v>
      </c>
      <c r="F71" s="95" t="s">
        <v>3525</v>
      </c>
      <c r="G71" s="95" t="s">
        <v>3779</v>
      </c>
      <c r="H71" s="95" t="s">
        <v>3529</v>
      </c>
      <c r="I71" s="95"/>
      <c r="J71" s="95"/>
      <c r="K71" s="95" t="b">
        <v>1</v>
      </c>
      <c r="L71" s="95" t="b">
        <v>1</v>
      </c>
      <c r="M71" s="95" t="s">
        <v>3827</v>
      </c>
      <c r="N71" s="96" t="s">
        <v>5696</v>
      </c>
      <c r="O71" s="96" t="s">
        <v>3586</v>
      </c>
      <c r="P71" s="95"/>
      <c r="Q71" s="95"/>
      <c r="R71" s="95">
        <v>1</v>
      </c>
      <c r="S71" s="95">
        <v>4</v>
      </c>
      <c r="T71" s="95">
        <v>142</v>
      </c>
      <c r="U71" s="95">
        <v>213</v>
      </c>
      <c r="V71" s="95" t="s">
        <v>3536</v>
      </c>
      <c r="W71" s="95">
        <v>0.5</v>
      </c>
      <c r="X71" s="81">
        <v>35</v>
      </c>
      <c r="Y71" s="81">
        <v>50</v>
      </c>
      <c r="Z71" s="81" t="s">
        <v>2384</v>
      </c>
      <c r="AA71" s="81">
        <v>50</v>
      </c>
      <c r="AB71" s="95" t="str">
        <f t="shared" si="5"/>
        <v>DA_WPN_SW_LongSword_c_mag</v>
      </c>
      <c r="AC71" s="90" t="str">
        <f t="shared" si="6"/>
        <v>/Game/DungeonSiege/Items/Weapons/Sword/DA_WPN_SW_LongSword_c_mag</v>
      </c>
      <c r="AD71" s="97" t="str">
        <f t="shared" si="7"/>
        <v>Texture2D'/Game/DungeonSiege/art/bitmaps/gui/in_game/inventory/weapons/sword/b_gui_ig_i_w_swd_037.b_gui_ig_i_w_swd_037'</v>
      </c>
      <c r="AE71" s="97" t="str">
        <f t="shared" si="8"/>
        <v>Texture2D'/Game/DungeonSiege/art/bitmaps/gui/in_game/inventory/icons/b_gui_ig_i_ic_swd_002.b_gui_ig_i_ic_swd_002'</v>
      </c>
      <c r="AF71" s="97" t="str">
        <f t="shared" si="9"/>
        <v>StaticMesh'/Game/DungeonSiege/art/meshes/weapons/sword/m_w_swd_018_AspMesh.m_w_swd_018_AspMesh'</v>
      </c>
    </row>
    <row r="72" spans="1:32" ht="15.75" thickBot="1" x14ac:dyDescent="0.3">
      <c r="A72" s="95">
        <v>70</v>
      </c>
      <c r="B72" s="95">
        <v>70</v>
      </c>
      <c r="C72" s="95">
        <f>Items!B$27+B72</f>
        <v>94371910</v>
      </c>
      <c r="D72" s="95" t="s">
        <v>3471</v>
      </c>
      <c r="E72" s="95" t="s">
        <v>3562</v>
      </c>
      <c r="F72" s="95" t="s">
        <v>3525</v>
      </c>
      <c r="G72" s="95" t="s">
        <v>3778</v>
      </c>
      <c r="H72" s="95" t="s">
        <v>3530</v>
      </c>
      <c r="I72" s="95"/>
      <c r="J72" s="95"/>
      <c r="K72" s="95" t="b">
        <v>1</v>
      </c>
      <c r="L72" s="95" t="b">
        <v>1</v>
      </c>
      <c r="M72" s="95" t="s">
        <v>3828</v>
      </c>
      <c r="N72" s="96" t="s">
        <v>5697</v>
      </c>
      <c r="O72" s="96" t="s">
        <v>3586</v>
      </c>
      <c r="P72" s="95"/>
      <c r="Q72" s="95"/>
      <c r="R72" s="95">
        <v>1</v>
      </c>
      <c r="S72" s="95">
        <v>4</v>
      </c>
      <c r="T72" s="95">
        <v>100</v>
      </c>
      <c r="U72" s="95">
        <v>151</v>
      </c>
      <c r="V72" s="95" t="s">
        <v>3536</v>
      </c>
      <c r="W72" s="95">
        <v>0.5</v>
      </c>
      <c r="X72" s="81">
        <v>19</v>
      </c>
      <c r="Y72" s="81">
        <v>34</v>
      </c>
      <c r="Z72" s="81" t="s">
        <v>2384</v>
      </c>
      <c r="AA72" s="81">
        <v>38</v>
      </c>
      <c r="AB72" s="95" t="str">
        <f t="shared" si="5"/>
        <v>DA_WPN_SW_LongSword_c_str</v>
      </c>
      <c r="AC72" s="90" t="str">
        <f t="shared" si="6"/>
        <v>/Game/DungeonSiege/Items/Weapons/Sword/DA_WPN_SW_LongSword_c_str</v>
      </c>
      <c r="AD72" s="97" t="str">
        <f t="shared" si="7"/>
        <v>Texture2D'/Game/DungeonSiege/art/bitmaps/gui/in_game/inventory/weapons/sword/b_gui_ig_i_w_swd_031.b_gui_ig_i_w_swd_031'</v>
      </c>
      <c r="AE72" s="97" t="str">
        <f t="shared" si="8"/>
        <v>Texture2D'/Game/DungeonSiege/art/bitmaps/gui/in_game/inventory/icons/b_gui_ig_i_ic_swd_002.b_gui_ig_i_ic_swd_002'</v>
      </c>
      <c r="AF72" s="97" t="str">
        <f t="shared" si="9"/>
        <v>StaticMesh'/Game/DungeonSiege/art/meshes/weapons/sword/m_w_swd_016_AspMesh.m_w_swd_016_AspMesh'</v>
      </c>
    </row>
    <row r="73" spans="1:32" ht="15.75" thickBot="1" x14ac:dyDescent="0.3">
      <c r="A73" s="95">
        <v>71</v>
      </c>
      <c r="B73" s="95">
        <v>71</v>
      </c>
      <c r="C73" s="95">
        <f>Items!B$27+B73</f>
        <v>94371911</v>
      </c>
      <c r="D73" s="95" t="s">
        <v>3472</v>
      </c>
      <c r="E73" s="95" t="s">
        <v>3562</v>
      </c>
      <c r="F73" s="95" t="s">
        <v>3525</v>
      </c>
      <c r="G73" s="95" t="s">
        <v>3777</v>
      </c>
      <c r="H73" s="95" t="s">
        <v>3528</v>
      </c>
      <c r="I73" s="95"/>
      <c r="J73" s="95"/>
      <c r="K73" s="95" t="b">
        <v>1</v>
      </c>
      <c r="L73" s="95" t="b">
        <v>1</v>
      </c>
      <c r="M73" s="95" t="s">
        <v>3837</v>
      </c>
      <c r="N73" s="96" t="s">
        <v>5698</v>
      </c>
      <c r="O73" s="96" t="s">
        <v>3597</v>
      </c>
      <c r="P73" s="95"/>
      <c r="Q73" s="95"/>
      <c r="R73" s="95">
        <v>1</v>
      </c>
      <c r="S73" s="95">
        <v>4</v>
      </c>
      <c r="T73" s="95">
        <v>70</v>
      </c>
      <c r="U73" s="95">
        <v>105</v>
      </c>
      <c r="V73" s="95" t="s">
        <v>3536</v>
      </c>
      <c r="W73" s="95">
        <v>0.5</v>
      </c>
      <c r="X73" s="81">
        <v>7</v>
      </c>
      <c r="Y73" s="81">
        <v>18</v>
      </c>
      <c r="Z73" s="81" t="s">
        <v>2384</v>
      </c>
      <c r="AA73" s="81">
        <v>29</v>
      </c>
      <c r="AB73" s="95" t="str">
        <f t="shared" si="5"/>
        <v>DA_WPN_SW_LongSword_o_avg</v>
      </c>
      <c r="AC73" s="90" t="str">
        <f t="shared" si="6"/>
        <v>/Game/DungeonSiege/Items/Weapons/Sword/DA_WPN_SW_LongSword_o_avg</v>
      </c>
      <c r="AD73" s="97" t="str">
        <f t="shared" si="7"/>
        <v>Texture2D'/Game/DungeonSiege/art/bitmaps/gui/in_game/inventory/weapons/sword/b_gui_ig_i_w_swd_028.b_gui_ig_i_w_swd_028'</v>
      </c>
      <c r="AE73" s="97" t="str">
        <f t="shared" si="8"/>
        <v>Texture2D'/Game/DungeonSiege/art/bitmaps/gui/in_game/inventory/icons/b_gui_ig_i_ic_swd_004.b_gui_ig_i_ic_swd_004'</v>
      </c>
      <c r="AF73" s="97" t="str">
        <f t="shared" si="9"/>
        <v>StaticMesh'/Game/DungeonSiege/art/meshes/weapons/sword/m_w_swd_019_AspMesh.m_w_swd_019_AspMesh'</v>
      </c>
    </row>
    <row r="74" spans="1:32" ht="14.25" customHeight="1" thickBot="1" x14ac:dyDescent="0.3">
      <c r="A74" s="95">
        <v>72</v>
      </c>
      <c r="B74" s="95">
        <v>72</v>
      </c>
      <c r="C74" s="95">
        <f>Items!B$27+B74</f>
        <v>94371912</v>
      </c>
      <c r="D74" s="95" t="s">
        <v>3473</v>
      </c>
      <c r="E74" s="95" t="s">
        <v>3563</v>
      </c>
      <c r="F74" s="95" t="s">
        <v>3525</v>
      </c>
      <c r="G74" s="95" t="s">
        <v>3784</v>
      </c>
      <c r="H74" s="95" t="s">
        <v>3527</v>
      </c>
      <c r="I74" s="95" t="b">
        <v>1</v>
      </c>
      <c r="J74" s="95"/>
      <c r="K74" s="95"/>
      <c r="L74" s="95"/>
      <c r="M74" s="95" t="s">
        <v>3688</v>
      </c>
      <c r="N74" s="96" t="s">
        <v>5699</v>
      </c>
      <c r="O74" s="96" t="s">
        <v>3584</v>
      </c>
      <c r="P74" s="95" t="b">
        <v>0</v>
      </c>
      <c r="Q74" s="95"/>
      <c r="R74" s="95">
        <v>1</v>
      </c>
      <c r="S74" s="95">
        <v>2</v>
      </c>
      <c r="T74" s="95">
        <v>18</v>
      </c>
      <c r="U74" s="95">
        <v>70</v>
      </c>
      <c r="V74" s="95" t="s">
        <v>3536</v>
      </c>
      <c r="W74" s="95">
        <v>0.5</v>
      </c>
      <c r="X74" s="81">
        <v>0</v>
      </c>
      <c r="Y74" s="81">
        <v>0</v>
      </c>
      <c r="Z74" s="81" t="s">
        <v>2384</v>
      </c>
      <c r="AA74" s="81">
        <v>19</v>
      </c>
      <c r="AB74" s="95" t="str">
        <f t="shared" si="5"/>
        <v>DA_WPN_SW_Masher_base</v>
      </c>
      <c r="AC74" s="90" t="str">
        <f t="shared" si="6"/>
        <v>/Game/DungeonSiege/Items/Weapons/Sword/DA_WPN_SW_Masher_base</v>
      </c>
      <c r="AD74" s="97" t="str">
        <f t="shared" si="7"/>
        <v>Texture2D'/Game/DungeonSiege/art/bitmaps/gui/in_game/inventory/weapons/sword/b_gui_ig_i_w_swd_107.b_gui_ig_i_w_swd_107'</v>
      </c>
      <c r="AE74" s="97" t="str">
        <f t="shared" si="8"/>
        <v>Texture2D'/Game/DungeonSiege/art/bitmaps/gui/in_game/inventory/icons/b_gui_ig_i_ic_swd_001.b_gui_ig_i_ic_swd_001'</v>
      </c>
      <c r="AF74" s="97" t="str">
        <f t="shared" si="9"/>
        <v>StaticMesh'/Game/DungeonSiege/art/meshes/weapons/sword/m_w_swd_015_AspMesh.m_w_swd_015_AspMesh'</v>
      </c>
    </row>
    <row r="75" spans="1:32" ht="15.75" thickBot="1" x14ac:dyDescent="0.3">
      <c r="A75" s="95">
        <v>73</v>
      </c>
      <c r="B75" s="95">
        <v>73</v>
      </c>
      <c r="C75" s="95">
        <f>Items!B$27+B75</f>
        <v>94371913</v>
      </c>
      <c r="D75" s="95" t="s">
        <v>3474</v>
      </c>
      <c r="E75" s="95" t="s">
        <v>3563</v>
      </c>
      <c r="F75" s="95" t="s">
        <v>3525</v>
      </c>
      <c r="G75" s="95" t="s">
        <v>3784</v>
      </c>
      <c r="H75" s="95" t="s">
        <v>3531</v>
      </c>
      <c r="I75" s="95"/>
      <c r="J75" s="95"/>
      <c r="K75" s="95" t="b">
        <v>1</v>
      </c>
      <c r="L75" s="95" t="b">
        <v>1</v>
      </c>
      <c r="M75" s="95" t="s">
        <v>3838</v>
      </c>
      <c r="N75" s="96" t="s">
        <v>5700</v>
      </c>
      <c r="O75" s="96" t="s">
        <v>3584</v>
      </c>
      <c r="P75" s="95"/>
      <c r="Q75" s="95"/>
      <c r="R75" s="95">
        <v>1</v>
      </c>
      <c r="S75" s="95">
        <v>2</v>
      </c>
      <c r="T75" s="95">
        <v>26</v>
      </c>
      <c r="U75" s="95">
        <v>105</v>
      </c>
      <c r="V75" s="95" t="s">
        <v>3536</v>
      </c>
      <c r="W75" s="95">
        <v>0.5</v>
      </c>
      <c r="X75" s="81">
        <v>13</v>
      </c>
      <c r="Y75" s="81">
        <v>18</v>
      </c>
      <c r="Z75" s="81" t="s">
        <v>2384</v>
      </c>
      <c r="AA75" s="81">
        <v>24</v>
      </c>
      <c r="AB75" s="95" t="str">
        <f t="shared" si="5"/>
        <v>DA_WPN_SW_Masher_c_fin</v>
      </c>
      <c r="AC75" s="90" t="str">
        <f t="shared" si="6"/>
        <v>/Game/DungeonSiege/Items/Weapons/Sword/DA_WPN_SW_Masher_c_fin</v>
      </c>
      <c r="AD75" s="97" t="str">
        <f t="shared" si="7"/>
        <v>Texture2D'/Game/DungeonSiege/art/bitmaps/gui/in_game/inventory/weapons/sword/b_gui_ig_i_w_swd_106.b_gui_ig_i_w_swd_106'</v>
      </c>
      <c r="AE75" s="97" t="str">
        <f t="shared" si="8"/>
        <v>Texture2D'/Game/DungeonSiege/art/bitmaps/gui/in_game/inventory/icons/b_gui_ig_i_ic_swd_001.b_gui_ig_i_ic_swd_001'</v>
      </c>
      <c r="AF75" s="97" t="str">
        <f t="shared" si="9"/>
        <v>StaticMesh'/Game/DungeonSiege/art/meshes/weapons/sword/m_w_swd_015_AspMesh.m_w_swd_015_AspMesh'</v>
      </c>
    </row>
    <row r="76" spans="1:32" ht="15.75" thickBot="1" x14ac:dyDescent="0.3">
      <c r="A76" s="95">
        <v>74</v>
      </c>
      <c r="B76" s="95">
        <v>74</v>
      </c>
      <c r="C76" s="95">
        <f>Items!B$27+B76</f>
        <v>94371914</v>
      </c>
      <c r="D76" s="95" t="s">
        <v>3475</v>
      </c>
      <c r="E76" s="95" t="s">
        <v>3563</v>
      </c>
      <c r="F76" s="95" t="s">
        <v>3525</v>
      </c>
      <c r="G76" s="95" t="s">
        <v>3785</v>
      </c>
      <c r="H76" s="95" t="s">
        <v>3529</v>
      </c>
      <c r="I76" s="95"/>
      <c r="J76" s="95"/>
      <c r="K76" s="95" t="b">
        <v>1</v>
      </c>
      <c r="L76" s="95" t="b">
        <v>1</v>
      </c>
      <c r="M76" s="95" t="s">
        <v>3839</v>
      </c>
      <c r="N76" s="96" t="s">
        <v>5701</v>
      </c>
      <c r="O76" s="96" t="s">
        <v>3584</v>
      </c>
      <c r="P76" s="95"/>
      <c r="Q76" s="95"/>
      <c r="R76" s="95">
        <v>1</v>
      </c>
      <c r="S76" s="95">
        <v>3</v>
      </c>
      <c r="T76" s="95">
        <v>64</v>
      </c>
      <c r="U76" s="95">
        <v>257</v>
      </c>
      <c r="V76" s="95" t="s">
        <v>3536</v>
      </c>
      <c r="W76" s="95">
        <v>0.5</v>
      </c>
      <c r="X76" s="81">
        <v>72</v>
      </c>
      <c r="Y76" s="81">
        <v>80</v>
      </c>
      <c r="Z76" s="81" t="s">
        <v>2384</v>
      </c>
      <c r="AA76" s="81">
        <v>47</v>
      </c>
      <c r="AB76" s="95" t="str">
        <f t="shared" si="5"/>
        <v>DA_WPN_SW_Masher_c_mag</v>
      </c>
      <c r="AC76" s="90" t="str">
        <f t="shared" si="6"/>
        <v>/Game/DungeonSiege/Items/Weapons/Sword/DA_WPN_SW_Masher_c_mag</v>
      </c>
      <c r="AD76" s="97" t="str">
        <f t="shared" si="7"/>
        <v>Texture2D'/Game/DungeonSiege/art/bitmaps/gui/in_game/inventory/weapons/sword/b_gui_ig_i_w_swd_109.b_gui_ig_i_w_swd_109'</v>
      </c>
      <c r="AE76" s="97" t="str">
        <f t="shared" si="8"/>
        <v>Texture2D'/Game/DungeonSiege/art/bitmaps/gui/in_game/inventory/icons/b_gui_ig_i_ic_swd_001.b_gui_ig_i_ic_swd_001'</v>
      </c>
      <c r="AF76" s="97" t="str">
        <f t="shared" si="9"/>
        <v>StaticMesh'/Game/DungeonSiege/art/meshes/weapons/sword/m_w_swd_021_AspMesh.m_w_swd_021_AspMesh'</v>
      </c>
    </row>
    <row r="77" spans="1:32" ht="15.75" thickBot="1" x14ac:dyDescent="0.3">
      <c r="A77" s="95">
        <v>75</v>
      </c>
      <c r="B77" s="95">
        <v>75</v>
      </c>
      <c r="C77" s="95">
        <f>Items!B$27+B77</f>
        <v>94371915</v>
      </c>
      <c r="D77" s="95" t="s">
        <v>3476</v>
      </c>
      <c r="E77" s="95" t="s">
        <v>3563</v>
      </c>
      <c r="F77" s="95" t="s">
        <v>3525</v>
      </c>
      <c r="G77" s="95" t="s">
        <v>3757</v>
      </c>
      <c r="H77" s="95" t="s">
        <v>3532</v>
      </c>
      <c r="I77" s="95"/>
      <c r="J77" s="95"/>
      <c r="K77" s="95" t="b">
        <v>1</v>
      </c>
      <c r="L77" s="95" t="b">
        <v>1</v>
      </c>
      <c r="M77" s="95" t="s">
        <v>3840</v>
      </c>
      <c r="N77" s="96" t="s">
        <v>5702</v>
      </c>
      <c r="O77" s="96" t="s">
        <v>3584</v>
      </c>
      <c r="P77" s="95"/>
      <c r="Q77" s="95"/>
      <c r="R77" s="95">
        <v>1</v>
      </c>
      <c r="S77" s="95">
        <v>2</v>
      </c>
      <c r="T77" s="95">
        <v>35</v>
      </c>
      <c r="U77" s="95">
        <v>140</v>
      </c>
      <c r="V77" s="95" t="s">
        <v>3536</v>
      </c>
      <c r="W77" s="95">
        <v>0.5</v>
      </c>
      <c r="X77" s="81">
        <v>24</v>
      </c>
      <c r="Y77" s="81">
        <v>32</v>
      </c>
      <c r="Z77" s="81" t="s">
        <v>2384</v>
      </c>
      <c r="AA77" s="81">
        <v>29</v>
      </c>
      <c r="AB77" s="95" t="str">
        <f t="shared" si="5"/>
        <v>DA_WPN_SW_Masher_o_fin</v>
      </c>
      <c r="AC77" s="90" t="str">
        <f t="shared" si="6"/>
        <v>/Game/DungeonSiege/Items/Weapons/Sword/DA_WPN_SW_Masher_o_fin</v>
      </c>
      <c r="AD77" s="97" t="str">
        <f t="shared" si="7"/>
        <v>Texture2D'/Game/DungeonSiege/art/bitmaps/gui/in_game/inventory/weapons/sword/b_gui_ig_i_w_swd_108.b_gui_ig_i_w_swd_108'</v>
      </c>
      <c r="AE77" s="97" t="str">
        <f t="shared" si="8"/>
        <v>Texture2D'/Game/DungeonSiege/art/bitmaps/gui/in_game/inventory/icons/b_gui_ig_i_ic_swd_001.b_gui_ig_i_ic_swd_001'</v>
      </c>
      <c r="AF77" s="97" t="str">
        <f t="shared" si="9"/>
        <v>StaticMesh'/Game/DungeonSiege/art/meshes/weapons/sword/m_w_swd_014_AspMesh.m_w_swd_014_AspMesh'</v>
      </c>
    </row>
    <row r="78" spans="1:32" ht="23.25" thickBot="1" x14ac:dyDescent="0.3">
      <c r="A78" s="95">
        <v>76</v>
      </c>
      <c r="B78" s="95">
        <v>76</v>
      </c>
      <c r="C78" s="95">
        <f>Items!B$27+B78</f>
        <v>94371916</v>
      </c>
      <c r="D78" s="95" t="s">
        <v>3477</v>
      </c>
      <c r="E78" s="95" t="s">
        <v>3564</v>
      </c>
      <c r="F78" s="95" t="s">
        <v>3525</v>
      </c>
      <c r="G78" s="95" t="s">
        <v>3786</v>
      </c>
      <c r="H78" s="95" t="s">
        <v>3527</v>
      </c>
      <c r="I78" s="95"/>
      <c r="J78" s="95"/>
      <c r="K78" s="95"/>
      <c r="L78" s="95" t="b">
        <v>1</v>
      </c>
      <c r="M78" s="95" t="s">
        <v>3689</v>
      </c>
      <c r="N78" s="96" t="s">
        <v>5703</v>
      </c>
      <c r="O78" s="96" t="s">
        <v>3539</v>
      </c>
      <c r="P78" s="95" t="b">
        <v>1</v>
      </c>
      <c r="Q78" s="95" t="s">
        <v>3537</v>
      </c>
      <c r="R78" s="95">
        <v>1</v>
      </c>
      <c r="S78" s="95">
        <v>4</v>
      </c>
      <c r="T78" s="95">
        <v>204</v>
      </c>
      <c r="U78" s="95">
        <v>276</v>
      </c>
      <c r="V78" s="95" t="s">
        <v>3536</v>
      </c>
      <c r="W78" s="95">
        <v>0.5</v>
      </c>
      <c r="X78" s="81">
        <v>17</v>
      </c>
      <c r="Y78" s="81">
        <v>55</v>
      </c>
      <c r="Z78" s="81" t="s">
        <v>2384</v>
      </c>
      <c r="AA78" s="81">
        <v>63</v>
      </c>
      <c r="AB78" s="95" t="str">
        <f t="shared" si="5"/>
        <v>DA_WPN_SW_MassiveSword_base</v>
      </c>
      <c r="AC78" s="90" t="str">
        <f t="shared" si="6"/>
        <v>/Game/DungeonSiege/Items/Weapons/Sword/DA_WPN_SW_MassiveSword_base</v>
      </c>
      <c r="AD78" s="97" t="str">
        <f t="shared" si="7"/>
        <v>Texture2D'/Game/DungeonSiege/art/bitmaps/gui/in_game/inventory/weapons/sword/b_gui_ig_i_w_swd_072.b_gui_ig_i_w_swd_072'</v>
      </c>
      <c r="AE78" s="97" t="str">
        <f t="shared" si="8"/>
        <v>Texture2D'/Game/DungeonSiege/art/bitmaps/gui/in_game/inventory/icons/b_gui_ig_i_ic_swd_007.b_gui_ig_i_ic_swd_007'</v>
      </c>
      <c r="AF78" s="97" t="str">
        <f t="shared" si="9"/>
        <v>StaticMesh'/Game/DungeonSiege/art/meshes/weapons/sword/m_w_swd_040_AspMesh.m_w_swd_040_AspMesh'</v>
      </c>
    </row>
    <row r="79" spans="1:32" ht="15.75" thickBot="1" x14ac:dyDescent="0.3">
      <c r="A79" s="95">
        <v>77</v>
      </c>
      <c r="B79" s="95">
        <v>77</v>
      </c>
      <c r="C79" s="95">
        <f>Items!B$27+B79</f>
        <v>94371917</v>
      </c>
      <c r="D79" s="95" t="s">
        <v>3478</v>
      </c>
      <c r="E79" s="95" t="s">
        <v>3565</v>
      </c>
      <c r="F79" s="95" t="s">
        <v>3524</v>
      </c>
      <c r="G79" s="95" t="s">
        <v>3787</v>
      </c>
      <c r="H79" s="95" t="s">
        <v>3527</v>
      </c>
      <c r="I79" s="95"/>
      <c r="J79" s="95"/>
      <c r="K79" s="95"/>
      <c r="L79" s="95" t="b">
        <v>1</v>
      </c>
      <c r="M79" s="95" t="s">
        <v>3690</v>
      </c>
      <c r="N79" s="96" t="s">
        <v>5704</v>
      </c>
      <c r="O79" s="96" t="s">
        <v>3539</v>
      </c>
      <c r="P79" s="95" t="b">
        <v>1</v>
      </c>
      <c r="Q79" s="95" t="s">
        <v>3537</v>
      </c>
      <c r="R79" s="95">
        <v>1</v>
      </c>
      <c r="S79" s="95">
        <v>4</v>
      </c>
      <c r="T79" s="95">
        <v>159</v>
      </c>
      <c r="U79" s="95">
        <v>215</v>
      </c>
      <c r="V79" s="95" t="s">
        <v>3535</v>
      </c>
      <c r="W79" s="95">
        <v>0.5</v>
      </c>
      <c r="X79" s="81">
        <v>10</v>
      </c>
      <c r="Y79" s="81">
        <v>34</v>
      </c>
      <c r="Z79" s="81" t="s">
        <v>2384</v>
      </c>
      <c r="AA79" s="81">
        <v>42</v>
      </c>
      <c r="AB79" s="95" t="str">
        <f t="shared" si="5"/>
        <v>DA_WPN_SW_OnyxSword_base</v>
      </c>
      <c r="AC79" s="90" t="str">
        <f t="shared" si="6"/>
        <v>/Game/DungeonSiege/Items/Weapons/Sword/DA_WPN_SW_OnyxSword_base</v>
      </c>
      <c r="AD79" s="97" t="str">
        <f t="shared" si="7"/>
        <v>Texture2D'/Game/DungeonSiege/art/bitmaps/gui/in_game/inventory/weapons/sword/b_gui_ig_i_w_swd_087.b_gui_ig_i_w_swd_087'</v>
      </c>
      <c r="AE79" s="97" t="str">
        <f t="shared" si="8"/>
        <v>Texture2D'/Game/DungeonSiege/art/bitmaps/gui/in_game/inventory/icons/b_gui_ig_i_ic_swd_007.b_gui_ig_i_ic_swd_007'</v>
      </c>
      <c r="AF79" s="97" t="str">
        <f t="shared" si="9"/>
        <v>StaticMesh'/Game/DungeonSiege/art/meshes/weapons/sword/m_w_swd_054_AspMesh.m_w_swd_054_AspMesh'</v>
      </c>
    </row>
    <row r="80" spans="1:32" ht="15.75" thickBot="1" x14ac:dyDescent="0.3">
      <c r="A80" s="95">
        <v>78</v>
      </c>
      <c r="B80" s="95">
        <v>78</v>
      </c>
      <c r="C80" s="95">
        <f>Items!B$27+B80</f>
        <v>94371918</v>
      </c>
      <c r="D80" s="95" t="s">
        <v>3479</v>
      </c>
      <c r="E80" s="95" t="s">
        <v>3566</v>
      </c>
      <c r="F80" s="95" t="s">
        <v>3525</v>
      </c>
      <c r="G80" s="95" t="s">
        <v>3764</v>
      </c>
      <c r="H80" s="95" t="s">
        <v>3527</v>
      </c>
      <c r="I80" s="95"/>
      <c r="J80" s="95"/>
      <c r="K80" s="95" t="b">
        <v>1</v>
      </c>
      <c r="L80" s="95" t="b">
        <v>1</v>
      </c>
      <c r="M80" s="95" t="s">
        <v>3691</v>
      </c>
      <c r="N80" s="96" t="s">
        <v>3692</v>
      </c>
      <c r="O80" s="96" t="s">
        <v>3584</v>
      </c>
      <c r="P80" s="95" t="b">
        <v>1</v>
      </c>
      <c r="Q80" s="95"/>
      <c r="R80" s="95">
        <v>1</v>
      </c>
      <c r="S80" s="95">
        <v>3</v>
      </c>
      <c r="T80" s="95">
        <v>13</v>
      </c>
      <c r="U80" s="95">
        <v>35</v>
      </c>
      <c r="V80" s="95" t="s">
        <v>3536</v>
      </c>
      <c r="W80" s="95">
        <v>0.5</v>
      </c>
      <c r="X80" s="81">
        <v>3</v>
      </c>
      <c r="Y80" s="81">
        <v>14</v>
      </c>
      <c r="Z80" s="81" t="s">
        <v>2384</v>
      </c>
      <c r="AA80" s="81">
        <v>14</v>
      </c>
      <c r="AB80" s="95" t="str">
        <f t="shared" si="5"/>
        <v>DA_WPN_SW_PainGladius_base</v>
      </c>
      <c r="AC80" s="90" t="str">
        <f t="shared" si="6"/>
        <v>/Game/DungeonSiege/Items/Weapons/Sword/DA_WPN_SW_PainGladius_base</v>
      </c>
      <c r="AD80" s="97" t="str">
        <f t="shared" si="7"/>
        <v>Texture2D'/Game/DungeonSiege/art/bitmaps/gui/in_game/inventory/weapons/sword/b_gui_ig_i_w_swd_101.b_gui_ig_i_w_swd_101'</v>
      </c>
      <c r="AE80" s="97" t="str">
        <f t="shared" si="8"/>
        <v>Texture2D'/Game/DungeonSiege/art/bitmaps/gui/in_game/inventory/icons/b_gui_ig_i_ic_swd_001.b_gui_ig_i_ic_swd_001'</v>
      </c>
      <c r="AF80" s="97" t="str">
        <f t="shared" si="9"/>
        <v>StaticMesh'/Game/DungeonSiege/art/meshes/weapons/sword/m_w_swd_012_AspMesh.m_w_swd_012_AspMesh'</v>
      </c>
    </row>
    <row r="81" spans="1:32" ht="15.75" thickBot="1" x14ac:dyDescent="0.3">
      <c r="A81" s="95">
        <v>79</v>
      </c>
      <c r="B81" s="95">
        <v>79</v>
      </c>
      <c r="C81" s="95">
        <f>Items!B$27+B81</f>
        <v>94371919</v>
      </c>
      <c r="D81" s="95" t="s">
        <v>3480</v>
      </c>
      <c r="E81" s="95" t="s">
        <v>3567</v>
      </c>
      <c r="F81" s="95" t="s">
        <v>3525</v>
      </c>
      <c r="G81" s="95" t="s">
        <v>3788</v>
      </c>
      <c r="H81" s="95" t="s">
        <v>3527</v>
      </c>
      <c r="I81" s="95"/>
      <c r="J81" s="95"/>
      <c r="K81" s="95"/>
      <c r="L81" s="95" t="b">
        <v>1</v>
      </c>
      <c r="M81" s="95" t="s">
        <v>3693</v>
      </c>
      <c r="N81" s="96" t="s">
        <v>3694</v>
      </c>
      <c r="O81" s="96" t="s">
        <v>3598</v>
      </c>
      <c r="P81" s="95" t="b">
        <v>1</v>
      </c>
      <c r="Q81" s="95" t="s">
        <v>3537</v>
      </c>
      <c r="R81" s="95">
        <v>1</v>
      </c>
      <c r="S81" s="95">
        <v>4</v>
      </c>
      <c r="T81" s="95">
        <v>216</v>
      </c>
      <c r="U81" s="95">
        <v>292</v>
      </c>
      <c r="V81" s="95" t="s">
        <v>3536</v>
      </c>
      <c r="W81" s="95">
        <v>0.5</v>
      </c>
      <c r="X81" s="81">
        <v>28</v>
      </c>
      <c r="Y81" s="81">
        <v>69</v>
      </c>
      <c r="Z81" s="81" t="s">
        <v>2384</v>
      </c>
      <c r="AA81" s="81">
        <v>66</v>
      </c>
      <c r="AB81" s="95" t="str">
        <f t="shared" si="5"/>
        <v>DA_WPN_SW_PhoenixSword_base</v>
      </c>
      <c r="AC81" s="90" t="str">
        <f t="shared" si="6"/>
        <v>/Game/DungeonSiege/Items/Weapons/Sword/DA_WPN_SW_PhoenixSword_base</v>
      </c>
      <c r="AD81" s="97" t="str">
        <f t="shared" si="7"/>
        <v>Texture2D'/Game/DungeonSiege/art/bitmaps/gui/in_game/inventory/weapons/sword/b_gui_ig_i_w_swd_088.b_gui_ig_i_w_swd_088'</v>
      </c>
      <c r="AE81" s="97" t="str">
        <f t="shared" si="8"/>
        <v>Texture2D'/Game/DungeonSiege/art/bitmaps/gui/in_game/inventory/icons/b_gui_ig_i_ic_swd_005.b_gui_ig_i_ic_swd_005'</v>
      </c>
      <c r="AF81" s="97" t="str">
        <f t="shared" si="9"/>
        <v>StaticMesh'/Game/DungeonSiege/art/meshes/weapons/sword/m_w_swd_055_AspMesh.m_w_swd_055_AspMesh'</v>
      </c>
    </row>
    <row r="82" spans="1:32" ht="15.75" thickBot="1" x14ac:dyDescent="0.3">
      <c r="A82" s="95">
        <v>80</v>
      </c>
      <c r="B82" s="95">
        <v>80</v>
      </c>
      <c r="C82" s="95">
        <f>Items!B$27+B82</f>
        <v>94371920</v>
      </c>
      <c r="D82" s="95" t="s">
        <v>3481</v>
      </c>
      <c r="E82" s="95" t="s">
        <v>3481</v>
      </c>
      <c r="F82" s="95" t="s">
        <v>3525</v>
      </c>
      <c r="G82" s="95" t="s">
        <v>3763</v>
      </c>
      <c r="H82" s="95"/>
      <c r="I82" s="95" t="b">
        <v>1</v>
      </c>
      <c r="J82" s="95"/>
      <c r="K82" s="95"/>
      <c r="L82" s="95"/>
      <c r="M82" s="95" t="s">
        <v>3695</v>
      </c>
      <c r="N82" s="96" t="s">
        <v>3636</v>
      </c>
      <c r="O82" s="96" t="s">
        <v>3586</v>
      </c>
      <c r="P82" s="95" t="b">
        <v>0</v>
      </c>
      <c r="Q82" s="95"/>
      <c r="R82" s="95">
        <v>1</v>
      </c>
      <c r="S82" s="95">
        <v>3</v>
      </c>
      <c r="T82" s="95">
        <v>48</v>
      </c>
      <c r="U82" s="95">
        <v>72</v>
      </c>
      <c r="V82" s="95" t="s">
        <v>3536</v>
      </c>
      <c r="W82" s="95">
        <v>0.5</v>
      </c>
      <c r="X82" s="81">
        <v>0</v>
      </c>
      <c r="Y82" s="81">
        <v>0</v>
      </c>
      <c r="Z82" s="81" t="s">
        <v>2384</v>
      </c>
      <c r="AA82" s="81">
        <v>23</v>
      </c>
      <c r="AB82" s="95" t="str">
        <f t="shared" si="5"/>
        <v>DA_WPN_SW_PittedLongSword</v>
      </c>
      <c r="AC82" s="90" t="str">
        <f t="shared" si="6"/>
        <v>/Game/DungeonSiege/Items/Weapons/Sword/DA_WPN_SW_PittedLongSword</v>
      </c>
      <c r="AD82" s="97" t="str">
        <f t="shared" si="7"/>
        <v>Texture2D'/Game/DungeonSiege/art/bitmaps/gui/in_game/inventory/weapons/sword/b_gui_ig_i_w_swd_019.b_gui_ig_i_w_swd_019'</v>
      </c>
      <c r="AE82" s="97" t="str">
        <f t="shared" si="8"/>
        <v>Texture2D'/Game/DungeonSiege/art/bitmaps/gui/in_game/inventory/icons/b_gui_ig_i_ic_swd_002.b_gui_ig_i_ic_swd_002'</v>
      </c>
      <c r="AF82" s="97" t="str">
        <f t="shared" si="9"/>
        <v>StaticMesh'/Game/DungeonSiege/art/meshes/weapons/sword/m_w_swd_013_AspMesh.m_w_swd_013_AspMesh'</v>
      </c>
    </row>
    <row r="83" spans="1:32" ht="15.75" thickBot="1" x14ac:dyDescent="0.3">
      <c r="A83" s="95">
        <v>81</v>
      </c>
      <c r="B83" s="95">
        <v>81</v>
      </c>
      <c r="C83" s="95">
        <f>Items!B$27+B83</f>
        <v>94371921</v>
      </c>
      <c r="D83" s="95" t="s">
        <v>3482</v>
      </c>
      <c r="E83" s="95" t="s">
        <v>3482</v>
      </c>
      <c r="F83" s="95" t="s">
        <v>3525</v>
      </c>
      <c r="G83" s="95" t="s">
        <v>3763</v>
      </c>
      <c r="H83" s="95"/>
      <c r="I83" s="95" t="b">
        <v>1</v>
      </c>
      <c r="J83" s="95"/>
      <c r="K83" s="95"/>
      <c r="L83" s="95"/>
      <c r="M83" s="95" t="s">
        <v>3696</v>
      </c>
      <c r="N83" s="96" t="s">
        <v>3697</v>
      </c>
      <c r="O83" s="96" t="s">
        <v>3584</v>
      </c>
      <c r="P83" s="95" t="b">
        <v>0</v>
      </c>
      <c r="Q83" s="95"/>
      <c r="R83" s="95">
        <v>1</v>
      </c>
      <c r="S83" s="95">
        <v>3</v>
      </c>
      <c r="T83" s="95">
        <v>23</v>
      </c>
      <c r="U83" s="95">
        <v>43</v>
      </c>
      <c r="V83" s="95" t="s">
        <v>3536</v>
      </c>
      <c r="W83" s="95">
        <v>0.5</v>
      </c>
      <c r="X83" s="81">
        <v>0</v>
      </c>
      <c r="Y83" s="81">
        <v>0</v>
      </c>
      <c r="Z83" s="81" t="s">
        <v>2384</v>
      </c>
      <c r="AA83" s="81">
        <v>17</v>
      </c>
      <c r="AB83" s="95" t="str">
        <f t="shared" si="5"/>
        <v>DA_WPN_SW_PittedShortSteel</v>
      </c>
      <c r="AC83" s="90" t="str">
        <f t="shared" si="6"/>
        <v>/Game/DungeonSiege/Items/Weapons/Sword/DA_WPN_SW_PittedShortSteel</v>
      </c>
      <c r="AD83" s="97" t="str">
        <f t="shared" si="7"/>
        <v>Texture2D'/Game/DungeonSiege/art/bitmaps/gui/in_game/inventory/weapons/sword/b_gui_ig_i_w_swd_008.b_gui_ig_i_w_swd_008'</v>
      </c>
      <c r="AE83" s="97" t="str">
        <f t="shared" si="8"/>
        <v>Texture2D'/Game/DungeonSiege/art/bitmaps/gui/in_game/inventory/icons/b_gui_ig_i_ic_swd_001.b_gui_ig_i_ic_swd_001'</v>
      </c>
      <c r="AF83" s="97" t="str">
        <f t="shared" si="9"/>
        <v>StaticMesh'/Game/DungeonSiege/art/meshes/weapons/sword/m_w_swd_013_AspMesh.m_w_swd_013_AspMesh'</v>
      </c>
    </row>
    <row r="84" spans="1:32" ht="15.75" thickBot="1" x14ac:dyDescent="0.3">
      <c r="A84" s="95">
        <v>82</v>
      </c>
      <c r="B84" s="95">
        <v>82</v>
      </c>
      <c r="C84" s="95">
        <f>Items!B$27+B84</f>
        <v>94371922</v>
      </c>
      <c r="D84" s="95" t="s">
        <v>3483</v>
      </c>
      <c r="E84" s="95" t="s">
        <v>3568</v>
      </c>
      <c r="F84" s="95" t="s">
        <v>3525</v>
      </c>
      <c r="G84" s="95" t="s">
        <v>3789</v>
      </c>
      <c r="H84" s="95"/>
      <c r="I84" s="95" t="b">
        <v>1</v>
      </c>
      <c r="J84" s="95"/>
      <c r="K84" s="95"/>
      <c r="L84" s="95"/>
      <c r="M84" s="95" t="s">
        <v>3698</v>
      </c>
      <c r="N84" s="96" t="s">
        <v>5705</v>
      </c>
      <c r="O84" s="96" t="s">
        <v>3662</v>
      </c>
      <c r="P84" s="95" t="b">
        <v>0</v>
      </c>
      <c r="Q84" s="95"/>
      <c r="R84" s="95">
        <v>1</v>
      </c>
      <c r="S84" s="95">
        <v>3</v>
      </c>
      <c r="T84" s="95">
        <v>52</v>
      </c>
      <c r="U84" s="95">
        <v>74</v>
      </c>
      <c r="V84" s="95" t="s">
        <v>3536</v>
      </c>
      <c r="W84" s="95">
        <v>0.5</v>
      </c>
      <c r="X84" s="81">
        <v>1</v>
      </c>
      <c r="Y84" s="81">
        <v>9</v>
      </c>
      <c r="Z84" s="81" t="s">
        <v>2384</v>
      </c>
      <c r="AA84" s="81">
        <v>24</v>
      </c>
      <c r="AB84" s="95" t="str">
        <f t="shared" si="5"/>
        <v>DA_WPN_SW_Scimitar_c_fin</v>
      </c>
      <c r="AC84" s="90" t="str">
        <f t="shared" si="6"/>
        <v>/Game/DungeonSiege/Items/Weapons/Sword/DA_WPN_SW_Scimitar_c_fin</v>
      </c>
      <c r="AD84" s="97" t="str">
        <f t="shared" si="7"/>
        <v>Texture2D'/Game/DungeonSiege/art/bitmaps/gui/in_game/inventory/weapons/sword/b_gui_ig_i_w_swd_064.b_gui_ig_i_w_swd_064'</v>
      </c>
      <c r="AE84" s="97" t="str">
        <f t="shared" si="8"/>
        <v>Texture2D'/Game/DungeonSiege/art/bitmaps/gui/in_game/inventory/icons/b_gui_ig_i_ic_swd_006.b_gui_ig_i_ic_swd_006'</v>
      </c>
      <c r="AF84" s="97" t="str">
        <f t="shared" si="9"/>
        <v>StaticMesh'/Game/DungeonSiege/art/meshes/weapons/sword/m_w_swd_033_AspMesh.m_w_swd_033_AspMesh'</v>
      </c>
    </row>
    <row r="85" spans="1:32" ht="15.75" thickBot="1" x14ac:dyDescent="0.3">
      <c r="A85" s="95">
        <v>83</v>
      </c>
      <c r="B85" s="95">
        <v>83</v>
      </c>
      <c r="C85" s="95">
        <f>Items!B$27+B85</f>
        <v>94371923</v>
      </c>
      <c r="D85" s="95" t="s">
        <v>3483</v>
      </c>
      <c r="E85" s="95" t="s">
        <v>3568</v>
      </c>
      <c r="F85" s="95" t="s">
        <v>3525</v>
      </c>
      <c r="G85" s="95" t="s">
        <v>3774</v>
      </c>
      <c r="H85" s="95" t="s">
        <v>3531</v>
      </c>
      <c r="I85" s="95"/>
      <c r="J85" s="95" t="b">
        <v>1</v>
      </c>
      <c r="K85" s="95"/>
      <c r="L85" s="95"/>
      <c r="M85" s="95" t="s">
        <v>3841</v>
      </c>
      <c r="N85" s="96" t="s">
        <v>5706</v>
      </c>
      <c r="O85" s="96" t="s">
        <v>3662</v>
      </c>
      <c r="P85" s="95" t="b">
        <v>1</v>
      </c>
      <c r="Q85" s="95"/>
      <c r="R85" s="95">
        <v>1</v>
      </c>
      <c r="S85" s="95">
        <v>3</v>
      </c>
      <c r="T85" s="95">
        <v>52</v>
      </c>
      <c r="U85" s="95">
        <v>74</v>
      </c>
      <c r="V85" s="95" t="s">
        <v>3536</v>
      </c>
      <c r="W85" s="95">
        <v>0.5</v>
      </c>
      <c r="X85" s="81">
        <v>1</v>
      </c>
      <c r="Y85" s="81">
        <v>9</v>
      </c>
      <c r="Z85" s="81" t="s">
        <v>2384</v>
      </c>
      <c r="AA85" s="81">
        <v>24</v>
      </c>
      <c r="AB85" s="95" t="str">
        <f t="shared" si="5"/>
        <v>DA_WPN_SW_Scimitar_c_fin</v>
      </c>
      <c r="AC85" s="90" t="str">
        <f t="shared" si="6"/>
        <v>/Game/DungeonSiege/Items/Weapons/Sword/DA_WPN_SW_Scimitar_c_fin</v>
      </c>
      <c r="AD85" s="97" t="str">
        <f t="shared" si="7"/>
        <v>Texture2D'/Game/DungeonSiege/art/bitmaps/gui/in_game/inventory/weapons/sword/b_gui_ig_i_w_swd_065.b_gui_ig_i_w_swd_065'</v>
      </c>
      <c r="AE85" s="97" t="str">
        <f t="shared" si="8"/>
        <v>Texture2D'/Game/DungeonSiege/art/bitmaps/gui/in_game/inventory/icons/b_gui_ig_i_ic_swd_006.b_gui_ig_i_ic_swd_006'</v>
      </c>
      <c r="AF85" s="97" t="str">
        <f t="shared" si="9"/>
        <v>StaticMesh'/Game/DungeonSiege/art/meshes/weapons/sword/m_w_swd_032_AspMesh.m_w_swd_032_AspMesh'</v>
      </c>
    </row>
    <row r="86" spans="1:32" ht="15.75" thickBot="1" x14ac:dyDescent="0.3">
      <c r="A86" s="95">
        <v>84</v>
      </c>
      <c r="B86" s="95">
        <v>84</v>
      </c>
      <c r="C86" s="95">
        <f>Items!B$27+B86</f>
        <v>94371924</v>
      </c>
      <c r="D86" s="95" t="s">
        <v>3484</v>
      </c>
      <c r="E86" s="95" t="s">
        <v>3568</v>
      </c>
      <c r="F86" s="95" t="s">
        <v>3525</v>
      </c>
      <c r="G86" s="95" t="s">
        <v>3775</v>
      </c>
      <c r="H86" s="95" t="s">
        <v>3529</v>
      </c>
      <c r="I86" s="95"/>
      <c r="J86" s="95" t="b">
        <v>1</v>
      </c>
      <c r="K86" s="95"/>
      <c r="L86" s="95"/>
      <c r="M86" s="95" t="s">
        <v>3842</v>
      </c>
      <c r="N86" s="96" t="s">
        <v>5707</v>
      </c>
      <c r="O86" s="96" t="s">
        <v>3662</v>
      </c>
      <c r="P86" s="95" t="b">
        <v>1</v>
      </c>
      <c r="Q86" s="95"/>
      <c r="R86" s="95">
        <v>1</v>
      </c>
      <c r="S86" s="95">
        <v>3</v>
      </c>
      <c r="T86" s="95">
        <v>118</v>
      </c>
      <c r="U86" s="95">
        <v>166</v>
      </c>
      <c r="V86" s="95" t="s">
        <v>3536</v>
      </c>
      <c r="W86" s="95">
        <v>0.5</v>
      </c>
      <c r="X86" s="81">
        <v>28</v>
      </c>
      <c r="Y86" s="81">
        <v>40</v>
      </c>
      <c r="Z86" s="81" t="s">
        <v>2384</v>
      </c>
      <c r="AA86" s="81">
        <v>42</v>
      </c>
      <c r="AB86" s="95" t="str">
        <f t="shared" si="5"/>
        <v>DA_WPN_SW_Scimitar_c_mag</v>
      </c>
      <c r="AC86" s="90" t="str">
        <f t="shared" si="6"/>
        <v>/Game/DungeonSiege/Items/Weapons/Sword/DA_WPN_SW_Scimitar_c_mag</v>
      </c>
      <c r="AD86" s="97" t="str">
        <f t="shared" si="7"/>
        <v>Texture2D'/Game/DungeonSiege/art/bitmaps/gui/in_game/inventory/weapons/sword/b_gui_ig_i_w_swd_067.b_gui_ig_i_w_swd_067'</v>
      </c>
      <c r="AE86" s="97" t="str">
        <f t="shared" si="8"/>
        <v>Texture2D'/Game/DungeonSiege/art/bitmaps/gui/in_game/inventory/icons/b_gui_ig_i_ic_swd_006.b_gui_ig_i_ic_swd_006'</v>
      </c>
      <c r="AF86" s="97" t="str">
        <f t="shared" si="9"/>
        <v>StaticMesh'/Game/DungeonSiege/art/meshes/weapons/sword/m_w_swd_036_AspMesh.m_w_swd_036_AspMesh'</v>
      </c>
    </row>
    <row r="87" spans="1:32" ht="15.75" thickBot="1" x14ac:dyDescent="0.3">
      <c r="A87" s="95">
        <v>85</v>
      </c>
      <c r="B87" s="95">
        <v>85</v>
      </c>
      <c r="C87" s="95">
        <f>Items!B$27+B87</f>
        <v>94371925</v>
      </c>
      <c r="D87" s="95" t="s">
        <v>3485</v>
      </c>
      <c r="E87" s="95" t="s">
        <v>3568</v>
      </c>
      <c r="F87" s="95" t="s">
        <v>3525</v>
      </c>
      <c r="G87" s="95" t="s">
        <v>3776</v>
      </c>
      <c r="H87" s="95" t="s">
        <v>3530</v>
      </c>
      <c r="I87" s="95"/>
      <c r="J87" s="95" t="b">
        <v>1</v>
      </c>
      <c r="K87" s="95"/>
      <c r="L87" s="95"/>
      <c r="M87" s="95" t="s">
        <v>3843</v>
      </c>
      <c r="N87" s="96" t="s">
        <v>5708</v>
      </c>
      <c r="O87" s="96" t="s">
        <v>3662</v>
      </c>
      <c r="P87" s="95" t="b">
        <v>1</v>
      </c>
      <c r="Q87" s="95"/>
      <c r="R87" s="95">
        <v>1</v>
      </c>
      <c r="S87" s="95">
        <v>3</v>
      </c>
      <c r="T87" s="95">
        <v>84</v>
      </c>
      <c r="U87" s="95">
        <v>118</v>
      </c>
      <c r="V87" s="95" t="s">
        <v>3536</v>
      </c>
      <c r="W87" s="95">
        <v>0.5</v>
      </c>
      <c r="X87" s="81">
        <v>14</v>
      </c>
      <c r="Y87" s="81">
        <v>28</v>
      </c>
      <c r="Z87" s="81" t="s">
        <v>2384</v>
      </c>
      <c r="AA87" s="81">
        <v>33</v>
      </c>
      <c r="AB87" s="95" t="str">
        <f t="shared" si="5"/>
        <v>DA_WPN_SW_Scimitar_c_str</v>
      </c>
      <c r="AC87" s="90" t="str">
        <f t="shared" si="6"/>
        <v>/Game/DungeonSiege/Items/Weapons/Sword/DA_WPN_SW_Scimitar_c_str</v>
      </c>
      <c r="AD87" s="97" t="str">
        <f t="shared" si="7"/>
        <v>Texture2D'/Game/DungeonSiege/art/bitmaps/gui/in_game/inventory/weapons/sword/b_gui_ig_i_w_swd_066.b_gui_ig_i_w_swd_066'</v>
      </c>
      <c r="AE87" s="97" t="str">
        <f t="shared" si="8"/>
        <v>Texture2D'/Game/DungeonSiege/art/bitmaps/gui/in_game/inventory/icons/b_gui_ig_i_ic_swd_006.b_gui_ig_i_ic_swd_006'</v>
      </c>
      <c r="AF87" s="97" t="str">
        <f t="shared" si="9"/>
        <v>StaticMesh'/Game/DungeonSiege/art/meshes/weapons/sword/m_w_swd_034_AspMesh.m_w_swd_034_AspMesh'</v>
      </c>
    </row>
    <row r="88" spans="1:32" ht="15.75" thickBot="1" x14ac:dyDescent="0.3">
      <c r="A88" s="95">
        <v>86</v>
      </c>
      <c r="B88" s="95">
        <v>86</v>
      </c>
      <c r="C88" s="95">
        <f>Items!B$27+B88</f>
        <v>94371926</v>
      </c>
      <c r="D88" s="95" t="s">
        <v>3486</v>
      </c>
      <c r="E88" s="95" t="s">
        <v>3486</v>
      </c>
      <c r="F88" s="95" t="s">
        <v>3525</v>
      </c>
      <c r="G88" s="95" t="s">
        <v>3790</v>
      </c>
      <c r="H88" s="95"/>
      <c r="I88" s="95" t="b">
        <v>1</v>
      </c>
      <c r="J88" s="95"/>
      <c r="K88" s="95"/>
      <c r="L88" s="95"/>
      <c r="M88" s="95" t="s">
        <v>3721</v>
      </c>
      <c r="N88" s="96" t="s">
        <v>5709</v>
      </c>
      <c r="O88" s="96" t="s">
        <v>5710</v>
      </c>
      <c r="P88" s="95" t="b">
        <v>0</v>
      </c>
      <c r="Q88" s="95"/>
      <c r="R88" s="95">
        <v>1</v>
      </c>
      <c r="S88" s="95">
        <v>4</v>
      </c>
      <c r="T88" s="95">
        <v>160</v>
      </c>
      <c r="U88" s="95">
        <v>195</v>
      </c>
      <c r="V88" s="95" t="s">
        <v>3536</v>
      </c>
      <c r="W88" s="95">
        <v>0.5</v>
      </c>
      <c r="X88" s="81">
        <v>0</v>
      </c>
      <c r="Y88" s="81">
        <v>0</v>
      </c>
      <c r="Z88" s="81" t="s">
        <v>2384</v>
      </c>
      <c r="AA88" s="81">
        <v>50</v>
      </c>
      <c r="AB88" s="95" t="str">
        <f t="shared" si="5"/>
        <v>DA_WPN_SW_SeckEliteSword</v>
      </c>
      <c r="AC88" s="90" t="str">
        <f t="shared" si="6"/>
        <v>/Game/DungeonSiege/Items/Weapons/Sword/DA_WPN_SW_SeckEliteSword</v>
      </c>
      <c r="AD88" s="97" t="str">
        <f t="shared" si="7"/>
        <v>Texture2D'/Game/DungeonSiege/art/bitmaps/gui/in_game/inventory/weapons/sword/b_gui_ig_i_w_swd_081.b_gui_ig_i_w_swd_081'</v>
      </c>
      <c r="AE88" s="97" t="str">
        <f t="shared" si="8"/>
        <v>Texture2D'/Game/DungeonSiege/art/bitmaps/gui/in_game/inventory/icons/b_gui_ig_i_ic_swd_009.b_gui_ig_i_ic_swd_009'</v>
      </c>
      <c r="AF88" s="97" t="str">
        <f t="shared" si="9"/>
        <v>StaticMesh'/Game/DungeonSiege/art/meshes/weapons/sword/m_w_swd_049_AspMesh.m_w_swd_049_AspMesh'</v>
      </c>
    </row>
    <row r="89" spans="1:32" ht="15.75" thickBot="1" x14ac:dyDescent="0.3">
      <c r="A89" s="95">
        <v>87</v>
      </c>
      <c r="B89" s="95">
        <v>87</v>
      </c>
      <c r="C89" s="95">
        <f>Items!B$27+B89</f>
        <v>94371927</v>
      </c>
      <c r="D89" s="95" t="s">
        <v>3487</v>
      </c>
      <c r="E89" s="95" t="s">
        <v>3487</v>
      </c>
      <c r="F89" s="95" t="s">
        <v>3525</v>
      </c>
      <c r="G89" s="95" t="s">
        <v>3790</v>
      </c>
      <c r="H89" s="95"/>
      <c r="I89" s="95" t="b">
        <v>1</v>
      </c>
      <c r="J89" s="95"/>
      <c r="K89" s="95"/>
      <c r="L89" s="95"/>
      <c r="M89" s="95" t="s">
        <v>3720</v>
      </c>
      <c r="N89" s="96" t="s">
        <v>5711</v>
      </c>
      <c r="O89" s="96" t="s">
        <v>3598</v>
      </c>
      <c r="P89" s="95" t="b">
        <v>0</v>
      </c>
      <c r="Q89" s="95"/>
      <c r="R89" s="95">
        <v>1</v>
      </c>
      <c r="S89" s="95">
        <v>4</v>
      </c>
      <c r="T89" s="95">
        <v>135</v>
      </c>
      <c r="U89" s="95">
        <v>165</v>
      </c>
      <c r="V89" s="95" t="s">
        <v>3536</v>
      </c>
      <c r="W89" s="95">
        <v>0.5</v>
      </c>
      <c r="X89" s="81">
        <v>0</v>
      </c>
      <c r="Y89" s="81">
        <v>0</v>
      </c>
      <c r="Z89" s="81" t="s">
        <v>2384</v>
      </c>
      <c r="AA89" s="81">
        <v>44</v>
      </c>
      <c r="AB89" s="95" t="str">
        <f t="shared" si="5"/>
        <v>DA_WPN_SW_SeckSword</v>
      </c>
      <c r="AC89" s="90" t="str">
        <f t="shared" si="6"/>
        <v>/Game/DungeonSiege/Items/Weapons/Sword/DA_WPN_SW_SeckSword</v>
      </c>
      <c r="AD89" s="97" t="str">
        <f t="shared" si="7"/>
        <v>Texture2D'/Game/DungeonSiege/art/bitmaps/gui/in_game/inventory/weapons/sword/b_gui_ig_i_w_swd_082.b_gui_ig_i_w_swd_082'</v>
      </c>
      <c r="AE89" s="97" t="str">
        <f t="shared" si="8"/>
        <v>Texture2D'/Game/DungeonSiege/art/bitmaps/gui/in_game/inventory/icons/b_gui_ig_i_ic_swd_005.b_gui_ig_i_ic_swd_005'</v>
      </c>
      <c r="AF89" s="97" t="str">
        <f t="shared" si="9"/>
        <v>StaticMesh'/Game/DungeonSiege/art/meshes/weapons/sword/m_w_swd_049_AspMesh.m_w_swd_049_AspMesh'</v>
      </c>
    </row>
    <row r="90" spans="1:32" ht="23.25" thickBot="1" x14ac:dyDescent="0.3">
      <c r="A90" s="95">
        <v>88</v>
      </c>
      <c r="B90" s="95">
        <v>88</v>
      </c>
      <c r="C90" s="95">
        <f>Items!B$27+B90</f>
        <v>94371928</v>
      </c>
      <c r="D90" s="95" t="s">
        <v>3488</v>
      </c>
      <c r="E90" s="95" t="s">
        <v>3569</v>
      </c>
      <c r="F90" s="95" t="s">
        <v>3524</v>
      </c>
      <c r="G90" s="95" t="s">
        <v>3791</v>
      </c>
      <c r="H90" s="95" t="s">
        <v>3527</v>
      </c>
      <c r="I90" s="95"/>
      <c r="J90" s="95"/>
      <c r="K90" s="95"/>
      <c r="L90" s="95" t="b">
        <v>1</v>
      </c>
      <c r="M90" s="95" t="s">
        <v>3719</v>
      </c>
      <c r="N90" s="96" t="s">
        <v>5712</v>
      </c>
      <c r="O90" s="96" t="s">
        <v>5713</v>
      </c>
      <c r="P90" s="95" t="b">
        <v>1</v>
      </c>
      <c r="Q90" s="95" t="s">
        <v>3537</v>
      </c>
      <c r="R90" s="95">
        <v>1</v>
      </c>
      <c r="S90" s="95">
        <v>4</v>
      </c>
      <c r="T90" s="95">
        <v>306</v>
      </c>
      <c r="U90" s="95">
        <v>414</v>
      </c>
      <c r="V90" s="95" t="s">
        <v>3535</v>
      </c>
      <c r="W90" s="95">
        <v>0.5</v>
      </c>
      <c r="X90" s="81">
        <v>31</v>
      </c>
      <c r="Y90" s="81">
        <v>77</v>
      </c>
      <c r="Z90" s="81" t="s">
        <v>2384</v>
      </c>
      <c r="AA90" s="81">
        <v>73</v>
      </c>
      <c r="AB90" s="95" t="str">
        <f t="shared" si="5"/>
        <v>DA_WPN_SW_SerratedSword_base</v>
      </c>
      <c r="AC90" s="90" t="str">
        <f t="shared" si="6"/>
        <v>/Game/DungeonSiege/Items/Weapons/Sword/DA_WPN_SW_SerratedSword_base</v>
      </c>
      <c r="AD90" s="97" t="str">
        <f t="shared" si="7"/>
        <v>Texture2D'/Game/DungeonSiege/art/bitmaps/gui/in_game/inventory/weapons/sword/b_gui_ig_i_w_swd_076.b_gui_ig_i_w_swd_076'</v>
      </c>
      <c r="AE90" s="97" t="str">
        <f t="shared" si="8"/>
        <v>Texture2D'/Game/DungeonSiege/art/bitmaps/gui/in_game/inventory/icons/b_gui_ig_i_ic_swd_010.b_gui_ig_i_ic_swd_010'</v>
      </c>
      <c r="AF90" s="97" t="str">
        <f t="shared" si="9"/>
        <v>StaticMesh'/Game/DungeonSiege/art/meshes/weapons/sword/m_w_swd_042_AspMesh.m_w_swd_042_AspMesh'</v>
      </c>
    </row>
    <row r="91" spans="1:32" ht="15.75" thickBot="1" x14ac:dyDescent="0.3">
      <c r="A91" s="95">
        <v>89</v>
      </c>
      <c r="B91" s="95">
        <v>89</v>
      </c>
      <c r="C91" s="95">
        <f>Items!B$27+B91</f>
        <v>94371929</v>
      </c>
      <c r="D91" s="95" t="s">
        <v>3489</v>
      </c>
      <c r="E91" s="95" t="s">
        <v>3570</v>
      </c>
      <c r="F91" s="95" t="s">
        <v>3525</v>
      </c>
      <c r="G91" s="95" t="s">
        <v>3784</v>
      </c>
      <c r="H91" s="95" t="s">
        <v>3527</v>
      </c>
      <c r="I91" s="95"/>
      <c r="J91" s="95"/>
      <c r="K91" s="95" t="b">
        <v>1</v>
      </c>
      <c r="L91" s="95" t="b">
        <v>1</v>
      </c>
      <c r="M91" s="95" t="s">
        <v>3718</v>
      </c>
      <c r="N91" s="96" t="s">
        <v>5714</v>
      </c>
      <c r="O91" s="96" t="s">
        <v>3584</v>
      </c>
      <c r="P91" s="95" t="b">
        <v>1</v>
      </c>
      <c r="Q91" s="95"/>
      <c r="R91" s="95">
        <v>1</v>
      </c>
      <c r="S91" s="95">
        <v>3</v>
      </c>
      <c r="T91" s="95">
        <v>33</v>
      </c>
      <c r="U91" s="95">
        <v>61</v>
      </c>
      <c r="V91" s="95" t="s">
        <v>3536</v>
      </c>
      <c r="W91" s="95">
        <v>0.5</v>
      </c>
      <c r="X91" s="81">
        <v>1</v>
      </c>
      <c r="Y91" s="81">
        <v>7</v>
      </c>
      <c r="Z91" s="81" t="s">
        <v>2384</v>
      </c>
      <c r="AA91" s="81">
        <v>18</v>
      </c>
      <c r="AB91" s="95" t="str">
        <f t="shared" si="5"/>
        <v>DA_WPN_SW_ShortImpaler_base</v>
      </c>
      <c r="AC91" s="90" t="str">
        <f t="shared" si="6"/>
        <v>/Game/DungeonSiege/Items/Weapons/Sword/DA_WPN_SW_ShortImpaler_base</v>
      </c>
      <c r="AD91" s="97" t="str">
        <f t="shared" si="7"/>
        <v>Texture2D'/Game/DungeonSiege/art/bitmaps/gui/in_game/inventory/weapons/sword/b_gui_ig_i_w_swd_103.b_gui_ig_i_w_swd_103'</v>
      </c>
      <c r="AE91" s="97" t="str">
        <f t="shared" si="8"/>
        <v>Texture2D'/Game/DungeonSiege/art/bitmaps/gui/in_game/inventory/icons/b_gui_ig_i_ic_swd_001.b_gui_ig_i_ic_swd_001'</v>
      </c>
      <c r="AF91" s="97" t="str">
        <f t="shared" si="9"/>
        <v>StaticMesh'/Game/DungeonSiege/art/meshes/weapons/sword/m_w_swd_015_AspMesh.m_w_swd_015_AspMesh'</v>
      </c>
    </row>
    <row r="92" spans="1:32" ht="15.75" thickBot="1" x14ac:dyDescent="0.3">
      <c r="A92" s="95">
        <v>90</v>
      </c>
      <c r="B92" s="95">
        <v>90</v>
      </c>
      <c r="C92" s="95">
        <f>Items!B$27+B92</f>
        <v>94371930</v>
      </c>
      <c r="D92" s="95" t="s">
        <v>3490</v>
      </c>
      <c r="E92" s="95" t="s">
        <v>3570</v>
      </c>
      <c r="F92" s="95" t="s">
        <v>3525</v>
      </c>
      <c r="G92" s="95" t="s">
        <v>3757</v>
      </c>
      <c r="H92" s="95" t="s">
        <v>3528</v>
      </c>
      <c r="I92" s="95"/>
      <c r="J92" s="95"/>
      <c r="K92" s="95" t="b">
        <v>1</v>
      </c>
      <c r="L92" s="95" t="b">
        <v>1</v>
      </c>
      <c r="M92" s="95" t="s">
        <v>3844</v>
      </c>
      <c r="N92" s="96" t="s">
        <v>5715</v>
      </c>
      <c r="O92" s="96" t="s">
        <v>3584</v>
      </c>
      <c r="P92" s="95" t="b">
        <v>1</v>
      </c>
      <c r="Q92" s="95"/>
      <c r="R92" s="95">
        <v>1</v>
      </c>
      <c r="S92" s="95">
        <v>2</v>
      </c>
      <c r="T92" s="95">
        <v>39</v>
      </c>
      <c r="U92" s="95">
        <v>73</v>
      </c>
      <c r="V92" s="95" t="s">
        <v>3536</v>
      </c>
      <c r="W92" s="95">
        <v>0.5</v>
      </c>
      <c r="X92" s="81">
        <v>4</v>
      </c>
      <c r="Y92" s="81">
        <v>11</v>
      </c>
      <c r="Z92" s="81" t="s">
        <v>2384</v>
      </c>
      <c r="AA92" s="81">
        <v>21</v>
      </c>
      <c r="AB92" s="95" t="str">
        <f t="shared" si="5"/>
        <v>DA_WPN_SW_ShortImpaler_o_avg</v>
      </c>
      <c r="AC92" s="90" t="str">
        <f t="shared" si="6"/>
        <v>/Game/DungeonSiege/Items/Weapons/Sword/DA_WPN_SW_ShortImpaler_o_avg</v>
      </c>
      <c r="AD92" s="97" t="str">
        <f t="shared" si="7"/>
        <v>Texture2D'/Game/DungeonSiege/art/bitmaps/gui/in_game/inventory/weapons/sword/b_gui_ig_i_w_swd_104.b_gui_ig_i_w_swd_104'</v>
      </c>
      <c r="AE92" s="97" t="str">
        <f t="shared" si="8"/>
        <v>Texture2D'/Game/DungeonSiege/art/bitmaps/gui/in_game/inventory/icons/b_gui_ig_i_ic_swd_001.b_gui_ig_i_ic_swd_001'</v>
      </c>
      <c r="AF92" s="97" t="str">
        <f t="shared" si="9"/>
        <v>StaticMesh'/Game/DungeonSiege/art/meshes/weapons/sword/m_w_swd_014_AspMesh.m_w_swd_014_AspMesh'</v>
      </c>
    </row>
    <row r="93" spans="1:32" ht="15.75" thickBot="1" x14ac:dyDescent="0.3">
      <c r="A93" s="95">
        <v>91</v>
      </c>
      <c r="B93" s="95">
        <v>91</v>
      </c>
      <c r="C93" s="95">
        <f>Items!B$27+B93</f>
        <v>94371931</v>
      </c>
      <c r="D93" s="95" t="s">
        <v>3491</v>
      </c>
      <c r="E93" s="95" t="s">
        <v>3570</v>
      </c>
      <c r="F93" s="95" t="s">
        <v>3525</v>
      </c>
      <c r="G93" s="95" t="s">
        <v>3778</v>
      </c>
      <c r="H93" s="95" t="s">
        <v>3532</v>
      </c>
      <c r="I93" s="95"/>
      <c r="J93" s="95"/>
      <c r="K93" s="95" t="b">
        <v>1</v>
      </c>
      <c r="L93" s="95" t="b">
        <v>1</v>
      </c>
      <c r="M93" s="95" t="s">
        <v>3845</v>
      </c>
      <c r="N93" s="96" t="s">
        <v>5716</v>
      </c>
      <c r="O93" s="96" t="s">
        <v>3584</v>
      </c>
      <c r="P93" s="95" t="b">
        <v>1</v>
      </c>
      <c r="Q93" s="95"/>
      <c r="R93" s="95">
        <v>1</v>
      </c>
      <c r="S93" s="95">
        <v>2</v>
      </c>
      <c r="T93" s="95">
        <v>47</v>
      </c>
      <c r="U93" s="95">
        <v>87</v>
      </c>
      <c r="V93" s="95" t="s">
        <v>3536</v>
      </c>
      <c r="W93" s="95">
        <v>0.5</v>
      </c>
      <c r="X93" s="81">
        <v>9</v>
      </c>
      <c r="Y93" s="81">
        <v>18</v>
      </c>
      <c r="Z93" s="81" t="s">
        <v>2384</v>
      </c>
      <c r="AA93" s="81">
        <v>24</v>
      </c>
      <c r="AB93" s="95" t="str">
        <f t="shared" si="5"/>
        <v>DA_WPN_SW_ShortImpaler_o_fin</v>
      </c>
      <c r="AC93" s="90" t="str">
        <f t="shared" si="6"/>
        <v>/Game/DungeonSiege/Items/Weapons/Sword/DA_WPN_SW_ShortImpaler_o_fin</v>
      </c>
      <c r="AD93" s="97" t="str">
        <f t="shared" si="7"/>
        <v>Texture2D'/Game/DungeonSiege/art/bitmaps/gui/in_game/inventory/weapons/sword/b_gui_ig_i_w_swd_105.b_gui_ig_i_w_swd_105'</v>
      </c>
      <c r="AE93" s="97" t="str">
        <f t="shared" si="8"/>
        <v>Texture2D'/Game/DungeonSiege/art/bitmaps/gui/in_game/inventory/icons/b_gui_ig_i_ic_swd_001.b_gui_ig_i_ic_swd_001'</v>
      </c>
      <c r="AF93" s="97" t="str">
        <f t="shared" si="9"/>
        <v>StaticMesh'/Game/DungeonSiege/art/meshes/weapons/sword/m_w_swd_016_AspMesh.m_w_swd_016_AspMesh'</v>
      </c>
    </row>
    <row r="94" spans="1:32" ht="15.75" thickBot="1" x14ac:dyDescent="0.3">
      <c r="A94" s="95">
        <v>92</v>
      </c>
      <c r="B94" s="95">
        <v>92</v>
      </c>
      <c r="C94" s="95">
        <f>Items!B$27+B94</f>
        <v>94371932</v>
      </c>
      <c r="D94" s="95" t="s">
        <v>3492</v>
      </c>
      <c r="E94" s="95" t="s">
        <v>3571</v>
      </c>
      <c r="F94" s="95" t="s">
        <v>3525</v>
      </c>
      <c r="G94" s="95" t="s">
        <v>3757</v>
      </c>
      <c r="H94" s="95" t="s">
        <v>3527</v>
      </c>
      <c r="I94" s="95" t="b">
        <v>1</v>
      </c>
      <c r="J94" s="95"/>
      <c r="K94" s="95"/>
      <c r="L94" s="95"/>
      <c r="M94" s="95" t="s">
        <v>3717</v>
      </c>
      <c r="N94" s="96" t="s">
        <v>5717</v>
      </c>
      <c r="O94" s="96" t="s">
        <v>3584</v>
      </c>
      <c r="P94" s="95" t="b">
        <v>0</v>
      </c>
      <c r="Q94" s="95"/>
      <c r="R94" s="95">
        <v>1</v>
      </c>
      <c r="S94" s="95">
        <v>3</v>
      </c>
      <c r="T94" s="95">
        <v>25</v>
      </c>
      <c r="U94" s="95">
        <v>47</v>
      </c>
      <c r="V94" s="95" t="s">
        <v>3536</v>
      </c>
      <c r="W94" s="95">
        <v>0.5</v>
      </c>
      <c r="X94" s="81">
        <v>0</v>
      </c>
      <c r="Y94" s="81">
        <v>0</v>
      </c>
      <c r="Z94" s="81" t="s">
        <v>2384</v>
      </c>
      <c r="AA94" s="81">
        <v>17</v>
      </c>
      <c r="AB94" s="95" t="str">
        <f t="shared" si="5"/>
        <v>DA_WPN_SW_ShortSteel_base</v>
      </c>
      <c r="AC94" s="90" t="str">
        <f t="shared" si="6"/>
        <v>/Game/DungeonSiege/Items/Weapons/Sword/DA_WPN_SW_ShortSteel_base</v>
      </c>
      <c r="AD94" s="97" t="str">
        <f t="shared" si="7"/>
        <v>Texture2D'/Game/DungeonSiege/art/bitmaps/gui/in_game/inventory/weapons/sword/b_gui_ig_i_w_swd_010.b_gui_ig_i_w_swd_010'</v>
      </c>
      <c r="AE94" s="97" t="str">
        <f t="shared" si="8"/>
        <v>Texture2D'/Game/DungeonSiege/art/bitmaps/gui/in_game/inventory/icons/b_gui_ig_i_ic_swd_001.b_gui_ig_i_ic_swd_001'</v>
      </c>
      <c r="AF94" s="97" t="str">
        <f t="shared" si="9"/>
        <v>StaticMesh'/Game/DungeonSiege/art/meshes/weapons/sword/m_w_swd_014_AspMesh.m_w_swd_014_AspMesh'</v>
      </c>
    </row>
    <row r="95" spans="1:32" ht="15.75" thickBot="1" x14ac:dyDescent="0.3">
      <c r="A95" s="95">
        <v>93</v>
      </c>
      <c r="B95" s="95">
        <v>93</v>
      </c>
      <c r="C95" s="95">
        <f>Items!B$27+B95</f>
        <v>94371933</v>
      </c>
      <c r="D95" s="95" t="s">
        <v>3493</v>
      </c>
      <c r="E95" s="95" t="s">
        <v>3571</v>
      </c>
      <c r="F95" s="95" t="s">
        <v>3525</v>
      </c>
      <c r="G95" s="95" t="s">
        <v>3784</v>
      </c>
      <c r="H95" s="95" t="s">
        <v>3531</v>
      </c>
      <c r="I95" s="95"/>
      <c r="J95" s="95" t="b">
        <v>1</v>
      </c>
      <c r="K95" s="95"/>
      <c r="L95" s="95"/>
      <c r="M95" s="95" t="s">
        <v>3846</v>
      </c>
      <c r="N95" s="96" t="s">
        <v>5718</v>
      </c>
      <c r="O95" s="96" t="s">
        <v>3584</v>
      </c>
      <c r="P95" s="95" t="b">
        <v>1</v>
      </c>
      <c r="Q95" s="95"/>
      <c r="R95" s="95">
        <v>1</v>
      </c>
      <c r="S95" s="95">
        <v>2</v>
      </c>
      <c r="T95" s="95">
        <v>30</v>
      </c>
      <c r="U95" s="95">
        <v>55</v>
      </c>
      <c r="V95" s="95" t="s">
        <v>3536</v>
      </c>
      <c r="W95" s="95">
        <v>0.5</v>
      </c>
      <c r="X95" s="81">
        <v>1</v>
      </c>
      <c r="Y95" s="81">
        <v>6</v>
      </c>
      <c r="Z95" s="81" t="s">
        <v>2384</v>
      </c>
      <c r="AA95" s="81">
        <v>18</v>
      </c>
      <c r="AB95" s="95" t="str">
        <f t="shared" si="5"/>
        <v>DA_WPN_SW_ShortSteel_c_fin</v>
      </c>
      <c r="AC95" s="90" t="str">
        <f t="shared" si="6"/>
        <v>/Game/DungeonSiege/Items/Weapons/Sword/DA_WPN_SW_ShortSteel_c_fin</v>
      </c>
      <c r="AD95" s="97" t="str">
        <f t="shared" si="7"/>
        <v>Texture2D'/Game/DungeonSiege/art/bitmaps/gui/in_game/inventory/weapons/sword/b_gui_ig_i_w_swd_092.b_gui_ig_i_w_swd_092'</v>
      </c>
      <c r="AE95" s="97" t="str">
        <f t="shared" si="8"/>
        <v>Texture2D'/Game/DungeonSiege/art/bitmaps/gui/in_game/inventory/icons/b_gui_ig_i_ic_swd_001.b_gui_ig_i_ic_swd_001'</v>
      </c>
      <c r="AF95" s="97" t="str">
        <f t="shared" si="9"/>
        <v>StaticMesh'/Game/DungeonSiege/art/meshes/weapons/sword/m_w_swd_015_AspMesh.m_w_swd_015_AspMesh'</v>
      </c>
    </row>
    <row r="96" spans="1:32" ht="15.75" thickBot="1" x14ac:dyDescent="0.3">
      <c r="A96" s="95">
        <v>94</v>
      </c>
      <c r="B96" s="95">
        <v>94</v>
      </c>
      <c r="C96" s="95">
        <f>Items!B$27+B96</f>
        <v>94371934</v>
      </c>
      <c r="D96" s="95" t="s">
        <v>3494</v>
      </c>
      <c r="E96" s="95" t="s">
        <v>3571</v>
      </c>
      <c r="F96" s="95" t="s">
        <v>3525</v>
      </c>
      <c r="G96" s="95" t="s">
        <v>3757</v>
      </c>
      <c r="H96" s="95" t="s">
        <v>3528</v>
      </c>
      <c r="I96" s="95"/>
      <c r="J96" s="95" t="b">
        <v>1</v>
      </c>
      <c r="K96" s="95"/>
      <c r="L96" s="95"/>
      <c r="M96" s="95" t="s">
        <v>3847</v>
      </c>
      <c r="N96" s="96" t="s">
        <v>5719</v>
      </c>
      <c r="O96" s="96" t="s">
        <v>3584</v>
      </c>
      <c r="P96" s="95" t="b">
        <v>1</v>
      </c>
      <c r="Q96" s="95"/>
      <c r="R96" s="95">
        <v>1</v>
      </c>
      <c r="S96" s="95">
        <v>2</v>
      </c>
      <c r="T96" s="95">
        <v>37</v>
      </c>
      <c r="U96" s="95">
        <v>68</v>
      </c>
      <c r="V96" s="95" t="s">
        <v>3536</v>
      </c>
      <c r="W96" s="95">
        <v>0.5</v>
      </c>
      <c r="X96" s="81">
        <v>4</v>
      </c>
      <c r="Y96" s="81">
        <v>10</v>
      </c>
      <c r="Z96" s="81" t="s">
        <v>2384</v>
      </c>
      <c r="AA96" s="81">
        <v>21</v>
      </c>
      <c r="AB96" s="95" t="str">
        <f t="shared" si="5"/>
        <v>DA_WPN_SW_ShortSteel_o_avg</v>
      </c>
      <c r="AC96" s="90" t="str">
        <f t="shared" si="6"/>
        <v>/Game/DungeonSiege/Items/Weapons/Sword/DA_WPN_SW_ShortSteel_o_avg</v>
      </c>
      <c r="AD96" s="97" t="str">
        <f t="shared" si="7"/>
        <v>Texture2D'/Game/DungeonSiege/art/bitmaps/gui/in_game/inventory/weapons/sword/b_gui_ig_i_w_swd_093.b_gui_ig_i_w_swd_093'</v>
      </c>
      <c r="AE96" s="97" t="str">
        <f t="shared" si="8"/>
        <v>Texture2D'/Game/DungeonSiege/art/bitmaps/gui/in_game/inventory/icons/b_gui_ig_i_ic_swd_001.b_gui_ig_i_ic_swd_001'</v>
      </c>
      <c r="AF96" s="97" t="str">
        <f t="shared" si="9"/>
        <v>StaticMesh'/Game/DungeonSiege/art/meshes/weapons/sword/m_w_swd_014_AspMesh.m_w_swd_014_AspMesh'</v>
      </c>
    </row>
    <row r="97" spans="1:32" ht="15.75" thickBot="1" x14ac:dyDescent="0.3">
      <c r="A97" s="95">
        <v>95</v>
      </c>
      <c r="B97" s="95">
        <v>95</v>
      </c>
      <c r="C97" s="95">
        <f>Items!B$27+B97</f>
        <v>94371935</v>
      </c>
      <c r="D97" s="95" t="s">
        <v>3495</v>
      </c>
      <c r="E97" s="95" t="s">
        <v>3571</v>
      </c>
      <c r="F97" s="95" t="s">
        <v>3525</v>
      </c>
      <c r="G97" s="95" t="s">
        <v>3778</v>
      </c>
      <c r="H97" s="95" t="s">
        <v>3532</v>
      </c>
      <c r="I97" s="95"/>
      <c r="J97" s="95" t="b">
        <v>1</v>
      </c>
      <c r="K97" s="95"/>
      <c r="L97" s="95"/>
      <c r="M97" s="95" t="s">
        <v>3848</v>
      </c>
      <c r="N97" s="96" t="s">
        <v>5720</v>
      </c>
      <c r="O97" s="96" t="s">
        <v>3584</v>
      </c>
      <c r="P97" s="95" t="b">
        <v>1</v>
      </c>
      <c r="Q97" s="95"/>
      <c r="R97" s="95">
        <v>1</v>
      </c>
      <c r="S97" s="95">
        <v>2</v>
      </c>
      <c r="T97" s="95">
        <v>44</v>
      </c>
      <c r="U97" s="95">
        <v>82</v>
      </c>
      <c r="V97" s="95" t="s">
        <v>3536</v>
      </c>
      <c r="W97" s="95">
        <v>0.5</v>
      </c>
      <c r="X97" s="81">
        <v>8</v>
      </c>
      <c r="Y97" s="81">
        <v>17</v>
      </c>
      <c r="Z97" s="81" t="s">
        <v>2384</v>
      </c>
      <c r="AA97" s="81">
        <v>24</v>
      </c>
      <c r="AB97" s="95" t="str">
        <f t="shared" si="5"/>
        <v>DA_WPN_SW_ShortSteel_o_fin</v>
      </c>
      <c r="AC97" s="90" t="str">
        <f t="shared" si="6"/>
        <v>/Game/DungeonSiege/Items/Weapons/Sword/DA_WPN_SW_ShortSteel_o_fin</v>
      </c>
      <c r="AD97" s="97" t="str">
        <f t="shared" si="7"/>
        <v>Texture2D'/Game/DungeonSiege/art/bitmaps/gui/in_game/inventory/weapons/sword/b_gui_ig_i_w_swd_094.b_gui_ig_i_w_swd_094'</v>
      </c>
      <c r="AE97" s="97" t="str">
        <f t="shared" si="8"/>
        <v>Texture2D'/Game/DungeonSiege/art/bitmaps/gui/in_game/inventory/icons/b_gui_ig_i_ic_swd_001.b_gui_ig_i_ic_swd_001'</v>
      </c>
      <c r="AF97" s="97" t="str">
        <f t="shared" si="9"/>
        <v>StaticMesh'/Game/DungeonSiege/art/meshes/weapons/sword/m_w_swd_016_AspMesh.m_w_swd_016_AspMesh'</v>
      </c>
    </row>
    <row r="98" spans="1:32" ht="15.75" thickBot="1" x14ac:dyDescent="0.3">
      <c r="A98" s="95">
        <v>96</v>
      </c>
      <c r="B98" s="95">
        <v>96</v>
      </c>
      <c r="C98" s="95">
        <f>Items!B$27+B98</f>
        <v>94371936</v>
      </c>
      <c r="D98" s="95" t="s">
        <v>3496</v>
      </c>
      <c r="E98" s="95" t="s">
        <v>3572</v>
      </c>
      <c r="F98" s="95" t="s">
        <v>3525</v>
      </c>
      <c r="G98" s="95" t="s">
        <v>3784</v>
      </c>
      <c r="H98" s="95" t="s">
        <v>3527</v>
      </c>
      <c r="I98" s="95" t="b">
        <v>1</v>
      </c>
      <c r="J98" s="95"/>
      <c r="K98" s="95"/>
      <c r="L98" s="95"/>
      <c r="M98" s="95" t="s">
        <v>3716</v>
      </c>
      <c r="N98" s="96" t="s">
        <v>5721</v>
      </c>
      <c r="O98" s="96" t="s">
        <v>3584</v>
      </c>
      <c r="P98" s="95" t="b">
        <v>0</v>
      </c>
      <c r="Q98" s="95"/>
      <c r="R98" s="95">
        <v>1</v>
      </c>
      <c r="S98" s="95">
        <v>3</v>
      </c>
      <c r="T98" s="95">
        <v>31</v>
      </c>
      <c r="U98" s="95">
        <v>57</v>
      </c>
      <c r="V98" s="95" t="s">
        <v>3536</v>
      </c>
      <c r="W98" s="95">
        <v>0.5</v>
      </c>
      <c r="X98" s="81">
        <v>0</v>
      </c>
      <c r="Y98" s="81">
        <v>0</v>
      </c>
      <c r="Z98" s="81" t="s">
        <v>2384</v>
      </c>
      <c r="AA98" s="81">
        <v>19</v>
      </c>
      <c r="AB98" s="95" t="str">
        <f t="shared" si="5"/>
        <v>DA_WPN_SW_ShortSword_base</v>
      </c>
      <c r="AC98" s="90" t="str">
        <f t="shared" si="6"/>
        <v>/Game/DungeonSiege/Items/Weapons/Sword/DA_WPN_SW_ShortSword_base</v>
      </c>
      <c r="AD98" s="97" t="str">
        <f t="shared" si="7"/>
        <v>Texture2D'/Game/DungeonSiege/art/bitmaps/gui/in_game/inventory/weapons/sword/b_gui_ig_i_w_swd_011.b_gui_ig_i_w_swd_011'</v>
      </c>
      <c r="AE98" s="97" t="str">
        <f t="shared" si="8"/>
        <v>Texture2D'/Game/DungeonSiege/art/bitmaps/gui/in_game/inventory/icons/b_gui_ig_i_ic_swd_001.b_gui_ig_i_ic_swd_001'</v>
      </c>
      <c r="AF98" s="97" t="str">
        <f t="shared" si="9"/>
        <v>StaticMesh'/Game/DungeonSiege/art/meshes/weapons/sword/m_w_swd_015_AspMesh.m_w_swd_015_AspMesh'</v>
      </c>
    </row>
    <row r="99" spans="1:32" ht="15.75" thickBot="1" x14ac:dyDescent="0.3">
      <c r="A99" s="95">
        <v>97</v>
      </c>
      <c r="B99" s="95">
        <v>97</v>
      </c>
      <c r="C99" s="95">
        <f>Items!B$27+B99</f>
        <v>94371937</v>
      </c>
      <c r="D99" s="95" t="s">
        <v>3497</v>
      </c>
      <c r="E99" s="95" t="s">
        <v>3572</v>
      </c>
      <c r="F99" s="95" t="s">
        <v>3525</v>
      </c>
      <c r="G99" s="95" t="s">
        <v>3784</v>
      </c>
      <c r="H99" s="95" t="s">
        <v>3531</v>
      </c>
      <c r="I99" s="95"/>
      <c r="J99" s="95" t="b">
        <v>1</v>
      </c>
      <c r="K99" s="95"/>
      <c r="L99" s="95"/>
      <c r="M99" s="95" t="s">
        <v>3849</v>
      </c>
      <c r="N99" s="96" t="s">
        <v>5722</v>
      </c>
      <c r="O99" s="96" t="s">
        <v>3584</v>
      </c>
      <c r="P99" s="95" t="b">
        <v>1</v>
      </c>
      <c r="Q99" s="95"/>
      <c r="R99" s="95">
        <v>1</v>
      </c>
      <c r="S99" s="95">
        <v>2</v>
      </c>
      <c r="T99" s="95">
        <v>37</v>
      </c>
      <c r="U99" s="95">
        <v>68</v>
      </c>
      <c r="V99" s="95" t="s">
        <v>3536</v>
      </c>
      <c r="W99" s="95">
        <v>0.5</v>
      </c>
      <c r="X99" s="81">
        <v>1</v>
      </c>
      <c r="Y99" s="81">
        <v>8</v>
      </c>
      <c r="Z99" s="81" t="s">
        <v>2384</v>
      </c>
      <c r="AA99" s="81">
        <v>21</v>
      </c>
      <c r="AB99" s="95" t="str">
        <f t="shared" si="5"/>
        <v>DA_WPN_SW_ShortSword_c_fin</v>
      </c>
      <c r="AC99" s="90" t="str">
        <f t="shared" si="6"/>
        <v>/Game/DungeonSiege/Items/Weapons/Sword/DA_WPN_SW_ShortSword_c_fin</v>
      </c>
      <c r="AD99" s="97" t="str">
        <f t="shared" si="7"/>
        <v>Texture2D'/Game/DungeonSiege/art/bitmaps/gui/in_game/inventory/weapons/sword/b_gui_ig_i_w_swd_095.b_gui_ig_i_w_swd_095'</v>
      </c>
      <c r="AE99" s="97" t="str">
        <f t="shared" si="8"/>
        <v>Texture2D'/Game/DungeonSiege/art/bitmaps/gui/in_game/inventory/icons/b_gui_ig_i_ic_swd_001.b_gui_ig_i_ic_swd_001'</v>
      </c>
      <c r="AF99" s="97" t="str">
        <f t="shared" si="9"/>
        <v>StaticMesh'/Game/DungeonSiege/art/meshes/weapons/sword/m_w_swd_015_AspMesh.m_w_swd_015_AspMesh'</v>
      </c>
    </row>
    <row r="100" spans="1:32" ht="15.75" thickBot="1" x14ac:dyDescent="0.3">
      <c r="A100" s="95">
        <v>98</v>
      </c>
      <c r="B100" s="95">
        <v>98</v>
      </c>
      <c r="C100" s="95">
        <f>Items!B$27+B100</f>
        <v>94371938</v>
      </c>
      <c r="D100" s="95" t="s">
        <v>3498</v>
      </c>
      <c r="E100" s="95" t="s">
        <v>3572</v>
      </c>
      <c r="F100" s="95" t="s">
        <v>3525</v>
      </c>
      <c r="G100" s="95" t="s">
        <v>3785</v>
      </c>
      <c r="H100" s="95" t="s">
        <v>3529</v>
      </c>
      <c r="I100" s="95"/>
      <c r="J100" s="95" t="b">
        <v>1</v>
      </c>
      <c r="K100" s="95"/>
      <c r="L100" s="95"/>
      <c r="M100" s="95" t="s">
        <v>3850</v>
      </c>
      <c r="N100" s="96" t="s">
        <v>5723</v>
      </c>
      <c r="O100" s="96" t="s">
        <v>3584</v>
      </c>
      <c r="P100" s="95" t="b">
        <v>1</v>
      </c>
      <c r="Q100" s="95"/>
      <c r="R100" s="95">
        <v>1</v>
      </c>
      <c r="S100" s="95">
        <v>3</v>
      </c>
      <c r="T100" s="95">
        <v>90</v>
      </c>
      <c r="U100" s="95">
        <v>167</v>
      </c>
      <c r="V100" s="95" t="s">
        <v>3536</v>
      </c>
      <c r="W100" s="95">
        <v>0.5</v>
      </c>
      <c r="X100" s="81">
        <v>26</v>
      </c>
      <c r="Y100" s="81">
        <v>36</v>
      </c>
      <c r="Z100" s="81" t="s">
        <v>2384</v>
      </c>
      <c r="AA100" s="81">
        <v>39</v>
      </c>
      <c r="AB100" s="95" t="str">
        <f t="shared" si="5"/>
        <v>DA_WPN_SW_ShortSword_c_mag</v>
      </c>
      <c r="AC100" s="90" t="str">
        <f t="shared" si="6"/>
        <v>/Game/DungeonSiege/Items/Weapons/Sword/DA_WPN_SW_ShortSword_c_mag</v>
      </c>
      <c r="AD100" s="97" t="str">
        <f t="shared" si="7"/>
        <v>Texture2D'/Game/DungeonSiege/art/bitmaps/gui/in_game/inventory/weapons/sword/b_gui_ig_i_w_swd_024.b_gui_ig_i_w_swd_024'</v>
      </c>
      <c r="AE100" s="97" t="str">
        <f t="shared" si="8"/>
        <v>Texture2D'/Game/DungeonSiege/art/bitmaps/gui/in_game/inventory/icons/b_gui_ig_i_ic_swd_001.b_gui_ig_i_ic_swd_001'</v>
      </c>
      <c r="AF100" s="97" t="str">
        <f t="shared" si="9"/>
        <v>StaticMesh'/Game/DungeonSiege/art/meshes/weapons/sword/m_w_swd_021_AspMesh.m_w_swd_021_AspMesh'</v>
      </c>
    </row>
    <row r="101" spans="1:32" ht="15.75" thickBot="1" x14ac:dyDescent="0.3">
      <c r="A101" s="95">
        <v>99</v>
      </c>
      <c r="B101" s="95">
        <v>99</v>
      </c>
      <c r="C101" s="95">
        <f>Items!B$27+B101</f>
        <v>94371939</v>
      </c>
      <c r="D101" s="95" t="s">
        <v>3499</v>
      </c>
      <c r="E101" s="95" t="s">
        <v>3572</v>
      </c>
      <c r="F101" s="95" t="s">
        <v>3525</v>
      </c>
      <c r="G101" s="95" t="s">
        <v>3784</v>
      </c>
      <c r="H101" s="95" t="s">
        <v>3530</v>
      </c>
      <c r="I101" s="95"/>
      <c r="J101" s="95" t="b">
        <v>1</v>
      </c>
      <c r="K101" s="95"/>
      <c r="L101" s="95"/>
      <c r="M101" s="95" t="s">
        <v>3851</v>
      </c>
      <c r="N101" s="96" t="s">
        <v>5724</v>
      </c>
      <c r="O101" s="96" t="s">
        <v>3584</v>
      </c>
      <c r="P101" s="95" t="b">
        <v>1</v>
      </c>
      <c r="Q101" s="95"/>
      <c r="R101" s="95">
        <v>1</v>
      </c>
      <c r="S101" s="95">
        <v>3</v>
      </c>
      <c r="T101" s="95">
        <v>63</v>
      </c>
      <c r="U101" s="95">
        <v>117</v>
      </c>
      <c r="V101" s="95" t="s">
        <v>3536</v>
      </c>
      <c r="W101" s="95">
        <v>0.5</v>
      </c>
      <c r="X101" s="81">
        <v>13</v>
      </c>
      <c r="Y101" s="81">
        <v>25</v>
      </c>
      <c r="Z101" s="81" t="s">
        <v>2384</v>
      </c>
      <c r="AA101" s="81">
        <v>30</v>
      </c>
      <c r="AB101" s="95" t="str">
        <f t="shared" si="5"/>
        <v>DA_WPN_SW_ShortSword_c_str</v>
      </c>
      <c r="AC101" s="90" t="str">
        <f t="shared" si="6"/>
        <v>/Game/DungeonSiege/Items/Weapons/Sword/DA_WPN_SW_ShortSword_c_str</v>
      </c>
      <c r="AD101" s="97" t="str">
        <f t="shared" si="7"/>
        <v>Texture2D'/Game/DungeonSiege/art/bitmaps/gui/in_game/inventory/weapons/sword/b_gui_ig_i_w_swd_016.b_gui_ig_i_w_swd_016'</v>
      </c>
      <c r="AE101" s="97" t="str">
        <f t="shared" si="8"/>
        <v>Texture2D'/Game/DungeonSiege/art/bitmaps/gui/in_game/inventory/icons/b_gui_ig_i_ic_swd_001.b_gui_ig_i_ic_swd_001'</v>
      </c>
      <c r="AF101" s="97" t="str">
        <f t="shared" si="9"/>
        <v>StaticMesh'/Game/DungeonSiege/art/meshes/weapons/sword/m_w_swd_015_AspMesh.m_w_swd_015_AspMesh'</v>
      </c>
    </row>
    <row r="102" spans="1:32" ht="15.75" thickBot="1" x14ac:dyDescent="0.3">
      <c r="A102" s="95">
        <v>100</v>
      </c>
      <c r="B102" s="95">
        <v>100</v>
      </c>
      <c r="C102" s="95">
        <f>Items!B$27+B102</f>
        <v>94371940</v>
      </c>
      <c r="D102" s="95" t="s">
        <v>3500</v>
      </c>
      <c r="E102" s="95" t="s">
        <v>3572</v>
      </c>
      <c r="F102" s="95" t="s">
        <v>3525</v>
      </c>
      <c r="G102" s="95" t="s">
        <v>3784</v>
      </c>
      <c r="H102" s="95" t="s">
        <v>3528</v>
      </c>
      <c r="I102" s="95"/>
      <c r="J102" s="95" t="b">
        <v>1</v>
      </c>
      <c r="K102" s="95"/>
      <c r="L102" s="95"/>
      <c r="M102" s="95" t="s">
        <v>3852</v>
      </c>
      <c r="N102" s="96" t="s">
        <v>5725</v>
      </c>
      <c r="O102" s="96" t="s">
        <v>3584</v>
      </c>
      <c r="P102" s="95" t="b">
        <v>1</v>
      </c>
      <c r="Q102" s="95"/>
      <c r="R102" s="95">
        <v>1</v>
      </c>
      <c r="S102" s="95">
        <v>2</v>
      </c>
      <c r="T102" s="95">
        <v>42</v>
      </c>
      <c r="U102" s="95">
        <v>78</v>
      </c>
      <c r="V102" s="95" t="s">
        <v>3536</v>
      </c>
      <c r="W102" s="95">
        <v>0.5</v>
      </c>
      <c r="X102" s="81">
        <v>4</v>
      </c>
      <c r="Y102" s="81">
        <v>12</v>
      </c>
      <c r="Z102" s="81" t="s">
        <v>2384</v>
      </c>
      <c r="AA102" s="81">
        <v>23</v>
      </c>
      <c r="AB102" s="95" t="str">
        <f t="shared" si="5"/>
        <v>DA_WPN_SW_ShortSword_o_avg</v>
      </c>
      <c r="AC102" s="90" t="str">
        <f t="shared" si="6"/>
        <v>/Game/DungeonSiege/Items/Weapons/Sword/DA_WPN_SW_ShortSword_o_avg</v>
      </c>
      <c r="AD102" s="97" t="str">
        <f t="shared" si="7"/>
        <v>Texture2D'/Game/DungeonSiege/art/bitmaps/gui/in_game/inventory/weapons/sword/b_gui_ig_i_w_swd_096.b_gui_ig_i_w_swd_096'</v>
      </c>
      <c r="AE102" s="97" t="str">
        <f t="shared" si="8"/>
        <v>Texture2D'/Game/DungeonSiege/art/bitmaps/gui/in_game/inventory/icons/b_gui_ig_i_ic_swd_001.b_gui_ig_i_ic_swd_001'</v>
      </c>
      <c r="AF102" s="97" t="str">
        <f t="shared" si="9"/>
        <v>StaticMesh'/Game/DungeonSiege/art/meshes/weapons/sword/m_w_swd_015_AspMesh.m_w_swd_015_AspMesh'</v>
      </c>
    </row>
    <row r="103" spans="1:32" ht="15.75" thickBot="1" x14ac:dyDescent="0.3">
      <c r="A103" s="95">
        <v>101</v>
      </c>
      <c r="B103" s="95">
        <v>101</v>
      </c>
      <c r="C103" s="95">
        <f>Items!B$27+B103</f>
        <v>94371941</v>
      </c>
      <c r="D103" s="95" t="s">
        <v>3501</v>
      </c>
      <c r="E103" s="95" t="s">
        <v>3572</v>
      </c>
      <c r="F103" s="95" t="s">
        <v>3525</v>
      </c>
      <c r="G103" s="95" t="s">
        <v>3757</v>
      </c>
      <c r="H103" s="95" t="s">
        <v>3532</v>
      </c>
      <c r="I103" s="95"/>
      <c r="J103" s="95" t="b">
        <v>1</v>
      </c>
      <c r="K103" s="95"/>
      <c r="L103" s="95"/>
      <c r="M103" s="95" t="s">
        <v>3853</v>
      </c>
      <c r="N103" s="96" t="s">
        <v>5726</v>
      </c>
      <c r="O103" s="96" t="s">
        <v>3584</v>
      </c>
      <c r="P103" s="95" t="b">
        <v>1</v>
      </c>
      <c r="Q103" s="95"/>
      <c r="R103" s="95">
        <v>1</v>
      </c>
      <c r="S103" s="95">
        <v>2</v>
      </c>
      <c r="T103" s="95">
        <v>50</v>
      </c>
      <c r="U103" s="95">
        <v>93</v>
      </c>
      <c r="V103" s="95" t="s">
        <v>3536</v>
      </c>
      <c r="W103" s="95">
        <v>0.5</v>
      </c>
      <c r="X103" s="81">
        <v>9</v>
      </c>
      <c r="Y103" s="81">
        <v>19</v>
      </c>
      <c r="Z103" s="81" t="s">
        <v>2384</v>
      </c>
      <c r="AA103" s="81">
        <v>26</v>
      </c>
      <c r="AB103" s="95" t="str">
        <f t="shared" si="5"/>
        <v>DA_WPN_SW_ShortSword_o_fin</v>
      </c>
      <c r="AC103" s="90" t="str">
        <f t="shared" si="6"/>
        <v>/Game/DungeonSiege/Items/Weapons/Sword/DA_WPN_SW_ShortSword_o_fin</v>
      </c>
      <c r="AD103" s="97" t="str">
        <f t="shared" si="7"/>
        <v>Texture2D'/Game/DungeonSiege/art/bitmaps/gui/in_game/inventory/weapons/sword/b_gui_ig_i_w_swd_097.b_gui_ig_i_w_swd_097'</v>
      </c>
      <c r="AE103" s="97" t="str">
        <f t="shared" si="8"/>
        <v>Texture2D'/Game/DungeonSiege/art/bitmaps/gui/in_game/inventory/icons/b_gui_ig_i_ic_swd_001.b_gui_ig_i_ic_swd_001'</v>
      </c>
      <c r="AF103" s="97" t="str">
        <f t="shared" si="9"/>
        <v>StaticMesh'/Game/DungeonSiege/art/meshes/weapons/sword/m_w_swd_014_AspMesh.m_w_swd_014_AspMesh'</v>
      </c>
    </row>
    <row r="104" spans="1:32" ht="15.75" thickBot="1" x14ac:dyDescent="0.3">
      <c r="A104" s="95">
        <v>102</v>
      </c>
      <c r="B104" s="95">
        <v>102</v>
      </c>
      <c r="C104" s="95">
        <f>Items!B$27+B104</f>
        <v>94371942</v>
      </c>
      <c r="D104" s="95" t="s">
        <v>3502</v>
      </c>
      <c r="E104" s="95" t="s">
        <v>3573</v>
      </c>
      <c r="F104" s="95" t="s">
        <v>3525</v>
      </c>
      <c r="G104" s="95" t="s">
        <v>3792</v>
      </c>
      <c r="H104" s="95" t="s">
        <v>3527</v>
      </c>
      <c r="I104" s="95"/>
      <c r="J104" s="95"/>
      <c r="K104" s="95"/>
      <c r="L104" s="95" t="b">
        <v>1</v>
      </c>
      <c r="M104" s="95" t="s">
        <v>3715</v>
      </c>
      <c r="N104" s="96" t="s">
        <v>5727</v>
      </c>
      <c r="O104" s="96" t="s">
        <v>3539</v>
      </c>
      <c r="P104" s="95" t="b">
        <v>1</v>
      </c>
      <c r="Q104" s="95" t="s">
        <v>3537</v>
      </c>
      <c r="R104" s="95">
        <v>1</v>
      </c>
      <c r="S104" s="95">
        <v>4</v>
      </c>
      <c r="T104" s="95">
        <v>109</v>
      </c>
      <c r="U104" s="95">
        <v>133</v>
      </c>
      <c r="V104" s="95" t="s">
        <v>3536</v>
      </c>
      <c r="W104" s="95">
        <v>0.5</v>
      </c>
      <c r="X104" s="81">
        <v>8</v>
      </c>
      <c r="Y104" s="81">
        <v>28</v>
      </c>
      <c r="Z104" s="81" t="s">
        <v>2384</v>
      </c>
      <c r="AA104" s="81">
        <v>36</v>
      </c>
      <c r="AB104" s="95" t="str">
        <f t="shared" si="5"/>
        <v>DA_WPN_SW_SickleSword_base</v>
      </c>
      <c r="AC104" s="90" t="str">
        <f t="shared" si="6"/>
        <v>/Game/DungeonSiege/Items/Weapons/Sword/DA_WPN_SW_SickleSword_base</v>
      </c>
      <c r="AD104" s="97" t="str">
        <f t="shared" si="7"/>
        <v>Texture2D'/Game/DungeonSiege/art/bitmaps/gui/in_game/inventory/weapons/sword/b_gui_ig_i_w_swd_083.b_gui_ig_i_w_swd_083'</v>
      </c>
      <c r="AE104" s="97" t="str">
        <f t="shared" si="8"/>
        <v>Texture2D'/Game/DungeonSiege/art/bitmaps/gui/in_game/inventory/icons/b_gui_ig_i_ic_swd_007.b_gui_ig_i_ic_swd_007'</v>
      </c>
      <c r="AF104" s="97" t="str">
        <f t="shared" si="9"/>
        <v>StaticMesh'/Game/DungeonSiege/art/meshes/weapons/sword/m_w_swd_050_AspMesh.m_w_swd_050_AspMesh'</v>
      </c>
    </row>
    <row r="105" spans="1:32" ht="15.75" thickBot="1" x14ac:dyDescent="0.3">
      <c r="A105" s="95">
        <v>103</v>
      </c>
      <c r="B105" s="95">
        <v>103</v>
      </c>
      <c r="C105" s="95">
        <f>Items!B$27+B105</f>
        <v>94371943</v>
      </c>
      <c r="D105" s="95" t="s">
        <v>3503</v>
      </c>
      <c r="E105" s="95" t="s">
        <v>3574</v>
      </c>
      <c r="F105" s="95" t="s">
        <v>3524</v>
      </c>
      <c r="G105" s="95" t="s">
        <v>3793</v>
      </c>
      <c r="H105" s="95" t="s">
        <v>3527</v>
      </c>
      <c r="I105" s="95"/>
      <c r="J105" s="95"/>
      <c r="K105" s="95"/>
      <c r="L105" s="95" t="b">
        <v>1</v>
      </c>
      <c r="M105" s="95" t="s">
        <v>3714</v>
      </c>
      <c r="N105" s="96" t="s">
        <v>5728</v>
      </c>
      <c r="O105" s="96" t="s">
        <v>3539</v>
      </c>
      <c r="P105" s="95" t="b">
        <v>1</v>
      </c>
      <c r="Q105" s="95" t="s">
        <v>3537</v>
      </c>
      <c r="R105" s="95">
        <v>1</v>
      </c>
      <c r="S105" s="95">
        <v>4</v>
      </c>
      <c r="T105" s="95">
        <v>269</v>
      </c>
      <c r="U105" s="95">
        <v>363</v>
      </c>
      <c r="V105" s="95" t="s">
        <v>3535</v>
      </c>
      <c r="W105" s="95">
        <v>0.5</v>
      </c>
      <c r="X105" s="81">
        <v>40</v>
      </c>
      <c r="Y105" s="81">
        <v>70</v>
      </c>
      <c r="Z105" s="81" t="s">
        <v>2384</v>
      </c>
      <c r="AA105" s="81">
        <v>65</v>
      </c>
      <c r="AB105" s="95" t="str">
        <f t="shared" si="5"/>
        <v>DA_WPN_SW_SnakeSword_base</v>
      </c>
      <c r="AC105" s="90" t="str">
        <f t="shared" si="6"/>
        <v>/Game/DungeonSiege/Items/Weapons/Sword/DA_WPN_SW_SnakeSword_base</v>
      </c>
      <c r="AD105" s="97" t="str">
        <f t="shared" si="7"/>
        <v>Texture2D'/Game/DungeonSiege/art/bitmaps/gui/in_game/inventory/weapons/sword/b_gui_ig_i_w_swd_077.b_gui_ig_i_w_swd_077'</v>
      </c>
      <c r="AE105" s="97" t="str">
        <f t="shared" si="8"/>
        <v>Texture2D'/Game/DungeonSiege/art/bitmaps/gui/in_game/inventory/icons/b_gui_ig_i_ic_swd_007.b_gui_ig_i_ic_swd_007'</v>
      </c>
      <c r="AF105" s="97" t="str">
        <f t="shared" si="9"/>
        <v>StaticMesh'/Game/DungeonSiege/art/meshes/weapons/sword/m_w_swd_045_AspMesh.m_w_swd_045_AspMesh'</v>
      </c>
    </row>
    <row r="106" spans="1:32" ht="15.75" thickBot="1" x14ac:dyDescent="0.3">
      <c r="A106" s="95">
        <v>104</v>
      </c>
      <c r="B106" s="95">
        <v>104</v>
      </c>
      <c r="C106" s="95">
        <f>Items!B$27+B106</f>
        <v>94371944</v>
      </c>
      <c r="D106" s="95" t="s">
        <v>3504</v>
      </c>
      <c r="E106" s="95" t="s">
        <v>3575</v>
      </c>
      <c r="F106" s="95" t="s">
        <v>3524</v>
      </c>
      <c r="G106" s="95" t="s">
        <v>3794</v>
      </c>
      <c r="H106" s="95" t="s">
        <v>3527</v>
      </c>
      <c r="I106" s="95"/>
      <c r="J106" s="95"/>
      <c r="K106" s="95"/>
      <c r="L106" s="95" t="b">
        <v>1</v>
      </c>
      <c r="M106" s="95" t="s">
        <v>3713</v>
      </c>
      <c r="N106" s="96" t="s">
        <v>5729</v>
      </c>
      <c r="O106" s="96" t="s">
        <v>3539</v>
      </c>
      <c r="P106" s="95" t="b">
        <v>1</v>
      </c>
      <c r="Q106" s="95" t="s">
        <v>3537</v>
      </c>
      <c r="R106" s="95">
        <v>1</v>
      </c>
      <c r="S106" s="95">
        <v>4</v>
      </c>
      <c r="T106" s="95">
        <v>284</v>
      </c>
      <c r="U106" s="95">
        <v>384</v>
      </c>
      <c r="V106" s="95" t="s">
        <v>3535</v>
      </c>
      <c r="W106" s="95">
        <v>0.5</v>
      </c>
      <c r="X106" s="81">
        <v>29</v>
      </c>
      <c r="Y106" s="81">
        <v>71</v>
      </c>
      <c r="Z106" s="81" t="s">
        <v>2384</v>
      </c>
      <c r="AA106" s="81">
        <v>68</v>
      </c>
      <c r="AB106" s="95" t="str">
        <f t="shared" si="5"/>
        <v>DA_WPN_SW_SplitSword_base</v>
      </c>
      <c r="AC106" s="90" t="str">
        <f t="shared" si="6"/>
        <v>/Game/DungeonSiege/Items/Weapons/Sword/DA_WPN_SW_SplitSword_base</v>
      </c>
      <c r="AD106" s="97" t="str">
        <f t="shared" si="7"/>
        <v>Texture2D'/Game/DungeonSiege/art/bitmaps/gui/in_game/inventory/weapons/sword/b_gui_ig_i_w_swd_075.b_gui_ig_i_w_swd_075'</v>
      </c>
      <c r="AE106" s="97" t="str">
        <f t="shared" si="8"/>
        <v>Texture2D'/Game/DungeonSiege/art/bitmaps/gui/in_game/inventory/icons/b_gui_ig_i_ic_swd_007.b_gui_ig_i_ic_swd_007'</v>
      </c>
      <c r="AF106" s="97" t="str">
        <f t="shared" si="9"/>
        <v>StaticMesh'/Game/DungeonSiege/art/meshes/weapons/sword/m_w_swd_041_AspMesh.m_w_swd_041_AspMesh'</v>
      </c>
    </row>
    <row r="107" spans="1:32" ht="23.25" thickBot="1" x14ac:dyDescent="0.3">
      <c r="A107" s="95">
        <v>105</v>
      </c>
      <c r="B107" s="95">
        <v>105</v>
      </c>
      <c r="C107" s="95">
        <f>Items!B$27+B107</f>
        <v>94371945</v>
      </c>
      <c r="D107" s="95" t="s">
        <v>3505</v>
      </c>
      <c r="E107" s="95" t="s">
        <v>3576</v>
      </c>
      <c r="F107" s="95" t="s">
        <v>3525</v>
      </c>
      <c r="G107" s="95" t="s">
        <v>3795</v>
      </c>
      <c r="H107" s="95" t="s">
        <v>3527</v>
      </c>
      <c r="I107" s="95"/>
      <c r="J107" s="95"/>
      <c r="K107" s="95"/>
      <c r="L107" s="95" t="b">
        <v>1</v>
      </c>
      <c r="M107" s="95" t="s">
        <v>3712</v>
      </c>
      <c r="N107" s="96" t="s">
        <v>5730</v>
      </c>
      <c r="O107" s="96" t="s">
        <v>3614</v>
      </c>
      <c r="P107" s="95" t="b">
        <v>1</v>
      </c>
      <c r="Q107" s="95" t="s">
        <v>3537</v>
      </c>
      <c r="R107" s="95">
        <v>1</v>
      </c>
      <c r="S107" s="95">
        <v>4</v>
      </c>
      <c r="T107" s="95">
        <v>230</v>
      </c>
      <c r="U107" s="95">
        <v>282</v>
      </c>
      <c r="V107" s="95" t="s">
        <v>3536</v>
      </c>
      <c r="W107" s="95">
        <v>0.5</v>
      </c>
      <c r="X107" s="81">
        <v>41</v>
      </c>
      <c r="Y107" s="81">
        <v>72</v>
      </c>
      <c r="Z107" s="81" t="s">
        <v>2384</v>
      </c>
      <c r="AA107" s="81">
        <v>66</v>
      </c>
      <c r="AB107" s="95" t="str">
        <f t="shared" si="5"/>
        <v>DA_WPN_SW_StarburstSword_base</v>
      </c>
      <c r="AC107" s="90" t="str">
        <f t="shared" si="6"/>
        <v>/Game/DungeonSiege/Items/Weapons/Sword/DA_WPN_SW_StarburstSword_base</v>
      </c>
      <c r="AD107" s="97" t="str">
        <f t="shared" si="7"/>
        <v>Texture2D'/Game/DungeonSiege/art/bitmaps/gui/in_game/inventory/weapons/sword/b_gui_ig_i_w_swd_073.b_gui_ig_i_w_swd_073'</v>
      </c>
      <c r="AE107" s="97" t="str">
        <f t="shared" si="8"/>
        <v>Texture2D'/Game/DungeonSiege/art/bitmaps/gui/in_game/inventory/icons/b_gui_ig_i_ic_swd_008.b_gui_ig_i_ic_swd_008'</v>
      </c>
      <c r="AF107" s="97" t="str">
        <f t="shared" si="9"/>
        <v>StaticMesh'/Game/DungeonSiege/art/meshes/weapons/sword/m_w_swd_043_AspMesh.m_w_swd_043_AspMesh'</v>
      </c>
    </row>
    <row r="108" spans="1:32" ht="15.75" thickBot="1" x14ac:dyDescent="0.3">
      <c r="A108" s="95">
        <v>106</v>
      </c>
      <c r="B108" s="95">
        <v>106</v>
      </c>
      <c r="C108" s="95">
        <f>Items!B$27+B108</f>
        <v>94371946</v>
      </c>
      <c r="D108" s="95" t="s">
        <v>3506</v>
      </c>
      <c r="E108" s="95" t="s">
        <v>3577</v>
      </c>
      <c r="F108" s="95" t="s">
        <v>3525</v>
      </c>
      <c r="G108" s="95" t="s">
        <v>3779</v>
      </c>
      <c r="H108" s="95" t="s">
        <v>3527</v>
      </c>
      <c r="I108" s="95"/>
      <c r="J108" s="95"/>
      <c r="K108" s="95" t="b">
        <v>1</v>
      </c>
      <c r="L108" s="95" t="b">
        <v>1</v>
      </c>
      <c r="M108" s="95" t="s">
        <v>3711</v>
      </c>
      <c r="N108" s="96" t="s">
        <v>5731</v>
      </c>
      <c r="O108" s="96" t="s">
        <v>3596</v>
      </c>
      <c r="P108" s="95" t="b">
        <v>1</v>
      </c>
      <c r="Q108" s="95"/>
      <c r="R108" s="95">
        <v>1</v>
      </c>
      <c r="S108" s="95">
        <v>4</v>
      </c>
      <c r="T108" s="95">
        <v>43</v>
      </c>
      <c r="U108" s="95">
        <v>171</v>
      </c>
      <c r="V108" s="95" t="s">
        <v>3536</v>
      </c>
      <c r="W108" s="95">
        <v>0.5</v>
      </c>
      <c r="X108" s="81">
        <v>1</v>
      </c>
      <c r="Y108" s="81">
        <v>214</v>
      </c>
      <c r="Z108" s="81" t="s">
        <v>2384</v>
      </c>
      <c r="AA108" s="81">
        <v>33</v>
      </c>
      <c r="AB108" s="95" t="str">
        <f t="shared" si="5"/>
        <v>DA_WPN_SW_SteelDeath_base</v>
      </c>
      <c r="AC108" s="90" t="str">
        <f t="shared" si="6"/>
        <v>/Game/DungeonSiege/Items/Weapons/Sword/DA_WPN_SW_SteelDeath_base</v>
      </c>
      <c r="AD108" s="97" t="str">
        <f t="shared" si="7"/>
        <v>Texture2D'/Game/DungeonSiege/art/bitmaps/gui/in_game/inventory/weapons/sword/b_gui_ig_i_w_swd_112.b_gui_ig_i_w_swd_112'</v>
      </c>
      <c r="AE108" s="97" t="str">
        <f t="shared" si="8"/>
        <v>Texture2D'/Game/DungeonSiege/art/bitmaps/gui/in_game/inventory/icons/b_gui_ig_i_ic_swd_003.b_gui_ig_i_ic_swd_003'</v>
      </c>
      <c r="AF108" s="97" t="str">
        <f t="shared" si="9"/>
        <v>StaticMesh'/Game/DungeonSiege/art/meshes/weapons/sword/m_w_swd_018_AspMesh.m_w_swd_018_AspMesh'</v>
      </c>
    </row>
    <row r="109" spans="1:32" ht="15.75" thickBot="1" x14ac:dyDescent="0.3">
      <c r="A109" s="95">
        <v>107</v>
      </c>
      <c r="B109" s="95">
        <v>107</v>
      </c>
      <c r="C109" s="95">
        <f>Items!B$27+B109</f>
        <v>94371947</v>
      </c>
      <c r="D109" s="95" t="s">
        <v>3507</v>
      </c>
      <c r="E109" s="95" t="s">
        <v>3577</v>
      </c>
      <c r="F109" s="95" t="s">
        <v>3525</v>
      </c>
      <c r="G109" s="95" t="s">
        <v>3779</v>
      </c>
      <c r="H109" s="95" t="s">
        <v>3530</v>
      </c>
      <c r="I109" s="95"/>
      <c r="J109" s="95"/>
      <c r="K109" s="95" t="b">
        <v>1</v>
      </c>
      <c r="L109" s="95" t="b">
        <v>1</v>
      </c>
      <c r="M109" s="95" t="s">
        <v>3854</v>
      </c>
      <c r="N109" s="96" t="s">
        <v>5732</v>
      </c>
      <c r="O109" s="96" t="s">
        <v>3596</v>
      </c>
      <c r="P109" s="95" t="b">
        <v>1</v>
      </c>
      <c r="Q109" s="95"/>
      <c r="R109" s="95">
        <v>1</v>
      </c>
      <c r="S109" s="95">
        <v>4</v>
      </c>
      <c r="T109" s="95">
        <v>55</v>
      </c>
      <c r="U109" s="95">
        <v>221</v>
      </c>
      <c r="V109" s="95" t="s">
        <v>3536</v>
      </c>
      <c r="W109" s="95">
        <v>0.5</v>
      </c>
      <c r="X109" s="81">
        <v>1</v>
      </c>
      <c r="Y109" s="81">
        <v>276</v>
      </c>
      <c r="Z109" s="81" t="s">
        <v>2384</v>
      </c>
      <c r="AA109" s="81">
        <v>40</v>
      </c>
      <c r="AB109" s="95" t="str">
        <f t="shared" si="5"/>
        <v>DA_WPN_SW_SteelDeath_c_str</v>
      </c>
      <c r="AC109" s="90" t="str">
        <f t="shared" si="6"/>
        <v>/Game/DungeonSiege/Items/Weapons/Sword/DA_WPN_SW_SteelDeath_c_str</v>
      </c>
      <c r="AD109" s="97" t="str">
        <f t="shared" si="7"/>
        <v>Texture2D'/Game/DungeonSiege/art/bitmaps/gui/in_game/inventory/weapons/sword/b_gui_ig_i_w_swd_113.b_gui_ig_i_w_swd_113'</v>
      </c>
      <c r="AE109" s="97" t="str">
        <f t="shared" si="8"/>
        <v>Texture2D'/Game/DungeonSiege/art/bitmaps/gui/in_game/inventory/icons/b_gui_ig_i_ic_swd_003.b_gui_ig_i_ic_swd_003'</v>
      </c>
      <c r="AF109" s="97" t="str">
        <f t="shared" si="9"/>
        <v>StaticMesh'/Game/DungeonSiege/art/meshes/weapons/sword/m_w_swd_018_AspMesh.m_w_swd_018_AspMesh'</v>
      </c>
    </row>
    <row r="110" spans="1:32" ht="15.75" thickBot="1" x14ac:dyDescent="0.3">
      <c r="A110" s="95">
        <v>108</v>
      </c>
      <c r="B110" s="95">
        <v>108</v>
      </c>
      <c r="C110" s="95">
        <f>Items!B$27+B110</f>
        <v>94371948</v>
      </c>
      <c r="D110" s="95" t="s">
        <v>3508</v>
      </c>
      <c r="E110" s="95" t="s">
        <v>3577</v>
      </c>
      <c r="F110" s="95" t="s">
        <v>3525</v>
      </c>
      <c r="G110" s="95" t="s">
        <v>3765</v>
      </c>
      <c r="H110" s="95" t="s">
        <v>3534</v>
      </c>
      <c r="I110" s="95"/>
      <c r="J110" s="95"/>
      <c r="K110" s="95" t="b">
        <v>1</v>
      </c>
      <c r="L110" s="95" t="b">
        <v>1</v>
      </c>
      <c r="M110" s="95" t="s">
        <v>3855</v>
      </c>
      <c r="N110" s="96" t="s">
        <v>5733</v>
      </c>
      <c r="O110" s="96" t="s">
        <v>3598</v>
      </c>
      <c r="P110" s="95" t="b">
        <v>1</v>
      </c>
      <c r="Q110" s="95"/>
      <c r="R110" s="95">
        <v>1</v>
      </c>
      <c r="S110" s="95">
        <v>4</v>
      </c>
      <c r="T110" s="95">
        <v>59</v>
      </c>
      <c r="U110" s="95">
        <v>238</v>
      </c>
      <c r="V110" s="95" t="s">
        <v>3536</v>
      </c>
      <c r="W110" s="95">
        <v>0.5</v>
      </c>
      <c r="X110" s="81">
        <v>1</v>
      </c>
      <c r="Y110" s="81">
        <v>297</v>
      </c>
      <c r="Z110" s="81" t="s">
        <v>2384</v>
      </c>
      <c r="AA110" s="81">
        <v>42</v>
      </c>
      <c r="AB110" s="95" t="str">
        <f t="shared" si="5"/>
        <v>DA_WPN_SW_SteelDeath_o_str</v>
      </c>
      <c r="AC110" s="90" t="str">
        <f t="shared" si="6"/>
        <v>/Game/DungeonSiege/Items/Weapons/Sword/DA_WPN_SW_SteelDeath_o_str</v>
      </c>
      <c r="AD110" s="97" t="str">
        <f t="shared" si="7"/>
        <v>Texture2D'/Game/DungeonSiege/art/bitmaps/gui/in_game/inventory/weapons/sword/b_gui_ig_i_w_swd_114.b_gui_ig_i_w_swd_114'</v>
      </c>
      <c r="AE110" s="97" t="str">
        <f t="shared" si="8"/>
        <v>Texture2D'/Game/DungeonSiege/art/bitmaps/gui/in_game/inventory/icons/b_gui_ig_i_ic_swd_005.b_gui_ig_i_ic_swd_005'</v>
      </c>
      <c r="AF110" s="97" t="str">
        <f t="shared" si="9"/>
        <v>StaticMesh'/Game/DungeonSiege/art/meshes/weapons/sword/m_w_swd_020_AspMesh.m_w_swd_020_AspMesh'</v>
      </c>
    </row>
    <row r="111" spans="1:32" ht="15.75" thickBot="1" x14ac:dyDescent="0.3">
      <c r="A111" s="95">
        <v>109</v>
      </c>
      <c r="B111" s="95">
        <v>109</v>
      </c>
      <c r="C111" s="95">
        <f>Items!B$27+B111</f>
        <v>94371949</v>
      </c>
      <c r="D111" s="95" t="s">
        <v>3509</v>
      </c>
      <c r="E111" s="95" t="s">
        <v>3578</v>
      </c>
      <c r="F111" s="95" t="s">
        <v>3525</v>
      </c>
      <c r="G111" s="95" t="s">
        <v>3777</v>
      </c>
      <c r="H111" s="95" t="s">
        <v>3527</v>
      </c>
      <c r="I111" s="95"/>
      <c r="J111" s="95" t="b">
        <v>1</v>
      </c>
      <c r="K111" s="95"/>
      <c r="L111" s="95"/>
      <c r="M111" s="95" t="s">
        <v>3710</v>
      </c>
      <c r="N111" s="96" t="s">
        <v>5734</v>
      </c>
      <c r="O111" s="96" t="s">
        <v>3596</v>
      </c>
      <c r="P111" s="95" t="b">
        <v>1</v>
      </c>
      <c r="Q111" s="95"/>
      <c r="R111" s="95">
        <v>1</v>
      </c>
      <c r="S111" s="95">
        <v>4</v>
      </c>
      <c r="T111" s="95">
        <v>40</v>
      </c>
      <c r="U111" s="95">
        <v>59</v>
      </c>
      <c r="V111" s="95" t="s">
        <v>3536</v>
      </c>
      <c r="W111" s="95">
        <v>0.5</v>
      </c>
      <c r="X111" s="81">
        <v>0</v>
      </c>
      <c r="Y111" s="81">
        <v>3</v>
      </c>
      <c r="Z111" s="81" t="s">
        <v>2384</v>
      </c>
      <c r="AA111" s="81">
        <v>20</v>
      </c>
      <c r="AB111" s="95" t="str">
        <f t="shared" si="5"/>
        <v>DA_WPN_SW_Steel_base</v>
      </c>
      <c r="AC111" s="90" t="str">
        <f t="shared" si="6"/>
        <v>/Game/DungeonSiege/Items/Weapons/Sword/DA_WPN_SW_Steel_base</v>
      </c>
      <c r="AD111" s="97" t="str">
        <f t="shared" si="7"/>
        <v>Texture2D'/Game/DungeonSiege/art/bitmaps/gui/in_game/inventory/weapons/sword/b_gui_ig_i_w_swd_015.b_gui_ig_i_w_swd_015'</v>
      </c>
      <c r="AE111" s="97" t="str">
        <f t="shared" si="8"/>
        <v>Texture2D'/Game/DungeonSiege/art/bitmaps/gui/in_game/inventory/icons/b_gui_ig_i_ic_swd_003.b_gui_ig_i_ic_swd_003'</v>
      </c>
      <c r="AF111" s="97" t="str">
        <f t="shared" si="9"/>
        <v>StaticMesh'/Game/DungeonSiege/art/meshes/weapons/sword/m_w_swd_019_AspMesh.m_w_swd_019_AspMesh'</v>
      </c>
    </row>
    <row r="112" spans="1:32" ht="15.75" thickBot="1" x14ac:dyDescent="0.3">
      <c r="A112" s="95">
        <v>110</v>
      </c>
      <c r="B112" s="95">
        <v>110</v>
      </c>
      <c r="C112" s="95">
        <f>Items!B$27+B112</f>
        <v>94371950</v>
      </c>
      <c r="D112" s="95" t="s">
        <v>3510</v>
      </c>
      <c r="E112" s="95" t="s">
        <v>3578</v>
      </c>
      <c r="F112" s="95" t="s">
        <v>3525</v>
      </c>
      <c r="G112" s="95" t="s">
        <v>3777</v>
      </c>
      <c r="H112" s="95" t="s">
        <v>3531</v>
      </c>
      <c r="I112" s="95"/>
      <c r="J112" s="95" t="b">
        <v>1</v>
      </c>
      <c r="K112" s="95"/>
      <c r="L112" s="95"/>
      <c r="M112" s="95" t="s">
        <v>3856</v>
      </c>
      <c r="N112" s="96" t="s">
        <v>5735</v>
      </c>
      <c r="O112" s="96" t="s">
        <v>3596</v>
      </c>
      <c r="P112" s="95" t="b">
        <v>1</v>
      </c>
      <c r="Q112" s="95"/>
      <c r="R112" s="95">
        <v>1</v>
      </c>
      <c r="S112" s="95">
        <v>4</v>
      </c>
      <c r="T112" s="95">
        <v>46</v>
      </c>
      <c r="U112" s="95">
        <v>69</v>
      </c>
      <c r="V112" s="95" t="s">
        <v>3536</v>
      </c>
      <c r="W112" s="95">
        <v>0.5</v>
      </c>
      <c r="X112" s="81">
        <v>2</v>
      </c>
      <c r="Y112" s="81">
        <v>9</v>
      </c>
      <c r="Z112" s="81" t="s">
        <v>2384</v>
      </c>
      <c r="AA112" s="81">
        <v>22</v>
      </c>
      <c r="AB112" s="95" t="str">
        <f t="shared" si="5"/>
        <v>DA_WPN_SW_Steel_c_fin</v>
      </c>
      <c r="AC112" s="90" t="str">
        <f t="shared" si="6"/>
        <v>/Game/DungeonSiege/Items/Weapons/Sword/DA_WPN_SW_Steel_c_fin</v>
      </c>
      <c r="AD112" s="97" t="str">
        <f t="shared" si="7"/>
        <v>Texture2D'/Game/DungeonSiege/art/bitmaps/gui/in_game/inventory/weapons/sword/b_gui_ig_i_w_swd_020.b_gui_ig_i_w_swd_020'</v>
      </c>
      <c r="AE112" s="97" t="str">
        <f t="shared" si="8"/>
        <v>Texture2D'/Game/DungeonSiege/art/bitmaps/gui/in_game/inventory/icons/b_gui_ig_i_ic_swd_003.b_gui_ig_i_ic_swd_003'</v>
      </c>
      <c r="AF112" s="97" t="str">
        <f t="shared" si="9"/>
        <v>StaticMesh'/Game/DungeonSiege/art/meshes/weapons/sword/m_w_swd_019_AspMesh.m_w_swd_019_AspMesh'</v>
      </c>
    </row>
    <row r="113" spans="1:32" ht="15.75" thickBot="1" x14ac:dyDescent="0.3">
      <c r="A113" s="95">
        <v>111</v>
      </c>
      <c r="B113" s="95">
        <v>111</v>
      </c>
      <c r="C113" s="95">
        <f>Items!B$27+B113</f>
        <v>94371951</v>
      </c>
      <c r="D113" s="95" t="s">
        <v>3511</v>
      </c>
      <c r="E113" s="95" t="s">
        <v>3578</v>
      </c>
      <c r="F113" s="95" t="s">
        <v>3525</v>
      </c>
      <c r="G113" s="95" t="s">
        <v>3796</v>
      </c>
      <c r="H113" s="95" t="s">
        <v>3529</v>
      </c>
      <c r="I113" s="95"/>
      <c r="J113" s="95" t="b">
        <v>1</v>
      </c>
      <c r="K113" s="95"/>
      <c r="L113" s="95"/>
      <c r="M113" s="95" t="s">
        <v>3857</v>
      </c>
      <c r="N113" s="96" t="s">
        <v>5736</v>
      </c>
      <c r="O113" s="96" t="s">
        <v>3596</v>
      </c>
      <c r="P113" s="95" t="b">
        <v>1</v>
      </c>
      <c r="Q113" s="95"/>
      <c r="R113" s="95">
        <v>1</v>
      </c>
      <c r="S113" s="95">
        <v>4</v>
      </c>
      <c r="T113" s="95">
        <v>129</v>
      </c>
      <c r="U113" s="95">
        <v>193</v>
      </c>
      <c r="V113" s="95" t="s">
        <v>3536</v>
      </c>
      <c r="W113" s="95">
        <v>0.5</v>
      </c>
      <c r="X113" s="81">
        <v>32</v>
      </c>
      <c r="Y113" s="81">
        <v>45</v>
      </c>
      <c r="Z113" s="81" t="s">
        <v>2384</v>
      </c>
      <c r="AA113" s="81">
        <v>47</v>
      </c>
      <c r="AB113" s="95" t="str">
        <f t="shared" si="5"/>
        <v>DA_WPN_SW_Steel_c_mag</v>
      </c>
      <c r="AC113" s="90" t="str">
        <f t="shared" si="6"/>
        <v>/Game/DungeonSiege/Items/Weapons/Sword/DA_WPN_SW_Steel_c_mag</v>
      </c>
      <c r="AD113" s="97" t="str">
        <f t="shared" si="7"/>
        <v>Texture2D'/Game/DungeonSiege/art/bitmaps/gui/in_game/inventory/weapons/sword/b_gui_ig_i_w_swd_036.b_gui_ig_i_w_swd_036'</v>
      </c>
      <c r="AE113" s="97" t="str">
        <f t="shared" si="8"/>
        <v>Texture2D'/Game/DungeonSiege/art/bitmaps/gui/in_game/inventory/icons/b_gui_ig_i_ic_swd_003.b_gui_ig_i_ic_swd_003'</v>
      </c>
      <c r="AF113" s="97" t="str">
        <f t="shared" si="9"/>
        <v>StaticMesh'/Game/DungeonSiege/art/meshes/weapons/sword/m_w_swd_022_AspMesh.m_w_swd_022_AspMesh'</v>
      </c>
    </row>
    <row r="114" spans="1:32" ht="15.75" thickBot="1" x14ac:dyDescent="0.3">
      <c r="A114" s="95">
        <v>112</v>
      </c>
      <c r="B114" s="95">
        <v>112</v>
      </c>
      <c r="C114" s="95">
        <f>Items!B$27+B114</f>
        <v>94371952</v>
      </c>
      <c r="D114" s="95" t="s">
        <v>3512</v>
      </c>
      <c r="E114" s="95" t="s">
        <v>3578</v>
      </c>
      <c r="F114" s="95" t="s">
        <v>3525</v>
      </c>
      <c r="G114" s="95" t="s">
        <v>3779</v>
      </c>
      <c r="H114" s="95" t="s">
        <v>3530</v>
      </c>
      <c r="I114" s="95"/>
      <c r="J114" s="95" t="b">
        <v>1</v>
      </c>
      <c r="K114" s="95"/>
      <c r="L114" s="95"/>
      <c r="M114" s="95" t="s">
        <v>3858</v>
      </c>
      <c r="N114" s="96" t="s">
        <v>5737</v>
      </c>
      <c r="O114" s="96" t="s">
        <v>3596</v>
      </c>
      <c r="P114" s="95" t="b">
        <v>1</v>
      </c>
      <c r="Q114" s="95"/>
      <c r="R114" s="95">
        <v>1</v>
      </c>
      <c r="S114" s="95">
        <v>4</v>
      </c>
      <c r="T114" s="95">
        <v>90</v>
      </c>
      <c r="U114" s="95">
        <v>134</v>
      </c>
      <c r="V114" s="95" t="s">
        <v>3536</v>
      </c>
      <c r="W114" s="95">
        <v>0.5</v>
      </c>
      <c r="X114" s="81">
        <v>17</v>
      </c>
      <c r="Y114" s="81">
        <v>30</v>
      </c>
      <c r="Z114" s="81" t="s">
        <v>2384</v>
      </c>
      <c r="AA114" s="81">
        <v>35</v>
      </c>
      <c r="AB114" s="95" t="str">
        <f t="shared" si="5"/>
        <v>DA_WPN_SW_Steel_c_str</v>
      </c>
      <c r="AC114" s="90" t="str">
        <f t="shared" si="6"/>
        <v>/Game/DungeonSiege/Items/Weapons/Sword/DA_WPN_SW_Steel_c_str</v>
      </c>
      <c r="AD114" s="97" t="str">
        <f t="shared" si="7"/>
        <v>Texture2D'/Game/DungeonSiege/art/bitmaps/gui/in_game/inventory/weapons/sword/b_gui_ig_i_w_swd_030.b_gui_ig_i_w_swd_030'</v>
      </c>
      <c r="AE114" s="97" t="str">
        <f t="shared" si="8"/>
        <v>Texture2D'/Game/DungeonSiege/art/bitmaps/gui/in_game/inventory/icons/b_gui_ig_i_ic_swd_003.b_gui_ig_i_ic_swd_003'</v>
      </c>
      <c r="AF114" s="97" t="str">
        <f t="shared" si="9"/>
        <v>StaticMesh'/Game/DungeonSiege/art/meshes/weapons/sword/m_w_swd_018_AspMesh.m_w_swd_018_AspMesh'</v>
      </c>
    </row>
    <row r="115" spans="1:32" ht="15.75" thickBot="1" x14ac:dyDescent="0.3">
      <c r="A115" s="95">
        <v>113</v>
      </c>
      <c r="B115" s="95">
        <v>113</v>
      </c>
      <c r="C115" s="95">
        <f>Items!B$27+B115</f>
        <v>94371953</v>
      </c>
      <c r="D115" s="95" t="s">
        <v>3513</v>
      </c>
      <c r="E115" s="95" t="s">
        <v>3578</v>
      </c>
      <c r="F115" s="95" t="s">
        <v>3525</v>
      </c>
      <c r="G115" s="95" t="s">
        <v>3784</v>
      </c>
      <c r="H115" s="95" t="s">
        <v>3528</v>
      </c>
      <c r="I115" s="95"/>
      <c r="J115" s="95" t="b">
        <v>1</v>
      </c>
      <c r="K115" s="95"/>
      <c r="L115" s="95"/>
      <c r="M115" s="95" t="s">
        <v>3859</v>
      </c>
      <c r="N115" s="96" t="s">
        <v>5738</v>
      </c>
      <c r="O115" s="96" t="s">
        <v>3598</v>
      </c>
      <c r="P115" s="95" t="b">
        <v>1</v>
      </c>
      <c r="Q115" s="95"/>
      <c r="R115" s="95">
        <v>1</v>
      </c>
      <c r="S115" s="95">
        <v>4</v>
      </c>
      <c r="T115" s="95">
        <v>57</v>
      </c>
      <c r="U115" s="95">
        <v>85</v>
      </c>
      <c r="V115" s="95" t="s">
        <v>3536</v>
      </c>
      <c r="W115" s="95">
        <v>0.5</v>
      </c>
      <c r="X115" s="81">
        <v>6</v>
      </c>
      <c r="Y115" s="81">
        <v>15</v>
      </c>
      <c r="Z115" s="81" t="s">
        <v>2384</v>
      </c>
      <c r="AA115" s="81">
        <v>26</v>
      </c>
      <c r="AB115" s="95" t="str">
        <f t="shared" si="5"/>
        <v>DA_WPN_SW_Steel_o_avg</v>
      </c>
      <c r="AC115" s="90" t="str">
        <f t="shared" si="6"/>
        <v>/Game/DungeonSiege/Items/Weapons/Sword/DA_WPN_SW_Steel_o_avg</v>
      </c>
      <c r="AD115" s="97" t="str">
        <f t="shared" si="7"/>
        <v>Texture2D'/Game/DungeonSiege/art/bitmaps/gui/in_game/inventory/weapons/sword/b_gui_ig_i_w_swd_027.b_gui_ig_i_w_swd_027'</v>
      </c>
      <c r="AE115" s="97" t="str">
        <f t="shared" si="8"/>
        <v>Texture2D'/Game/DungeonSiege/art/bitmaps/gui/in_game/inventory/icons/b_gui_ig_i_ic_swd_005.b_gui_ig_i_ic_swd_005'</v>
      </c>
      <c r="AF115" s="97" t="str">
        <f t="shared" si="9"/>
        <v>StaticMesh'/Game/DungeonSiege/art/meshes/weapons/sword/m_w_swd_015_AspMesh.m_w_swd_015_AspMesh'</v>
      </c>
    </row>
    <row r="116" spans="1:32" ht="15.75" thickBot="1" x14ac:dyDescent="0.3">
      <c r="A116" s="95">
        <v>114</v>
      </c>
      <c r="B116" s="95">
        <v>114</v>
      </c>
      <c r="C116" s="95">
        <f>Items!B$27+B116</f>
        <v>94371954</v>
      </c>
      <c r="D116" s="95" t="s">
        <v>3514</v>
      </c>
      <c r="E116" s="95" t="s">
        <v>3578</v>
      </c>
      <c r="F116" s="95" t="s">
        <v>3525</v>
      </c>
      <c r="G116" s="95" t="s">
        <v>3779</v>
      </c>
      <c r="H116" s="95" t="s">
        <v>3532</v>
      </c>
      <c r="I116" s="95"/>
      <c r="J116" s="95" t="b">
        <v>1</v>
      </c>
      <c r="K116" s="95"/>
      <c r="L116" s="95"/>
      <c r="M116" s="95" t="s">
        <v>3860</v>
      </c>
      <c r="N116" s="96" t="s">
        <v>5739</v>
      </c>
      <c r="O116" s="96" t="s">
        <v>3598</v>
      </c>
      <c r="P116" s="95" t="b">
        <v>1</v>
      </c>
      <c r="Q116" s="95"/>
      <c r="R116" s="95">
        <v>1</v>
      </c>
      <c r="S116" s="95">
        <v>4</v>
      </c>
      <c r="T116" s="95">
        <v>74</v>
      </c>
      <c r="U116" s="95">
        <v>111</v>
      </c>
      <c r="V116" s="95" t="s">
        <v>3536</v>
      </c>
      <c r="W116" s="95">
        <v>0.5</v>
      </c>
      <c r="X116" s="81">
        <v>10</v>
      </c>
      <c r="Y116" s="81">
        <v>23</v>
      </c>
      <c r="Z116" s="81" t="s">
        <v>2384</v>
      </c>
      <c r="AA116" s="81">
        <v>31</v>
      </c>
      <c r="AB116" s="95" t="str">
        <f t="shared" si="5"/>
        <v>DA_WPN_SW_Steel_o_fin</v>
      </c>
      <c r="AC116" s="90" t="str">
        <f t="shared" si="6"/>
        <v>/Game/DungeonSiege/Items/Weapons/Sword/DA_WPN_SW_Steel_o_fin</v>
      </c>
      <c r="AD116" s="97" t="str">
        <f t="shared" si="7"/>
        <v>Texture2D'/Game/DungeonSiege/art/bitmaps/gui/in_game/inventory/weapons/sword/b_gui_ig_i_w_swd_032.b_gui_ig_i_w_swd_032'</v>
      </c>
      <c r="AE116" s="97" t="str">
        <f t="shared" si="8"/>
        <v>Texture2D'/Game/DungeonSiege/art/bitmaps/gui/in_game/inventory/icons/b_gui_ig_i_ic_swd_005.b_gui_ig_i_ic_swd_005'</v>
      </c>
      <c r="AF116" s="97" t="str">
        <f t="shared" si="9"/>
        <v>StaticMesh'/Game/DungeonSiege/art/meshes/weapons/sword/m_w_swd_018_AspMesh.m_w_swd_018_AspMesh'</v>
      </c>
    </row>
    <row r="117" spans="1:32" ht="15.75" thickBot="1" x14ac:dyDescent="0.3">
      <c r="A117" s="95">
        <v>115</v>
      </c>
      <c r="B117" s="95">
        <v>115</v>
      </c>
      <c r="C117" s="95">
        <f>Items!B$27+B117</f>
        <v>94371955</v>
      </c>
      <c r="D117" s="95" t="s">
        <v>3515</v>
      </c>
      <c r="E117" s="95" t="s">
        <v>3578</v>
      </c>
      <c r="F117" s="95" t="s">
        <v>3525</v>
      </c>
      <c r="G117" s="95" t="s">
        <v>3796</v>
      </c>
      <c r="H117" s="95" t="s">
        <v>3533</v>
      </c>
      <c r="I117" s="95"/>
      <c r="J117" s="95" t="b">
        <v>1</v>
      </c>
      <c r="K117" s="95"/>
      <c r="L117" s="95"/>
      <c r="M117" s="95" t="s">
        <v>3861</v>
      </c>
      <c r="N117" s="96" t="s">
        <v>5736</v>
      </c>
      <c r="O117" s="96" t="s">
        <v>3598</v>
      </c>
      <c r="P117" s="95" t="b">
        <v>1</v>
      </c>
      <c r="Q117" s="95"/>
      <c r="R117" s="95">
        <v>1</v>
      </c>
      <c r="S117" s="95">
        <v>4</v>
      </c>
      <c r="T117" s="95">
        <v>153</v>
      </c>
      <c r="U117" s="95">
        <v>229</v>
      </c>
      <c r="V117" s="95" t="s">
        <v>3536</v>
      </c>
      <c r="W117" s="95">
        <v>0.5</v>
      </c>
      <c r="X117" s="81">
        <v>40</v>
      </c>
      <c r="Y117" s="81">
        <v>55</v>
      </c>
      <c r="Z117" s="81" t="s">
        <v>2384</v>
      </c>
      <c r="AA117" s="81">
        <v>54</v>
      </c>
      <c r="AB117" s="95" t="str">
        <f t="shared" si="5"/>
        <v>DA_WPN_SW_Steel_o_mag</v>
      </c>
      <c r="AC117" s="90" t="str">
        <f t="shared" si="6"/>
        <v>/Game/DungeonSiege/Items/Weapons/Sword/DA_WPN_SW_Steel_o_mag</v>
      </c>
      <c r="AD117" s="97" t="str">
        <f t="shared" si="7"/>
        <v>Texture2D'/Game/DungeonSiege/art/bitmaps/gui/in_game/inventory/weapons/sword/b_gui_ig_i_w_swd_036.b_gui_ig_i_w_swd_036'</v>
      </c>
      <c r="AE117" s="97" t="str">
        <f t="shared" si="8"/>
        <v>Texture2D'/Game/DungeonSiege/art/bitmaps/gui/in_game/inventory/icons/b_gui_ig_i_ic_swd_005.b_gui_ig_i_ic_swd_005'</v>
      </c>
      <c r="AF117" s="97" t="str">
        <f t="shared" si="9"/>
        <v>StaticMesh'/Game/DungeonSiege/art/meshes/weapons/sword/m_w_swd_022_AspMesh.m_w_swd_022_AspMesh'</v>
      </c>
    </row>
    <row r="118" spans="1:32" ht="15.75" thickBot="1" x14ac:dyDescent="0.3">
      <c r="A118" s="95">
        <v>116</v>
      </c>
      <c r="B118" s="95">
        <v>116</v>
      </c>
      <c r="C118" s="95">
        <f>Items!B$27+B118</f>
        <v>94371956</v>
      </c>
      <c r="D118" s="95" t="s">
        <v>3516</v>
      </c>
      <c r="E118" s="95" t="s">
        <v>3578</v>
      </c>
      <c r="F118" s="95" t="s">
        <v>3525</v>
      </c>
      <c r="G118" s="95" t="s">
        <v>3765</v>
      </c>
      <c r="H118" s="95" t="s">
        <v>3534</v>
      </c>
      <c r="I118" s="95"/>
      <c r="J118" s="95" t="b">
        <v>1</v>
      </c>
      <c r="K118" s="95"/>
      <c r="L118" s="95"/>
      <c r="M118" s="95" t="s">
        <v>3862</v>
      </c>
      <c r="N118" s="96" t="s">
        <v>5740</v>
      </c>
      <c r="O118" s="96" t="s">
        <v>3598</v>
      </c>
      <c r="P118" s="95" t="b">
        <v>1</v>
      </c>
      <c r="Q118" s="95"/>
      <c r="R118" s="95">
        <v>1</v>
      </c>
      <c r="S118" s="95">
        <v>4</v>
      </c>
      <c r="T118" s="95">
        <v>107</v>
      </c>
      <c r="U118" s="95">
        <v>160</v>
      </c>
      <c r="V118" s="95" t="s">
        <v>3536</v>
      </c>
      <c r="W118" s="95">
        <v>0.5</v>
      </c>
      <c r="X118" s="81">
        <v>25</v>
      </c>
      <c r="Y118" s="81">
        <v>37</v>
      </c>
      <c r="Z118" s="81" t="s">
        <v>2384</v>
      </c>
      <c r="AA118" s="81">
        <v>40</v>
      </c>
      <c r="AB118" s="95" t="str">
        <f t="shared" si="5"/>
        <v>DA_WPN_SW_Steel_o_str</v>
      </c>
      <c r="AC118" s="90" t="str">
        <f t="shared" si="6"/>
        <v>/Game/DungeonSiege/Items/Weapons/Sword/DA_WPN_SW_Steel_o_str</v>
      </c>
      <c r="AD118" s="97" t="str">
        <f t="shared" si="7"/>
        <v>Texture2D'/Game/DungeonSiege/art/bitmaps/gui/in_game/inventory/weapons/sword/b_gui_ig_i_w_swd_038.b_gui_ig_i_w_swd_038'</v>
      </c>
      <c r="AE118" s="97" t="str">
        <f t="shared" si="8"/>
        <v>Texture2D'/Game/DungeonSiege/art/bitmaps/gui/in_game/inventory/icons/b_gui_ig_i_ic_swd_005.b_gui_ig_i_ic_swd_005'</v>
      </c>
      <c r="AF118" s="97" t="str">
        <f t="shared" si="9"/>
        <v>StaticMesh'/Game/DungeonSiege/art/meshes/weapons/sword/m_w_swd_020_AspMesh.m_w_swd_020_AspMesh'</v>
      </c>
    </row>
    <row r="119" spans="1:32" ht="15.75" thickBot="1" x14ac:dyDescent="0.3">
      <c r="A119" s="95">
        <v>117</v>
      </c>
      <c r="B119" s="95">
        <v>117</v>
      </c>
      <c r="C119" s="95">
        <f>Items!B$27+B119</f>
        <v>94371957</v>
      </c>
      <c r="D119" s="95" t="s">
        <v>3517</v>
      </c>
      <c r="E119" s="95" t="s">
        <v>3579</v>
      </c>
      <c r="F119" s="95" t="s">
        <v>3525</v>
      </c>
      <c r="G119" s="95" t="s">
        <v>3797</v>
      </c>
      <c r="H119" s="95" t="s">
        <v>3527</v>
      </c>
      <c r="I119" s="95"/>
      <c r="J119" s="95"/>
      <c r="K119" s="95"/>
      <c r="L119" s="95" t="b">
        <v>1</v>
      </c>
      <c r="M119" s="95" t="s">
        <v>3708</v>
      </c>
      <c r="N119" s="96" t="s">
        <v>3709</v>
      </c>
      <c r="O119" s="96" t="s">
        <v>3539</v>
      </c>
      <c r="P119" s="95" t="b">
        <v>1</v>
      </c>
      <c r="Q119" s="95" t="s">
        <v>3537</v>
      </c>
      <c r="R119" s="95">
        <v>1</v>
      </c>
      <c r="S119" s="95">
        <v>4</v>
      </c>
      <c r="T119" s="95">
        <v>124</v>
      </c>
      <c r="U119" s="95">
        <v>152</v>
      </c>
      <c r="V119" s="95" t="s">
        <v>3536</v>
      </c>
      <c r="W119" s="95">
        <v>0.5</v>
      </c>
      <c r="X119" s="81">
        <v>15</v>
      </c>
      <c r="Y119" s="81">
        <v>37</v>
      </c>
      <c r="Z119" s="81" t="s">
        <v>2384</v>
      </c>
      <c r="AA119" s="81">
        <v>40</v>
      </c>
      <c r="AB119" s="95" t="str">
        <f t="shared" si="5"/>
        <v>DA_WPN_SW_SwordBreaker_base</v>
      </c>
      <c r="AC119" s="90" t="str">
        <f t="shared" si="6"/>
        <v>/Game/DungeonSiege/Items/Weapons/Sword/DA_WPN_SW_SwordBreaker_base</v>
      </c>
      <c r="AD119" s="97" t="str">
        <f t="shared" si="7"/>
        <v>Texture2D'/Game/DungeonSiege/art/bitmaps/gui/in_game/inventory/weapons/sword/b_gui_ig_i_w_swd_084.b_gui_ig_i_w_swd_084'</v>
      </c>
      <c r="AE119" s="97" t="str">
        <f t="shared" si="8"/>
        <v>Texture2D'/Game/DungeonSiege/art/bitmaps/gui/in_game/inventory/icons/b_gui_ig_i_ic_swd_007.b_gui_ig_i_ic_swd_007'</v>
      </c>
      <c r="AF119" s="97" t="str">
        <f t="shared" si="9"/>
        <v>StaticMesh'/Game/DungeonSiege/art/meshes/weapons/sword/m_w_swd_051_AspMesh.m_w_swd_051_AspMesh'</v>
      </c>
    </row>
    <row r="120" spans="1:32" ht="15.75" thickBot="1" x14ac:dyDescent="0.3">
      <c r="A120" s="95">
        <v>118</v>
      </c>
      <c r="B120" s="95">
        <v>118</v>
      </c>
      <c r="C120" s="95">
        <f>Items!B$27+B120</f>
        <v>94371958</v>
      </c>
      <c r="D120" s="95" t="s">
        <v>3518</v>
      </c>
      <c r="E120" s="95" t="s">
        <v>3518</v>
      </c>
      <c r="F120" s="95" t="s">
        <v>3525</v>
      </c>
      <c r="G120" s="95" t="s">
        <v>3763</v>
      </c>
      <c r="H120" s="95"/>
      <c r="I120" s="95" t="b">
        <v>1</v>
      </c>
      <c r="J120" s="95"/>
      <c r="K120" s="95"/>
      <c r="L120" s="95"/>
      <c r="M120" s="95" t="s">
        <v>3706</v>
      </c>
      <c r="N120" s="96" t="s">
        <v>3707</v>
      </c>
      <c r="O120" s="96" t="s">
        <v>3584</v>
      </c>
      <c r="P120" s="95" t="b">
        <v>0</v>
      </c>
      <c r="Q120" s="95"/>
      <c r="R120" s="95">
        <v>1</v>
      </c>
      <c r="S120" s="95">
        <v>3</v>
      </c>
      <c r="T120" s="95">
        <v>3</v>
      </c>
      <c r="U120" s="95">
        <v>11</v>
      </c>
      <c r="V120" s="95" t="s">
        <v>3536</v>
      </c>
      <c r="W120" s="95">
        <v>0.5</v>
      </c>
      <c r="X120" s="81">
        <v>0</v>
      </c>
      <c r="Y120" s="81">
        <v>0</v>
      </c>
      <c r="Z120" s="81"/>
      <c r="AA120" s="81"/>
      <c r="AB120" s="95" t="str">
        <f t="shared" si="5"/>
        <v>DA_WPN_SW_TarnishedGladius</v>
      </c>
      <c r="AC120" s="90" t="str">
        <f t="shared" si="6"/>
        <v>/Game/DungeonSiege/Items/Weapons/Sword/DA_WPN_SW_TarnishedGladius</v>
      </c>
      <c r="AD120" s="97" t="str">
        <f t="shared" si="7"/>
        <v>Texture2D'/Game/DungeonSiege/art/bitmaps/gui/in_game/inventory/weapons/sword/b_gui_ig_i_w_swd_002.b_gui_ig_i_w_swd_002'</v>
      </c>
      <c r="AE120" s="97" t="str">
        <f t="shared" si="8"/>
        <v>Texture2D'/Game/DungeonSiege/art/bitmaps/gui/in_game/inventory/icons/b_gui_ig_i_ic_swd_001.b_gui_ig_i_ic_swd_001'</v>
      </c>
      <c r="AF120" s="97" t="str">
        <f t="shared" si="9"/>
        <v>StaticMesh'/Game/DungeonSiege/art/meshes/weapons/sword/m_w_swd_013_AspMesh.m_w_swd_013_AspMesh'</v>
      </c>
    </row>
    <row r="121" spans="1:32" ht="23.25" thickBot="1" x14ac:dyDescent="0.3">
      <c r="A121" s="95">
        <v>119</v>
      </c>
      <c r="B121" s="95">
        <v>119</v>
      </c>
      <c r="C121" s="95">
        <f>Items!B$27+B121</f>
        <v>94371959</v>
      </c>
      <c r="D121" s="95" t="s">
        <v>3519</v>
      </c>
      <c r="E121" s="95" t="s">
        <v>3580</v>
      </c>
      <c r="F121" s="95" t="s">
        <v>3524</v>
      </c>
      <c r="G121" s="95" t="s">
        <v>3765</v>
      </c>
      <c r="H121" s="95" t="s">
        <v>3527</v>
      </c>
      <c r="I121" s="95"/>
      <c r="J121" s="95" t="b">
        <v>1</v>
      </c>
      <c r="K121" s="95"/>
      <c r="L121" s="95"/>
      <c r="M121" s="95" t="s">
        <v>3705</v>
      </c>
      <c r="N121" s="96" t="s">
        <v>3610</v>
      </c>
      <c r="O121" s="96" t="s">
        <v>3539</v>
      </c>
      <c r="P121" s="95" t="b">
        <v>1</v>
      </c>
      <c r="Q121" s="95"/>
      <c r="R121" s="95">
        <v>1</v>
      </c>
      <c r="S121" s="95">
        <v>4</v>
      </c>
      <c r="T121" s="95">
        <v>75</v>
      </c>
      <c r="U121" s="95">
        <v>77</v>
      </c>
      <c r="V121" s="95" t="s">
        <v>3535</v>
      </c>
      <c r="W121" s="95">
        <v>0.5</v>
      </c>
      <c r="X121" s="81">
        <v>0</v>
      </c>
      <c r="Y121" s="81">
        <v>1</v>
      </c>
      <c r="Z121" s="81" t="s">
        <v>2384</v>
      </c>
      <c r="AA121" s="81">
        <v>26</v>
      </c>
      <c r="AB121" s="95" t="str">
        <f t="shared" si="5"/>
        <v>DA_WPN_SW_TrogGreatSword_base</v>
      </c>
      <c r="AC121" s="90" t="str">
        <f t="shared" si="6"/>
        <v>/Game/DungeonSiege/Items/Weapons/Sword/DA_WPN_SW_TrogGreatSword_base</v>
      </c>
      <c r="AD121" s="97" t="str">
        <f t="shared" si="7"/>
        <v>Texture2D'/Game/DungeonSiege/art/bitmaps/gui/in_game/inventory/weapons/sword/b_gui_ig_i_w_swd_023.b_gui_ig_i_w_swd_023'</v>
      </c>
      <c r="AE121" s="97" t="str">
        <f t="shared" si="8"/>
        <v>Texture2D'/Game/DungeonSiege/art/bitmaps/gui/in_game/inventory/icons/b_gui_ig_i_ic_swd_007.b_gui_ig_i_ic_swd_007'</v>
      </c>
      <c r="AF121" s="97" t="str">
        <f t="shared" si="9"/>
        <v>StaticMesh'/Game/DungeonSiege/art/meshes/weapons/sword/m_w_swd_020_AspMesh.m_w_swd_020_AspMesh'</v>
      </c>
    </row>
    <row r="122" spans="1:32" ht="23.25" thickBot="1" x14ac:dyDescent="0.3">
      <c r="A122" s="95">
        <v>120</v>
      </c>
      <c r="B122" s="95">
        <v>120</v>
      </c>
      <c r="C122" s="95">
        <f>Items!B$27+B122</f>
        <v>94371960</v>
      </c>
      <c r="D122" s="95" t="s">
        <v>3520</v>
      </c>
      <c r="E122" s="95" t="s">
        <v>3581</v>
      </c>
      <c r="F122" s="95" t="s">
        <v>3525</v>
      </c>
      <c r="G122" s="95" t="s">
        <v>3798</v>
      </c>
      <c r="H122" s="95" t="s">
        <v>3527</v>
      </c>
      <c r="I122" s="95"/>
      <c r="J122" s="95"/>
      <c r="K122" s="95"/>
      <c r="L122" s="95" t="b">
        <v>1</v>
      </c>
      <c r="M122" s="95" t="s">
        <v>3703</v>
      </c>
      <c r="N122" s="96" t="s">
        <v>3704</v>
      </c>
      <c r="O122" s="96" t="s">
        <v>3598</v>
      </c>
      <c r="P122" s="95" t="b">
        <v>1</v>
      </c>
      <c r="Q122" s="95" t="s">
        <v>3537</v>
      </c>
      <c r="R122" s="95">
        <v>1</v>
      </c>
      <c r="S122" s="95">
        <v>4</v>
      </c>
      <c r="T122" s="95">
        <v>153</v>
      </c>
      <c r="U122" s="95">
        <v>207</v>
      </c>
      <c r="V122" s="95" t="s">
        <v>3536</v>
      </c>
      <c r="W122" s="95">
        <v>0.5</v>
      </c>
      <c r="X122" s="81">
        <v>40</v>
      </c>
      <c r="Y122" s="81">
        <v>52</v>
      </c>
      <c r="Z122" s="81" t="s">
        <v>2384</v>
      </c>
      <c r="AA122" s="81">
        <v>49</v>
      </c>
      <c r="AB122" s="95" t="str">
        <f t="shared" si="5"/>
        <v>DA_WPN_SW_TwistedSword_base</v>
      </c>
      <c r="AC122" s="90" t="str">
        <f t="shared" si="6"/>
        <v>/Game/DungeonSiege/Items/Weapons/Sword/DA_WPN_SW_TwistedSword_base</v>
      </c>
      <c r="AD122" s="97" t="str">
        <f t="shared" si="7"/>
        <v>Texture2D'/Game/DungeonSiege/art/bitmaps/gui/in_game/inventory/weapons/sword/b_gui_ig_i_w_swd_090.b_gui_ig_i_w_swd_090'</v>
      </c>
      <c r="AE122" s="97" t="str">
        <f t="shared" si="8"/>
        <v>Texture2D'/Game/DungeonSiege/art/bitmaps/gui/in_game/inventory/icons/b_gui_ig_i_ic_swd_005.b_gui_ig_i_ic_swd_005'</v>
      </c>
      <c r="AF122" s="97" t="str">
        <f t="shared" si="9"/>
        <v>StaticMesh'/Game/DungeonSiege/art/meshes/weapons/sword/m_w_swd_057_AspMesh.m_w_swd_057_AspMesh'</v>
      </c>
    </row>
    <row r="123" spans="1:32" ht="15.75" thickBot="1" x14ac:dyDescent="0.3">
      <c r="A123" s="95">
        <v>121</v>
      </c>
      <c r="B123" s="95">
        <v>121</v>
      </c>
      <c r="C123" s="95">
        <f>Items!B$27+B123</f>
        <v>94371961</v>
      </c>
      <c r="D123" s="95" t="s">
        <v>3521</v>
      </c>
      <c r="E123" s="95" t="s">
        <v>3582</v>
      </c>
      <c r="F123" s="95" t="s">
        <v>3524</v>
      </c>
      <c r="G123" s="95" t="s">
        <v>3799</v>
      </c>
      <c r="H123" s="95" t="s">
        <v>3527</v>
      </c>
      <c r="I123" s="95"/>
      <c r="J123" s="95"/>
      <c r="K123" s="95"/>
      <c r="L123" s="95" t="b">
        <v>1</v>
      </c>
      <c r="M123" s="95" t="s">
        <v>3702</v>
      </c>
      <c r="N123" s="96" t="s">
        <v>3701</v>
      </c>
      <c r="O123" s="96" t="s">
        <v>3539</v>
      </c>
      <c r="P123" s="95" t="b">
        <v>1</v>
      </c>
      <c r="Q123" s="95" t="s">
        <v>3537</v>
      </c>
      <c r="R123" s="95">
        <v>1</v>
      </c>
      <c r="S123" s="95">
        <v>4</v>
      </c>
      <c r="T123" s="95">
        <v>168</v>
      </c>
      <c r="U123" s="95">
        <v>228</v>
      </c>
      <c r="V123" s="95" t="s">
        <v>3535</v>
      </c>
      <c r="W123" s="95">
        <v>0.5</v>
      </c>
      <c r="X123" s="81">
        <v>17</v>
      </c>
      <c r="Y123" s="81">
        <v>42</v>
      </c>
      <c r="Z123" s="81" t="s">
        <v>2384</v>
      </c>
      <c r="AA123" s="81">
        <v>44</v>
      </c>
      <c r="AB123" s="95" t="str">
        <f t="shared" si="5"/>
        <v>DA_WPN_SW_UnionSword_base</v>
      </c>
      <c r="AC123" s="90" t="str">
        <f t="shared" si="6"/>
        <v>/Game/DungeonSiege/Items/Weapons/Sword/DA_WPN_SW_UnionSword_base</v>
      </c>
      <c r="AD123" s="97" t="str">
        <f t="shared" si="7"/>
        <v>Texture2D'/Game/DungeonSiege/art/bitmaps/gui/in_game/inventory/weapons/sword/b_gui_ig_i_w_swd_022.b_gui_ig_i_w_swd_022'</v>
      </c>
      <c r="AE123" s="97" t="str">
        <f t="shared" si="8"/>
        <v>Texture2D'/Game/DungeonSiege/art/bitmaps/gui/in_game/inventory/icons/b_gui_ig_i_ic_swd_007.b_gui_ig_i_ic_swd_007'</v>
      </c>
      <c r="AF123" s="97" t="str">
        <f t="shared" si="9"/>
        <v>StaticMesh'/Game/DungeonSiege/art/meshes/weapons/sword/m_w_swd_052_AspMesh.m_w_swd_052_AspMesh'</v>
      </c>
    </row>
    <row r="124" spans="1:32" ht="15.75" thickBot="1" x14ac:dyDescent="0.3">
      <c r="A124" s="95">
        <v>122</v>
      </c>
      <c r="B124" s="95">
        <v>122</v>
      </c>
      <c r="C124" s="95">
        <f>Items!B$27+B124</f>
        <v>94371962</v>
      </c>
      <c r="D124" s="95" t="s">
        <v>3522</v>
      </c>
      <c r="E124" s="95" t="s">
        <v>3583</v>
      </c>
      <c r="F124" s="95" t="s">
        <v>3525</v>
      </c>
      <c r="G124" s="95" t="s">
        <v>3763</v>
      </c>
      <c r="H124" s="95" t="s">
        <v>3527</v>
      </c>
      <c r="I124" s="95"/>
      <c r="J124" s="95"/>
      <c r="K124" s="95" t="b">
        <v>1</v>
      </c>
      <c r="L124" s="95" t="b">
        <v>1</v>
      </c>
      <c r="M124" s="95" t="s">
        <v>3700</v>
      </c>
      <c r="N124" s="96" t="s">
        <v>3633</v>
      </c>
      <c r="O124" s="96" t="s">
        <v>3586</v>
      </c>
      <c r="P124" s="95" t="b">
        <v>1</v>
      </c>
      <c r="Q124" s="95" t="s">
        <v>3537</v>
      </c>
      <c r="R124" s="95">
        <v>1</v>
      </c>
      <c r="S124" s="95">
        <v>3</v>
      </c>
      <c r="T124" s="95">
        <v>16</v>
      </c>
      <c r="U124" s="95">
        <v>56</v>
      </c>
      <c r="V124" s="95" t="s">
        <v>3536</v>
      </c>
      <c r="W124" s="95">
        <v>0.5</v>
      </c>
      <c r="X124" s="81">
        <v>3</v>
      </c>
      <c r="Y124" s="81">
        <v>14</v>
      </c>
      <c r="Z124" s="81" t="s">
        <v>2384</v>
      </c>
      <c r="AA124" s="81">
        <v>17</v>
      </c>
      <c r="AB124" s="95" t="str">
        <f t="shared" si="5"/>
        <v>DA_WPN_SW_ViciousBlade_base</v>
      </c>
      <c r="AC124" s="90" t="str">
        <f t="shared" si="6"/>
        <v>/Game/DungeonSiege/Items/Weapons/Sword/DA_WPN_SW_ViciousBlade_base</v>
      </c>
      <c r="AD124" s="97" t="str">
        <f t="shared" si="7"/>
        <v>Texture2D'/Game/DungeonSiege/art/bitmaps/gui/in_game/inventory/weapons/sword/b_gui_ig_i_w_swd_014.b_gui_ig_i_w_swd_014'</v>
      </c>
      <c r="AE124" s="97" t="str">
        <f t="shared" si="8"/>
        <v>Texture2D'/Game/DungeonSiege/art/bitmaps/gui/in_game/inventory/icons/b_gui_ig_i_ic_swd_002.b_gui_ig_i_ic_swd_002'</v>
      </c>
      <c r="AF124" s="97" t="str">
        <f t="shared" si="9"/>
        <v>StaticMesh'/Game/DungeonSiege/art/meshes/weapons/sword/m_w_swd_013_AspMesh.m_w_swd_013_AspMesh'</v>
      </c>
    </row>
    <row r="125" spans="1:32" ht="15.75" thickBot="1" x14ac:dyDescent="0.3">
      <c r="A125" s="95">
        <v>123</v>
      </c>
      <c r="B125" s="95">
        <v>123</v>
      </c>
      <c r="C125" s="95">
        <f>Items!B$27+B125</f>
        <v>94371963</v>
      </c>
      <c r="D125" s="95" t="s">
        <v>3523</v>
      </c>
      <c r="E125" s="95" t="s">
        <v>3523</v>
      </c>
      <c r="F125" s="95" t="s">
        <v>3524</v>
      </c>
      <c r="G125" s="95" t="s">
        <v>3765</v>
      </c>
      <c r="H125" s="95"/>
      <c r="I125" s="95" t="b">
        <v>1</v>
      </c>
      <c r="J125" s="95"/>
      <c r="K125" s="95"/>
      <c r="L125" s="95"/>
      <c r="M125" s="95" t="s">
        <v>3699</v>
      </c>
      <c r="N125" s="96" t="s">
        <v>3701</v>
      </c>
      <c r="O125" s="96" t="s">
        <v>3539</v>
      </c>
      <c r="P125" s="95" t="b">
        <v>0</v>
      </c>
      <c r="Q125" s="95"/>
      <c r="R125" s="95">
        <v>1</v>
      </c>
      <c r="S125" s="95">
        <v>4</v>
      </c>
      <c r="T125" s="95">
        <v>72</v>
      </c>
      <c r="U125" s="95">
        <v>108</v>
      </c>
      <c r="V125" s="95" t="s">
        <v>3535</v>
      </c>
      <c r="W125" s="95">
        <v>0.5</v>
      </c>
      <c r="X125" s="81">
        <v>0</v>
      </c>
      <c r="Y125" s="81">
        <v>0</v>
      </c>
      <c r="Z125" s="81" t="s">
        <v>2384</v>
      </c>
      <c r="AA125" s="81">
        <v>26</v>
      </c>
      <c r="AB125" s="95" t="str">
        <f t="shared" si="5"/>
        <v>DA_WPN_SW_WornGreatSteel</v>
      </c>
      <c r="AC125" s="90" t="str">
        <f t="shared" si="6"/>
        <v>/Game/DungeonSiege/Items/Weapons/Sword/DA_WPN_SW_WornGreatSteel</v>
      </c>
      <c r="AD125" s="97" t="str">
        <f t="shared" si="7"/>
        <v>Texture2D'/Game/DungeonSiege/art/bitmaps/gui/in_game/inventory/weapons/sword/b_gui_ig_i_w_swd_022.b_gui_ig_i_w_swd_022'</v>
      </c>
      <c r="AE125" s="97" t="str">
        <f t="shared" si="8"/>
        <v>Texture2D'/Game/DungeonSiege/art/bitmaps/gui/in_game/inventory/icons/b_gui_ig_i_ic_swd_007.b_gui_ig_i_ic_swd_007'</v>
      </c>
      <c r="AF125" s="97" t="str">
        <f t="shared" si="9"/>
        <v>StaticMesh'/Game/DungeonSiege/art/meshes/weapons/sword/m_w_swd_020_AspMesh.m_w_swd_020_AspMesh'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ExportWeapons_Sword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0</xdr:col>
                    <xdr:colOff>1000125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4A3C3-BB0E-47B8-8300-6380EB0C62F9}">
  <sheetPr codeName="Sheet15"/>
  <dimension ref="A1:AE38"/>
  <sheetViews>
    <sheetView zoomScale="190" zoomScaleNormal="190" workbookViewId="0">
      <selection activeCell="D5" sqref="D5"/>
    </sheetView>
  </sheetViews>
  <sheetFormatPr defaultRowHeight="15" x14ac:dyDescent="0.25"/>
  <cols>
    <col min="1" max="1" width="14.85546875" style="1" customWidth="1"/>
    <col min="2" max="2" width="11.140625" style="1" customWidth="1"/>
    <col min="3" max="3" width="18.85546875" style="1" bestFit="1" customWidth="1"/>
    <col min="4" max="4" width="17" style="1" bestFit="1" customWidth="1"/>
    <col min="5" max="5" width="4.28515625" style="1" bestFit="1" customWidth="1"/>
    <col min="6" max="6" width="17.42578125" style="1" bestFit="1" customWidth="1"/>
    <col min="7" max="7" width="5.5703125" style="1" bestFit="1" customWidth="1"/>
    <col min="8" max="8" width="7" style="1" bestFit="1" customWidth="1"/>
    <col min="9" max="11" width="4.7109375" style="1" bestFit="1" customWidth="1"/>
    <col min="12" max="12" width="22.42578125" style="1" bestFit="1" customWidth="1"/>
    <col min="13" max="13" width="17.5703125" style="1" bestFit="1" customWidth="1"/>
    <col min="14" max="14" width="17.28515625" style="1" bestFit="1" customWidth="1"/>
    <col min="15" max="15" width="9.7109375" style="1" customWidth="1"/>
    <col min="16" max="16" width="6.28515625" style="1" bestFit="1" customWidth="1"/>
    <col min="17" max="18" width="8.42578125" style="1" bestFit="1" customWidth="1"/>
    <col min="19" max="19" width="9.140625" style="1"/>
    <col min="20" max="20" width="8.5703125" style="1" bestFit="1" customWidth="1"/>
    <col min="21" max="21" width="6" style="1" bestFit="1" customWidth="1"/>
    <col min="22" max="22" width="5.85546875" style="1" bestFit="1" customWidth="1"/>
    <col min="23" max="23" width="9" style="1" bestFit="1" customWidth="1"/>
    <col min="24" max="24" width="8.5703125" style="1" bestFit="1" customWidth="1"/>
    <col min="25" max="26" width="9.28515625" style="1" bestFit="1" customWidth="1"/>
    <col min="27" max="27" width="28" style="1" bestFit="1" customWidth="1"/>
    <col min="28" max="28" width="59" style="91" bestFit="1" customWidth="1"/>
    <col min="29" max="29" width="82.140625" style="91" bestFit="1" customWidth="1"/>
    <col min="30" max="30" width="75.5703125" style="91" bestFit="1" customWidth="1"/>
    <col min="31" max="31" width="81" style="91" bestFit="1" customWidth="1"/>
    <col min="32" max="16384" width="9.140625" style="1"/>
  </cols>
  <sheetData>
    <row r="1" spans="1:31" s="84" customFormat="1" ht="34.5" thickBot="1" x14ac:dyDescent="0.3">
      <c r="A1" s="30"/>
      <c r="B1" s="30" t="s">
        <v>28</v>
      </c>
      <c r="C1" s="30" t="s">
        <v>0</v>
      </c>
      <c r="D1" s="30" t="s">
        <v>3401</v>
      </c>
      <c r="E1" s="30" t="s">
        <v>3391</v>
      </c>
      <c r="F1" s="67" t="s">
        <v>3400</v>
      </c>
      <c r="G1" s="67" t="s">
        <v>3526</v>
      </c>
      <c r="H1" s="80" t="s">
        <v>2908</v>
      </c>
      <c r="I1" s="80" t="s">
        <v>2909</v>
      </c>
      <c r="J1" s="80" t="s">
        <v>2910</v>
      </c>
      <c r="K1" s="80" t="s">
        <v>2911</v>
      </c>
      <c r="L1" s="30" t="s">
        <v>2495</v>
      </c>
      <c r="M1" s="67" t="s">
        <v>406</v>
      </c>
      <c r="N1" s="67" t="s">
        <v>3399</v>
      </c>
      <c r="O1" s="67" t="s">
        <v>3398</v>
      </c>
      <c r="P1" s="67" t="s">
        <v>678</v>
      </c>
      <c r="Q1" s="67" t="s">
        <v>2502</v>
      </c>
      <c r="R1" s="67" t="s">
        <v>2501</v>
      </c>
      <c r="S1" s="30" t="s">
        <v>3392</v>
      </c>
      <c r="T1" s="30" t="s">
        <v>3393</v>
      </c>
      <c r="U1" s="30" t="s">
        <v>3394</v>
      </c>
      <c r="V1" s="30" t="s">
        <v>3395</v>
      </c>
      <c r="W1" s="30" t="s">
        <v>3397</v>
      </c>
      <c r="X1" s="30" t="s">
        <v>3396</v>
      </c>
      <c r="Y1" s="30" t="s">
        <v>2906</v>
      </c>
      <c r="Z1" s="30" t="s">
        <v>2907</v>
      </c>
      <c r="AA1" s="89" t="s">
        <v>335</v>
      </c>
      <c r="AB1" s="93" t="s">
        <v>334</v>
      </c>
      <c r="AC1" s="92" t="s">
        <v>5628</v>
      </c>
      <c r="AD1" s="92" t="s">
        <v>5629</v>
      </c>
      <c r="AE1" s="92" t="s">
        <v>5630</v>
      </c>
    </row>
    <row r="2" spans="1:31" ht="15.75" thickBot="1" x14ac:dyDescent="0.3">
      <c r="A2" s="44">
        <v>0</v>
      </c>
      <c r="B2" s="44">
        <f>A2+Items!B$22</f>
        <v>89128960</v>
      </c>
      <c r="C2" s="69" t="s">
        <v>3886</v>
      </c>
      <c r="D2" s="85" t="s">
        <v>3886</v>
      </c>
      <c r="E2" s="85" t="s">
        <v>3525</v>
      </c>
      <c r="F2" s="44" t="s">
        <v>3937</v>
      </c>
      <c r="G2" s="44"/>
      <c r="H2" s="85" t="b">
        <v>1</v>
      </c>
      <c r="I2" s="85" t="b">
        <v>1</v>
      </c>
      <c r="J2" s="85"/>
      <c r="K2" s="85"/>
      <c r="L2" s="86" t="s">
        <v>3897</v>
      </c>
      <c r="M2" s="44" t="s">
        <v>3938</v>
      </c>
      <c r="N2" s="44" t="s">
        <v>3934</v>
      </c>
      <c r="O2" s="44" t="b">
        <v>1</v>
      </c>
      <c r="P2" s="44"/>
      <c r="Q2" s="44">
        <v>1</v>
      </c>
      <c r="R2" s="44">
        <v>3</v>
      </c>
      <c r="S2" s="87">
        <v>7</v>
      </c>
      <c r="T2" s="85">
        <v>10</v>
      </c>
      <c r="U2" s="44"/>
      <c r="V2" s="44">
        <v>0.5</v>
      </c>
      <c r="W2" s="44">
        <v>0</v>
      </c>
      <c r="X2" s="44">
        <v>1</v>
      </c>
      <c r="Y2" s="44"/>
      <c r="Z2" s="44"/>
      <c r="AA2" s="44" t="str">
        <f>CONCATENATE("DA_WPN_HM_",SUBSTITUTE(SUBSTITUTE(SUBSTITUTE(C2," ",""),"(","_"),")",""))</f>
        <v>DA_WPN_HM_Hammer</v>
      </c>
      <c r="AB2" s="90" t="str">
        <f>"/Game/DungeonSiege/Items/Weapons/Hammer/" &amp; AA2</f>
        <v>/Game/DungeonSiege/Items/Weapons/Hammer/DA_WPN_HM_Hammer</v>
      </c>
      <c r="AC2" s="94" t="str">
        <f>CONCATENATE("Texture2D'/Game/DungeonSiege/art/bitmaps/gui/in_game/inventory/weapons/hammer/",M2,".",M2,"'")</f>
        <v>Texture2D'/Game/DungeonSiege/art/bitmaps/gui/in_game/inventory/weapons/hammer/b_gui_ig_i_w_hmr_014.b_gui_ig_i_w_hmr_014'</v>
      </c>
      <c r="AD2" s="94" t="str">
        <f t="shared" ref="AD2:AD38" si="0">CONCATENATE("Texture2D'/Game/DungeonSiege/art/bitmaps/gui/in_game/inventory/icons/",N2,".",N2,"'")</f>
        <v>Texture2D'/Game/DungeonSiege/art/bitmaps/gui/in_game/inventory/icons/b_gui_ig_i_ic_hmr_001.b_gui_ig_i_ic_hmr_001'</v>
      </c>
      <c r="AE2" s="94" t="str">
        <f>CONCATENATE("StaticMesh'/Game/DungeonSiege/art/meshes/weapons/hammer/",F2,"_AspMesh.",F2,"_AspMesh'")</f>
        <v>StaticMesh'/Game/DungeonSiege/art/meshes/weapons/hammer/m_w_hmr_009_AspMesh.m_w_hmr_009_AspMesh'</v>
      </c>
    </row>
    <row r="3" spans="1:31" ht="15.75" thickBot="1" x14ac:dyDescent="0.3">
      <c r="A3" s="44">
        <v>1</v>
      </c>
      <c r="B3" s="44">
        <f>A3+Items!B$22</f>
        <v>89128961</v>
      </c>
      <c r="C3" s="69" t="s">
        <v>5631</v>
      </c>
      <c r="D3" s="85" t="s">
        <v>3886</v>
      </c>
      <c r="E3" s="85" t="s">
        <v>3525</v>
      </c>
      <c r="F3" s="44" t="s">
        <v>3937</v>
      </c>
      <c r="G3" s="44"/>
      <c r="H3" s="85" t="b">
        <v>1</v>
      </c>
      <c r="I3" s="85" t="b">
        <v>1</v>
      </c>
      <c r="J3" s="85"/>
      <c r="K3" s="85"/>
      <c r="L3" s="86" t="s">
        <v>3898</v>
      </c>
      <c r="M3" s="44" t="s">
        <v>3939</v>
      </c>
      <c r="N3" s="44" t="s">
        <v>3934</v>
      </c>
      <c r="O3" s="44" t="b">
        <v>1</v>
      </c>
      <c r="P3" s="44"/>
      <c r="Q3" s="44">
        <v>1</v>
      </c>
      <c r="R3" s="44">
        <v>3</v>
      </c>
      <c r="S3" s="87">
        <v>11</v>
      </c>
      <c r="T3" s="85">
        <v>17</v>
      </c>
      <c r="U3" s="44"/>
      <c r="V3" s="44">
        <v>0.5</v>
      </c>
      <c r="W3" s="44">
        <v>1</v>
      </c>
      <c r="X3" s="44">
        <v>3</v>
      </c>
      <c r="Y3" s="44" t="s">
        <v>2384</v>
      </c>
      <c r="Z3" s="44">
        <v>12</v>
      </c>
      <c r="AA3" s="44" t="str">
        <f t="shared" ref="AA3:AA31" si="1">CONCATENATE("DA_WPN_HM_",SUBSTITUTE(SUBSTITUTE(SUBSTITUTE(C3," ",""),"(","_"),")",""))</f>
        <v>DA_WPN_HM_Hammer_c_fin</v>
      </c>
      <c r="AB3" s="90" t="str">
        <f t="shared" ref="AB3:AB38" si="2">"/Game/DungeonSiege/Items/Weapons/Hammer/" &amp; AA3</f>
        <v>/Game/DungeonSiege/Items/Weapons/Hammer/DA_WPN_HM_Hammer_c_fin</v>
      </c>
      <c r="AC3" s="94" t="str">
        <f t="shared" ref="AC3:AC38" si="3">CONCATENATE("Texture2D'/Game/DungeonSiege/art/bitmaps/gui/in_game/inventory/weapons/hammer/",M3,".",M3,"'")</f>
        <v>Texture2D'/Game/DungeonSiege/art/bitmaps/gui/in_game/inventory/weapons/hammer/b_gui_ig_i_w_hmr_015.b_gui_ig_i_w_hmr_015'</v>
      </c>
      <c r="AD3" s="94" t="str">
        <f t="shared" si="0"/>
        <v>Texture2D'/Game/DungeonSiege/art/bitmaps/gui/in_game/inventory/icons/b_gui_ig_i_ic_hmr_001.b_gui_ig_i_ic_hmr_001'</v>
      </c>
      <c r="AE3" s="94" t="str">
        <f t="shared" ref="AE3:AE38" si="4">CONCATENATE("StaticMesh'/Game/DungeonSiege/art/meshes/weapons/hammer/",F3,"_AspMesh.",F3,"_AspMesh'")</f>
        <v>StaticMesh'/Game/DungeonSiege/art/meshes/weapons/hammer/m_w_hmr_009_AspMesh.m_w_hmr_009_AspMesh'</v>
      </c>
    </row>
    <row r="4" spans="1:31" ht="15.75" thickBot="1" x14ac:dyDescent="0.3">
      <c r="A4" s="44">
        <v>2</v>
      </c>
      <c r="B4" s="44">
        <f>A4+Items!B$22</f>
        <v>89128962</v>
      </c>
      <c r="C4" s="69" t="s">
        <v>5632</v>
      </c>
      <c r="D4" s="85" t="s">
        <v>3886</v>
      </c>
      <c r="E4" s="85" t="s">
        <v>3525</v>
      </c>
      <c r="F4" s="44" t="s">
        <v>3940</v>
      </c>
      <c r="G4" s="44"/>
      <c r="H4" s="85" t="b">
        <v>1</v>
      </c>
      <c r="I4" s="85" t="b">
        <v>1</v>
      </c>
      <c r="J4" s="85"/>
      <c r="K4" s="85"/>
      <c r="L4" s="86" t="s">
        <v>3899</v>
      </c>
      <c r="M4" s="44" t="s">
        <v>3947</v>
      </c>
      <c r="N4" s="44" t="s">
        <v>3934</v>
      </c>
      <c r="O4" s="44" t="b">
        <v>1</v>
      </c>
      <c r="P4" s="44"/>
      <c r="Q4" s="44">
        <v>1</v>
      </c>
      <c r="R4" s="44">
        <v>3</v>
      </c>
      <c r="S4" s="87">
        <v>57</v>
      </c>
      <c r="T4" s="85">
        <v>85</v>
      </c>
      <c r="U4" s="44"/>
      <c r="V4" s="44">
        <v>0.5</v>
      </c>
      <c r="W4" s="44">
        <v>16</v>
      </c>
      <c r="X4" s="44">
        <v>22</v>
      </c>
      <c r="Y4" s="44" t="s">
        <v>2384</v>
      </c>
      <c r="Z4" s="44">
        <v>26</v>
      </c>
      <c r="AA4" s="44" t="str">
        <f t="shared" si="1"/>
        <v>DA_WPN_HM_Hammer_c_mag</v>
      </c>
      <c r="AB4" s="90" t="str">
        <f t="shared" si="2"/>
        <v>/Game/DungeonSiege/Items/Weapons/Hammer/DA_WPN_HM_Hammer_c_mag</v>
      </c>
      <c r="AC4" s="94" t="str">
        <f t="shared" si="3"/>
        <v>Texture2D'/Game/DungeonSiege/art/bitmaps/gui/in_game/inventory/weapons/hammer/b_gui_ig_i_w_hmr_017.b_gui_ig_i_w_hmr_017'</v>
      </c>
      <c r="AD4" s="94" t="str">
        <f t="shared" si="0"/>
        <v>Texture2D'/Game/DungeonSiege/art/bitmaps/gui/in_game/inventory/icons/b_gui_ig_i_ic_hmr_001.b_gui_ig_i_ic_hmr_001'</v>
      </c>
      <c r="AE4" s="94" t="str">
        <f t="shared" si="4"/>
        <v>StaticMesh'/Game/DungeonSiege/art/meshes/weapons/hammer/m_w_hmr_011_AspMesh.m_w_hmr_011_AspMesh'</v>
      </c>
    </row>
    <row r="5" spans="1:31" ht="15.75" thickBot="1" x14ac:dyDescent="0.3">
      <c r="A5" s="44">
        <v>3</v>
      </c>
      <c r="B5" s="44">
        <f>A5+Items!B$22</f>
        <v>89128963</v>
      </c>
      <c r="C5" s="69" t="s">
        <v>5633</v>
      </c>
      <c r="D5" s="85" t="s">
        <v>3886</v>
      </c>
      <c r="E5" s="85" t="s">
        <v>3525</v>
      </c>
      <c r="F5" s="44" t="s">
        <v>3937</v>
      </c>
      <c r="G5" s="44"/>
      <c r="H5" s="85" t="b">
        <v>1</v>
      </c>
      <c r="I5" s="85" t="b">
        <v>1</v>
      </c>
      <c r="J5" s="85"/>
      <c r="K5" s="85"/>
      <c r="L5" s="86" t="s">
        <v>3900</v>
      </c>
      <c r="M5" s="44" t="s">
        <v>3946</v>
      </c>
      <c r="N5" s="44" t="s">
        <v>3934</v>
      </c>
      <c r="O5" s="44" t="b">
        <v>1</v>
      </c>
      <c r="P5" s="44"/>
      <c r="Q5" s="44">
        <v>1</v>
      </c>
      <c r="R5" s="44">
        <v>3</v>
      </c>
      <c r="S5" s="87">
        <v>34</v>
      </c>
      <c r="T5" s="85">
        <v>51</v>
      </c>
      <c r="U5" s="44"/>
      <c r="V5" s="44">
        <v>0.5</v>
      </c>
      <c r="W5" s="44">
        <v>9</v>
      </c>
      <c r="X5" s="44">
        <v>14</v>
      </c>
      <c r="Y5" s="44" t="s">
        <v>2384</v>
      </c>
      <c r="Z5" s="44">
        <v>18</v>
      </c>
      <c r="AA5" s="44" t="str">
        <f t="shared" si="1"/>
        <v>DA_WPN_HM_Hammer_c_str</v>
      </c>
      <c r="AB5" s="90" t="str">
        <f t="shared" si="2"/>
        <v>/Game/DungeonSiege/Items/Weapons/Hammer/DA_WPN_HM_Hammer_c_str</v>
      </c>
      <c r="AC5" s="94" t="str">
        <f t="shared" si="3"/>
        <v>Texture2D'/Game/DungeonSiege/art/bitmaps/gui/in_game/inventory/weapons/hammer/b_gui_ig_i_w_hmr_016.b_gui_ig_i_w_hmr_016'</v>
      </c>
      <c r="AD5" s="94" t="str">
        <f t="shared" si="0"/>
        <v>Texture2D'/Game/DungeonSiege/art/bitmaps/gui/in_game/inventory/icons/b_gui_ig_i_ic_hmr_001.b_gui_ig_i_ic_hmr_001'</v>
      </c>
      <c r="AE5" s="94" t="str">
        <f t="shared" si="4"/>
        <v>StaticMesh'/Game/DungeonSiege/art/meshes/weapons/hammer/m_w_hmr_009_AspMesh.m_w_hmr_009_AspMesh'</v>
      </c>
    </row>
    <row r="6" spans="1:31" ht="15.75" thickBot="1" x14ac:dyDescent="0.3">
      <c r="A6" s="44">
        <v>4</v>
      </c>
      <c r="B6" s="44">
        <f>A6+Items!B$22</f>
        <v>89128964</v>
      </c>
      <c r="C6" s="69" t="s">
        <v>5634</v>
      </c>
      <c r="D6" s="85" t="s">
        <v>3886</v>
      </c>
      <c r="E6" s="85" t="s">
        <v>3525</v>
      </c>
      <c r="F6" s="44" t="s">
        <v>3941</v>
      </c>
      <c r="G6" s="44"/>
      <c r="H6" s="85" t="b">
        <v>1</v>
      </c>
      <c r="I6" s="85" t="b">
        <v>1</v>
      </c>
      <c r="J6" s="85"/>
      <c r="K6" s="85"/>
      <c r="L6" s="86" t="s">
        <v>3901</v>
      </c>
      <c r="M6" s="44" t="s">
        <v>3945</v>
      </c>
      <c r="N6" s="44" t="s">
        <v>3934</v>
      </c>
      <c r="O6" s="44" t="b">
        <v>1</v>
      </c>
      <c r="P6" s="44"/>
      <c r="Q6" s="44">
        <v>1</v>
      </c>
      <c r="R6" s="44">
        <v>3</v>
      </c>
      <c r="S6" s="87">
        <v>16</v>
      </c>
      <c r="T6" s="85">
        <v>24</v>
      </c>
      <c r="U6" s="44"/>
      <c r="V6" s="44">
        <v>0.5</v>
      </c>
      <c r="W6" s="44">
        <v>2</v>
      </c>
      <c r="X6" s="44">
        <v>6</v>
      </c>
      <c r="Y6" s="44" t="s">
        <v>2384</v>
      </c>
      <c r="Z6" s="44">
        <v>13</v>
      </c>
      <c r="AA6" s="44" t="str">
        <f t="shared" si="1"/>
        <v>DA_WPN_HM_Hammer_o_avg</v>
      </c>
      <c r="AB6" s="90" t="str">
        <f t="shared" si="2"/>
        <v>/Game/DungeonSiege/Items/Weapons/Hammer/DA_WPN_HM_Hammer_o_avg</v>
      </c>
      <c r="AC6" s="94" t="str">
        <f t="shared" si="3"/>
        <v>Texture2D'/Game/DungeonSiege/art/bitmaps/gui/in_game/inventory/weapons/hammer/b_gui_ig_i_w_hmr_026.b_gui_ig_i_w_hmr_026'</v>
      </c>
      <c r="AD6" s="94" t="str">
        <f t="shared" si="0"/>
        <v>Texture2D'/Game/DungeonSiege/art/bitmaps/gui/in_game/inventory/icons/b_gui_ig_i_ic_hmr_001.b_gui_ig_i_ic_hmr_001'</v>
      </c>
      <c r="AE6" s="94" t="str">
        <f t="shared" si="4"/>
        <v>StaticMesh'/Game/DungeonSiege/art/meshes/weapons/hammer/m_w_hmr_010_AspMesh.m_w_hmr_010_AspMesh'</v>
      </c>
    </row>
    <row r="7" spans="1:31" ht="15.75" thickBot="1" x14ac:dyDescent="0.3">
      <c r="A7" s="44">
        <v>5</v>
      </c>
      <c r="B7" s="44">
        <f>A7+Items!B$22</f>
        <v>89128965</v>
      </c>
      <c r="C7" s="69" t="s">
        <v>5635</v>
      </c>
      <c r="D7" s="85" t="s">
        <v>3886</v>
      </c>
      <c r="E7" s="85" t="s">
        <v>3525</v>
      </c>
      <c r="F7" s="44" t="s">
        <v>3940</v>
      </c>
      <c r="G7" s="44"/>
      <c r="H7" s="85" t="b">
        <v>1</v>
      </c>
      <c r="I7" s="85" t="b">
        <v>1</v>
      </c>
      <c r="J7" s="85"/>
      <c r="K7" s="85"/>
      <c r="L7" s="86" t="s">
        <v>3902</v>
      </c>
      <c r="M7" s="44" t="s">
        <v>3944</v>
      </c>
      <c r="N7" s="44" t="s">
        <v>3934</v>
      </c>
      <c r="O7" s="44" t="b">
        <v>1</v>
      </c>
      <c r="P7" s="44"/>
      <c r="Q7" s="44">
        <v>1</v>
      </c>
      <c r="R7" s="44">
        <v>3</v>
      </c>
      <c r="S7" s="87">
        <v>24</v>
      </c>
      <c r="T7" s="85">
        <v>36</v>
      </c>
      <c r="U7" s="44"/>
      <c r="V7" s="44">
        <v>0.5</v>
      </c>
      <c r="W7" s="44">
        <v>5</v>
      </c>
      <c r="X7" s="44">
        <v>10</v>
      </c>
      <c r="Y7" s="44" t="s">
        <v>2384</v>
      </c>
      <c r="Z7" s="44">
        <v>16</v>
      </c>
      <c r="AA7" s="44" t="str">
        <f t="shared" si="1"/>
        <v>DA_WPN_HM_Hammer_o_fin</v>
      </c>
      <c r="AB7" s="90" t="str">
        <f t="shared" si="2"/>
        <v>/Game/DungeonSiege/Items/Weapons/Hammer/DA_WPN_HM_Hammer_o_fin</v>
      </c>
      <c r="AC7" s="94" t="str">
        <f t="shared" si="3"/>
        <v>Texture2D'/Game/DungeonSiege/art/bitmaps/gui/in_game/inventory/weapons/hammer/b_gui_ig_i_w_hmr_027.b_gui_ig_i_w_hmr_027'</v>
      </c>
      <c r="AD7" s="94" t="str">
        <f t="shared" si="0"/>
        <v>Texture2D'/Game/DungeonSiege/art/bitmaps/gui/in_game/inventory/icons/b_gui_ig_i_ic_hmr_001.b_gui_ig_i_ic_hmr_001'</v>
      </c>
      <c r="AE7" s="94" t="str">
        <f t="shared" si="4"/>
        <v>StaticMesh'/Game/DungeonSiege/art/meshes/weapons/hammer/m_w_hmr_011_AspMesh.m_w_hmr_011_AspMesh'</v>
      </c>
    </row>
    <row r="8" spans="1:31" ht="15.75" thickBot="1" x14ac:dyDescent="0.3">
      <c r="A8" s="44">
        <v>6</v>
      </c>
      <c r="B8" s="44">
        <f>A8+Items!B$22</f>
        <v>89128966</v>
      </c>
      <c r="C8" s="69" t="s">
        <v>5636</v>
      </c>
      <c r="D8" s="85" t="s">
        <v>3886</v>
      </c>
      <c r="E8" s="85" t="s">
        <v>3525</v>
      </c>
      <c r="F8" s="44" t="s">
        <v>3940</v>
      </c>
      <c r="G8" s="44"/>
      <c r="H8" s="85" t="b">
        <v>1</v>
      </c>
      <c r="I8" s="85" t="b">
        <v>1</v>
      </c>
      <c r="J8" s="85"/>
      <c r="K8" s="85"/>
      <c r="L8" s="86" t="s">
        <v>3903</v>
      </c>
      <c r="M8" s="44" t="s">
        <v>3943</v>
      </c>
      <c r="N8" s="44" t="s">
        <v>3934</v>
      </c>
      <c r="O8" s="44" t="b">
        <v>1</v>
      </c>
      <c r="P8" s="44"/>
      <c r="Q8" s="44">
        <v>1</v>
      </c>
      <c r="R8" s="44">
        <v>3</v>
      </c>
      <c r="S8" s="87">
        <v>72</v>
      </c>
      <c r="T8" s="85">
        <v>108</v>
      </c>
      <c r="U8" s="44"/>
      <c r="V8" s="44">
        <v>0.5</v>
      </c>
      <c r="W8" s="44">
        <v>20</v>
      </c>
      <c r="X8" s="44">
        <v>25</v>
      </c>
      <c r="Y8" s="44" t="s">
        <v>2384</v>
      </c>
      <c r="Z8" s="44">
        <v>30</v>
      </c>
      <c r="AA8" s="44" t="str">
        <f t="shared" si="1"/>
        <v>DA_WPN_HM_Hammer_o_mag</v>
      </c>
      <c r="AB8" s="90" t="str">
        <f t="shared" si="2"/>
        <v>/Game/DungeonSiege/Items/Weapons/Hammer/DA_WPN_HM_Hammer_o_mag</v>
      </c>
      <c r="AC8" s="94" t="str">
        <f t="shared" si="3"/>
        <v>Texture2D'/Game/DungeonSiege/art/bitmaps/gui/in_game/inventory/weapons/hammer/b_gui_ig_i_w_hmr_029.b_gui_ig_i_w_hmr_029'</v>
      </c>
      <c r="AD8" s="94" t="str">
        <f t="shared" si="0"/>
        <v>Texture2D'/Game/DungeonSiege/art/bitmaps/gui/in_game/inventory/icons/b_gui_ig_i_ic_hmr_001.b_gui_ig_i_ic_hmr_001'</v>
      </c>
      <c r="AE8" s="94" t="str">
        <f t="shared" si="4"/>
        <v>StaticMesh'/Game/DungeonSiege/art/meshes/weapons/hammer/m_w_hmr_011_AspMesh.m_w_hmr_011_AspMesh'</v>
      </c>
    </row>
    <row r="9" spans="1:31" ht="15.75" thickBot="1" x14ac:dyDescent="0.3">
      <c r="A9" s="44">
        <v>7</v>
      </c>
      <c r="B9" s="44">
        <f>A9+Items!B$22</f>
        <v>89128967</v>
      </c>
      <c r="C9" s="69" t="s">
        <v>5637</v>
      </c>
      <c r="D9" s="85" t="s">
        <v>3886</v>
      </c>
      <c r="E9" s="85" t="s">
        <v>3525</v>
      </c>
      <c r="F9" s="44" t="s">
        <v>3941</v>
      </c>
      <c r="G9" s="44"/>
      <c r="H9" s="85" t="b">
        <v>1</v>
      </c>
      <c r="I9" s="85" t="b">
        <v>1</v>
      </c>
      <c r="J9" s="85"/>
      <c r="K9" s="85"/>
      <c r="L9" s="86" t="s">
        <v>3904</v>
      </c>
      <c r="M9" s="44" t="s">
        <v>3942</v>
      </c>
      <c r="N9" s="44" t="s">
        <v>3934</v>
      </c>
      <c r="O9" s="44" t="b">
        <v>1</v>
      </c>
      <c r="P9" s="44"/>
      <c r="Q9" s="44">
        <v>1</v>
      </c>
      <c r="R9" s="44">
        <v>3</v>
      </c>
      <c r="S9" s="87">
        <v>45</v>
      </c>
      <c r="T9" s="85">
        <v>68</v>
      </c>
      <c r="U9" s="44"/>
      <c r="V9" s="44">
        <v>0.5</v>
      </c>
      <c r="W9" s="44">
        <v>12</v>
      </c>
      <c r="X9" s="44">
        <v>19</v>
      </c>
      <c r="Y9" s="44" t="s">
        <v>2384</v>
      </c>
      <c r="Z9" s="44">
        <v>22</v>
      </c>
      <c r="AA9" s="44" t="str">
        <f t="shared" si="1"/>
        <v>DA_WPN_HM_Hammer_o_str</v>
      </c>
      <c r="AB9" s="90" t="str">
        <f t="shared" si="2"/>
        <v>/Game/DungeonSiege/Items/Weapons/Hammer/DA_WPN_HM_Hammer_o_str</v>
      </c>
      <c r="AC9" s="94" t="str">
        <f t="shared" si="3"/>
        <v>Texture2D'/Game/DungeonSiege/art/bitmaps/gui/in_game/inventory/weapons/hammer/b_gui_ig_i_w_hmr_028.b_gui_ig_i_w_hmr_028'</v>
      </c>
      <c r="AD9" s="94" t="str">
        <f t="shared" si="0"/>
        <v>Texture2D'/Game/DungeonSiege/art/bitmaps/gui/in_game/inventory/icons/b_gui_ig_i_ic_hmr_001.b_gui_ig_i_ic_hmr_001'</v>
      </c>
      <c r="AE9" s="94" t="str">
        <f t="shared" si="4"/>
        <v>StaticMesh'/Game/DungeonSiege/art/meshes/weapons/hammer/m_w_hmr_010_AspMesh.m_w_hmr_010_AspMesh'</v>
      </c>
    </row>
    <row r="10" spans="1:31" ht="15.75" thickBot="1" x14ac:dyDescent="0.3">
      <c r="A10" s="44">
        <v>8</v>
      </c>
      <c r="B10" s="44">
        <f>A10+Items!B$22</f>
        <v>89128968</v>
      </c>
      <c r="C10" s="69" t="s">
        <v>3887</v>
      </c>
      <c r="D10" s="85" t="s">
        <v>3887</v>
      </c>
      <c r="E10" s="85" t="s">
        <v>3525</v>
      </c>
      <c r="F10" s="44" t="s">
        <v>3948</v>
      </c>
      <c r="G10" s="44"/>
      <c r="H10" s="85" t="b">
        <v>1</v>
      </c>
      <c r="I10" s="85"/>
      <c r="J10" s="85"/>
      <c r="K10" s="85"/>
      <c r="L10" s="86" t="s">
        <v>3905</v>
      </c>
      <c r="M10" s="44" t="s">
        <v>3949</v>
      </c>
      <c r="N10" s="44" t="s">
        <v>3934</v>
      </c>
      <c r="O10" s="44" t="b">
        <v>0</v>
      </c>
      <c r="P10" s="44"/>
      <c r="Q10" s="44">
        <v>1</v>
      </c>
      <c r="R10" s="44">
        <v>3</v>
      </c>
      <c r="S10" s="87">
        <v>5</v>
      </c>
      <c r="T10" s="85">
        <v>7</v>
      </c>
      <c r="U10" s="44"/>
      <c r="V10" s="44">
        <v>0.5</v>
      </c>
      <c r="W10" s="44"/>
      <c r="X10" s="44"/>
      <c r="Y10" s="44"/>
      <c r="Z10" s="44"/>
      <c r="AA10" s="44" t="str">
        <f t="shared" si="1"/>
        <v>DA_WPN_HM_CommonHammer</v>
      </c>
      <c r="AB10" s="90" t="str">
        <f t="shared" si="2"/>
        <v>/Game/DungeonSiege/Items/Weapons/Hammer/DA_WPN_HM_CommonHammer</v>
      </c>
      <c r="AC10" s="94" t="str">
        <f t="shared" si="3"/>
        <v>Texture2D'/Game/DungeonSiege/art/bitmaps/gui/in_game/inventory/weapons/hammer/b_gui_ig_i_w_hmr_013.b_gui_ig_i_w_hmr_013'</v>
      </c>
      <c r="AD10" s="94" t="str">
        <f t="shared" si="0"/>
        <v>Texture2D'/Game/DungeonSiege/art/bitmaps/gui/in_game/inventory/icons/b_gui_ig_i_ic_hmr_001.b_gui_ig_i_ic_hmr_001'</v>
      </c>
      <c r="AE10" s="94" t="str">
        <f t="shared" si="4"/>
        <v>StaticMesh'/Game/DungeonSiege/art/meshes/weapons/hammer/m_w_hmr_008_AspMesh.m_w_hmr_008_AspMesh'</v>
      </c>
    </row>
    <row r="11" spans="1:31" ht="15.75" thickBot="1" x14ac:dyDescent="0.3">
      <c r="A11" s="44">
        <v>9</v>
      </c>
      <c r="B11" s="44">
        <f>A11+Items!B$22</f>
        <v>89128969</v>
      </c>
      <c r="C11" s="69" t="s">
        <v>3888</v>
      </c>
      <c r="D11" s="85" t="s">
        <v>3888</v>
      </c>
      <c r="E11" s="85" t="s">
        <v>3525</v>
      </c>
      <c r="F11" s="44" t="s">
        <v>3948</v>
      </c>
      <c r="G11" s="44"/>
      <c r="H11" s="85" t="b">
        <v>1</v>
      </c>
      <c r="I11" s="85"/>
      <c r="J11" s="85"/>
      <c r="K11" s="85"/>
      <c r="L11" s="86" t="s">
        <v>3906</v>
      </c>
      <c r="M11" s="85" t="s">
        <v>5693</v>
      </c>
      <c r="N11" s="44" t="s">
        <v>3934</v>
      </c>
      <c r="O11" s="44" t="b">
        <v>0</v>
      </c>
      <c r="P11" s="44"/>
      <c r="Q11" s="44">
        <v>1</v>
      </c>
      <c r="R11" s="44">
        <v>3</v>
      </c>
      <c r="S11" s="87">
        <v>2</v>
      </c>
      <c r="T11" s="85">
        <v>4</v>
      </c>
      <c r="U11" s="44"/>
      <c r="V11" s="44">
        <v>0.5</v>
      </c>
      <c r="W11" s="44"/>
      <c r="X11" s="44"/>
      <c r="Y11" s="44"/>
      <c r="Z11" s="44"/>
      <c r="AA11" s="44" t="str">
        <f t="shared" si="1"/>
        <v>DA_WPN_HM_WornHammer</v>
      </c>
      <c r="AB11" s="90" t="str">
        <f t="shared" si="2"/>
        <v>/Game/DungeonSiege/Items/Weapons/Hammer/DA_WPN_HM_WornHammer</v>
      </c>
      <c r="AC11" s="94" t="str">
        <f t="shared" si="3"/>
        <v>Texture2D'/Game/DungeonSiege/art/bitmaps/gui/in_game/inventory/weapons/hammer/b_gui_ig_i_w_hmr_012.b_gui_ig_i_w_hmr_012'</v>
      </c>
      <c r="AD11" s="94" t="str">
        <f t="shared" si="0"/>
        <v>Texture2D'/Game/DungeonSiege/art/bitmaps/gui/in_game/inventory/icons/b_gui_ig_i_ic_hmr_001.b_gui_ig_i_ic_hmr_001'</v>
      </c>
      <c r="AE11" s="94" t="str">
        <f t="shared" si="4"/>
        <v>StaticMesh'/Game/DungeonSiege/art/meshes/weapons/hammer/m_w_hmr_008_AspMesh.m_w_hmr_008_AspMesh'</v>
      </c>
    </row>
    <row r="12" spans="1:31" ht="15.75" thickBot="1" x14ac:dyDescent="0.3">
      <c r="A12" s="44">
        <v>10</v>
      </c>
      <c r="B12" s="44">
        <f>A12+Items!B$22</f>
        <v>89128970</v>
      </c>
      <c r="C12" s="69" t="s">
        <v>3889</v>
      </c>
      <c r="D12" s="85" t="s">
        <v>3889</v>
      </c>
      <c r="E12" s="85" t="s">
        <v>3524</v>
      </c>
      <c r="F12" s="85" t="s">
        <v>3950</v>
      </c>
      <c r="G12" s="44"/>
      <c r="H12" s="85" t="b">
        <v>1</v>
      </c>
      <c r="I12" s="85" t="b">
        <v>1</v>
      </c>
      <c r="J12" s="85"/>
      <c r="K12" s="85"/>
      <c r="L12" s="86" t="s">
        <v>3907</v>
      </c>
      <c r="M12" s="44" t="s">
        <v>3951</v>
      </c>
      <c r="N12" s="44" t="s">
        <v>3935</v>
      </c>
      <c r="O12" s="44" t="b">
        <v>1</v>
      </c>
      <c r="P12" s="44"/>
      <c r="Q12" s="44">
        <v>2</v>
      </c>
      <c r="R12" s="44">
        <v>3</v>
      </c>
      <c r="S12" s="87">
        <v>75</v>
      </c>
      <c r="T12" s="85">
        <v>91</v>
      </c>
      <c r="U12" s="44"/>
      <c r="V12" s="44">
        <v>0.5</v>
      </c>
      <c r="W12" s="44">
        <v>0</v>
      </c>
      <c r="X12" s="44">
        <v>4</v>
      </c>
      <c r="Y12" s="44" t="s">
        <v>2384</v>
      </c>
      <c r="Z12" s="44">
        <v>24</v>
      </c>
      <c r="AA12" s="44" t="str">
        <f t="shared" si="1"/>
        <v>DA_WPN_HM_Mallet</v>
      </c>
      <c r="AB12" s="90" t="str">
        <f t="shared" si="2"/>
        <v>/Game/DungeonSiege/Items/Weapons/Hammer/DA_WPN_HM_Mallet</v>
      </c>
      <c r="AC12" s="94" t="str">
        <f t="shared" si="3"/>
        <v>Texture2D'/Game/DungeonSiege/art/bitmaps/gui/in_game/inventory/weapons/hammer/b_gui_ig_i_w_hmr_020.b_gui_ig_i_w_hmr_020'</v>
      </c>
      <c r="AD12" s="94" t="str">
        <f t="shared" si="0"/>
        <v>Texture2D'/Game/DungeonSiege/art/bitmaps/gui/in_game/inventory/icons/b_gui_ig_i_ic_hmr_002.b_gui_ig_i_ic_hmr_002'</v>
      </c>
      <c r="AE12" s="94" t="str">
        <f t="shared" si="4"/>
        <v>StaticMesh'/Game/DungeonSiege/art/meshes/weapons/hammer/m_w_hmr_012_AspMesh.m_w_hmr_012_AspMesh'</v>
      </c>
    </row>
    <row r="13" spans="1:31" ht="15.75" thickBot="1" x14ac:dyDescent="0.3">
      <c r="A13" s="44">
        <v>11</v>
      </c>
      <c r="B13" s="44">
        <f>A13+Items!B$22</f>
        <v>89128971</v>
      </c>
      <c r="C13" s="69" t="s">
        <v>5638</v>
      </c>
      <c r="D13" s="85" t="s">
        <v>3889</v>
      </c>
      <c r="E13" s="85" t="s">
        <v>3524</v>
      </c>
      <c r="F13" s="44" t="s">
        <v>3954</v>
      </c>
      <c r="G13" s="44"/>
      <c r="H13" s="85" t="b">
        <v>1</v>
      </c>
      <c r="I13" s="85" t="b">
        <v>1</v>
      </c>
      <c r="J13" s="85"/>
      <c r="K13" s="85"/>
      <c r="L13" s="86" t="s">
        <v>3908</v>
      </c>
      <c r="M13" s="44" t="s">
        <v>3952</v>
      </c>
      <c r="N13" s="44" t="s">
        <v>3935</v>
      </c>
      <c r="O13" s="44" t="b">
        <v>1</v>
      </c>
      <c r="P13" s="44"/>
      <c r="Q13" s="44">
        <v>2</v>
      </c>
      <c r="R13" s="44">
        <v>3</v>
      </c>
      <c r="S13" s="87">
        <v>84</v>
      </c>
      <c r="T13" s="85">
        <v>102</v>
      </c>
      <c r="U13" s="44"/>
      <c r="V13" s="44">
        <v>0.5</v>
      </c>
      <c r="W13" s="44">
        <v>2</v>
      </c>
      <c r="X13" s="44">
        <v>11</v>
      </c>
      <c r="Y13" s="44" t="s">
        <v>2384</v>
      </c>
      <c r="Z13" s="44">
        <v>26</v>
      </c>
      <c r="AA13" s="44" t="str">
        <f t="shared" si="1"/>
        <v>DA_WPN_HM_Mallet_c_fin</v>
      </c>
      <c r="AB13" s="90" t="str">
        <f t="shared" si="2"/>
        <v>/Game/DungeonSiege/Items/Weapons/Hammer/DA_WPN_HM_Mallet_c_fin</v>
      </c>
      <c r="AC13" s="94" t="str">
        <f t="shared" si="3"/>
        <v>Texture2D'/Game/DungeonSiege/art/bitmaps/gui/in_game/inventory/weapons/hammer/b_gui_ig_i_w_hmr_021.b_gui_ig_i_w_hmr_021'</v>
      </c>
      <c r="AD13" s="94" t="str">
        <f t="shared" si="0"/>
        <v>Texture2D'/Game/DungeonSiege/art/bitmaps/gui/in_game/inventory/icons/b_gui_ig_i_ic_hmr_002.b_gui_ig_i_ic_hmr_002'</v>
      </c>
      <c r="AE13" s="94" t="str">
        <f t="shared" si="4"/>
        <v>StaticMesh'/Game/DungeonSiege/art/meshes/weapons/hammer/m_w_hmr_013_AspMesh.m_w_hmr_013_AspMesh'</v>
      </c>
    </row>
    <row r="14" spans="1:31" ht="15.75" thickBot="1" x14ac:dyDescent="0.3">
      <c r="A14" s="44">
        <v>12</v>
      </c>
      <c r="B14" s="44">
        <f>A14+Items!B$22</f>
        <v>89128972</v>
      </c>
      <c r="C14" s="69" t="s">
        <v>5639</v>
      </c>
      <c r="D14" s="85" t="s">
        <v>3889</v>
      </c>
      <c r="E14" s="85" t="s">
        <v>3524</v>
      </c>
      <c r="F14" s="44" t="s">
        <v>3955</v>
      </c>
      <c r="G14" s="44"/>
      <c r="H14" s="85" t="b">
        <v>1</v>
      </c>
      <c r="I14" s="85" t="b">
        <v>1</v>
      </c>
      <c r="J14" s="85"/>
      <c r="K14" s="85"/>
      <c r="L14" s="86" t="s">
        <v>3909</v>
      </c>
      <c r="M14" s="44" t="s">
        <v>3953</v>
      </c>
      <c r="N14" s="44" t="s">
        <v>3935</v>
      </c>
      <c r="O14" s="44" t="b">
        <v>1</v>
      </c>
      <c r="P14" s="44"/>
      <c r="Q14" s="44">
        <v>2</v>
      </c>
      <c r="R14" s="44">
        <v>3</v>
      </c>
      <c r="S14" s="87">
        <v>204</v>
      </c>
      <c r="T14" s="85">
        <v>250</v>
      </c>
      <c r="U14" s="44"/>
      <c r="V14" s="44">
        <v>0.5</v>
      </c>
      <c r="W14" s="44">
        <v>36</v>
      </c>
      <c r="X14" s="44">
        <v>50</v>
      </c>
      <c r="Y14" s="44" t="s">
        <v>2384</v>
      </c>
      <c r="Z14" s="44">
        <v>51</v>
      </c>
      <c r="AA14" s="44" t="str">
        <f t="shared" si="1"/>
        <v>DA_WPN_HM_Mallet_c_mag</v>
      </c>
      <c r="AB14" s="90" t="str">
        <f t="shared" si="2"/>
        <v>/Game/DungeonSiege/Items/Weapons/Hammer/DA_WPN_HM_Mallet_c_mag</v>
      </c>
      <c r="AC14" s="94" t="str">
        <f t="shared" si="3"/>
        <v>Texture2D'/Game/DungeonSiege/art/bitmaps/gui/in_game/inventory/weapons/hammer/b_gui_ig_i_w_hmr_023.b_gui_ig_i_w_hmr_023'</v>
      </c>
      <c r="AD14" s="94" t="str">
        <f t="shared" si="0"/>
        <v>Texture2D'/Game/DungeonSiege/art/bitmaps/gui/in_game/inventory/icons/b_gui_ig_i_ic_hmr_002.b_gui_ig_i_ic_hmr_002'</v>
      </c>
      <c r="AE14" s="94" t="str">
        <f t="shared" si="4"/>
        <v>StaticMesh'/Game/DungeonSiege/art/meshes/weapons/hammer/m_w_hmr_015_AspMesh.m_w_hmr_015_AspMesh'</v>
      </c>
    </row>
    <row r="15" spans="1:31" ht="15.75" thickBot="1" x14ac:dyDescent="0.3">
      <c r="A15" s="44">
        <v>13</v>
      </c>
      <c r="B15" s="44">
        <f>A15+Items!B$22</f>
        <v>89128973</v>
      </c>
      <c r="C15" s="69" t="s">
        <v>5640</v>
      </c>
      <c r="D15" s="85" t="s">
        <v>3889</v>
      </c>
      <c r="E15" s="85" t="s">
        <v>3524</v>
      </c>
      <c r="F15" s="44" t="s">
        <v>3961</v>
      </c>
      <c r="G15" s="44"/>
      <c r="H15" s="85" t="b">
        <v>1</v>
      </c>
      <c r="I15" s="85" t="b">
        <v>1</v>
      </c>
      <c r="J15" s="85"/>
      <c r="K15" s="85"/>
      <c r="L15" s="86" t="s">
        <v>3910</v>
      </c>
      <c r="M15" s="44" t="s">
        <v>3960</v>
      </c>
      <c r="N15" s="44" t="s">
        <v>3935</v>
      </c>
      <c r="O15" s="44" t="b">
        <v>1</v>
      </c>
      <c r="P15" s="44"/>
      <c r="Q15" s="44">
        <v>2</v>
      </c>
      <c r="R15" s="44">
        <v>3</v>
      </c>
      <c r="S15" s="87">
        <v>146</v>
      </c>
      <c r="T15" s="85">
        <v>178</v>
      </c>
      <c r="U15" s="44"/>
      <c r="V15" s="44">
        <v>0.5</v>
      </c>
      <c r="W15" s="44">
        <v>19</v>
      </c>
      <c r="X15" s="44">
        <v>35</v>
      </c>
      <c r="Y15" s="44" t="s">
        <v>2384</v>
      </c>
      <c r="Z15" s="44">
        <v>39</v>
      </c>
      <c r="AA15" s="44" t="str">
        <f t="shared" si="1"/>
        <v>DA_WPN_HM_Mallet_c_str</v>
      </c>
      <c r="AB15" s="90" t="str">
        <f t="shared" si="2"/>
        <v>/Game/DungeonSiege/Items/Weapons/Hammer/DA_WPN_HM_Mallet_c_str</v>
      </c>
      <c r="AC15" s="94" t="str">
        <f t="shared" si="3"/>
        <v>Texture2D'/Game/DungeonSiege/art/bitmaps/gui/in_game/inventory/weapons/hammer/b_gui_ig_i_w_hmr_022.b_gui_ig_i_w_hmr_022'</v>
      </c>
      <c r="AD15" s="94" t="str">
        <f t="shared" si="0"/>
        <v>Texture2D'/Game/DungeonSiege/art/bitmaps/gui/in_game/inventory/icons/b_gui_ig_i_ic_hmr_002.b_gui_ig_i_ic_hmr_002'</v>
      </c>
      <c r="AE15" s="94" t="str">
        <f t="shared" si="4"/>
        <v>StaticMesh'/Game/DungeonSiege/art/meshes/weapons/hammer/m_w_hmr_014_AspMesh.m_w_hmr_014_AspMesh'</v>
      </c>
    </row>
    <row r="16" spans="1:31" ht="15.75" thickBot="1" x14ac:dyDescent="0.3">
      <c r="A16" s="44">
        <v>14</v>
      </c>
      <c r="B16" s="44">
        <f>A16+Items!B$22</f>
        <v>89128974</v>
      </c>
      <c r="C16" s="69" t="s">
        <v>5641</v>
      </c>
      <c r="D16" s="85" t="s">
        <v>3889</v>
      </c>
      <c r="E16" s="85" t="s">
        <v>3524</v>
      </c>
      <c r="F16" s="44" t="s">
        <v>3955</v>
      </c>
      <c r="G16" s="44"/>
      <c r="H16" s="85" t="b">
        <v>1</v>
      </c>
      <c r="I16" s="85" t="b">
        <v>1</v>
      </c>
      <c r="J16" s="85"/>
      <c r="K16" s="85"/>
      <c r="L16" s="86" t="s">
        <v>3911</v>
      </c>
      <c r="M16" s="44" t="s">
        <v>3959</v>
      </c>
      <c r="N16" s="44" t="s">
        <v>3935</v>
      </c>
      <c r="O16" s="44" t="b">
        <v>1</v>
      </c>
      <c r="P16" s="44"/>
      <c r="Q16" s="44">
        <v>2</v>
      </c>
      <c r="R16" s="44">
        <v>3</v>
      </c>
      <c r="S16" s="87">
        <v>103</v>
      </c>
      <c r="T16" s="85">
        <v>125</v>
      </c>
      <c r="U16" s="44"/>
      <c r="V16" s="44">
        <v>0.5</v>
      </c>
      <c r="W16" s="44">
        <v>7</v>
      </c>
      <c r="X16" s="44">
        <v>19</v>
      </c>
      <c r="Y16" s="44" t="s">
        <v>2384</v>
      </c>
      <c r="Z16" s="44">
        <v>30</v>
      </c>
      <c r="AA16" s="44" t="str">
        <f t="shared" si="1"/>
        <v>DA_WPN_HM_Mallet_o_avg</v>
      </c>
      <c r="AB16" s="90" t="str">
        <f t="shared" si="2"/>
        <v>/Game/DungeonSiege/Items/Weapons/Hammer/DA_WPN_HM_Mallet_o_avg</v>
      </c>
      <c r="AC16" s="94" t="str">
        <f t="shared" si="3"/>
        <v>Texture2D'/Game/DungeonSiege/art/bitmaps/gui/in_game/inventory/weapons/hammer/b_gui_ig_i_w_hmr_032.b_gui_ig_i_w_hmr_032'</v>
      </c>
      <c r="AD16" s="94" t="str">
        <f t="shared" si="0"/>
        <v>Texture2D'/Game/DungeonSiege/art/bitmaps/gui/in_game/inventory/icons/b_gui_ig_i_ic_hmr_002.b_gui_ig_i_ic_hmr_002'</v>
      </c>
      <c r="AE16" s="94" t="str">
        <f t="shared" si="4"/>
        <v>StaticMesh'/Game/DungeonSiege/art/meshes/weapons/hammer/m_w_hmr_015_AspMesh.m_w_hmr_015_AspMesh'</v>
      </c>
    </row>
    <row r="17" spans="1:31" ht="15.75" thickBot="1" x14ac:dyDescent="0.3">
      <c r="A17" s="44">
        <v>15</v>
      </c>
      <c r="B17" s="44">
        <f>A17+Items!B$22</f>
        <v>89128975</v>
      </c>
      <c r="C17" s="69" t="s">
        <v>5642</v>
      </c>
      <c r="D17" s="85" t="s">
        <v>3889</v>
      </c>
      <c r="E17" s="85" t="s">
        <v>3524</v>
      </c>
      <c r="F17" s="44" t="s">
        <v>3950</v>
      </c>
      <c r="G17" s="44"/>
      <c r="H17" s="85" t="b">
        <v>1</v>
      </c>
      <c r="I17" s="85" t="b">
        <v>1</v>
      </c>
      <c r="J17" s="85"/>
      <c r="K17" s="85"/>
      <c r="L17" s="86" t="s">
        <v>3912</v>
      </c>
      <c r="M17" s="44" t="s">
        <v>3958</v>
      </c>
      <c r="N17" s="44" t="s">
        <v>3935</v>
      </c>
      <c r="O17" s="44" t="b">
        <v>1</v>
      </c>
      <c r="P17" s="44"/>
      <c r="Q17" s="44">
        <v>2</v>
      </c>
      <c r="R17" s="44">
        <v>3</v>
      </c>
      <c r="S17" s="87">
        <v>124</v>
      </c>
      <c r="T17" s="85">
        <v>152</v>
      </c>
      <c r="U17" s="44"/>
      <c r="V17" s="44">
        <v>0.5</v>
      </c>
      <c r="W17" s="44">
        <v>12</v>
      </c>
      <c r="X17" s="44">
        <v>27</v>
      </c>
      <c r="Y17" s="44" t="s">
        <v>2384</v>
      </c>
      <c r="Z17" s="44">
        <v>34</v>
      </c>
      <c r="AA17" s="44" t="str">
        <f t="shared" si="1"/>
        <v>DA_WPN_HM_Mallet_o_fin</v>
      </c>
      <c r="AB17" s="90" t="str">
        <f t="shared" si="2"/>
        <v>/Game/DungeonSiege/Items/Weapons/Hammer/DA_WPN_HM_Mallet_o_fin</v>
      </c>
      <c r="AC17" s="94" t="str">
        <f t="shared" si="3"/>
        <v>Texture2D'/Game/DungeonSiege/art/bitmaps/gui/in_game/inventory/weapons/hammer/b_gui_ig_i_w_hmr_034.b_gui_ig_i_w_hmr_034'</v>
      </c>
      <c r="AD17" s="94" t="str">
        <f t="shared" si="0"/>
        <v>Texture2D'/Game/DungeonSiege/art/bitmaps/gui/in_game/inventory/icons/b_gui_ig_i_ic_hmr_002.b_gui_ig_i_ic_hmr_002'</v>
      </c>
      <c r="AE17" s="94" t="str">
        <f t="shared" si="4"/>
        <v>StaticMesh'/Game/DungeonSiege/art/meshes/weapons/hammer/m_w_hmr_012_AspMesh.m_w_hmr_012_AspMesh'</v>
      </c>
    </row>
    <row r="18" spans="1:31" ht="15.75" thickBot="1" x14ac:dyDescent="0.3">
      <c r="A18" s="44">
        <v>16</v>
      </c>
      <c r="B18" s="44">
        <f>A18+Items!B$22</f>
        <v>89128976</v>
      </c>
      <c r="C18" s="69" t="s">
        <v>5643</v>
      </c>
      <c r="D18" s="85" t="s">
        <v>3889</v>
      </c>
      <c r="E18" s="85" t="s">
        <v>3524</v>
      </c>
      <c r="F18" s="44" t="s">
        <v>3955</v>
      </c>
      <c r="G18" s="44"/>
      <c r="H18" s="85" t="b">
        <v>1</v>
      </c>
      <c r="I18" s="85" t="b">
        <v>1</v>
      </c>
      <c r="J18" s="85"/>
      <c r="K18" s="85"/>
      <c r="L18" s="86" t="s">
        <v>3913</v>
      </c>
      <c r="M18" s="44" t="s">
        <v>3957</v>
      </c>
      <c r="N18" s="44" t="s">
        <v>3935</v>
      </c>
      <c r="O18" s="44" t="b">
        <v>1</v>
      </c>
      <c r="P18" s="44"/>
      <c r="Q18" s="44">
        <v>2</v>
      </c>
      <c r="R18" s="44">
        <v>3</v>
      </c>
      <c r="S18" s="87">
        <v>238</v>
      </c>
      <c r="T18" s="85">
        <v>290</v>
      </c>
      <c r="U18" s="44"/>
      <c r="V18" s="44">
        <v>0.5</v>
      </c>
      <c r="W18" s="44">
        <v>44</v>
      </c>
      <c r="X18" s="44">
        <v>61</v>
      </c>
      <c r="Y18" s="44" t="s">
        <v>2384</v>
      </c>
      <c r="Z18" s="44">
        <v>36</v>
      </c>
      <c r="AA18" s="44" t="str">
        <f t="shared" si="1"/>
        <v>DA_WPN_HM_Mallet_o_mag</v>
      </c>
      <c r="AB18" s="90" t="str">
        <f t="shared" si="2"/>
        <v>/Game/DungeonSiege/Items/Weapons/Hammer/DA_WPN_HM_Mallet_o_mag</v>
      </c>
      <c r="AC18" s="94" t="str">
        <f t="shared" si="3"/>
        <v>Texture2D'/Game/DungeonSiege/art/bitmaps/gui/in_game/inventory/weapons/hammer/b_gui_ig_i_w_hmr_036.b_gui_ig_i_w_hmr_036'</v>
      </c>
      <c r="AD18" s="94" t="str">
        <f t="shared" si="0"/>
        <v>Texture2D'/Game/DungeonSiege/art/bitmaps/gui/in_game/inventory/icons/b_gui_ig_i_ic_hmr_002.b_gui_ig_i_ic_hmr_002'</v>
      </c>
      <c r="AE18" s="94" t="str">
        <f t="shared" si="4"/>
        <v>StaticMesh'/Game/DungeonSiege/art/meshes/weapons/hammer/m_w_hmr_015_AspMesh.m_w_hmr_015_AspMesh'</v>
      </c>
    </row>
    <row r="19" spans="1:31" ht="15.75" thickBot="1" x14ac:dyDescent="0.3">
      <c r="A19" s="44">
        <v>17</v>
      </c>
      <c r="B19" s="44">
        <f>A19+Items!B$22</f>
        <v>89128977</v>
      </c>
      <c r="C19" s="69" t="s">
        <v>5644</v>
      </c>
      <c r="D19" s="85" t="s">
        <v>3889</v>
      </c>
      <c r="E19" s="85" t="s">
        <v>3524</v>
      </c>
      <c r="F19" s="44" t="s">
        <v>3961</v>
      </c>
      <c r="G19" s="44"/>
      <c r="H19" s="85" t="b">
        <v>1</v>
      </c>
      <c r="I19" s="85" t="b">
        <v>1</v>
      </c>
      <c r="J19" s="85"/>
      <c r="K19" s="85"/>
      <c r="L19" s="86" t="s">
        <v>3914</v>
      </c>
      <c r="M19" s="44" t="s">
        <v>3956</v>
      </c>
      <c r="N19" s="44" t="s">
        <v>3935</v>
      </c>
      <c r="O19" s="44" t="b">
        <v>1</v>
      </c>
      <c r="P19" s="44"/>
      <c r="Q19" s="44">
        <v>2</v>
      </c>
      <c r="R19" s="44">
        <v>3</v>
      </c>
      <c r="S19" s="87">
        <v>173</v>
      </c>
      <c r="T19" s="85">
        <v>211</v>
      </c>
      <c r="U19" s="44"/>
      <c r="V19" s="44">
        <v>0.5</v>
      </c>
      <c r="W19" s="44">
        <v>29</v>
      </c>
      <c r="X19" s="44">
        <v>43</v>
      </c>
      <c r="Y19" s="44" t="s">
        <v>2384</v>
      </c>
      <c r="Z19" s="44">
        <v>45</v>
      </c>
      <c r="AA19" s="44" t="str">
        <f t="shared" si="1"/>
        <v>DA_WPN_HM_Mallet_o_str</v>
      </c>
      <c r="AB19" s="90" t="str">
        <f t="shared" si="2"/>
        <v>/Game/DungeonSiege/Items/Weapons/Hammer/DA_WPN_HM_Mallet_o_str</v>
      </c>
      <c r="AC19" s="94" t="str">
        <f t="shared" si="3"/>
        <v>Texture2D'/Game/DungeonSiege/art/bitmaps/gui/in_game/inventory/weapons/hammer/b_gui_ig_i_w_hmr_035.b_gui_ig_i_w_hmr_035'</v>
      </c>
      <c r="AD19" s="94" t="str">
        <f t="shared" si="0"/>
        <v>Texture2D'/Game/DungeonSiege/art/bitmaps/gui/in_game/inventory/icons/b_gui_ig_i_ic_hmr_002.b_gui_ig_i_ic_hmr_002'</v>
      </c>
      <c r="AE19" s="94" t="str">
        <f t="shared" si="4"/>
        <v>StaticMesh'/Game/DungeonSiege/art/meshes/weapons/hammer/m_w_hmr_014_AspMesh.m_w_hmr_014_AspMesh'</v>
      </c>
    </row>
    <row r="20" spans="1:31" ht="15.75" thickBot="1" x14ac:dyDescent="0.3">
      <c r="A20" s="44">
        <v>18</v>
      </c>
      <c r="B20" s="44">
        <f>A20+Items!B$22</f>
        <v>89128978</v>
      </c>
      <c r="C20" s="69" t="s">
        <v>3890</v>
      </c>
      <c r="D20" s="85" t="s">
        <v>3890</v>
      </c>
      <c r="E20" s="85" t="s">
        <v>3524</v>
      </c>
      <c r="F20" s="44" t="s">
        <v>3950</v>
      </c>
      <c r="G20" s="44"/>
      <c r="H20" s="85" t="b">
        <v>1</v>
      </c>
      <c r="I20" s="85"/>
      <c r="J20" s="85"/>
      <c r="K20" s="85"/>
      <c r="L20" s="86" t="s">
        <v>3915</v>
      </c>
      <c r="M20" s="44" t="s">
        <v>3963</v>
      </c>
      <c r="N20" s="44" t="s">
        <v>3935</v>
      </c>
      <c r="O20" s="44" t="b">
        <v>0</v>
      </c>
      <c r="P20" s="44"/>
      <c r="Q20" s="44">
        <v>2</v>
      </c>
      <c r="R20" s="44">
        <v>3</v>
      </c>
      <c r="S20" s="87">
        <v>71</v>
      </c>
      <c r="T20" s="85">
        <v>87</v>
      </c>
      <c r="U20" s="44"/>
      <c r="V20" s="44">
        <v>0.5</v>
      </c>
      <c r="W20" s="44"/>
      <c r="X20" s="44"/>
      <c r="Y20" s="44" t="s">
        <v>2384</v>
      </c>
      <c r="Z20" s="44">
        <v>24</v>
      </c>
      <c r="AA20" s="44" t="str">
        <f t="shared" si="1"/>
        <v>DA_WPN_HM_DamagedMallet</v>
      </c>
      <c r="AB20" s="90" t="str">
        <f t="shared" si="2"/>
        <v>/Game/DungeonSiege/Items/Weapons/Hammer/DA_WPN_HM_DamagedMallet</v>
      </c>
      <c r="AC20" s="94" t="str">
        <f t="shared" si="3"/>
        <v>Texture2D'/Game/DungeonSiege/art/bitmaps/gui/in_game/inventory/weapons/hammer/b_gui_ig_i_w_hmr_019.b_gui_ig_i_w_hmr_019'</v>
      </c>
      <c r="AD20" s="94" t="str">
        <f t="shared" si="0"/>
        <v>Texture2D'/Game/DungeonSiege/art/bitmaps/gui/in_game/inventory/icons/b_gui_ig_i_ic_hmr_002.b_gui_ig_i_ic_hmr_002'</v>
      </c>
      <c r="AE20" s="94" t="str">
        <f t="shared" si="4"/>
        <v>StaticMesh'/Game/DungeonSiege/art/meshes/weapons/hammer/m_w_hmr_012_AspMesh.m_w_hmr_012_AspMesh'</v>
      </c>
    </row>
    <row r="21" spans="1:31" ht="15.75" thickBot="1" x14ac:dyDescent="0.3">
      <c r="A21" s="44">
        <v>19</v>
      </c>
      <c r="B21" s="44">
        <f>A21+Items!B$22</f>
        <v>89128979</v>
      </c>
      <c r="C21" s="69" t="s">
        <v>3891</v>
      </c>
      <c r="D21" s="85" t="s">
        <v>3891</v>
      </c>
      <c r="E21" s="85" t="s">
        <v>3524</v>
      </c>
      <c r="F21" s="44" t="s">
        <v>3950</v>
      </c>
      <c r="G21" s="44"/>
      <c r="H21" s="85" t="b">
        <v>1</v>
      </c>
      <c r="I21" s="85"/>
      <c r="J21" s="85"/>
      <c r="K21" s="85"/>
      <c r="L21" s="86" t="s">
        <v>3916</v>
      </c>
      <c r="M21" s="44" t="s">
        <v>3962</v>
      </c>
      <c r="N21" s="44" t="s">
        <v>3935</v>
      </c>
      <c r="O21" s="44" t="b">
        <v>0</v>
      </c>
      <c r="P21" s="44"/>
      <c r="Q21" s="44">
        <v>2</v>
      </c>
      <c r="R21" s="44">
        <v>3</v>
      </c>
      <c r="S21" s="87">
        <v>68</v>
      </c>
      <c r="T21" s="85">
        <v>84</v>
      </c>
      <c r="U21" s="44"/>
      <c r="V21" s="44">
        <v>0.5</v>
      </c>
      <c r="W21" s="44"/>
      <c r="X21" s="44"/>
      <c r="Y21" s="44" t="s">
        <v>2384</v>
      </c>
      <c r="Z21" s="44">
        <v>23</v>
      </c>
      <c r="AA21" s="44" t="str">
        <f t="shared" si="1"/>
        <v>DA_WPN_HM_CrudeMallet</v>
      </c>
      <c r="AB21" s="90" t="str">
        <f t="shared" si="2"/>
        <v>/Game/DungeonSiege/Items/Weapons/Hammer/DA_WPN_HM_CrudeMallet</v>
      </c>
      <c r="AC21" s="94" t="str">
        <f t="shared" si="3"/>
        <v>Texture2D'/Game/DungeonSiege/art/bitmaps/gui/in_game/inventory/weapons/hammer/b_gui_ig_i_w_hmr_018.b_gui_ig_i_w_hmr_018'</v>
      </c>
      <c r="AD21" s="94" t="str">
        <f t="shared" si="0"/>
        <v>Texture2D'/Game/DungeonSiege/art/bitmaps/gui/in_game/inventory/icons/b_gui_ig_i_ic_hmr_002.b_gui_ig_i_ic_hmr_002'</v>
      </c>
      <c r="AE21" s="94" t="str">
        <f t="shared" si="4"/>
        <v>StaticMesh'/Game/DungeonSiege/art/meshes/weapons/hammer/m_w_hmr_012_AspMesh.m_w_hmr_012_AspMesh'</v>
      </c>
    </row>
    <row r="22" spans="1:31" ht="15.75" thickBot="1" x14ac:dyDescent="0.3">
      <c r="A22" s="44">
        <v>20</v>
      </c>
      <c r="B22" s="44">
        <f>A22+Items!B$22</f>
        <v>89128980</v>
      </c>
      <c r="C22" s="69" t="s">
        <v>3892</v>
      </c>
      <c r="D22" s="85" t="s">
        <v>3892</v>
      </c>
      <c r="E22" s="85" t="s">
        <v>3524</v>
      </c>
      <c r="F22" s="44" t="s">
        <v>3964</v>
      </c>
      <c r="G22" s="44"/>
      <c r="H22" s="85" t="b">
        <v>1</v>
      </c>
      <c r="I22" s="85" t="b">
        <v>1</v>
      </c>
      <c r="J22" s="85"/>
      <c r="K22" s="85"/>
      <c r="L22" s="86" t="s">
        <v>3917</v>
      </c>
      <c r="M22" s="44" t="s">
        <v>3965</v>
      </c>
      <c r="N22" s="44" t="s">
        <v>3936</v>
      </c>
      <c r="O22" s="44" t="b">
        <v>1</v>
      </c>
      <c r="P22" s="44"/>
      <c r="Q22" s="44">
        <v>2</v>
      </c>
      <c r="R22" s="44">
        <v>3</v>
      </c>
      <c r="S22" s="87">
        <v>66</v>
      </c>
      <c r="T22" s="85">
        <v>80</v>
      </c>
      <c r="U22" s="44"/>
      <c r="V22" s="44">
        <v>0.5</v>
      </c>
      <c r="W22" s="44">
        <v>0</v>
      </c>
      <c r="X22" s="44">
        <v>3</v>
      </c>
      <c r="Y22" s="44" t="s">
        <v>2384</v>
      </c>
      <c r="Z22" s="44">
        <v>22</v>
      </c>
      <c r="AA22" s="44" t="str">
        <f t="shared" si="1"/>
        <v>DA_WPN_HM_Maul</v>
      </c>
      <c r="AB22" s="90" t="str">
        <f t="shared" si="2"/>
        <v>/Game/DungeonSiege/Items/Weapons/Hammer/DA_WPN_HM_Maul</v>
      </c>
      <c r="AC22" s="94" t="str">
        <f t="shared" si="3"/>
        <v>Texture2D'/Game/DungeonSiege/art/bitmaps/gui/in_game/inventory/weapons/hammer/b_gui_ig_i_w_hmr_038.b_gui_ig_i_w_hmr_038'</v>
      </c>
      <c r="AD22" s="94" t="str">
        <f t="shared" si="0"/>
        <v>Texture2D'/Game/DungeonSiege/art/bitmaps/gui/in_game/inventory/icons/b_gui_ig_i_ic_hmr_003.b_gui_ig_i_ic_hmr_003'</v>
      </c>
      <c r="AE22" s="94" t="str">
        <f t="shared" si="4"/>
        <v>StaticMesh'/Game/DungeonSiege/art/meshes/weapons/hammer/m_w_hmr_016_AspMesh.m_w_hmr_016_AspMesh'</v>
      </c>
    </row>
    <row r="23" spans="1:31" ht="15.75" thickBot="1" x14ac:dyDescent="0.3">
      <c r="A23" s="44">
        <v>21</v>
      </c>
      <c r="B23" s="44">
        <f>A23+Items!B$22</f>
        <v>89128981</v>
      </c>
      <c r="C23" s="69" t="s">
        <v>5645</v>
      </c>
      <c r="D23" s="85" t="s">
        <v>3892</v>
      </c>
      <c r="E23" s="85" t="s">
        <v>3524</v>
      </c>
      <c r="F23" s="44" t="s">
        <v>3973</v>
      </c>
      <c r="G23" s="44"/>
      <c r="H23" s="85" t="b">
        <v>1</v>
      </c>
      <c r="I23" s="85" t="b">
        <v>1</v>
      </c>
      <c r="J23" s="85"/>
      <c r="K23" s="85"/>
      <c r="L23" s="86" t="s">
        <v>3918</v>
      </c>
      <c r="M23" s="44" t="s">
        <v>3966</v>
      </c>
      <c r="N23" s="44" t="s">
        <v>3936</v>
      </c>
      <c r="O23" s="44" t="b">
        <v>1</v>
      </c>
      <c r="P23" s="44"/>
      <c r="Q23" s="44">
        <v>2</v>
      </c>
      <c r="R23" s="44">
        <v>3</v>
      </c>
      <c r="S23" s="87">
        <v>77</v>
      </c>
      <c r="T23" s="85">
        <v>94</v>
      </c>
      <c r="U23" s="44"/>
      <c r="V23" s="44">
        <v>0.5</v>
      </c>
      <c r="W23" s="44">
        <v>2</v>
      </c>
      <c r="X23" s="44">
        <v>10</v>
      </c>
      <c r="Y23" s="44" t="s">
        <v>2384</v>
      </c>
      <c r="Z23" s="44">
        <v>24</v>
      </c>
      <c r="AA23" s="44" t="str">
        <f t="shared" si="1"/>
        <v>DA_WPN_HM_Maul_c_fin</v>
      </c>
      <c r="AB23" s="90" t="str">
        <f t="shared" si="2"/>
        <v>/Game/DungeonSiege/Items/Weapons/Hammer/DA_WPN_HM_Maul_c_fin</v>
      </c>
      <c r="AC23" s="94" t="str">
        <f t="shared" si="3"/>
        <v>Texture2D'/Game/DungeonSiege/art/bitmaps/gui/in_game/inventory/weapons/hammer/b_gui_ig_i_w_hmr_039.b_gui_ig_i_w_hmr_039'</v>
      </c>
      <c r="AD23" s="94" t="str">
        <f t="shared" si="0"/>
        <v>Texture2D'/Game/DungeonSiege/art/bitmaps/gui/in_game/inventory/icons/b_gui_ig_i_ic_hmr_003.b_gui_ig_i_ic_hmr_003'</v>
      </c>
      <c r="AE23" s="94" t="str">
        <f t="shared" si="4"/>
        <v>StaticMesh'/Game/DungeonSiege/art/meshes/weapons/hammer/m_w_hmr_017_AspMesh.m_w_hmr_017_AspMesh'</v>
      </c>
    </row>
    <row r="24" spans="1:31" ht="15.75" thickBot="1" x14ac:dyDescent="0.3">
      <c r="A24" s="44">
        <v>22</v>
      </c>
      <c r="B24" s="44">
        <f>A24+Items!B$22</f>
        <v>89128982</v>
      </c>
      <c r="C24" s="69" t="s">
        <v>5646</v>
      </c>
      <c r="D24" s="85" t="s">
        <v>3892</v>
      </c>
      <c r="E24" s="85" t="s">
        <v>3524</v>
      </c>
      <c r="F24" s="44" t="s">
        <v>3974</v>
      </c>
      <c r="G24" s="44"/>
      <c r="H24" s="85" t="b">
        <v>1</v>
      </c>
      <c r="I24" s="85" t="b">
        <v>1</v>
      </c>
      <c r="J24" s="85"/>
      <c r="K24" s="85"/>
      <c r="L24" s="86" t="s">
        <v>3919</v>
      </c>
      <c r="M24" s="44" t="s">
        <v>3967</v>
      </c>
      <c r="N24" s="44" t="s">
        <v>3936</v>
      </c>
      <c r="O24" s="44" t="b">
        <v>1</v>
      </c>
      <c r="P24" s="44"/>
      <c r="Q24" s="44">
        <v>2</v>
      </c>
      <c r="R24" s="44">
        <v>3</v>
      </c>
      <c r="S24" s="87">
        <v>194</v>
      </c>
      <c r="T24" s="85">
        <v>238</v>
      </c>
      <c r="U24" s="44"/>
      <c r="V24" s="44">
        <v>0.5</v>
      </c>
      <c r="W24" s="44">
        <v>34</v>
      </c>
      <c r="X24" s="44">
        <v>48</v>
      </c>
      <c r="Y24" s="44" t="s">
        <v>2384</v>
      </c>
      <c r="Z24" s="44">
        <v>49</v>
      </c>
      <c r="AA24" s="44" t="str">
        <f t="shared" si="1"/>
        <v>DA_WPN_HM_Maul_c_mag</v>
      </c>
      <c r="AB24" s="90" t="str">
        <f t="shared" si="2"/>
        <v>/Game/DungeonSiege/Items/Weapons/Hammer/DA_WPN_HM_Maul_c_mag</v>
      </c>
      <c r="AC24" s="94" t="str">
        <f t="shared" si="3"/>
        <v>Texture2D'/Game/DungeonSiege/art/bitmaps/gui/in_game/inventory/weapons/hammer/b_gui_ig_i_w_hmr_042.b_gui_ig_i_w_hmr_042'</v>
      </c>
      <c r="AD24" s="94" t="str">
        <f t="shared" si="0"/>
        <v>Texture2D'/Game/DungeonSiege/art/bitmaps/gui/in_game/inventory/icons/b_gui_ig_i_ic_hmr_003.b_gui_ig_i_ic_hmr_003'</v>
      </c>
      <c r="AE24" s="94" t="str">
        <f t="shared" si="4"/>
        <v>StaticMesh'/Game/DungeonSiege/art/meshes/weapons/hammer/m_w_hmr_019_AspMesh.m_w_hmr_019_AspMesh'</v>
      </c>
    </row>
    <row r="25" spans="1:31" ht="15.75" thickBot="1" x14ac:dyDescent="0.3">
      <c r="A25" s="44">
        <v>23</v>
      </c>
      <c r="B25" s="44">
        <f>A25+Items!B$22</f>
        <v>89128983</v>
      </c>
      <c r="C25" s="69" t="s">
        <v>5647</v>
      </c>
      <c r="D25" s="85" t="s">
        <v>3892</v>
      </c>
      <c r="E25" s="85" t="s">
        <v>3524</v>
      </c>
      <c r="F25" s="44" t="s">
        <v>3973</v>
      </c>
      <c r="G25" s="44"/>
      <c r="H25" s="85" t="b">
        <v>1</v>
      </c>
      <c r="I25" s="85" t="b">
        <v>1</v>
      </c>
      <c r="J25" s="85"/>
      <c r="K25" s="85"/>
      <c r="L25" s="86" t="s">
        <v>3920</v>
      </c>
      <c r="M25" s="44" t="s">
        <v>3968</v>
      </c>
      <c r="N25" s="44" t="s">
        <v>3936</v>
      </c>
      <c r="O25" s="44" t="b">
        <v>1</v>
      </c>
      <c r="P25" s="44"/>
      <c r="Q25" s="44">
        <v>2</v>
      </c>
      <c r="R25" s="44">
        <v>3</v>
      </c>
      <c r="S25" s="87">
        <v>136</v>
      </c>
      <c r="T25" s="85">
        <v>166</v>
      </c>
      <c r="U25" s="44"/>
      <c r="V25" s="44">
        <v>0.5</v>
      </c>
      <c r="W25" s="44">
        <v>18</v>
      </c>
      <c r="X25" s="44">
        <v>32</v>
      </c>
      <c r="Y25" s="44" t="s">
        <v>2384</v>
      </c>
      <c r="Z25" s="44">
        <v>37</v>
      </c>
      <c r="AA25" s="44" t="str">
        <f t="shared" si="1"/>
        <v>DA_WPN_HM_Maul_c_str</v>
      </c>
      <c r="AB25" s="90" t="str">
        <f t="shared" si="2"/>
        <v>/Game/DungeonSiege/Items/Weapons/Hammer/DA_WPN_HM_Maul_c_str</v>
      </c>
      <c r="AC25" s="94" t="str">
        <f t="shared" si="3"/>
        <v>Texture2D'/Game/DungeonSiege/art/bitmaps/gui/in_game/inventory/weapons/hammer/b_gui_ig_i_w_hmr_040.b_gui_ig_i_w_hmr_040'</v>
      </c>
      <c r="AD25" s="94" t="str">
        <f t="shared" si="0"/>
        <v>Texture2D'/Game/DungeonSiege/art/bitmaps/gui/in_game/inventory/icons/b_gui_ig_i_ic_hmr_003.b_gui_ig_i_ic_hmr_003'</v>
      </c>
      <c r="AE25" s="94" t="str">
        <f t="shared" si="4"/>
        <v>StaticMesh'/Game/DungeonSiege/art/meshes/weapons/hammer/m_w_hmr_017_AspMesh.m_w_hmr_017_AspMesh'</v>
      </c>
    </row>
    <row r="26" spans="1:31" ht="15.75" thickBot="1" x14ac:dyDescent="0.3">
      <c r="A26" s="44">
        <v>24</v>
      </c>
      <c r="B26" s="44">
        <f>A26+Items!B$22</f>
        <v>89128984</v>
      </c>
      <c r="C26" s="69" t="s">
        <v>5648</v>
      </c>
      <c r="D26" s="85" t="s">
        <v>3892</v>
      </c>
      <c r="E26" s="85" t="s">
        <v>3524</v>
      </c>
      <c r="F26" s="44" t="s">
        <v>3972</v>
      </c>
      <c r="G26" s="44"/>
      <c r="H26" s="85" t="b">
        <v>1</v>
      </c>
      <c r="I26" s="85" t="b">
        <v>1</v>
      </c>
      <c r="J26" s="85"/>
      <c r="K26" s="85"/>
      <c r="L26" s="86" t="s">
        <v>3921</v>
      </c>
      <c r="M26" s="44" t="s">
        <v>3969</v>
      </c>
      <c r="N26" s="44" t="s">
        <v>3936</v>
      </c>
      <c r="O26" s="44" t="b">
        <v>1</v>
      </c>
      <c r="P26" s="44"/>
      <c r="Q26" s="44">
        <v>2</v>
      </c>
      <c r="R26" s="44">
        <v>3</v>
      </c>
      <c r="S26" s="87">
        <v>229</v>
      </c>
      <c r="T26" s="85">
        <v>279</v>
      </c>
      <c r="U26" s="44"/>
      <c r="V26" s="44">
        <v>0.5</v>
      </c>
      <c r="W26" s="44">
        <v>42</v>
      </c>
      <c r="X26" s="44">
        <v>58</v>
      </c>
      <c r="Y26" s="44" t="s">
        <v>2384</v>
      </c>
      <c r="Z26" s="44">
        <v>56</v>
      </c>
      <c r="AA26" s="44" t="str">
        <f t="shared" si="1"/>
        <v>DA_WPN_HM_Maul_o_mag</v>
      </c>
      <c r="AB26" s="90" t="str">
        <f t="shared" si="2"/>
        <v>/Game/DungeonSiege/Items/Weapons/Hammer/DA_WPN_HM_Maul_o_mag</v>
      </c>
      <c r="AC26" s="94" t="str">
        <f t="shared" si="3"/>
        <v>Texture2D'/Game/DungeonSiege/art/bitmaps/gui/in_game/inventory/weapons/hammer/b_gui_ig_i_w_hmr_044.b_gui_ig_i_w_hmr_044'</v>
      </c>
      <c r="AD26" s="94" t="str">
        <f t="shared" si="0"/>
        <v>Texture2D'/Game/DungeonSiege/art/bitmaps/gui/in_game/inventory/icons/b_gui_ig_i_ic_hmr_003.b_gui_ig_i_ic_hmr_003'</v>
      </c>
      <c r="AE26" s="94" t="str">
        <f t="shared" si="4"/>
        <v>StaticMesh'/Game/DungeonSiege/art/meshes/weapons/hammer/m_w_hmr_021_AspMesh.m_w_hmr_021_AspMesh'</v>
      </c>
    </row>
    <row r="27" spans="1:31" ht="15.75" thickBot="1" x14ac:dyDescent="0.3">
      <c r="A27" s="44">
        <v>25</v>
      </c>
      <c r="B27" s="44">
        <f>A27+Items!B$22</f>
        <v>89128985</v>
      </c>
      <c r="C27" s="69" t="s">
        <v>5649</v>
      </c>
      <c r="D27" s="85" t="s">
        <v>3892</v>
      </c>
      <c r="E27" s="85" t="s">
        <v>3524</v>
      </c>
      <c r="F27" s="44" t="s">
        <v>3971</v>
      </c>
      <c r="G27" s="44"/>
      <c r="H27" s="85" t="b">
        <v>1</v>
      </c>
      <c r="I27" s="85" t="b">
        <v>1</v>
      </c>
      <c r="J27" s="85"/>
      <c r="K27" s="85"/>
      <c r="L27" s="86" t="s">
        <v>3922</v>
      </c>
      <c r="M27" s="44" t="s">
        <v>3970</v>
      </c>
      <c r="N27" s="44" t="s">
        <v>3936</v>
      </c>
      <c r="O27" s="44" t="b">
        <v>1</v>
      </c>
      <c r="P27" s="44"/>
      <c r="Q27" s="44">
        <v>2</v>
      </c>
      <c r="R27" s="44">
        <v>3</v>
      </c>
      <c r="S27" s="87">
        <v>164</v>
      </c>
      <c r="T27" s="85">
        <v>200</v>
      </c>
      <c r="U27" s="44"/>
      <c r="V27" s="44">
        <v>0.5</v>
      </c>
      <c r="W27" s="44">
        <v>27</v>
      </c>
      <c r="X27" s="44">
        <v>40</v>
      </c>
      <c r="Y27" s="44" t="s">
        <v>2384</v>
      </c>
      <c r="Z27" s="44">
        <v>43</v>
      </c>
      <c r="AA27" s="44" t="str">
        <f t="shared" si="1"/>
        <v>DA_WPN_HM_Maul_o_str</v>
      </c>
      <c r="AB27" s="90" t="str">
        <f t="shared" si="2"/>
        <v>/Game/DungeonSiege/Items/Weapons/Hammer/DA_WPN_HM_Maul_o_str</v>
      </c>
      <c r="AC27" s="94" t="str">
        <f t="shared" si="3"/>
        <v>Texture2D'/Game/DungeonSiege/art/bitmaps/gui/in_game/inventory/weapons/hammer/b_gui_ig_i_w_hmr_043.b_gui_ig_i_w_hmr_043'</v>
      </c>
      <c r="AD27" s="94" t="str">
        <f t="shared" si="0"/>
        <v>Texture2D'/Game/DungeonSiege/art/bitmaps/gui/in_game/inventory/icons/b_gui_ig_i_ic_hmr_003.b_gui_ig_i_ic_hmr_003'</v>
      </c>
      <c r="AE27" s="94" t="str">
        <f t="shared" si="4"/>
        <v>StaticMesh'/Game/DungeonSiege/art/meshes/weapons/hammer/m_w_hmr_020_AspMesh.m_w_hmr_020_AspMesh'</v>
      </c>
    </row>
    <row r="28" spans="1:31" ht="15.75" thickBot="1" x14ac:dyDescent="0.3">
      <c r="A28" s="44">
        <v>26</v>
      </c>
      <c r="B28" s="44">
        <f>A28+Items!B$22</f>
        <v>89128986</v>
      </c>
      <c r="C28" s="69" t="s">
        <v>3893</v>
      </c>
      <c r="D28" s="85" t="s">
        <v>3893</v>
      </c>
      <c r="E28" s="85" t="s">
        <v>3524</v>
      </c>
      <c r="F28" s="44" t="s">
        <v>3964</v>
      </c>
      <c r="G28" s="44"/>
      <c r="H28" s="85" t="b">
        <v>1</v>
      </c>
      <c r="I28" s="85"/>
      <c r="J28" s="85"/>
      <c r="K28" s="85"/>
      <c r="L28" s="86" t="s">
        <v>3923</v>
      </c>
      <c r="M28" s="44" t="s">
        <v>3975</v>
      </c>
      <c r="N28" s="44" t="s">
        <v>3936</v>
      </c>
      <c r="O28" s="44" t="b">
        <v>0</v>
      </c>
      <c r="P28" s="44"/>
      <c r="Q28" s="44">
        <v>2</v>
      </c>
      <c r="R28" s="44">
        <v>3</v>
      </c>
      <c r="S28" s="87">
        <v>64</v>
      </c>
      <c r="T28" s="85">
        <v>78</v>
      </c>
      <c r="U28" s="44"/>
      <c r="V28" s="44">
        <v>0.5</v>
      </c>
      <c r="W28" s="44"/>
      <c r="X28" s="44"/>
      <c r="Y28" s="44" t="s">
        <v>2384</v>
      </c>
      <c r="Z28" s="44">
        <v>22</v>
      </c>
      <c r="AA28" s="44" t="str">
        <f t="shared" si="1"/>
        <v>DA_WPN_HM_Sledgehammer</v>
      </c>
      <c r="AB28" s="90" t="str">
        <f t="shared" si="2"/>
        <v>/Game/DungeonSiege/Items/Weapons/Hammer/DA_WPN_HM_Sledgehammer</v>
      </c>
      <c r="AC28" s="94" t="str">
        <f t="shared" si="3"/>
        <v>Texture2D'/Game/DungeonSiege/art/bitmaps/gui/in_game/inventory/weapons/hammer/b_gui_ig_i_w_hmr_037.b_gui_ig_i_w_hmr_037'</v>
      </c>
      <c r="AD28" s="94" t="str">
        <f t="shared" si="0"/>
        <v>Texture2D'/Game/DungeonSiege/art/bitmaps/gui/in_game/inventory/icons/b_gui_ig_i_ic_hmr_003.b_gui_ig_i_ic_hmr_003'</v>
      </c>
      <c r="AE28" s="94" t="str">
        <f t="shared" si="4"/>
        <v>StaticMesh'/Game/DungeonSiege/art/meshes/weapons/hammer/m_w_hmr_016_AspMesh.m_w_hmr_016_AspMesh'</v>
      </c>
    </row>
    <row r="29" spans="1:31" ht="15.75" thickBot="1" x14ac:dyDescent="0.3">
      <c r="A29" s="44">
        <v>27</v>
      </c>
      <c r="B29" s="44">
        <f>A29+Items!B$22</f>
        <v>89128987</v>
      </c>
      <c r="C29" s="69" t="s">
        <v>3894</v>
      </c>
      <c r="D29" s="85" t="s">
        <v>3894</v>
      </c>
      <c r="E29" s="85" t="s">
        <v>3525</v>
      </c>
      <c r="F29" s="44" t="s">
        <v>3937</v>
      </c>
      <c r="G29" s="44"/>
      <c r="H29" s="85"/>
      <c r="I29" s="85"/>
      <c r="J29" s="85" t="b">
        <v>1</v>
      </c>
      <c r="K29" s="85" t="b">
        <v>1</v>
      </c>
      <c r="L29" s="86" t="s">
        <v>3924</v>
      </c>
      <c r="M29" s="44" t="s">
        <v>3976</v>
      </c>
      <c r="N29" s="44" t="s">
        <v>3934</v>
      </c>
      <c r="O29" s="44" t="b">
        <v>1</v>
      </c>
      <c r="P29" s="44"/>
      <c r="Q29" s="44">
        <v>2</v>
      </c>
      <c r="R29" s="44">
        <v>3</v>
      </c>
      <c r="S29" s="87">
        <v>15</v>
      </c>
      <c r="T29" s="85">
        <v>22</v>
      </c>
      <c r="U29" s="44"/>
      <c r="V29" s="44">
        <v>0.5</v>
      </c>
      <c r="W29" s="44">
        <v>1</v>
      </c>
      <c r="X29" s="44">
        <v>4</v>
      </c>
      <c r="Y29" s="44" t="s">
        <v>2384</v>
      </c>
      <c r="Z29" s="44">
        <v>12</v>
      </c>
      <c r="AA29" s="44" t="str">
        <f t="shared" si="1"/>
        <v>DA_WPN_HM_HeadHammer</v>
      </c>
      <c r="AB29" s="90" t="str">
        <f t="shared" si="2"/>
        <v>/Game/DungeonSiege/Items/Weapons/Hammer/DA_WPN_HM_HeadHammer</v>
      </c>
      <c r="AC29" s="94" t="str">
        <f t="shared" si="3"/>
        <v>Texture2D'/Game/DungeonSiege/art/bitmaps/gui/in_game/inventory/weapons/hammer/b_gui_ig_i_w_hmr_045.b_gui_ig_i_w_hmr_045'</v>
      </c>
      <c r="AD29" s="94" t="str">
        <f t="shared" si="0"/>
        <v>Texture2D'/Game/DungeonSiege/art/bitmaps/gui/in_game/inventory/icons/b_gui_ig_i_ic_hmr_001.b_gui_ig_i_ic_hmr_001'</v>
      </c>
      <c r="AE29" s="94" t="str">
        <f t="shared" si="4"/>
        <v>StaticMesh'/Game/DungeonSiege/art/meshes/weapons/hammer/m_w_hmr_009_AspMesh.m_w_hmr_009_AspMesh'</v>
      </c>
    </row>
    <row r="30" spans="1:31" ht="23.25" thickBot="1" x14ac:dyDescent="0.3">
      <c r="A30" s="44">
        <v>28</v>
      </c>
      <c r="B30" s="44">
        <f>A30+Items!B$22</f>
        <v>89128988</v>
      </c>
      <c r="C30" s="69" t="s">
        <v>5650</v>
      </c>
      <c r="D30" s="85" t="s">
        <v>3894</v>
      </c>
      <c r="E30" s="85" t="s">
        <v>3525</v>
      </c>
      <c r="F30" s="44" t="s">
        <v>3940</v>
      </c>
      <c r="G30" s="44"/>
      <c r="H30" s="85"/>
      <c r="I30" s="85"/>
      <c r="J30" s="85" t="b">
        <v>1</v>
      </c>
      <c r="K30" s="85" t="b">
        <v>1</v>
      </c>
      <c r="L30" s="86" t="s">
        <v>3925</v>
      </c>
      <c r="M30" s="44" t="s">
        <v>3947</v>
      </c>
      <c r="N30" s="44" t="s">
        <v>3934</v>
      </c>
      <c r="O30" s="44" t="b">
        <v>1</v>
      </c>
      <c r="P30" s="44"/>
      <c r="Q30" s="44">
        <v>2</v>
      </c>
      <c r="R30" s="44">
        <v>3</v>
      </c>
      <c r="S30" s="87">
        <v>61</v>
      </c>
      <c r="T30" s="85">
        <v>92</v>
      </c>
      <c r="U30" s="44"/>
      <c r="V30" s="44">
        <v>0.5</v>
      </c>
      <c r="W30" s="44">
        <v>17</v>
      </c>
      <c r="X30" s="44">
        <v>24</v>
      </c>
      <c r="Y30" s="44" t="s">
        <v>2384</v>
      </c>
      <c r="Z30" s="44">
        <v>26</v>
      </c>
      <c r="AA30" s="44" t="str">
        <f t="shared" si="1"/>
        <v>DA_WPN_HM_HeadHammer_c_mag</v>
      </c>
      <c r="AB30" s="90" t="str">
        <f t="shared" si="2"/>
        <v>/Game/DungeonSiege/Items/Weapons/Hammer/DA_WPN_HM_HeadHammer_c_mag</v>
      </c>
      <c r="AC30" s="94" t="str">
        <f t="shared" si="3"/>
        <v>Texture2D'/Game/DungeonSiege/art/bitmaps/gui/in_game/inventory/weapons/hammer/b_gui_ig_i_w_hmr_017.b_gui_ig_i_w_hmr_017'</v>
      </c>
      <c r="AD30" s="94" t="str">
        <f t="shared" si="0"/>
        <v>Texture2D'/Game/DungeonSiege/art/bitmaps/gui/in_game/inventory/icons/b_gui_ig_i_ic_hmr_001.b_gui_ig_i_ic_hmr_001'</v>
      </c>
      <c r="AE30" s="94" t="str">
        <f t="shared" si="4"/>
        <v>StaticMesh'/Game/DungeonSiege/art/meshes/weapons/hammer/m_w_hmr_011_AspMesh.m_w_hmr_011_AspMesh'</v>
      </c>
    </row>
    <row r="31" spans="1:31" ht="15.75" thickBot="1" x14ac:dyDescent="0.3">
      <c r="A31" s="44">
        <v>29</v>
      </c>
      <c r="B31" s="44">
        <f>A31+Items!B$22</f>
        <v>89128989</v>
      </c>
      <c r="C31" s="69" t="s">
        <v>5651</v>
      </c>
      <c r="D31" s="85" t="s">
        <v>3894</v>
      </c>
      <c r="E31" s="85" t="s">
        <v>3525</v>
      </c>
      <c r="F31" s="44" t="s">
        <v>3937</v>
      </c>
      <c r="G31" s="44"/>
      <c r="H31" s="85"/>
      <c r="I31" s="85"/>
      <c r="J31" s="85" t="b">
        <v>1</v>
      </c>
      <c r="K31" s="85" t="b">
        <v>1</v>
      </c>
      <c r="L31" s="86" t="s">
        <v>3926</v>
      </c>
      <c r="M31" s="44" t="s">
        <v>3977</v>
      </c>
      <c r="N31" s="44" t="s">
        <v>3934</v>
      </c>
      <c r="O31" s="44" t="b">
        <v>1</v>
      </c>
      <c r="P31" s="44"/>
      <c r="Q31" s="44">
        <v>2</v>
      </c>
      <c r="R31" s="44">
        <v>3</v>
      </c>
      <c r="S31" s="87">
        <v>37</v>
      </c>
      <c r="T31" s="85">
        <v>56</v>
      </c>
      <c r="U31" s="44"/>
      <c r="V31" s="44">
        <v>0.5</v>
      </c>
      <c r="W31" s="44">
        <v>9</v>
      </c>
      <c r="X31" s="44">
        <v>15</v>
      </c>
      <c r="Y31" s="44" t="s">
        <v>2384</v>
      </c>
      <c r="Z31" s="44">
        <v>18</v>
      </c>
      <c r="AA31" s="44" t="str">
        <f t="shared" si="1"/>
        <v>DA_WPN_HM_HeadHammer_c_str</v>
      </c>
      <c r="AB31" s="90" t="str">
        <f t="shared" si="2"/>
        <v>/Game/DungeonSiege/Items/Weapons/Hammer/DA_WPN_HM_HeadHammer_c_str</v>
      </c>
      <c r="AC31" s="94" t="str">
        <f t="shared" si="3"/>
        <v>Texture2D'/Game/DungeonSiege/art/bitmaps/gui/in_game/inventory/weapons/hammer/b_gui_ig_i_w_hmr_046.b_gui_ig_i_w_hmr_046'</v>
      </c>
      <c r="AD31" s="94" t="str">
        <f t="shared" si="0"/>
        <v>Texture2D'/Game/DungeonSiege/art/bitmaps/gui/in_game/inventory/icons/b_gui_ig_i_ic_hmr_001.b_gui_ig_i_ic_hmr_001'</v>
      </c>
      <c r="AE31" s="94" t="str">
        <f t="shared" si="4"/>
        <v>StaticMesh'/Game/DungeonSiege/art/meshes/weapons/hammer/m_w_hmr_009_AspMesh.m_w_hmr_009_AspMesh'</v>
      </c>
    </row>
    <row r="32" spans="1:31" ht="23.25" thickBot="1" x14ac:dyDescent="0.3">
      <c r="A32" s="44">
        <v>30</v>
      </c>
      <c r="B32" s="44">
        <f>A32+Items!B$22</f>
        <v>89128990</v>
      </c>
      <c r="C32" s="69" t="s">
        <v>5652</v>
      </c>
      <c r="D32" s="85" t="s">
        <v>3894</v>
      </c>
      <c r="E32" s="85" t="s">
        <v>3525</v>
      </c>
      <c r="F32" s="44" t="s">
        <v>3940</v>
      </c>
      <c r="G32" s="44"/>
      <c r="H32" s="85"/>
      <c r="I32" s="85"/>
      <c r="J32" s="85" t="b">
        <v>1</v>
      </c>
      <c r="K32" s="85" t="b">
        <v>1</v>
      </c>
      <c r="L32" s="86" t="s">
        <v>3927</v>
      </c>
      <c r="M32" s="44" t="s">
        <v>3978</v>
      </c>
      <c r="N32" s="44" t="s">
        <v>3934</v>
      </c>
      <c r="O32" s="44" t="b">
        <v>1</v>
      </c>
      <c r="P32" s="44"/>
      <c r="Q32" s="44">
        <v>2</v>
      </c>
      <c r="R32" s="44">
        <v>3</v>
      </c>
      <c r="S32" s="87">
        <v>97</v>
      </c>
      <c r="T32" s="85">
        <v>145</v>
      </c>
      <c r="U32" s="44"/>
      <c r="V32" s="44">
        <v>0.5</v>
      </c>
      <c r="W32" s="44">
        <v>1</v>
      </c>
      <c r="X32" s="44">
        <v>121</v>
      </c>
      <c r="Y32" s="44" t="s">
        <v>2384</v>
      </c>
      <c r="Z32" s="44">
        <v>36</v>
      </c>
      <c r="AA32" s="44" t="str">
        <f>CONCATENATE("DA_WPN_HM_",SUBSTITUTE(SUBSTITUTE(SUBSTITUTE(C32," ",""),"(","_"),")",""))</f>
        <v>DA_WPN_HM_HeadHammer_o_mag</v>
      </c>
      <c r="AB32" s="90" t="str">
        <f>"/Game/DungeonSiege/Items/Weapons/Hammer/" &amp; AA32</f>
        <v>/Game/DungeonSiege/Items/Weapons/Hammer/DA_WPN_HM_HeadHammer_o_mag</v>
      </c>
      <c r="AC32" s="94" t="str">
        <f t="shared" si="3"/>
        <v>Texture2D'/Game/DungeonSiege/art/bitmaps/gui/in_game/inventory/weapons/hammer/b_gui_ig_i_w_hmr_047.b_gui_ig_i_w_hmr_047'</v>
      </c>
      <c r="AD32" s="94" t="str">
        <f t="shared" si="0"/>
        <v>Texture2D'/Game/DungeonSiege/art/bitmaps/gui/in_game/inventory/icons/b_gui_ig_i_ic_hmr_001.b_gui_ig_i_ic_hmr_001'</v>
      </c>
      <c r="AE32" s="94" t="str">
        <f t="shared" si="4"/>
        <v>StaticMesh'/Game/DungeonSiege/art/meshes/weapons/hammer/m_w_hmr_011_AspMesh.m_w_hmr_011_AspMesh'</v>
      </c>
    </row>
    <row r="33" spans="1:31" ht="15.75" thickBot="1" x14ac:dyDescent="0.3">
      <c r="A33" s="44">
        <v>31</v>
      </c>
      <c r="B33" s="44">
        <f>A33+Items!B$22</f>
        <v>89128991</v>
      </c>
      <c r="C33" s="69" t="s">
        <v>3895</v>
      </c>
      <c r="D33" s="85" t="s">
        <v>3895</v>
      </c>
      <c r="E33" s="85" t="s">
        <v>3524</v>
      </c>
      <c r="F33" s="44" t="s">
        <v>3961</v>
      </c>
      <c r="G33" s="44"/>
      <c r="H33" s="85"/>
      <c r="I33" s="85"/>
      <c r="J33" s="85" t="b">
        <v>1</v>
      </c>
      <c r="K33" s="85" t="b">
        <v>1</v>
      </c>
      <c r="L33" s="86" t="s">
        <v>3928</v>
      </c>
      <c r="M33" s="44" t="s">
        <v>3979</v>
      </c>
      <c r="N33" s="44" t="s">
        <v>3935</v>
      </c>
      <c r="O33" s="44" t="b">
        <v>1</v>
      </c>
      <c r="P33" s="44"/>
      <c r="Q33" s="44">
        <v>2</v>
      </c>
      <c r="R33" s="44">
        <v>3</v>
      </c>
      <c r="S33" s="87">
        <v>93</v>
      </c>
      <c r="T33" s="85">
        <v>113</v>
      </c>
      <c r="U33" s="44"/>
      <c r="V33" s="44">
        <v>0.5</v>
      </c>
      <c r="W33" s="44">
        <v>2</v>
      </c>
      <c r="X33" s="44">
        <v>12</v>
      </c>
      <c r="Y33" s="44" t="s">
        <v>2384</v>
      </c>
      <c r="Z33" s="44">
        <v>27</v>
      </c>
      <c r="AA33" s="44" t="str">
        <f t="shared" ref="AA33:AA38" si="5">CONCATENATE("DA_WPN_HM_",SUBSTITUTE(SUBSTITUTE(SUBSTITUTE(C33," ",""),"(","_"),")",""))</f>
        <v>DA_WPN_HM_WoundMallet</v>
      </c>
      <c r="AB33" s="90" t="str">
        <f t="shared" si="2"/>
        <v>/Game/DungeonSiege/Items/Weapons/Hammer/DA_WPN_HM_WoundMallet</v>
      </c>
      <c r="AC33" s="94" t="str">
        <f t="shared" si="3"/>
        <v>Texture2D'/Game/DungeonSiege/art/bitmaps/gui/in_game/inventory/weapons/hammer/b_gui_ig_i_w_hmr_048.b_gui_ig_i_w_hmr_048'</v>
      </c>
      <c r="AD33" s="94" t="str">
        <f t="shared" si="0"/>
        <v>Texture2D'/Game/DungeonSiege/art/bitmaps/gui/in_game/inventory/icons/b_gui_ig_i_ic_hmr_002.b_gui_ig_i_ic_hmr_002'</v>
      </c>
      <c r="AE33" s="94" t="str">
        <f t="shared" si="4"/>
        <v>StaticMesh'/Game/DungeonSiege/art/meshes/weapons/hammer/m_w_hmr_014_AspMesh.m_w_hmr_014_AspMesh'</v>
      </c>
    </row>
    <row r="34" spans="1:31" ht="23.25" thickBot="1" x14ac:dyDescent="0.3">
      <c r="A34" s="44">
        <v>32</v>
      </c>
      <c r="B34" s="44">
        <f>A34+Items!B$22</f>
        <v>89128992</v>
      </c>
      <c r="C34" s="69" t="s">
        <v>5653</v>
      </c>
      <c r="D34" s="85" t="s">
        <v>3895</v>
      </c>
      <c r="E34" s="85" t="s">
        <v>3524</v>
      </c>
      <c r="F34" s="44" t="s">
        <v>3955</v>
      </c>
      <c r="G34" s="44"/>
      <c r="H34" s="85"/>
      <c r="I34" s="85"/>
      <c r="J34" s="85" t="b">
        <v>1</v>
      </c>
      <c r="K34" s="85" t="b">
        <v>1</v>
      </c>
      <c r="L34" s="86" t="s">
        <v>3929</v>
      </c>
      <c r="M34" s="44" t="s">
        <v>3980</v>
      </c>
      <c r="N34" s="44" t="s">
        <v>3935</v>
      </c>
      <c r="O34" s="44" t="b">
        <v>1</v>
      </c>
      <c r="P34" s="44"/>
      <c r="Q34" s="44">
        <v>2</v>
      </c>
      <c r="R34" s="44">
        <v>3</v>
      </c>
      <c r="S34" s="87">
        <v>292</v>
      </c>
      <c r="T34" s="85">
        <v>412</v>
      </c>
      <c r="U34" s="44"/>
      <c r="V34" s="44">
        <v>0.5</v>
      </c>
      <c r="W34" s="44">
        <v>1</v>
      </c>
      <c r="X34" s="44">
        <v>370</v>
      </c>
      <c r="Y34" s="44" t="s">
        <v>2384</v>
      </c>
      <c r="Z34" s="44">
        <v>50</v>
      </c>
      <c r="AA34" s="44" t="str">
        <f t="shared" si="5"/>
        <v>DA_WPN_HM_WoundMallet_c_mag</v>
      </c>
      <c r="AB34" s="90" t="str">
        <f t="shared" si="2"/>
        <v>/Game/DungeonSiege/Items/Weapons/Hammer/DA_WPN_HM_WoundMallet_c_mag</v>
      </c>
      <c r="AC34" s="94" t="str">
        <f t="shared" si="3"/>
        <v>Texture2D'/Game/DungeonSiege/art/bitmaps/gui/in_game/inventory/weapons/hammer/b_gui_ig_i_w_hmr_051.b_gui_ig_i_w_hmr_051'</v>
      </c>
      <c r="AD34" s="94" t="str">
        <f t="shared" si="0"/>
        <v>Texture2D'/Game/DungeonSiege/art/bitmaps/gui/in_game/inventory/icons/b_gui_ig_i_ic_hmr_002.b_gui_ig_i_ic_hmr_002'</v>
      </c>
      <c r="AE34" s="94" t="str">
        <f t="shared" si="4"/>
        <v>StaticMesh'/Game/DungeonSiege/art/meshes/weapons/hammer/m_w_hmr_015_AspMesh.m_w_hmr_015_AspMesh'</v>
      </c>
    </row>
    <row r="35" spans="1:31" ht="15.75" thickBot="1" x14ac:dyDescent="0.3">
      <c r="A35" s="44">
        <v>33</v>
      </c>
      <c r="B35" s="44">
        <f>A35+Items!B$22</f>
        <v>89128993</v>
      </c>
      <c r="C35" s="69" t="s">
        <v>5654</v>
      </c>
      <c r="D35" s="85" t="s">
        <v>3895</v>
      </c>
      <c r="E35" s="85" t="s">
        <v>3524</v>
      </c>
      <c r="F35" s="44" t="s">
        <v>3954</v>
      </c>
      <c r="G35" s="44"/>
      <c r="H35" s="85"/>
      <c r="I35" s="85"/>
      <c r="J35" s="85" t="b">
        <v>1</v>
      </c>
      <c r="K35" s="85" t="b">
        <v>1</v>
      </c>
      <c r="L35" s="86" t="s">
        <v>3930</v>
      </c>
      <c r="M35" s="44" t="s">
        <v>3981</v>
      </c>
      <c r="N35" s="44" t="s">
        <v>3935</v>
      </c>
      <c r="O35" s="44" t="b">
        <v>1</v>
      </c>
      <c r="P35" s="44"/>
      <c r="Q35" s="44">
        <v>2</v>
      </c>
      <c r="R35" s="44">
        <v>3</v>
      </c>
      <c r="S35" s="87">
        <v>151</v>
      </c>
      <c r="T35" s="85">
        <v>185</v>
      </c>
      <c r="U35" s="44"/>
      <c r="V35" s="44">
        <v>0.5</v>
      </c>
      <c r="W35" s="44">
        <v>20</v>
      </c>
      <c r="X35" s="44">
        <v>36</v>
      </c>
      <c r="Y35" s="44" t="s">
        <v>2384</v>
      </c>
      <c r="Z35" s="44">
        <v>39</v>
      </c>
      <c r="AA35" s="44" t="str">
        <f t="shared" si="5"/>
        <v>DA_WPN_HM_WoundMallet_c_str</v>
      </c>
      <c r="AB35" s="90" t="str">
        <f t="shared" si="2"/>
        <v>/Game/DungeonSiege/Items/Weapons/Hammer/DA_WPN_HM_WoundMallet_c_str</v>
      </c>
      <c r="AC35" s="94" t="str">
        <f t="shared" si="3"/>
        <v>Texture2D'/Game/DungeonSiege/art/bitmaps/gui/in_game/inventory/weapons/hammer/b_gui_ig_i_w_hmr_049.b_gui_ig_i_w_hmr_049'</v>
      </c>
      <c r="AD35" s="94" t="str">
        <f t="shared" si="0"/>
        <v>Texture2D'/Game/DungeonSiege/art/bitmaps/gui/in_game/inventory/icons/b_gui_ig_i_ic_hmr_002.b_gui_ig_i_ic_hmr_002'</v>
      </c>
      <c r="AE35" s="94" t="str">
        <f t="shared" si="4"/>
        <v>StaticMesh'/Game/DungeonSiege/art/meshes/weapons/hammer/m_w_hmr_013_AspMesh.m_w_hmr_013_AspMesh'</v>
      </c>
    </row>
    <row r="36" spans="1:31" ht="15.75" thickBot="1" x14ac:dyDescent="0.3">
      <c r="A36" s="44">
        <v>34</v>
      </c>
      <c r="B36" s="44">
        <f>A36+Items!B$22</f>
        <v>89128994</v>
      </c>
      <c r="C36" s="69" t="s">
        <v>5655</v>
      </c>
      <c r="D36" s="85" t="s">
        <v>3895</v>
      </c>
      <c r="E36" s="85" t="s">
        <v>3524</v>
      </c>
      <c r="F36" s="44" t="s">
        <v>3961</v>
      </c>
      <c r="G36" s="44"/>
      <c r="H36" s="85"/>
      <c r="I36" s="85"/>
      <c r="J36" s="85" t="b">
        <v>1</v>
      </c>
      <c r="K36" s="85" t="b">
        <v>1</v>
      </c>
      <c r="L36" s="86" t="s">
        <v>3931</v>
      </c>
      <c r="M36" s="44" t="s">
        <v>3982</v>
      </c>
      <c r="N36" s="44" t="s">
        <v>3935</v>
      </c>
      <c r="O36" s="44" t="b">
        <v>1</v>
      </c>
      <c r="P36" s="44"/>
      <c r="Q36" s="44">
        <v>2</v>
      </c>
      <c r="R36" s="44">
        <v>3</v>
      </c>
      <c r="S36" s="87">
        <v>179</v>
      </c>
      <c r="T36" s="85">
        <v>219</v>
      </c>
      <c r="U36" s="44"/>
      <c r="V36" s="44">
        <v>0.5</v>
      </c>
      <c r="W36" s="44">
        <v>30</v>
      </c>
      <c r="X36" s="44">
        <v>44</v>
      </c>
      <c r="Y36" s="44" t="s">
        <v>2384</v>
      </c>
      <c r="Z36" s="44">
        <v>45</v>
      </c>
      <c r="AA36" s="44" t="str">
        <f t="shared" si="5"/>
        <v>DA_WPN_HM_WoundMallet_o_str</v>
      </c>
      <c r="AB36" s="90" t="str">
        <f t="shared" si="2"/>
        <v>/Game/DungeonSiege/Items/Weapons/Hammer/DA_WPN_HM_WoundMallet_o_str</v>
      </c>
      <c r="AC36" s="94" t="str">
        <f t="shared" si="3"/>
        <v>Texture2D'/Game/DungeonSiege/art/bitmaps/gui/in_game/inventory/weapons/hammer/b_gui_ig_i_w_hmr_050.b_gui_ig_i_w_hmr_050'</v>
      </c>
      <c r="AD36" s="94" t="str">
        <f t="shared" si="0"/>
        <v>Texture2D'/Game/DungeonSiege/art/bitmaps/gui/in_game/inventory/icons/b_gui_ig_i_ic_hmr_002.b_gui_ig_i_ic_hmr_002'</v>
      </c>
      <c r="AE36" s="94" t="str">
        <f t="shared" si="4"/>
        <v>StaticMesh'/Game/DungeonSiege/art/meshes/weapons/hammer/m_w_hmr_014_AspMesh.m_w_hmr_014_AspMesh'</v>
      </c>
    </row>
    <row r="37" spans="1:31" ht="15.75" thickBot="1" x14ac:dyDescent="0.3">
      <c r="A37" s="44">
        <v>35</v>
      </c>
      <c r="B37" s="44">
        <f>A37+Items!B$22</f>
        <v>89128995</v>
      </c>
      <c r="C37" s="69" t="s">
        <v>3896</v>
      </c>
      <c r="D37" s="85" t="s">
        <v>3896</v>
      </c>
      <c r="E37" s="85" t="s">
        <v>3524</v>
      </c>
      <c r="F37" s="44" t="s">
        <v>3973</v>
      </c>
      <c r="G37" s="44"/>
      <c r="H37" s="85"/>
      <c r="I37" s="85"/>
      <c r="J37" s="85" t="b">
        <v>1</v>
      </c>
      <c r="K37" s="85" t="b">
        <v>1</v>
      </c>
      <c r="L37" s="86" t="s">
        <v>3932</v>
      </c>
      <c r="M37" s="44" t="s">
        <v>3983</v>
      </c>
      <c r="N37" s="44" t="s">
        <v>3936</v>
      </c>
      <c r="O37" s="44" t="b">
        <v>1</v>
      </c>
      <c r="P37" s="44"/>
      <c r="Q37" s="44">
        <v>2</v>
      </c>
      <c r="R37" s="44">
        <v>3</v>
      </c>
      <c r="S37" s="87">
        <v>81</v>
      </c>
      <c r="T37" s="85">
        <v>99</v>
      </c>
      <c r="U37" s="44"/>
      <c r="V37" s="44">
        <v>0.5</v>
      </c>
      <c r="W37" s="44">
        <v>2</v>
      </c>
      <c r="X37" s="44">
        <v>11</v>
      </c>
      <c r="Y37" s="44" t="s">
        <v>2384</v>
      </c>
      <c r="Z37" s="44">
        <v>24</v>
      </c>
      <c r="AA37" s="44" t="str">
        <f t="shared" si="5"/>
        <v>DA_WPN_HM_HeadRam</v>
      </c>
      <c r="AB37" s="90" t="str">
        <f t="shared" si="2"/>
        <v>/Game/DungeonSiege/Items/Weapons/Hammer/DA_WPN_HM_HeadRam</v>
      </c>
      <c r="AC37" s="94" t="str">
        <f t="shared" si="3"/>
        <v>Texture2D'/Game/DungeonSiege/art/bitmaps/gui/in_game/inventory/weapons/hammer/b_gui_ig_i_w_hmr_052.b_gui_ig_i_w_hmr_052'</v>
      </c>
      <c r="AD37" s="94" t="str">
        <f t="shared" si="0"/>
        <v>Texture2D'/Game/DungeonSiege/art/bitmaps/gui/in_game/inventory/icons/b_gui_ig_i_ic_hmr_003.b_gui_ig_i_ic_hmr_003'</v>
      </c>
      <c r="AE37" s="94" t="str">
        <f t="shared" si="4"/>
        <v>StaticMesh'/Game/DungeonSiege/art/meshes/weapons/hammer/m_w_hmr_017_AspMesh.m_w_hmr_017_AspMesh'</v>
      </c>
    </row>
    <row r="38" spans="1:31" ht="15.75" thickBot="1" x14ac:dyDescent="0.3">
      <c r="A38" s="44">
        <v>36</v>
      </c>
      <c r="B38" s="44">
        <f>A38+Items!B$22</f>
        <v>89128996</v>
      </c>
      <c r="C38" s="69" t="s">
        <v>5656</v>
      </c>
      <c r="D38" s="85" t="s">
        <v>3896</v>
      </c>
      <c r="E38" s="85" t="s">
        <v>3524</v>
      </c>
      <c r="F38" s="44" t="s">
        <v>3974</v>
      </c>
      <c r="G38" s="44"/>
      <c r="H38" s="85"/>
      <c r="I38" s="85"/>
      <c r="J38" s="85" t="b">
        <v>1</v>
      </c>
      <c r="K38" s="85" t="b">
        <v>1</v>
      </c>
      <c r="L38" s="86" t="s">
        <v>3933</v>
      </c>
      <c r="M38" s="44" t="s">
        <v>3984</v>
      </c>
      <c r="N38" s="44" t="s">
        <v>3936</v>
      </c>
      <c r="O38" s="44" t="b">
        <v>1</v>
      </c>
      <c r="P38" s="44"/>
      <c r="Q38" s="44">
        <v>2</v>
      </c>
      <c r="R38" s="44">
        <v>3</v>
      </c>
      <c r="S38" s="87">
        <v>201</v>
      </c>
      <c r="T38" s="85">
        <v>245</v>
      </c>
      <c r="U38" s="44"/>
      <c r="V38" s="44">
        <v>0.5</v>
      </c>
      <c r="W38" s="44">
        <v>35</v>
      </c>
      <c r="X38" s="44">
        <v>50</v>
      </c>
      <c r="Y38" s="44" t="s">
        <v>2384</v>
      </c>
      <c r="Z38" s="44">
        <v>49</v>
      </c>
      <c r="AA38" s="44" t="str">
        <f t="shared" si="5"/>
        <v>DA_WPN_HM_HeadRam_c_mag</v>
      </c>
      <c r="AB38" s="90" t="str">
        <f t="shared" si="2"/>
        <v>/Game/DungeonSiege/Items/Weapons/Hammer/DA_WPN_HM_HeadRam_c_mag</v>
      </c>
      <c r="AC38" s="94" t="str">
        <f t="shared" si="3"/>
        <v>Texture2D'/Game/DungeonSiege/art/bitmaps/gui/in_game/inventory/weapons/hammer/b_gui_ig_i_w_hmr_054.b_gui_ig_i_w_hmr_054'</v>
      </c>
      <c r="AD38" s="94" t="str">
        <f t="shared" si="0"/>
        <v>Texture2D'/Game/DungeonSiege/art/bitmaps/gui/in_game/inventory/icons/b_gui_ig_i_ic_hmr_003.b_gui_ig_i_ic_hmr_003'</v>
      </c>
      <c r="AE38" s="94" t="str">
        <f t="shared" si="4"/>
        <v>StaticMesh'/Game/DungeonSiege/art/meshes/weapons/hammer/m_w_hmr_019_AspMesh.m_w_hmr_019_AspMesh'</v>
      </c>
    </row>
  </sheetData>
  <phoneticPr fontId="2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ExportWeapons_Hammer">
                <anchor moveWithCells="1" sizeWithCells="1">
                  <from>
                    <xdr:col>0</xdr:col>
                    <xdr:colOff>0</xdr:colOff>
                    <xdr:row>0</xdr:row>
                    <xdr:rowOff>28575</xdr:rowOff>
                  </from>
                  <to>
                    <xdr:col>0</xdr:col>
                    <xdr:colOff>838200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F2E8F-413E-4246-A0AC-728703EE3FC8}">
  <sheetPr codeName="Sheet10"/>
  <dimension ref="A1:W415"/>
  <sheetViews>
    <sheetView zoomScale="175" zoomScaleNormal="175" workbookViewId="0">
      <selection activeCell="A2" sqref="A2"/>
    </sheetView>
  </sheetViews>
  <sheetFormatPr defaultRowHeight="15" x14ac:dyDescent="0.25"/>
  <cols>
    <col min="1" max="1" width="16.7109375" style="23" customWidth="1"/>
    <col min="2" max="2" width="12.7109375" style="1" customWidth="1"/>
    <col min="3" max="3" width="16.85546875" style="1" customWidth="1"/>
    <col min="4" max="4" width="17.5703125" customWidth="1"/>
    <col min="5" max="6" width="11.42578125" style="1" customWidth="1"/>
    <col min="7" max="7" width="12.7109375" style="1" customWidth="1"/>
    <col min="8" max="11" width="9.140625" style="1" customWidth="1"/>
    <col min="12" max="12" width="26.140625" style="23" customWidth="1"/>
    <col min="13" max="13" width="17.85546875" style="23" customWidth="1"/>
    <col min="14" max="14" width="9.5703125" style="1" customWidth="1"/>
    <col min="15" max="15" width="11.28515625" style="1" customWidth="1"/>
    <col min="16" max="16" width="9" style="1" customWidth="1"/>
    <col min="17" max="17" width="8" style="1" customWidth="1"/>
    <col min="18" max="18" width="5.140625" style="1" customWidth="1"/>
    <col min="19" max="19" width="5.7109375" style="1" customWidth="1"/>
    <col min="20" max="20" width="23.28515625" style="22" bestFit="1" customWidth="1"/>
    <col min="21" max="21" width="49.28515625" style="22" bestFit="1" customWidth="1"/>
    <col min="22" max="22" width="90.140625" bestFit="1" customWidth="1"/>
    <col min="23" max="23" width="97.85546875" customWidth="1"/>
  </cols>
  <sheetData>
    <row r="1" spans="1:23" ht="34.5" thickBot="1" x14ac:dyDescent="0.3">
      <c r="A1" s="69"/>
      <c r="B1" s="30"/>
      <c r="C1" s="30" t="s">
        <v>28</v>
      </c>
      <c r="D1" s="30" t="s">
        <v>2912</v>
      </c>
      <c r="E1" s="30" t="s">
        <v>2916</v>
      </c>
      <c r="F1" s="30" t="s">
        <v>2906</v>
      </c>
      <c r="G1" s="30" t="s">
        <v>2907</v>
      </c>
      <c r="H1" s="30" t="s">
        <v>2908</v>
      </c>
      <c r="I1" s="30" t="s">
        <v>2909</v>
      </c>
      <c r="J1" s="30" t="s">
        <v>2910</v>
      </c>
      <c r="K1" s="30" t="s">
        <v>2911</v>
      </c>
      <c r="L1" s="30" t="s">
        <v>2495</v>
      </c>
      <c r="M1" s="30" t="s">
        <v>2496</v>
      </c>
      <c r="N1" s="68" t="s">
        <v>2497</v>
      </c>
      <c r="O1" s="30" t="s">
        <v>2498</v>
      </c>
      <c r="P1" s="67" t="s">
        <v>2502</v>
      </c>
      <c r="Q1" s="67" t="s">
        <v>2501</v>
      </c>
      <c r="R1" s="67" t="s">
        <v>2913</v>
      </c>
      <c r="S1" s="67" t="s">
        <v>2914</v>
      </c>
      <c r="T1" s="67" t="s">
        <v>335</v>
      </c>
      <c r="U1" s="67" t="s">
        <v>334</v>
      </c>
      <c r="V1" s="67" t="s">
        <v>671</v>
      </c>
      <c r="W1" s="67" t="s">
        <v>3059</v>
      </c>
    </row>
    <row r="2" spans="1:23" ht="15.75" thickBot="1" x14ac:dyDescent="0.3">
      <c r="A2" s="69">
        <v>0</v>
      </c>
      <c r="B2" s="69">
        <v>0</v>
      </c>
      <c r="C2" s="69">
        <f>HEX2DEC(B2+Items!$A$5)</f>
        <v>16973824</v>
      </c>
      <c r="D2" s="65" t="s">
        <v>2383</v>
      </c>
      <c r="E2" s="71">
        <v>172</v>
      </c>
      <c r="F2" s="72" t="s">
        <v>2384</v>
      </c>
      <c r="G2" s="69">
        <v>27</v>
      </c>
      <c r="H2" s="69">
        <v>1</v>
      </c>
      <c r="I2" s="69">
        <v>0</v>
      </c>
      <c r="J2" s="69">
        <v>0</v>
      </c>
      <c r="K2" s="69">
        <v>0</v>
      </c>
      <c r="L2" s="66" t="s">
        <v>2518</v>
      </c>
      <c r="M2" s="65" t="str">
        <f t="shared" ref="M2:M41" si="0">CONCATENATE("b_gui_ig_i_a_pos_",O2,"_",N2)</f>
        <v>b_gui_ig_i_a_pos_a5_001</v>
      </c>
      <c r="N2" s="70" t="s">
        <v>2499</v>
      </c>
      <c r="O2" s="69" t="s">
        <v>2500</v>
      </c>
      <c r="P2" s="69">
        <v>2</v>
      </c>
      <c r="Q2" s="69">
        <v>3</v>
      </c>
      <c r="R2" s="69"/>
      <c r="S2" s="69"/>
      <c r="T2" s="73" t="str">
        <f xml:space="preserve"> CONCATENATE("DA_",SUBSTITUTE(L2,":","_"))</f>
        <v>DA_bd_ba_f_g_c_avg</v>
      </c>
      <c r="U2" s="73" t="str">
        <f>"/Game/DungeonSiege/Items/Armor/Body/" &amp; T2</f>
        <v>/Game/DungeonSiege/Items/Armor/Body/DA_bd_ba_f_g_c_avg</v>
      </c>
      <c r="V2" s="73" t="str">
        <f t="shared" ref="V2:V65" si="1">CONCATENATE("Texture2D'/Game/DungeonSiege/art/bitmaps/gui/in_game/inventory/armor/body_armor/",M2,".",M2,"'")</f>
        <v>Texture2D'/Game/DungeonSiege/art/bitmaps/gui/in_game/inventory/armor/body_armor/b_gui_ig_i_a_pos_a5_001.b_gui_ig_i_a_pos_a5_001'</v>
      </c>
      <c r="W2" s="73" t="s">
        <v>3061</v>
      </c>
    </row>
    <row r="3" spans="1:23" ht="15.75" thickBot="1" x14ac:dyDescent="0.3">
      <c r="A3" s="69">
        <v>1</v>
      </c>
      <c r="B3" s="69">
        <v>1</v>
      </c>
      <c r="C3" s="69">
        <f>HEX2DEC(B3+Items!$A$5)</f>
        <v>16973825</v>
      </c>
      <c r="D3" s="65" t="s">
        <v>2383</v>
      </c>
      <c r="E3" s="71">
        <v>241</v>
      </c>
      <c r="F3" s="72" t="s">
        <v>2384</v>
      </c>
      <c r="G3" s="69">
        <v>34</v>
      </c>
      <c r="H3" s="69">
        <v>0</v>
      </c>
      <c r="I3" s="69">
        <v>1</v>
      </c>
      <c r="J3" s="69">
        <v>1</v>
      </c>
      <c r="K3" s="69">
        <v>1</v>
      </c>
      <c r="L3" s="66" t="s">
        <v>2519</v>
      </c>
      <c r="M3" s="65" t="str">
        <f t="shared" si="0"/>
        <v>b_gui_ig_i_a_pos_a5_015</v>
      </c>
      <c r="N3" s="70" t="s">
        <v>2506</v>
      </c>
      <c r="O3" s="69" t="s">
        <v>2500</v>
      </c>
      <c r="P3" s="69">
        <v>2</v>
      </c>
      <c r="Q3" s="69">
        <v>3</v>
      </c>
      <c r="R3" s="69">
        <v>8</v>
      </c>
      <c r="S3" s="69">
        <v>16</v>
      </c>
      <c r="T3" s="73" t="str">
        <f t="shared" ref="T3:T66" si="2" xml:space="preserve"> CONCATENATE("DA_",SUBSTITUTE(L3,":","_"))</f>
        <v>DA_bd_ba_f_g_c_avg_o_fin</v>
      </c>
      <c r="U3" s="73" t="str">
        <f t="shared" ref="U3:U66" si="3">"/Game/DungeonSiege/Items/Armor/Body/" &amp; T3</f>
        <v>/Game/DungeonSiege/Items/Armor/Body/DA_bd_ba_f_g_c_avg_o_fin</v>
      </c>
      <c r="V3" s="73" t="str">
        <f t="shared" si="1"/>
        <v>Texture2D'/Game/DungeonSiege/art/bitmaps/gui/in_game/inventory/armor/body_armor/b_gui_ig_i_a_pos_a5_015.b_gui_ig_i_a_pos_a5_015'</v>
      </c>
      <c r="W3" s="73" t="s">
        <v>3061</v>
      </c>
    </row>
    <row r="4" spans="1:23" ht="15.75" thickBot="1" x14ac:dyDescent="0.3">
      <c r="A4" s="69">
        <v>2</v>
      </c>
      <c r="B4" s="69">
        <v>2</v>
      </c>
      <c r="C4" s="69">
        <f>HEX2DEC(B4+Items!$A$5)</f>
        <v>16973826</v>
      </c>
      <c r="D4" s="65" t="s">
        <v>2383</v>
      </c>
      <c r="E4" s="71">
        <v>434</v>
      </c>
      <c r="F4" s="72" t="s">
        <v>2384</v>
      </c>
      <c r="G4" s="69">
        <v>54</v>
      </c>
      <c r="H4" s="69">
        <v>0</v>
      </c>
      <c r="I4" s="69">
        <v>1</v>
      </c>
      <c r="J4" s="69">
        <v>1</v>
      </c>
      <c r="K4" s="69">
        <v>1</v>
      </c>
      <c r="L4" s="66" t="s">
        <v>2520</v>
      </c>
      <c r="M4" s="65" t="str">
        <f t="shared" si="0"/>
        <v>b_gui_ig_i_a_pos_a6_002</v>
      </c>
      <c r="N4" s="70" t="s">
        <v>2504</v>
      </c>
      <c r="O4" s="69" t="s">
        <v>2505</v>
      </c>
      <c r="P4" s="69">
        <v>2</v>
      </c>
      <c r="Q4" s="69">
        <v>3</v>
      </c>
      <c r="R4" s="69">
        <v>23</v>
      </c>
      <c r="S4" s="69">
        <v>31</v>
      </c>
      <c r="T4" s="73" t="str">
        <f t="shared" si="2"/>
        <v>DA_bd_ba_f_g_c_avg_o_mag</v>
      </c>
      <c r="U4" s="73" t="str">
        <f t="shared" si="3"/>
        <v>/Game/DungeonSiege/Items/Armor/Body/DA_bd_ba_f_g_c_avg_o_mag</v>
      </c>
      <c r="V4" s="73" t="str">
        <f t="shared" si="1"/>
        <v>Texture2D'/Game/DungeonSiege/art/bitmaps/gui/in_game/inventory/armor/body_armor/b_gui_ig_i_a_pos_a6_002.b_gui_ig_i_a_pos_a6_002'</v>
      </c>
      <c r="W4" s="73" t="s">
        <v>3061</v>
      </c>
    </row>
    <row r="5" spans="1:23" ht="15.75" thickBot="1" x14ac:dyDescent="0.3">
      <c r="A5" s="69">
        <v>3</v>
      </c>
      <c r="B5" s="69">
        <v>3</v>
      </c>
      <c r="C5" s="69">
        <f>HEX2DEC(B5+Items!$A$5)</f>
        <v>16973827</v>
      </c>
      <c r="D5" s="65" t="s">
        <v>2383</v>
      </c>
      <c r="E5" s="71">
        <v>328</v>
      </c>
      <c r="F5" s="72" t="s">
        <v>2384</v>
      </c>
      <c r="G5" s="69">
        <v>43</v>
      </c>
      <c r="H5" s="69">
        <v>0</v>
      </c>
      <c r="I5" s="69">
        <v>1</v>
      </c>
      <c r="J5" s="69">
        <v>1</v>
      </c>
      <c r="K5" s="69">
        <v>1</v>
      </c>
      <c r="L5" s="66" t="s">
        <v>2521</v>
      </c>
      <c r="M5" s="65" t="str">
        <f t="shared" si="0"/>
        <v>b_gui_ig_i_a_pos_a5_009</v>
      </c>
      <c r="N5" s="70" t="s">
        <v>2503</v>
      </c>
      <c r="O5" s="69" t="s">
        <v>2500</v>
      </c>
      <c r="P5" s="69">
        <v>2</v>
      </c>
      <c r="Q5" s="69">
        <v>3</v>
      </c>
      <c r="R5" s="69">
        <v>15</v>
      </c>
      <c r="S5" s="69">
        <v>23</v>
      </c>
      <c r="T5" s="73" t="str">
        <f t="shared" si="2"/>
        <v>DA_bd_ba_f_g_c_avg_o_str</v>
      </c>
      <c r="U5" s="73" t="str">
        <f t="shared" si="3"/>
        <v>/Game/DungeonSiege/Items/Armor/Body/DA_bd_ba_f_g_c_avg_o_str</v>
      </c>
      <c r="V5" s="73" t="str">
        <f t="shared" si="1"/>
        <v>Texture2D'/Game/DungeonSiege/art/bitmaps/gui/in_game/inventory/armor/body_armor/b_gui_ig_i_a_pos_a5_009.b_gui_ig_i_a_pos_a5_009'</v>
      </c>
      <c r="W5" s="73" t="s">
        <v>3061</v>
      </c>
    </row>
    <row r="6" spans="1:23" ht="15.75" thickBot="1" x14ac:dyDescent="0.3">
      <c r="A6" s="69">
        <v>4</v>
      </c>
      <c r="B6" s="69">
        <v>4</v>
      </c>
      <c r="C6" s="69">
        <f>HEX2DEC(B6+Items!$A$5)</f>
        <v>16973828</v>
      </c>
      <c r="D6" s="65" t="s">
        <v>2385</v>
      </c>
      <c r="E6" s="71">
        <v>160</v>
      </c>
      <c r="F6" s="72" t="s">
        <v>2384</v>
      </c>
      <c r="G6" s="69">
        <v>26</v>
      </c>
      <c r="H6" s="69">
        <v>1</v>
      </c>
      <c r="I6" s="69">
        <v>0</v>
      </c>
      <c r="J6" s="69">
        <v>0</v>
      </c>
      <c r="K6" s="69">
        <v>0</v>
      </c>
      <c r="L6" s="66" t="s">
        <v>2522</v>
      </c>
      <c r="M6" s="65" t="str">
        <f t="shared" si="0"/>
        <v>b_gui_ig_i_a_pos_a5_004</v>
      </c>
      <c r="N6" s="70" t="s">
        <v>2507</v>
      </c>
      <c r="O6" s="69" t="s">
        <v>2500</v>
      </c>
      <c r="P6" s="69">
        <v>2</v>
      </c>
      <c r="Q6" s="69">
        <v>3</v>
      </c>
      <c r="R6" s="69"/>
      <c r="S6" s="69"/>
      <c r="T6" s="73" t="str">
        <f t="shared" si="2"/>
        <v>DA_bd_ba_f_g_c_fun</v>
      </c>
      <c r="U6" s="73" t="str">
        <f t="shared" si="3"/>
        <v>/Game/DungeonSiege/Items/Armor/Body/DA_bd_ba_f_g_c_fun</v>
      </c>
      <c r="V6" s="73" t="str">
        <f t="shared" si="1"/>
        <v>Texture2D'/Game/DungeonSiege/art/bitmaps/gui/in_game/inventory/armor/body_armor/b_gui_ig_i_a_pos_a5_004.b_gui_ig_i_a_pos_a5_004'</v>
      </c>
      <c r="W6" s="73" t="s">
        <v>3061</v>
      </c>
    </row>
    <row r="7" spans="1:23" ht="15.75" thickBot="1" x14ac:dyDescent="0.3">
      <c r="A7" s="69">
        <v>5</v>
      </c>
      <c r="B7" s="69">
        <v>5</v>
      </c>
      <c r="C7" s="69">
        <f>HEX2DEC(B7+Items!$A$5)</f>
        <v>16973829</v>
      </c>
      <c r="D7" s="65" t="s">
        <v>2386</v>
      </c>
      <c r="E7" s="71">
        <v>147</v>
      </c>
      <c r="F7" s="72" t="s">
        <v>2384</v>
      </c>
      <c r="G7" s="69">
        <v>25</v>
      </c>
      <c r="H7" s="69">
        <v>1</v>
      </c>
      <c r="I7" s="69">
        <v>0</v>
      </c>
      <c r="J7" s="69">
        <v>0</v>
      </c>
      <c r="K7" s="69">
        <v>0</v>
      </c>
      <c r="L7" s="66" t="s">
        <v>2523</v>
      </c>
      <c r="M7" s="65" t="str">
        <f t="shared" si="0"/>
        <v>b_gui_ig_i_a_pos_a5_019</v>
      </c>
      <c r="N7" s="70" t="s">
        <v>2779</v>
      </c>
      <c r="O7" s="69" t="s">
        <v>2500</v>
      </c>
      <c r="P7" s="69">
        <v>2</v>
      </c>
      <c r="Q7" s="69">
        <v>3</v>
      </c>
      <c r="R7" s="69"/>
      <c r="S7" s="69"/>
      <c r="T7" s="73" t="str">
        <f t="shared" si="2"/>
        <v>DA_bd_ba_f_g_c_low</v>
      </c>
      <c r="U7" s="73" t="str">
        <f t="shared" si="3"/>
        <v>/Game/DungeonSiege/Items/Armor/Body/DA_bd_ba_f_g_c_low</v>
      </c>
      <c r="V7" s="73" t="str">
        <f t="shared" si="1"/>
        <v>Texture2D'/Game/DungeonSiege/art/bitmaps/gui/in_game/inventory/armor/body_armor/b_gui_ig_i_a_pos_a5_019.b_gui_ig_i_a_pos_a5_019'</v>
      </c>
      <c r="W7" s="73" t="s">
        <v>3061</v>
      </c>
    </row>
    <row r="8" spans="1:23" ht="15.75" thickBot="1" x14ac:dyDescent="0.3">
      <c r="A8" s="69">
        <v>6</v>
      </c>
      <c r="B8" s="69">
        <v>6</v>
      </c>
      <c r="C8" s="69">
        <f>HEX2DEC(B8+Items!$A$5)</f>
        <v>16973830</v>
      </c>
      <c r="D8" s="65" t="s">
        <v>2387</v>
      </c>
      <c r="E8" s="71">
        <v>176</v>
      </c>
      <c r="F8" s="72" t="s">
        <v>2384</v>
      </c>
      <c r="G8" s="69">
        <v>15</v>
      </c>
      <c r="H8" s="69">
        <v>0</v>
      </c>
      <c r="I8" s="69">
        <v>1</v>
      </c>
      <c r="J8" s="69">
        <v>0</v>
      </c>
      <c r="K8" s="69">
        <v>0</v>
      </c>
      <c r="L8" s="66" t="s">
        <v>2524</v>
      </c>
      <c r="M8" s="65" t="str">
        <f t="shared" si="0"/>
        <v>b_gui_ig_i_a_pos_a2_020</v>
      </c>
      <c r="N8" s="70" t="s">
        <v>2780</v>
      </c>
      <c r="O8" s="69" t="s">
        <v>2781</v>
      </c>
      <c r="P8" s="69">
        <v>2</v>
      </c>
      <c r="Q8" s="69">
        <v>2</v>
      </c>
      <c r="R8" s="69">
        <v>24</v>
      </c>
      <c r="S8" s="69">
        <v>43</v>
      </c>
      <c r="T8" s="73" t="str">
        <f t="shared" si="2"/>
        <v>DA_bd_ba_m_g_c_str</v>
      </c>
      <c r="U8" s="73" t="str">
        <f t="shared" si="3"/>
        <v>/Game/DungeonSiege/Items/Armor/Body/DA_bd_ba_m_g_c_str</v>
      </c>
      <c r="V8" s="73" t="str">
        <f t="shared" si="1"/>
        <v>Texture2D'/Game/DungeonSiege/art/bitmaps/gui/in_game/inventory/armor/body_armor/b_gui_ig_i_a_pos_a2_020.b_gui_ig_i_a_pos_a2_020'</v>
      </c>
      <c r="W8" s="73" t="s">
        <v>3061</v>
      </c>
    </row>
    <row r="9" spans="1:23" ht="15.75" thickBot="1" x14ac:dyDescent="0.3">
      <c r="A9" s="69">
        <v>7</v>
      </c>
      <c r="B9" s="69">
        <v>7</v>
      </c>
      <c r="C9" s="69">
        <f>HEX2DEC(B9+Items!$A$5)</f>
        <v>16973831</v>
      </c>
      <c r="D9" s="65" t="s">
        <v>2388</v>
      </c>
      <c r="E9" s="71">
        <v>205</v>
      </c>
      <c r="F9" s="72" t="s">
        <v>2384</v>
      </c>
      <c r="G9" s="69">
        <v>22</v>
      </c>
      <c r="H9" s="69">
        <v>0</v>
      </c>
      <c r="I9" s="69">
        <v>1</v>
      </c>
      <c r="J9" s="69">
        <v>0</v>
      </c>
      <c r="K9" s="69">
        <v>0</v>
      </c>
      <c r="L9" s="66" t="s">
        <v>2525</v>
      </c>
      <c r="M9" s="65" t="str">
        <f t="shared" si="0"/>
        <v>b_gui_ig_i_a_pos_a2_016</v>
      </c>
      <c r="N9" s="70" t="s">
        <v>2517</v>
      </c>
      <c r="O9" s="69" t="s">
        <v>2781</v>
      </c>
      <c r="P9" s="69">
        <v>2</v>
      </c>
      <c r="Q9" s="69">
        <v>2</v>
      </c>
      <c r="R9" s="69">
        <v>12</v>
      </c>
      <c r="S9" s="69">
        <v>26</v>
      </c>
      <c r="T9" s="73" t="str">
        <f t="shared" si="2"/>
        <v>DA_bd_ba_r_g_o_fin</v>
      </c>
      <c r="U9" s="73" t="str">
        <f t="shared" si="3"/>
        <v>/Game/DungeonSiege/Items/Armor/Body/DA_bd_ba_r_g_o_fin</v>
      </c>
      <c r="V9" s="73" t="str">
        <f t="shared" si="1"/>
        <v>Texture2D'/Game/DungeonSiege/art/bitmaps/gui/in_game/inventory/armor/body_armor/b_gui_ig_i_a_pos_a2_016.b_gui_ig_i_a_pos_a2_016'</v>
      </c>
      <c r="W9" s="73" t="s">
        <v>3061</v>
      </c>
    </row>
    <row r="10" spans="1:23" ht="15.75" thickBot="1" x14ac:dyDescent="0.3">
      <c r="A10" s="69">
        <v>8</v>
      </c>
      <c r="B10" s="69">
        <v>8</v>
      </c>
      <c r="C10" s="69">
        <f>HEX2DEC(B10+Items!$A$5)</f>
        <v>16973832</v>
      </c>
      <c r="D10" s="65" t="s">
        <v>2389</v>
      </c>
      <c r="E10" s="71">
        <v>310</v>
      </c>
      <c r="F10" s="72" t="s">
        <v>2384</v>
      </c>
      <c r="G10" s="69">
        <v>42</v>
      </c>
      <c r="H10" s="69">
        <v>1</v>
      </c>
      <c r="I10" s="69">
        <v>1</v>
      </c>
      <c r="J10" s="69">
        <v>0</v>
      </c>
      <c r="K10" s="69">
        <v>0</v>
      </c>
      <c r="L10" s="66" t="s">
        <v>2526</v>
      </c>
      <c r="M10" s="65" t="str">
        <f t="shared" si="0"/>
        <v>b_gui_ig_i_a_pos_a6_007</v>
      </c>
      <c r="N10" s="70" t="s">
        <v>2510</v>
      </c>
      <c r="O10" s="69" t="s">
        <v>2505</v>
      </c>
      <c r="P10" s="69">
        <v>2</v>
      </c>
      <c r="Q10" s="69">
        <v>3</v>
      </c>
      <c r="R10" s="69">
        <v>0</v>
      </c>
      <c r="S10" s="69">
        <v>5</v>
      </c>
      <c r="T10" s="73" t="str">
        <f t="shared" si="2"/>
        <v>DA_bd_bp_f_g_c_avg</v>
      </c>
      <c r="U10" s="73" t="str">
        <f t="shared" si="3"/>
        <v>/Game/DungeonSiege/Items/Armor/Body/DA_bd_bp_f_g_c_avg</v>
      </c>
      <c r="V10" s="73" t="str">
        <f t="shared" si="1"/>
        <v>Texture2D'/Game/DungeonSiege/art/bitmaps/gui/in_game/inventory/armor/body_armor/b_gui_ig_i_a_pos_a6_007.b_gui_ig_i_a_pos_a6_007'</v>
      </c>
      <c r="W10" s="73" t="s">
        <v>3061</v>
      </c>
    </row>
    <row r="11" spans="1:23" ht="15.75" thickBot="1" x14ac:dyDescent="0.3">
      <c r="A11" s="69">
        <v>9</v>
      </c>
      <c r="B11" s="69">
        <v>9</v>
      </c>
      <c r="C11" s="69">
        <f>HEX2DEC(B11+Items!$A$5)</f>
        <v>16973833</v>
      </c>
      <c r="D11" s="65" t="s">
        <v>2389</v>
      </c>
      <c r="E11" s="71">
        <v>334</v>
      </c>
      <c r="F11" s="72" t="s">
        <v>2384</v>
      </c>
      <c r="G11" s="69">
        <v>44</v>
      </c>
      <c r="H11" s="69">
        <v>0</v>
      </c>
      <c r="I11" s="69">
        <v>1</v>
      </c>
      <c r="J11" s="69">
        <v>0</v>
      </c>
      <c r="K11" s="69">
        <v>0</v>
      </c>
      <c r="L11" s="66" t="s">
        <v>2527</v>
      </c>
      <c r="M11" s="65" t="str">
        <f t="shared" si="0"/>
        <v>b_gui_ig_i_a_pos_a5_010</v>
      </c>
      <c r="N11" s="70" t="s">
        <v>2512</v>
      </c>
      <c r="O11" s="69" t="s">
        <v>2500</v>
      </c>
      <c r="P11" s="69">
        <v>2</v>
      </c>
      <c r="Q11" s="69">
        <v>3</v>
      </c>
      <c r="R11" s="69">
        <v>2</v>
      </c>
      <c r="S11" s="69">
        <v>13</v>
      </c>
      <c r="T11" s="73" t="str">
        <f t="shared" si="2"/>
        <v>DA_bd_bp_f_g_c_avg_c_fin</v>
      </c>
      <c r="U11" s="73" t="str">
        <f t="shared" si="3"/>
        <v>/Game/DungeonSiege/Items/Armor/Body/DA_bd_bp_f_g_c_avg_c_fin</v>
      </c>
      <c r="V11" s="73" t="str">
        <f t="shared" si="1"/>
        <v>Texture2D'/Game/DungeonSiege/art/bitmaps/gui/in_game/inventory/armor/body_armor/b_gui_ig_i_a_pos_a5_010.b_gui_ig_i_a_pos_a5_010'</v>
      </c>
      <c r="W11" s="73" t="s">
        <v>3061</v>
      </c>
    </row>
    <row r="12" spans="1:23" ht="15.75" thickBot="1" x14ac:dyDescent="0.3">
      <c r="A12" s="69">
        <v>10</v>
      </c>
      <c r="B12" s="69">
        <v>10</v>
      </c>
      <c r="C12" s="69">
        <f>HEX2DEC(B12+Items!$A$5)</f>
        <v>16973840</v>
      </c>
      <c r="D12" s="65" t="s">
        <v>2389</v>
      </c>
      <c r="E12" s="71">
        <v>472</v>
      </c>
      <c r="F12" s="72" t="s">
        <v>2384</v>
      </c>
      <c r="G12" s="69">
        <v>58</v>
      </c>
      <c r="H12" s="69">
        <v>0</v>
      </c>
      <c r="I12" s="69">
        <v>1</v>
      </c>
      <c r="J12" s="69">
        <v>0</v>
      </c>
      <c r="K12" s="69">
        <v>0</v>
      </c>
      <c r="L12" s="66" t="s">
        <v>2528</v>
      </c>
      <c r="M12" s="65" t="str">
        <f t="shared" si="0"/>
        <v>b_gui_ig_i_a_pos_a6_001</v>
      </c>
      <c r="N12" s="70" t="s">
        <v>2499</v>
      </c>
      <c r="O12" s="69" t="s">
        <v>2505</v>
      </c>
      <c r="P12" s="69">
        <v>2</v>
      </c>
      <c r="Q12" s="69">
        <v>3</v>
      </c>
      <c r="R12" s="69">
        <v>18</v>
      </c>
      <c r="S12" s="69">
        <v>32</v>
      </c>
      <c r="T12" s="73" t="str">
        <f t="shared" si="2"/>
        <v>DA_bd_bp_f_g_c_avg_c_str</v>
      </c>
      <c r="U12" s="73" t="str">
        <f t="shared" si="3"/>
        <v>/Game/DungeonSiege/Items/Armor/Body/DA_bd_bp_f_g_c_avg_c_str</v>
      </c>
      <c r="V12" s="73" t="str">
        <f t="shared" si="1"/>
        <v>Texture2D'/Game/DungeonSiege/art/bitmaps/gui/in_game/inventory/armor/body_armor/b_gui_ig_i_a_pos_a6_001.b_gui_ig_i_a_pos_a6_001'</v>
      </c>
      <c r="W12" s="73" t="s">
        <v>3061</v>
      </c>
    </row>
    <row r="13" spans="1:23" ht="15.75" thickBot="1" x14ac:dyDescent="0.3">
      <c r="A13" s="69">
        <v>11</v>
      </c>
      <c r="B13" s="69">
        <v>11</v>
      </c>
      <c r="C13" s="69">
        <f>HEX2DEC(B13+Items!$A$5)</f>
        <v>16973841</v>
      </c>
      <c r="D13" s="65" t="s">
        <v>2389</v>
      </c>
      <c r="E13" s="71">
        <v>659</v>
      </c>
      <c r="F13" s="72" t="s">
        <v>2384</v>
      </c>
      <c r="G13" s="69">
        <v>77</v>
      </c>
      <c r="H13" s="69">
        <v>0</v>
      </c>
      <c r="I13" s="69">
        <v>1</v>
      </c>
      <c r="J13" s="69">
        <v>1</v>
      </c>
      <c r="K13" s="69">
        <v>1</v>
      </c>
      <c r="L13" s="66" t="s">
        <v>2529</v>
      </c>
      <c r="M13" s="65" t="str">
        <f t="shared" si="0"/>
        <v>b_gui_ig_i_a_pos_a6_008</v>
      </c>
      <c r="N13" s="70" t="s">
        <v>2511</v>
      </c>
      <c r="O13" s="69" t="s">
        <v>2505</v>
      </c>
      <c r="P13" s="69">
        <v>2</v>
      </c>
      <c r="Q13" s="69">
        <v>3</v>
      </c>
      <c r="R13" s="69">
        <v>34</v>
      </c>
      <c r="S13" s="69">
        <v>47</v>
      </c>
      <c r="T13" s="73" t="str">
        <f t="shared" si="2"/>
        <v>DA_bd_bp_f_g_c_avg_o_mag</v>
      </c>
      <c r="U13" s="73" t="str">
        <f t="shared" si="3"/>
        <v>/Game/DungeonSiege/Items/Armor/Body/DA_bd_bp_f_g_c_avg_o_mag</v>
      </c>
      <c r="V13" s="73" t="str">
        <f t="shared" si="1"/>
        <v>Texture2D'/Game/DungeonSiege/art/bitmaps/gui/in_game/inventory/armor/body_armor/b_gui_ig_i_a_pos_a6_008.b_gui_ig_i_a_pos_a6_008'</v>
      </c>
      <c r="W13" s="73" t="s">
        <v>3061</v>
      </c>
    </row>
    <row r="14" spans="1:23" ht="15.75" thickBot="1" x14ac:dyDescent="0.3">
      <c r="A14" s="69">
        <v>12</v>
      </c>
      <c r="B14" s="69">
        <v>12</v>
      </c>
      <c r="C14" s="69">
        <f>HEX2DEC(B14+Items!$A$5)</f>
        <v>16973842</v>
      </c>
      <c r="D14" s="65" t="s">
        <v>2389</v>
      </c>
      <c r="E14" s="71">
        <v>528</v>
      </c>
      <c r="F14" s="72" t="s">
        <v>2384</v>
      </c>
      <c r="G14" s="69">
        <v>64</v>
      </c>
      <c r="H14" s="69">
        <v>0</v>
      </c>
      <c r="I14" s="69">
        <v>1</v>
      </c>
      <c r="J14" s="69">
        <v>1</v>
      </c>
      <c r="K14" s="69">
        <v>1</v>
      </c>
      <c r="L14" s="66" t="s">
        <v>2530</v>
      </c>
      <c r="M14" s="65" t="str">
        <f t="shared" si="0"/>
        <v>b_gui_ig_i_a_pos_a5_010</v>
      </c>
      <c r="N14" s="70" t="s">
        <v>2512</v>
      </c>
      <c r="O14" s="69" t="s">
        <v>2500</v>
      </c>
      <c r="P14" s="69">
        <v>2</v>
      </c>
      <c r="Q14" s="69">
        <v>3</v>
      </c>
      <c r="R14" s="69">
        <v>25</v>
      </c>
      <c r="S14" s="69">
        <v>37</v>
      </c>
      <c r="T14" s="73" t="str">
        <f t="shared" si="2"/>
        <v>DA_bd_bp_f_g_c_avg_o_str</v>
      </c>
      <c r="U14" s="73" t="str">
        <f t="shared" si="3"/>
        <v>/Game/DungeonSiege/Items/Armor/Body/DA_bd_bp_f_g_c_avg_o_str</v>
      </c>
      <c r="V14" s="73" t="str">
        <f t="shared" si="1"/>
        <v>Texture2D'/Game/DungeonSiege/art/bitmaps/gui/in_game/inventory/armor/body_armor/b_gui_ig_i_a_pos_a5_010.b_gui_ig_i_a_pos_a5_010'</v>
      </c>
      <c r="W14" s="73" t="s">
        <v>3061</v>
      </c>
    </row>
    <row r="15" spans="1:23" ht="15.75" thickBot="1" x14ac:dyDescent="0.3">
      <c r="A15" s="69">
        <v>13</v>
      </c>
      <c r="B15" s="69">
        <v>13</v>
      </c>
      <c r="C15" s="69">
        <f>HEX2DEC(B15+Items!$A$5)</f>
        <v>16973843</v>
      </c>
      <c r="D15" s="65" t="s">
        <v>2390</v>
      </c>
      <c r="E15" s="71">
        <v>291</v>
      </c>
      <c r="F15" s="72" t="s">
        <v>2384</v>
      </c>
      <c r="G15" s="69">
        <v>40</v>
      </c>
      <c r="H15" s="69">
        <v>1</v>
      </c>
      <c r="I15" s="69">
        <v>0</v>
      </c>
      <c r="J15" s="69">
        <v>0</v>
      </c>
      <c r="K15" s="69">
        <v>0</v>
      </c>
      <c r="L15" s="66" t="s">
        <v>2531</v>
      </c>
      <c r="M15" s="65" t="str">
        <f t="shared" si="0"/>
        <v>b_gui_ig_i_a_pos_a6_004</v>
      </c>
      <c r="N15" s="70" t="s">
        <v>2507</v>
      </c>
      <c r="O15" s="69" t="s">
        <v>2505</v>
      </c>
      <c r="P15" s="69">
        <v>2</v>
      </c>
      <c r="Q15" s="69">
        <v>3</v>
      </c>
      <c r="R15" s="69"/>
      <c r="S15" s="69"/>
      <c r="T15" s="73" t="str">
        <f t="shared" si="2"/>
        <v>DA_bd_bp_f_g_c_fun</v>
      </c>
      <c r="U15" s="73" t="str">
        <f t="shared" si="3"/>
        <v>/Game/DungeonSiege/Items/Armor/Body/DA_bd_bp_f_g_c_fun</v>
      </c>
      <c r="V15" s="73" t="str">
        <f t="shared" si="1"/>
        <v>Texture2D'/Game/DungeonSiege/art/bitmaps/gui/in_game/inventory/armor/body_armor/b_gui_ig_i_a_pos_a6_004.b_gui_ig_i_a_pos_a6_004'</v>
      </c>
      <c r="W15" s="73" t="s">
        <v>3061</v>
      </c>
    </row>
    <row r="16" spans="1:23" ht="15.75" thickBot="1" x14ac:dyDescent="0.3">
      <c r="A16" s="69">
        <v>14</v>
      </c>
      <c r="B16" s="69">
        <v>14</v>
      </c>
      <c r="C16" s="69">
        <f>HEX2DEC(B16+Items!$A$5)</f>
        <v>16973844</v>
      </c>
      <c r="D16" s="65" t="s">
        <v>2391</v>
      </c>
      <c r="E16" s="71">
        <v>85</v>
      </c>
      <c r="F16" s="72" t="s">
        <v>2384</v>
      </c>
      <c r="G16" s="69">
        <v>18</v>
      </c>
      <c r="H16" s="69">
        <v>1</v>
      </c>
      <c r="I16" s="69">
        <v>0</v>
      </c>
      <c r="J16" s="69">
        <v>0</v>
      </c>
      <c r="K16" s="69">
        <v>0</v>
      </c>
      <c r="L16" s="66" t="s">
        <v>2532</v>
      </c>
      <c r="M16" s="65" t="str">
        <f t="shared" si="0"/>
        <v>b_gui_ig_i_a_pos_a3_004</v>
      </c>
      <c r="N16" s="70" t="s">
        <v>2507</v>
      </c>
      <c r="O16" s="69" t="s">
        <v>2782</v>
      </c>
      <c r="P16" s="69">
        <v>2</v>
      </c>
      <c r="Q16" s="69">
        <v>3</v>
      </c>
      <c r="R16" s="69"/>
      <c r="S16" s="69"/>
      <c r="T16" s="73" t="str">
        <f t="shared" si="2"/>
        <v>DA_bd_br_f_g_c_avg</v>
      </c>
      <c r="U16" s="73" t="str">
        <f t="shared" si="3"/>
        <v>/Game/DungeonSiege/Items/Armor/Body/DA_bd_br_f_g_c_avg</v>
      </c>
      <c r="V16" s="73" t="str">
        <f t="shared" si="1"/>
        <v>Texture2D'/Game/DungeonSiege/art/bitmaps/gui/in_game/inventory/armor/body_armor/b_gui_ig_i_a_pos_a3_004.b_gui_ig_i_a_pos_a3_004'</v>
      </c>
      <c r="W16" s="73" t="s">
        <v>3061</v>
      </c>
    </row>
    <row r="17" spans="1:23" ht="15.75" thickBot="1" x14ac:dyDescent="0.3">
      <c r="A17" s="69">
        <v>15</v>
      </c>
      <c r="B17" s="69">
        <v>15</v>
      </c>
      <c r="C17" s="69">
        <f>HEX2DEC(B17+Items!$A$5)</f>
        <v>16973845</v>
      </c>
      <c r="D17" s="65" t="s">
        <v>2391</v>
      </c>
      <c r="E17" s="71">
        <v>185</v>
      </c>
      <c r="F17" s="72" t="s">
        <v>2384</v>
      </c>
      <c r="G17" s="69">
        <v>29</v>
      </c>
      <c r="H17" s="69">
        <v>0</v>
      </c>
      <c r="I17" s="69">
        <v>1</v>
      </c>
      <c r="J17" s="69">
        <v>0</v>
      </c>
      <c r="K17" s="69">
        <v>0</v>
      </c>
      <c r="L17" s="66" t="s">
        <v>2533</v>
      </c>
      <c r="M17" s="65" t="str">
        <f t="shared" si="0"/>
        <v>b_gui_ig_i_a_pos_a3_011</v>
      </c>
      <c r="N17" s="70" t="s">
        <v>2513</v>
      </c>
      <c r="O17" s="69" t="s">
        <v>2782</v>
      </c>
      <c r="P17" s="69">
        <v>2</v>
      </c>
      <c r="Q17" s="69">
        <v>3</v>
      </c>
      <c r="R17" s="69">
        <v>7</v>
      </c>
      <c r="S17" s="69">
        <v>13</v>
      </c>
      <c r="T17" s="73" t="str">
        <f t="shared" si="2"/>
        <v>DA_bd_br_f_g_c_avg_c_str</v>
      </c>
      <c r="U17" s="73" t="str">
        <f t="shared" si="3"/>
        <v>/Game/DungeonSiege/Items/Armor/Body/DA_bd_br_f_g_c_avg_c_str</v>
      </c>
      <c r="V17" s="73" t="str">
        <f t="shared" si="1"/>
        <v>Texture2D'/Game/DungeonSiege/art/bitmaps/gui/in_game/inventory/armor/body_armor/b_gui_ig_i_a_pos_a3_011.b_gui_ig_i_a_pos_a3_011'</v>
      </c>
      <c r="W17" s="73" t="s">
        <v>3061</v>
      </c>
    </row>
    <row r="18" spans="1:23" ht="15.75" thickBot="1" x14ac:dyDescent="0.3">
      <c r="A18" s="69">
        <v>16</v>
      </c>
      <c r="B18" s="69">
        <v>16</v>
      </c>
      <c r="C18" s="69">
        <f>HEX2DEC(B18+Items!$A$5)</f>
        <v>16973846</v>
      </c>
      <c r="D18" s="65" t="s">
        <v>2391</v>
      </c>
      <c r="E18" s="71">
        <v>144</v>
      </c>
      <c r="F18" s="72" t="s">
        <v>2384</v>
      </c>
      <c r="G18" s="69">
        <v>24</v>
      </c>
      <c r="H18" s="69">
        <v>0</v>
      </c>
      <c r="I18" s="69">
        <v>1</v>
      </c>
      <c r="J18" s="69">
        <v>1</v>
      </c>
      <c r="K18" s="69">
        <v>1</v>
      </c>
      <c r="L18" s="66" t="s">
        <v>2534</v>
      </c>
      <c r="M18" s="65" t="str">
        <f t="shared" si="0"/>
        <v>b_gui_ig_i_a_pos_a3_022</v>
      </c>
      <c r="N18" s="70" t="s">
        <v>2783</v>
      </c>
      <c r="O18" s="69" t="s">
        <v>2782</v>
      </c>
      <c r="P18" s="69">
        <v>2</v>
      </c>
      <c r="Q18" s="69">
        <v>3</v>
      </c>
      <c r="R18" s="69">
        <v>5</v>
      </c>
      <c r="S18" s="69">
        <v>10</v>
      </c>
      <c r="T18" s="73" t="str">
        <f t="shared" si="2"/>
        <v>DA_bd_br_f_g_c_avg_o_fin</v>
      </c>
      <c r="U18" s="73" t="str">
        <f t="shared" si="3"/>
        <v>/Game/DungeonSiege/Items/Armor/Body/DA_bd_br_f_g_c_avg_o_fin</v>
      </c>
      <c r="V18" s="73" t="str">
        <f t="shared" si="1"/>
        <v>Texture2D'/Game/DungeonSiege/art/bitmaps/gui/in_game/inventory/armor/body_armor/b_gui_ig_i_a_pos_a3_022.b_gui_ig_i_a_pos_a3_022'</v>
      </c>
      <c r="W18" s="73" t="s">
        <v>3061</v>
      </c>
    </row>
    <row r="19" spans="1:23" ht="15.75" thickBot="1" x14ac:dyDescent="0.3">
      <c r="A19" s="69">
        <v>17</v>
      </c>
      <c r="B19" s="69">
        <v>17</v>
      </c>
      <c r="C19" s="69">
        <f>HEX2DEC(B19+Items!$A$5)</f>
        <v>16973847</v>
      </c>
      <c r="D19" s="65" t="s">
        <v>2392</v>
      </c>
      <c r="E19" s="71">
        <v>60</v>
      </c>
      <c r="F19" s="72" t="s">
        <v>2384</v>
      </c>
      <c r="G19" s="69">
        <v>16</v>
      </c>
      <c r="H19" s="69">
        <v>1</v>
      </c>
      <c r="I19" s="69">
        <v>0</v>
      </c>
      <c r="J19" s="69">
        <v>0</v>
      </c>
      <c r="K19" s="69">
        <v>0</v>
      </c>
      <c r="L19" s="66" t="s">
        <v>2535</v>
      </c>
      <c r="M19" s="65" t="str">
        <f t="shared" si="0"/>
        <v>b_gui_ig_i_a_pos_a3_035</v>
      </c>
      <c r="N19" s="70" t="s">
        <v>2784</v>
      </c>
      <c r="O19" s="69" t="s">
        <v>2782</v>
      </c>
      <c r="P19" s="69">
        <v>2</v>
      </c>
      <c r="Q19" s="69">
        <v>3</v>
      </c>
      <c r="R19" s="69"/>
      <c r="S19" s="69"/>
      <c r="T19" s="73" t="str">
        <f t="shared" si="2"/>
        <v>DA_bd_br_f_g_c_low</v>
      </c>
      <c r="U19" s="73" t="str">
        <f t="shared" si="3"/>
        <v>/Game/DungeonSiege/Items/Armor/Body/DA_bd_br_f_g_c_low</v>
      </c>
      <c r="V19" s="73" t="str">
        <f t="shared" si="1"/>
        <v>Texture2D'/Game/DungeonSiege/art/bitmaps/gui/in_game/inventory/armor/body_armor/b_gui_ig_i_a_pos_a3_035.b_gui_ig_i_a_pos_a3_035'</v>
      </c>
      <c r="W19" s="73" t="s">
        <v>3061</v>
      </c>
    </row>
    <row r="20" spans="1:23" ht="15.75" thickBot="1" x14ac:dyDescent="0.3">
      <c r="A20" s="69">
        <v>18</v>
      </c>
      <c r="B20" s="69">
        <v>18</v>
      </c>
      <c r="C20" s="69">
        <f>HEX2DEC(B20+Items!$A$5)</f>
        <v>16973848</v>
      </c>
      <c r="D20" s="65" t="s">
        <v>2393</v>
      </c>
      <c r="E20" s="71">
        <v>50</v>
      </c>
      <c r="F20" s="69"/>
      <c r="G20" s="69"/>
      <c r="H20" s="69">
        <v>1</v>
      </c>
      <c r="I20" s="69">
        <v>0</v>
      </c>
      <c r="J20" s="69">
        <v>0</v>
      </c>
      <c r="K20" s="69">
        <v>0</v>
      </c>
      <c r="L20" s="66" t="s">
        <v>2536</v>
      </c>
      <c r="M20" s="65" t="str">
        <f t="shared" si="0"/>
        <v>b_gui_ig_i_a_pos_a2_010</v>
      </c>
      <c r="N20" s="70" t="s">
        <v>2512</v>
      </c>
      <c r="O20" s="69" t="s">
        <v>2781</v>
      </c>
      <c r="P20" s="69">
        <v>2</v>
      </c>
      <c r="Q20" s="69">
        <v>2</v>
      </c>
      <c r="R20" s="69"/>
      <c r="S20" s="69"/>
      <c r="T20" s="73" t="str">
        <f t="shared" si="2"/>
        <v>DA_bd_br_m_g_c_avg</v>
      </c>
      <c r="U20" s="73" t="str">
        <f t="shared" si="3"/>
        <v>/Game/DungeonSiege/Items/Armor/Body/DA_bd_br_m_g_c_avg</v>
      </c>
      <c r="V20" s="73" t="str">
        <f t="shared" si="1"/>
        <v>Texture2D'/Game/DungeonSiege/art/bitmaps/gui/in_game/inventory/armor/body_armor/b_gui_ig_i_a_pos_a2_010.b_gui_ig_i_a_pos_a2_010'</v>
      </c>
      <c r="W20" s="73" t="s">
        <v>3061</v>
      </c>
    </row>
    <row r="21" spans="1:23" ht="15.75" thickBot="1" x14ac:dyDescent="0.3">
      <c r="A21" s="69">
        <v>19</v>
      </c>
      <c r="B21" s="69">
        <v>19</v>
      </c>
      <c r="C21" s="69">
        <f>HEX2DEC(B21+Items!$A$5)</f>
        <v>16973849</v>
      </c>
      <c r="D21" s="65" t="s">
        <v>2393</v>
      </c>
      <c r="E21" s="71">
        <v>136</v>
      </c>
      <c r="F21" s="72" t="s">
        <v>2384</v>
      </c>
      <c r="G21" s="69">
        <v>14</v>
      </c>
      <c r="H21" s="69">
        <v>0</v>
      </c>
      <c r="I21" s="69">
        <v>1</v>
      </c>
      <c r="J21" s="69">
        <v>0</v>
      </c>
      <c r="K21" s="69">
        <v>0</v>
      </c>
      <c r="L21" s="66" t="s">
        <v>2537</v>
      </c>
      <c r="M21" s="65" t="str">
        <f t="shared" si="0"/>
        <v>b_gui_ig_i_a_pos_a2_004</v>
      </c>
      <c r="N21" s="70" t="s">
        <v>2507</v>
      </c>
      <c r="O21" s="69" t="s">
        <v>2781</v>
      </c>
      <c r="P21" s="69">
        <v>2</v>
      </c>
      <c r="Q21" s="69">
        <v>2</v>
      </c>
      <c r="R21" s="69">
        <v>25</v>
      </c>
      <c r="S21" s="69">
        <v>34</v>
      </c>
      <c r="T21" s="73" t="str">
        <f t="shared" si="2"/>
        <v>DA_bd_br_m_g_c_avg_c_mag</v>
      </c>
      <c r="U21" s="73" t="str">
        <f t="shared" si="3"/>
        <v>/Game/DungeonSiege/Items/Armor/Body/DA_bd_br_m_g_c_avg_c_mag</v>
      </c>
      <c r="V21" s="73" t="str">
        <f t="shared" si="1"/>
        <v>Texture2D'/Game/DungeonSiege/art/bitmaps/gui/in_game/inventory/armor/body_armor/b_gui_ig_i_a_pos_a2_004.b_gui_ig_i_a_pos_a2_004'</v>
      </c>
      <c r="W21" s="73" t="s">
        <v>3061</v>
      </c>
    </row>
    <row r="22" spans="1:23" ht="15.75" thickBot="1" x14ac:dyDescent="0.3">
      <c r="A22" s="69">
        <v>20</v>
      </c>
      <c r="B22" s="69">
        <v>20</v>
      </c>
      <c r="C22" s="69">
        <f>HEX2DEC(B22+Items!$A$5)</f>
        <v>16973856</v>
      </c>
      <c r="D22" s="65" t="s">
        <v>2393</v>
      </c>
      <c r="E22" s="71">
        <v>78</v>
      </c>
      <c r="F22" s="72" t="s">
        <v>2384</v>
      </c>
      <c r="G22" s="69">
        <v>12</v>
      </c>
      <c r="H22" s="69">
        <v>0</v>
      </c>
      <c r="I22" s="69">
        <v>1</v>
      </c>
      <c r="J22" s="69">
        <v>1</v>
      </c>
      <c r="K22" s="69">
        <v>1</v>
      </c>
      <c r="L22" s="66" t="s">
        <v>2538</v>
      </c>
      <c r="M22" s="65" t="str">
        <f t="shared" si="0"/>
        <v>b_gui_ig_i_a_pos_a2_026</v>
      </c>
      <c r="N22" s="70" t="s">
        <v>2785</v>
      </c>
      <c r="O22" s="69" t="s">
        <v>2781</v>
      </c>
      <c r="P22" s="69">
        <v>2</v>
      </c>
      <c r="Q22" s="69">
        <v>2</v>
      </c>
      <c r="R22" s="69">
        <v>9</v>
      </c>
      <c r="S22" s="69">
        <v>18</v>
      </c>
      <c r="T22" s="73" t="str">
        <f t="shared" si="2"/>
        <v>DA_bd_br_m_g_c_avg_o_fin</v>
      </c>
      <c r="U22" s="73" t="str">
        <f t="shared" si="3"/>
        <v>/Game/DungeonSiege/Items/Armor/Body/DA_bd_br_m_g_c_avg_o_fin</v>
      </c>
      <c r="V22" s="73" t="str">
        <f t="shared" si="1"/>
        <v>Texture2D'/Game/DungeonSiege/art/bitmaps/gui/in_game/inventory/armor/body_armor/b_gui_ig_i_a_pos_a2_026.b_gui_ig_i_a_pos_a2_026'</v>
      </c>
      <c r="W22" s="73" t="s">
        <v>3061</v>
      </c>
    </row>
    <row r="23" spans="1:23" ht="15.75" thickBot="1" x14ac:dyDescent="0.3">
      <c r="A23" s="69">
        <v>21</v>
      </c>
      <c r="B23" s="69">
        <v>21</v>
      </c>
      <c r="C23" s="69">
        <f>HEX2DEC(B23+Items!$A$5)</f>
        <v>16973857</v>
      </c>
      <c r="D23" s="65" t="s">
        <v>2394</v>
      </c>
      <c r="E23" s="71">
        <v>38</v>
      </c>
      <c r="F23" s="69"/>
      <c r="G23" s="69"/>
      <c r="H23" s="69">
        <v>1</v>
      </c>
      <c r="I23" s="69">
        <v>0</v>
      </c>
      <c r="J23" s="69">
        <v>0</v>
      </c>
      <c r="K23" s="69">
        <v>0</v>
      </c>
      <c r="L23" s="66" t="s">
        <v>2539</v>
      </c>
      <c r="M23" s="65" t="str">
        <f t="shared" si="0"/>
        <v>b_gui_ig_i_a_pos_a2_011</v>
      </c>
      <c r="N23" s="70" t="s">
        <v>2513</v>
      </c>
      <c r="O23" s="69" t="s">
        <v>2781</v>
      </c>
      <c r="P23" s="69">
        <v>2</v>
      </c>
      <c r="Q23" s="69">
        <v>2</v>
      </c>
      <c r="R23" s="69"/>
      <c r="S23" s="69"/>
      <c r="T23" s="73" t="str">
        <f t="shared" si="2"/>
        <v>DA_bd_br_m_g_c_low</v>
      </c>
      <c r="U23" s="73" t="str">
        <f t="shared" si="3"/>
        <v>/Game/DungeonSiege/Items/Armor/Body/DA_bd_br_m_g_c_low</v>
      </c>
      <c r="V23" s="73" t="str">
        <f t="shared" si="1"/>
        <v>Texture2D'/Game/DungeonSiege/art/bitmaps/gui/in_game/inventory/armor/body_armor/b_gui_ig_i_a_pos_a2_011.b_gui_ig_i_a_pos_a2_011'</v>
      </c>
      <c r="W23" s="73" t="s">
        <v>3061</v>
      </c>
    </row>
    <row r="24" spans="1:23" ht="15.75" thickBot="1" x14ac:dyDescent="0.3">
      <c r="A24" s="69">
        <v>22</v>
      </c>
      <c r="B24" s="69">
        <v>22</v>
      </c>
      <c r="C24" s="69">
        <f>HEX2DEC(B24+Items!$A$5)</f>
        <v>16973858</v>
      </c>
      <c r="D24" s="65" t="s">
        <v>2395</v>
      </c>
      <c r="E24" s="71">
        <v>63</v>
      </c>
      <c r="F24" s="72" t="s">
        <v>2384</v>
      </c>
      <c r="G24" s="69">
        <v>14</v>
      </c>
      <c r="H24" s="69">
        <v>1</v>
      </c>
      <c r="I24" s="69">
        <v>0</v>
      </c>
      <c r="J24" s="69">
        <v>0</v>
      </c>
      <c r="K24" s="69">
        <v>0</v>
      </c>
      <c r="L24" s="66" t="s">
        <v>2540</v>
      </c>
      <c r="M24" s="65" t="str">
        <f t="shared" si="0"/>
        <v>b_gui_ig_i_a_pos_a3_023</v>
      </c>
      <c r="N24" s="70" t="s">
        <v>2786</v>
      </c>
      <c r="O24" s="69" t="s">
        <v>2782</v>
      </c>
      <c r="P24" s="69">
        <v>2</v>
      </c>
      <c r="Q24" s="69">
        <v>3</v>
      </c>
      <c r="R24" s="69"/>
      <c r="S24" s="69"/>
      <c r="T24" s="73" t="str">
        <f t="shared" si="2"/>
        <v>DA_bd_br_r_g_c_avg</v>
      </c>
      <c r="U24" s="73" t="str">
        <f t="shared" si="3"/>
        <v>/Game/DungeonSiege/Items/Armor/Body/DA_bd_br_r_g_c_avg</v>
      </c>
      <c r="V24" s="73" t="str">
        <f t="shared" si="1"/>
        <v>Texture2D'/Game/DungeonSiege/art/bitmaps/gui/in_game/inventory/armor/body_armor/b_gui_ig_i_a_pos_a3_023.b_gui_ig_i_a_pos_a3_023'</v>
      </c>
      <c r="W24" s="73" t="s">
        <v>3061</v>
      </c>
    </row>
    <row r="25" spans="1:23" ht="15.75" thickBot="1" x14ac:dyDescent="0.3">
      <c r="A25" s="69">
        <v>23</v>
      </c>
      <c r="B25" s="69">
        <v>23</v>
      </c>
      <c r="C25" s="69">
        <f>HEX2DEC(B25+Items!$A$5)</f>
        <v>16973859</v>
      </c>
      <c r="D25" s="65" t="s">
        <v>2395</v>
      </c>
      <c r="E25" s="71">
        <v>76</v>
      </c>
      <c r="F25" s="72" t="s">
        <v>2384</v>
      </c>
      <c r="G25" s="69">
        <v>14</v>
      </c>
      <c r="H25" s="69">
        <v>0</v>
      </c>
      <c r="I25" s="69">
        <v>1</v>
      </c>
      <c r="J25" s="69">
        <v>0</v>
      </c>
      <c r="K25" s="69">
        <v>0</v>
      </c>
      <c r="L25" s="66" t="s">
        <v>2541</v>
      </c>
      <c r="M25" s="65" t="str">
        <f t="shared" si="0"/>
        <v>b_gui_ig_i_a_pos_a3_005</v>
      </c>
      <c r="N25" s="70" t="s">
        <v>2508</v>
      </c>
      <c r="O25" s="69" t="s">
        <v>2782</v>
      </c>
      <c r="P25" s="69">
        <v>2</v>
      </c>
      <c r="Q25" s="69">
        <v>3</v>
      </c>
      <c r="R25" s="69">
        <v>1</v>
      </c>
      <c r="S25" s="69">
        <v>6</v>
      </c>
      <c r="T25" s="73" t="str">
        <f t="shared" si="2"/>
        <v>DA_bd_br_r_g_c_avg_c_fin</v>
      </c>
      <c r="U25" s="73" t="str">
        <f t="shared" si="3"/>
        <v>/Game/DungeonSiege/Items/Armor/Body/DA_bd_br_r_g_c_avg_c_fin</v>
      </c>
      <c r="V25" s="73" t="str">
        <f t="shared" si="1"/>
        <v>Texture2D'/Game/DungeonSiege/art/bitmaps/gui/in_game/inventory/armor/body_armor/b_gui_ig_i_a_pos_a3_005.b_gui_ig_i_a_pos_a3_005'</v>
      </c>
      <c r="W25" s="73" t="s">
        <v>3061</v>
      </c>
    </row>
    <row r="26" spans="1:23" ht="15.75" thickBot="1" x14ac:dyDescent="0.3">
      <c r="A26" s="69">
        <v>24</v>
      </c>
      <c r="B26" s="69">
        <v>24</v>
      </c>
      <c r="C26" s="69">
        <f>HEX2DEC(B26+Items!$A$5)</f>
        <v>16973860</v>
      </c>
      <c r="D26" s="65" t="s">
        <v>2395</v>
      </c>
      <c r="E26" s="71">
        <v>226</v>
      </c>
      <c r="F26" s="72" t="s">
        <v>2384</v>
      </c>
      <c r="G26" s="69">
        <v>24</v>
      </c>
      <c r="H26" s="69">
        <v>0</v>
      </c>
      <c r="I26" s="69">
        <v>1</v>
      </c>
      <c r="J26" s="69">
        <v>1</v>
      </c>
      <c r="K26" s="69">
        <v>1</v>
      </c>
      <c r="L26" s="66" t="s">
        <v>2542</v>
      </c>
      <c r="M26" s="65" t="str">
        <f t="shared" si="0"/>
        <v>b_gui_ig_i_a_pos_a3_024</v>
      </c>
      <c r="N26" s="70" t="s">
        <v>2787</v>
      </c>
      <c r="O26" s="69" t="s">
        <v>2782</v>
      </c>
      <c r="P26" s="69">
        <v>2</v>
      </c>
      <c r="Q26" s="69">
        <v>3</v>
      </c>
      <c r="R26" s="69">
        <v>24</v>
      </c>
      <c r="S26" s="69">
        <v>32</v>
      </c>
      <c r="T26" s="73" t="str">
        <f t="shared" si="2"/>
        <v>DA_bd_br_r_g_c_avg_o_mag</v>
      </c>
      <c r="U26" s="73" t="str">
        <f t="shared" si="3"/>
        <v>/Game/DungeonSiege/Items/Armor/Body/DA_bd_br_r_g_c_avg_o_mag</v>
      </c>
      <c r="V26" s="73" t="str">
        <f t="shared" si="1"/>
        <v>Texture2D'/Game/DungeonSiege/art/bitmaps/gui/in_game/inventory/armor/body_armor/b_gui_ig_i_a_pos_a3_024.b_gui_ig_i_a_pos_a3_024'</v>
      </c>
      <c r="W26" s="73" t="s">
        <v>3061</v>
      </c>
    </row>
    <row r="27" spans="1:23" ht="15.75" thickBot="1" x14ac:dyDescent="0.3">
      <c r="A27" s="69">
        <v>25</v>
      </c>
      <c r="B27" s="69">
        <v>25</v>
      </c>
      <c r="C27" s="69">
        <f>HEX2DEC(B27+Items!$A$5)</f>
        <v>16973861</v>
      </c>
      <c r="D27" s="65" t="s">
        <v>2396</v>
      </c>
      <c r="E27" s="71">
        <v>266</v>
      </c>
      <c r="F27" s="72" t="s">
        <v>2384</v>
      </c>
      <c r="G27" s="69">
        <v>37</v>
      </c>
      <c r="H27" s="69">
        <v>1</v>
      </c>
      <c r="I27" s="69">
        <v>1</v>
      </c>
      <c r="J27" s="69">
        <v>0</v>
      </c>
      <c r="K27" s="69">
        <v>0</v>
      </c>
      <c r="L27" s="66" t="s">
        <v>2543</v>
      </c>
      <c r="M27" s="65" t="str">
        <f t="shared" si="0"/>
        <v>b_gui_ig_i_a_pos_a5_017</v>
      </c>
      <c r="N27" s="70" t="s">
        <v>2794</v>
      </c>
      <c r="O27" s="69" t="s">
        <v>2500</v>
      </c>
      <c r="P27" s="69">
        <v>2</v>
      </c>
      <c r="Q27" s="69">
        <v>3</v>
      </c>
      <c r="R27" s="69">
        <v>0</v>
      </c>
      <c r="S27" s="69">
        <v>4</v>
      </c>
      <c r="T27" s="73" t="str">
        <f t="shared" si="2"/>
        <v>DA_bd_fp_f_g_c_avg</v>
      </c>
      <c r="U27" s="73" t="str">
        <f t="shared" si="3"/>
        <v>/Game/DungeonSiege/Items/Armor/Body/DA_bd_fp_f_g_c_avg</v>
      </c>
      <c r="V27" s="73" t="str">
        <f t="shared" si="1"/>
        <v>Texture2D'/Game/DungeonSiege/art/bitmaps/gui/in_game/inventory/armor/body_armor/b_gui_ig_i_a_pos_a5_017.b_gui_ig_i_a_pos_a5_017'</v>
      </c>
      <c r="W27" s="73" t="s">
        <v>3061</v>
      </c>
    </row>
    <row r="28" spans="1:23" ht="15.75" thickBot="1" x14ac:dyDescent="0.3">
      <c r="A28" s="69">
        <v>26</v>
      </c>
      <c r="B28" s="69">
        <v>26</v>
      </c>
      <c r="C28" s="69">
        <f>HEX2DEC(B28+Items!$A$5)</f>
        <v>16973862</v>
      </c>
      <c r="D28" s="65" t="s">
        <v>2396</v>
      </c>
      <c r="E28" s="71">
        <v>428</v>
      </c>
      <c r="F28" s="72" t="s">
        <v>2384</v>
      </c>
      <c r="G28" s="69">
        <v>54</v>
      </c>
      <c r="H28" s="69">
        <v>0</v>
      </c>
      <c r="I28" s="69">
        <v>1</v>
      </c>
      <c r="J28" s="69">
        <v>0</v>
      </c>
      <c r="K28" s="69">
        <v>0</v>
      </c>
      <c r="L28" s="66" t="s">
        <v>2544</v>
      </c>
      <c r="M28" s="65" t="str">
        <f t="shared" si="0"/>
        <v>b_gui_ig_i_a_pos_a6_005</v>
      </c>
      <c r="N28" s="70" t="s">
        <v>2508</v>
      </c>
      <c r="O28" s="69" t="s">
        <v>2505</v>
      </c>
      <c r="P28" s="69">
        <v>2</v>
      </c>
      <c r="Q28" s="69">
        <v>3</v>
      </c>
      <c r="R28" s="69">
        <v>16</v>
      </c>
      <c r="S28" s="69">
        <v>29</v>
      </c>
      <c r="T28" s="73" t="str">
        <f t="shared" si="2"/>
        <v>DA_bd_fp_f_g_c_avg_c_str</v>
      </c>
      <c r="U28" s="73" t="str">
        <f t="shared" si="3"/>
        <v>/Game/DungeonSiege/Items/Armor/Body/DA_bd_fp_f_g_c_avg_c_str</v>
      </c>
      <c r="V28" s="73" t="str">
        <f t="shared" si="1"/>
        <v>Texture2D'/Game/DungeonSiege/art/bitmaps/gui/in_game/inventory/armor/body_armor/b_gui_ig_i_a_pos_a6_005.b_gui_ig_i_a_pos_a6_005'</v>
      </c>
      <c r="W28" s="73" t="s">
        <v>3061</v>
      </c>
    </row>
    <row r="29" spans="1:23" ht="15.75" thickBot="1" x14ac:dyDescent="0.3">
      <c r="A29" s="69">
        <v>27</v>
      </c>
      <c r="B29" s="69">
        <v>27</v>
      </c>
      <c r="C29" s="69">
        <f>HEX2DEC(B29+Items!$A$5)</f>
        <v>16973863</v>
      </c>
      <c r="D29" s="65" t="s">
        <v>2396</v>
      </c>
      <c r="E29" s="71">
        <v>378</v>
      </c>
      <c r="F29" s="72" t="s">
        <v>2384</v>
      </c>
      <c r="G29" s="69">
        <v>49</v>
      </c>
      <c r="H29" s="69">
        <v>0</v>
      </c>
      <c r="I29" s="69">
        <v>1</v>
      </c>
      <c r="J29" s="69">
        <v>1</v>
      </c>
      <c r="K29" s="69">
        <v>1</v>
      </c>
      <c r="L29" s="66" t="s">
        <v>2545</v>
      </c>
      <c r="M29" s="65" t="str">
        <f t="shared" si="0"/>
        <v>b_gui_ig_i_a_pos_a5_005</v>
      </c>
      <c r="N29" s="70" t="s">
        <v>2508</v>
      </c>
      <c r="O29" s="69" t="s">
        <v>2500</v>
      </c>
      <c r="P29" s="69">
        <v>2</v>
      </c>
      <c r="Q29" s="69">
        <v>3</v>
      </c>
      <c r="R29" s="69">
        <v>11</v>
      </c>
      <c r="S29" s="69">
        <v>24</v>
      </c>
      <c r="T29" s="73" t="str">
        <f t="shared" si="2"/>
        <v>DA_bd_fp_f_g_c_avg_o_fin</v>
      </c>
      <c r="U29" s="73" t="str">
        <f t="shared" si="3"/>
        <v>/Game/DungeonSiege/Items/Armor/Body/DA_bd_fp_f_g_c_avg_o_fin</v>
      </c>
      <c r="V29" s="73" t="str">
        <f t="shared" si="1"/>
        <v>Texture2D'/Game/DungeonSiege/art/bitmaps/gui/in_game/inventory/armor/body_armor/b_gui_ig_i_a_pos_a5_005.b_gui_ig_i_a_pos_a5_005'</v>
      </c>
      <c r="W29" s="73" t="s">
        <v>3061</v>
      </c>
    </row>
    <row r="30" spans="1:23" ht="15.75" thickBot="1" x14ac:dyDescent="0.3">
      <c r="A30" s="69">
        <v>28</v>
      </c>
      <c r="B30" s="69">
        <v>28</v>
      </c>
      <c r="C30" s="69">
        <f>HEX2DEC(B30+Items!$A$5)</f>
        <v>16973864</v>
      </c>
      <c r="D30" s="65" t="s">
        <v>2396</v>
      </c>
      <c r="E30" s="71">
        <v>615</v>
      </c>
      <c r="F30" s="72" t="s">
        <v>2384</v>
      </c>
      <c r="G30" s="69">
        <v>73</v>
      </c>
      <c r="H30" s="69">
        <v>0</v>
      </c>
      <c r="I30" s="69">
        <v>1</v>
      </c>
      <c r="J30" s="69">
        <v>1</v>
      </c>
      <c r="K30" s="69">
        <v>1</v>
      </c>
      <c r="L30" s="66" t="s">
        <v>2546</v>
      </c>
      <c r="M30" s="65" t="str">
        <f t="shared" si="0"/>
        <v>b_gui_ig_i_a_pos_a5_012</v>
      </c>
      <c r="N30" s="70" t="s">
        <v>2514</v>
      </c>
      <c r="O30" s="69" t="s">
        <v>2500</v>
      </c>
      <c r="P30" s="69">
        <v>2</v>
      </c>
      <c r="Q30" s="69">
        <v>3</v>
      </c>
      <c r="R30" s="69">
        <v>32</v>
      </c>
      <c r="S30" s="69">
        <v>44</v>
      </c>
      <c r="T30" s="73" t="str">
        <f t="shared" si="2"/>
        <v>DA_bd_fp_f_g_c_avg_o_mag</v>
      </c>
      <c r="U30" s="73" t="str">
        <f t="shared" si="3"/>
        <v>/Game/DungeonSiege/Items/Armor/Body/DA_bd_fp_f_g_c_avg_o_mag</v>
      </c>
      <c r="V30" s="73" t="str">
        <f t="shared" si="1"/>
        <v>Texture2D'/Game/DungeonSiege/art/bitmaps/gui/in_game/inventory/armor/body_armor/b_gui_ig_i_a_pos_a5_012.b_gui_ig_i_a_pos_a5_012'</v>
      </c>
      <c r="W30" s="73" t="s">
        <v>3061</v>
      </c>
    </row>
    <row r="31" spans="1:23" ht="15.75" thickBot="1" x14ac:dyDescent="0.3">
      <c r="A31" s="69">
        <v>29</v>
      </c>
      <c r="B31" s="69">
        <v>29</v>
      </c>
      <c r="C31" s="69">
        <f>HEX2DEC(B31+Items!$A$5)</f>
        <v>16973865</v>
      </c>
      <c r="D31" s="65" t="s">
        <v>2396</v>
      </c>
      <c r="E31" s="71">
        <v>484</v>
      </c>
      <c r="F31" s="72" t="s">
        <v>2384</v>
      </c>
      <c r="G31" s="69">
        <v>59</v>
      </c>
      <c r="H31" s="69">
        <v>0</v>
      </c>
      <c r="I31" s="69">
        <v>1</v>
      </c>
      <c r="J31" s="69">
        <v>1</v>
      </c>
      <c r="K31" s="69">
        <v>1</v>
      </c>
      <c r="L31" s="66" t="s">
        <v>2547</v>
      </c>
      <c r="M31" s="65" t="str">
        <f t="shared" si="0"/>
        <v>b_gui_ig_i_a_pos_a6_006</v>
      </c>
      <c r="N31" s="70" t="s">
        <v>2509</v>
      </c>
      <c r="O31" s="69" t="s">
        <v>2505</v>
      </c>
      <c r="P31" s="69">
        <v>2</v>
      </c>
      <c r="Q31" s="69">
        <v>3</v>
      </c>
      <c r="R31" s="69">
        <v>23</v>
      </c>
      <c r="S31" s="69">
        <v>34</v>
      </c>
      <c r="T31" s="73" t="str">
        <f t="shared" si="2"/>
        <v>DA_bd_fp_f_g_c_avg_o_str</v>
      </c>
      <c r="U31" s="73" t="str">
        <f t="shared" si="3"/>
        <v>/Game/DungeonSiege/Items/Armor/Body/DA_bd_fp_f_g_c_avg_o_str</v>
      </c>
      <c r="V31" s="73" t="str">
        <f t="shared" si="1"/>
        <v>Texture2D'/Game/DungeonSiege/art/bitmaps/gui/in_game/inventory/armor/body_armor/b_gui_ig_i_a_pos_a6_006.b_gui_ig_i_a_pos_a6_006'</v>
      </c>
      <c r="W31" s="73" t="s">
        <v>3061</v>
      </c>
    </row>
    <row r="32" spans="1:23" ht="15.75" thickBot="1" x14ac:dyDescent="0.3">
      <c r="A32" s="69">
        <v>30</v>
      </c>
      <c r="B32" s="69">
        <v>30</v>
      </c>
      <c r="C32" s="69">
        <f>HEX2DEC(B32+Items!$A$5)</f>
        <v>16973872</v>
      </c>
      <c r="D32" s="65" t="s">
        <v>2397</v>
      </c>
      <c r="E32" s="71">
        <v>247</v>
      </c>
      <c r="F32" s="72" t="s">
        <v>2384</v>
      </c>
      <c r="G32" s="69">
        <v>35</v>
      </c>
      <c r="H32" s="69">
        <v>1</v>
      </c>
      <c r="I32" s="69">
        <v>0</v>
      </c>
      <c r="J32" s="69">
        <v>0</v>
      </c>
      <c r="K32" s="69">
        <v>0</v>
      </c>
      <c r="L32" s="66" t="s">
        <v>2548</v>
      </c>
      <c r="M32" s="65" t="str">
        <f t="shared" si="0"/>
        <v>b_gui_ig_i_a_pos_a5_008</v>
      </c>
      <c r="N32" s="70" t="s">
        <v>2511</v>
      </c>
      <c r="O32" s="69" t="s">
        <v>2500</v>
      </c>
      <c r="P32" s="69">
        <v>2</v>
      </c>
      <c r="Q32" s="69">
        <v>3</v>
      </c>
      <c r="R32" s="69"/>
      <c r="S32" s="69"/>
      <c r="T32" s="73" t="str">
        <f t="shared" si="2"/>
        <v>DA_bd_fp_f_g_c_fun</v>
      </c>
      <c r="U32" s="73" t="str">
        <f t="shared" si="3"/>
        <v>/Game/DungeonSiege/Items/Armor/Body/DA_bd_fp_f_g_c_fun</v>
      </c>
      <c r="V32" s="73" t="str">
        <f t="shared" si="1"/>
        <v>Texture2D'/Game/DungeonSiege/art/bitmaps/gui/in_game/inventory/armor/body_armor/b_gui_ig_i_a_pos_a5_008.b_gui_ig_i_a_pos_a5_008'</v>
      </c>
      <c r="W32" s="73" t="s">
        <v>3061</v>
      </c>
    </row>
    <row r="33" spans="1:23" ht="15.75" thickBot="1" x14ac:dyDescent="0.3">
      <c r="A33" s="69">
        <v>31</v>
      </c>
      <c r="B33" s="69">
        <v>31</v>
      </c>
      <c r="C33" s="69">
        <f>HEX2DEC(B33+Items!$A$5)</f>
        <v>16973873</v>
      </c>
      <c r="D33" s="65" t="s">
        <v>2398</v>
      </c>
      <c r="E33" s="71">
        <v>341</v>
      </c>
      <c r="F33" s="72" t="s">
        <v>2384</v>
      </c>
      <c r="G33" s="69">
        <v>20</v>
      </c>
      <c r="H33" s="69">
        <v>0</v>
      </c>
      <c r="I33" s="69">
        <v>1</v>
      </c>
      <c r="J33" s="69">
        <v>0</v>
      </c>
      <c r="K33" s="69">
        <v>0</v>
      </c>
      <c r="L33" s="66" t="s">
        <v>2549</v>
      </c>
      <c r="M33" s="65" t="str">
        <f t="shared" si="0"/>
        <v>b_gui_ig_i_a_pos_a5_011</v>
      </c>
      <c r="N33" s="70" t="s">
        <v>2513</v>
      </c>
      <c r="O33" s="69" t="s">
        <v>2500</v>
      </c>
      <c r="P33" s="69">
        <v>2</v>
      </c>
      <c r="Q33" s="69">
        <v>3</v>
      </c>
      <c r="R33" s="69">
        <v>63</v>
      </c>
      <c r="S33" s="69">
        <v>87</v>
      </c>
      <c r="T33" s="73" t="str">
        <f t="shared" si="2"/>
        <v>DA_bd_fp_m_g_o_mag</v>
      </c>
      <c r="U33" s="73" t="str">
        <f t="shared" si="3"/>
        <v>/Game/DungeonSiege/Items/Armor/Body/DA_bd_fp_m_g_o_mag</v>
      </c>
      <c r="V33" s="73" t="str">
        <f t="shared" si="1"/>
        <v>Texture2D'/Game/DungeonSiege/art/bitmaps/gui/in_game/inventory/armor/body_armor/b_gui_ig_i_a_pos_a5_011.b_gui_ig_i_a_pos_a5_011'</v>
      </c>
      <c r="W33" s="73" t="s">
        <v>3061</v>
      </c>
    </row>
    <row r="34" spans="1:23" ht="15.75" thickBot="1" x14ac:dyDescent="0.3">
      <c r="A34" s="69">
        <v>32</v>
      </c>
      <c r="B34" s="69">
        <v>32</v>
      </c>
      <c r="C34" s="69">
        <f>HEX2DEC(B34+Items!$A$5)</f>
        <v>16973874</v>
      </c>
      <c r="D34" s="65" t="s">
        <v>2399</v>
      </c>
      <c r="E34" s="71">
        <v>230</v>
      </c>
      <c r="F34" s="72" t="s">
        <v>2384</v>
      </c>
      <c r="G34" s="69">
        <v>24</v>
      </c>
      <c r="H34" s="69">
        <v>1</v>
      </c>
      <c r="I34" s="69">
        <v>1</v>
      </c>
      <c r="J34" s="69">
        <v>0</v>
      </c>
      <c r="K34" s="69">
        <v>0</v>
      </c>
      <c r="L34" s="66" t="s">
        <v>2550</v>
      </c>
      <c r="M34" s="65" t="str">
        <f t="shared" si="0"/>
        <v>b_gui_ig_i_a_pos_a5_013</v>
      </c>
      <c r="N34" s="70" t="s">
        <v>2515</v>
      </c>
      <c r="O34" s="69" t="s">
        <v>2500</v>
      </c>
      <c r="P34" s="69">
        <v>2</v>
      </c>
      <c r="Q34" s="69">
        <v>3</v>
      </c>
      <c r="R34" s="69">
        <v>0</v>
      </c>
      <c r="S34" s="69">
        <v>7</v>
      </c>
      <c r="T34" s="73" t="str">
        <f t="shared" si="2"/>
        <v>DA_bd_fp_r_g_c_avg</v>
      </c>
      <c r="U34" s="73" t="str">
        <f t="shared" si="3"/>
        <v>/Game/DungeonSiege/Items/Armor/Body/DA_bd_fp_r_g_c_avg</v>
      </c>
      <c r="V34" s="73" t="str">
        <f t="shared" si="1"/>
        <v>Texture2D'/Game/DungeonSiege/art/bitmaps/gui/in_game/inventory/armor/body_armor/b_gui_ig_i_a_pos_a5_013.b_gui_ig_i_a_pos_a5_013'</v>
      </c>
      <c r="W34" s="73" t="s">
        <v>3061</v>
      </c>
    </row>
    <row r="35" spans="1:23" ht="15.75" thickBot="1" x14ac:dyDescent="0.3">
      <c r="A35" s="69">
        <v>33</v>
      </c>
      <c r="B35" s="69">
        <v>33</v>
      </c>
      <c r="C35" s="69">
        <f>HEX2DEC(B35+Items!$A$5)</f>
        <v>16973875</v>
      </c>
      <c r="D35" s="65" t="s">
        <v>2400</v>
      </c>
      <c r="E35" s="71">
        <v>222</v>
      </c>
      <c r="F35" s="72" t="s">
        <v>2384</v>
      </c>
      <c r="G35" s="69">
        <v>33</v>
      </c>
      <c r="H35" s="69">
        <v>1</v>
      </c>
      <c r="I35" s="69">
        <v>1</v>
      </c>
      <c r="J35" s="69">
        <v>0</v>
      </c>
      <c r="K35" s="69">
        <v>0</v>
      </c>
      <c r="L35" s="66" t="s">
        <v>2551</v>
      </c>
      <c r="M35" s="65" t="str">
        <f t="shared" si="0"/>
        <v>b_gui_ig_i_a_pos_a5_002</v>
      </c>
      <c r="N35" s="70" t="s">
        <v>2504</v>
      </c>
      <c r="O35" s="69" t="s">
        <v>2500</v>
      </c>
      <c r="P35" s="69">
        <v>2</v>
      </c>
      <c r="Q35" s="69">
        <v>3</v>
      </c>
      <c r="R35" s="69">
        <v>0</v>
      </c>
      <c r="S35" s="69">
        <v>4</v>
      </c>
      <c r="T35" s="73" t="str">
        <f t="shared" si="2"/>
        <v>DA_bd_pl_f_g_c_avg</v>
      </c>
      <c r="U35" s="73" t="str">
        <f t="shared" si="3"/>
        <v>/Game/DungeonSiege/Items/Armor/Body/DA_bd_pl_f_g_c_avg</v>
      </c>
      <c r="V35" s="73" t="str">
        <f t="shared" si="1"/>
        <v>Texture2D'/Game/DungeonSiege/art/bitmaps/gui/in_game/inventory/armor/body_armor/b_gui_ig_i_a_pos_a5_002.b_gui_ig_i_a_pos_a5_002'</v>
      </c>
      <c r="W35" s="73" t="s">
        <v>3061</v>
      </c>
    </row>
    <row r="36" spans="1:23" ht="15.75" thickBot="1" x14ac:dyDescent="0.3">
      <c r="A36" s="69">
        <v>34</v>
      </c>
      <c r="B36" s="69">
        <v>34</v>
      </c>
      <c r="C36" s="69">
        <f>HEX2DEC(B36+Items!$A$5)</f>
        <v>16973876</v>
      </c>
      <c r="D36" s="65" t="s">
        <v>2400</v>
      </c>
      <c r="E36" s="71">
        <v>247</v>
      </c>
      <c r="F36" s="72" t="s">
        <v>2384</v>
      </c>
      <c r="G36" s="69">
        <v>35</v>
      </c>
      <c r="H36" s="69">
        <v>0</v>
      </c>
      <c r="I36" s="69">
        <v>1</v>
      </c>
      <c r="J36" s="69">
        <v>0</v>
      </c>
      <c r="K36" s="69">
        <v>0</v>
      </c>
      <c r="L36" s="66" t="s">
        <v>2552</v>
      </c>
      <c r="M36" s="65" t="str">
        <f t="shared" si="0"/>
        <v>b_gui_ig_i_a_pos_a5_016</v>
      </c>
      <c r="N36" s="70" t="s">
        <v>2517</v>
      </c>
      <c r="O36" s="69" t="s">
        <v>2500</v>
      </c>
      <c r="P36" s="69">
        <v>2</v>
      </c>
      <c r="Q36" s="69">
        <v>3</v>
      </c>
      <c r="R36" s="69">
        <v>2</v>
      </c>
      <c r="S36" s="69">
        <v>10</v>
      </c>
      <c r="T36" s="73" t="str">
        <f t="shared" si="2"/>
        <v>DA_bd_pl_f_g_c_avg_c_fin</v>
      </c>
      <c r="U36" s="73" t="str">
        <f t="shared" si="3"/>
        <v>/Game/DungeonSiege/Items/Armor/Body/DA_bd_pl_f_g_c_avg_c_fin</v>
      </c>
      <c r="V36" s="73" t="str">
        <f t="shared" si="1"/>
        <v>Texture2D'/Game/DungeonSiege/art/bitmaps/gui/in_game/inventory/armor/body_armor/b_gui_ig_i_a_pos_a5_016.b_gui_ig_i_a_pos_a5_016'</v>
      </c>
      <c r="W36" s="73" t="s">
        <v>3061</v>
      </c>
    </row>
    <row r="37" spans="1:23" ht="15.75" thickBot="1" x14ac:dyDescent="0.3">
      <c r="A37" s="69">
        <v>35</v>
      </c>
      <c r="B37" s="69">
        <v>35</v>
      </c>
      <c r="C37" s="69">
        <f>HEX2DEC(B37+Items!$A$5)</f>
        <v>16973877</v>
      </c>
      <c r="D37" s="65" t="s">
        <v>2401</v>
      </c>
      <c r="E37" s="71">
        <v>210</v>
      </c>
      <c r="F37" s="72" t="s">
        <v>2384</v>
      </c>
      <c r="G37" s="69">
        <v>31</v>
      </c>
      <c r="H37" s="69">
        <v>1</v>
      </c>
      <c r="I37" s="69">
        <v>0</v>
      </c>
      <c r="J37" s="69">
        <v>0</v>
      </c>
      <c r="K37" s="69">
        <v>0</v>
      </c>
      <c r="L37" s="66" t="s">
        <v>2553</v>
      </c>
      <c r="M37" s="65" t="str">
        <f t="shared" si="0"/>
        <v>b_gui_ig_i_a_pos_a5_021</v>
      </c>
      <c r="N37" s="70" t="s">
        <v>2796</v>
      </c>
      <c r="O37" s="69" t="s">
        <v>2500</v>
      </c>
      <c r="P37" s="69">
        <v>2</v>
      </c>
      <c r="Q37" s="69">
        <v>3</v>
      </c>
      <c r="R37" s="69"/>
      <c r="S37" s="69"/>
      <c r="T37" s="73" t="str">
        <f t="shared" si="2"/>
        <v>DA_bd_pl_f_g_c_fun</v>
      </c>
      <c r="U37" s="73" t="str">
        <f t="shared" si="3"/>
        <v>/Game/DungeonSiege/Items/Armor/Body/DA_bd_pl_f_g_c_fun</v>
      </c>
      <c r="V37" s="73" t="str">
        <f t="shared" si="1"/>
        <v>Texture2D'/Game/DungeonSiege/art/bitmaps/gui/in_game/inventory/armor/body_armor/b_gui_ig_i_a_pos_a5_021.b_gui_ig_i_a_pos_a5_021'</v>
      </c>
      <c r="W37" s="73" t="s">
        <v>3061</v>
      </c>
    </row>
    <row r="38" spans="1:23" ht="15.75" thickBot="1" x14ac:dyDescent="0.3">
      <c r="A38" s="69">
        <v>36</v>
      </c>
      <c r="B38" s="69">
        <v>36</v>
      </c>
      <c r="C38" s="69">
        <f>HEX2DEC(B38+Items!$A$5)</f>
        <v>16973878</v>
      </c>
      <c r="D38" s="65" t="s">
        <v>2402</v>
      </c>
      <c r="E38" s="71">
        <v>185</v>
      </c>
      <c r="F38" s="72" t="s">
        <v>2384</v>
      </c>
      <c r="G38" s="69">
        <v>29</v>
      </c>
      <c r="H38" s="69">
        <v>1</v>
      </c>
      <c r="I38" s="69">
        <v>0</v>
      </c>
      <c r="J38" s="69">
        <v>0</v>
      </c>
      <c r="K38" s="69">
        <v>0</v>
      </c>
      <c r="L38" s="66" t="s">
        <v>2554</v>
      </c>
      <c r="M38" s="65" t="str">
        <f t="shared" si="0"/>
        <v>b_gui_ig_i_a_pos_a5_020</v>
      </c>
      <c r="N38" s="70" t="s">
        <v>2780</v>
      </c>
      <c r="O38" s="69" t="s">
        <v>2500</v>
      </c>
      <c r="P38" s="69">
        <v>2</v>
      </c>
      <c r="Q38" s="69">
        <v>3</v>
      </c>
      <c r="R38" s="69"/>
      <c r="S38" s="69"/>
      <c r="T38" s="73" t="str">
        <f t="shared" si="2"/>
        <v>DA_bd_pl_f_g_c_low</v>
      </c>
      <c r="U38" s="73" t="str">
        <f t="shared" si="3"/>
        <v>/Game/DungeonSiege/Items/Armor/Body/DA_bd_pl_f_g_c_low</v>
      </c>
      <c r="V38" s="73" t="str">
        <f t="shared" si="1"/>
        <v>Texture2D'/Game/DungeonSiege/art/bitmaps/gui/in_game/inventory/armor/body_armor/b_gui_ig_i_a_pos_a5_020.b_gui_ig_i_a_pos_a5_020'</v>
      </c>
      <c r="W38" s="73" t="s">
        <v>3061</v>
      </c>
    </row>
    <row r="39" spans="1:23" ht="15.75" thickBot="1" x14ac:dyDescent="0.3">
      <c r="A39" s="69">
        <v>37</v>
      </c>
      <c r="B39" s="69">
        <v>37</v>
      </c>
      <c r="C39" s="69">
        <f>HEX2DEC(B39+Items!$A$5)</f>
        <v>16973879</v>
      </c>
      <c r="D39" s="65" t="s">
        <v>2403</v>
      </c>
      <c r="E39" s="71">
        <v>215</v>
      </c>
      <c r="F39" s="72" t="s">
        <v>2384</v>
      </c>
      <c r="G39" s="69">
        <v>16</v>
      </c>
      <c r="H39" s="69">
        <v>0</v>
      </c>
      <c r="I39" s="69">
        <v>1</v>
      </c>
      <c r="J39" s="69">
        <v>0</v>
      </c>
      <c r="K39" s="69">
        <v>0</v>
      </c>
      <c r="L39" s="66" t="s">
        <v>2555</v>
      </c>
      <c r="M39" s="65" t="str">
        <f t="shared" si="0"/>
        <v>b_gui_ig_i_a_pos_a1_024</v>
      </c>
      <c r="N39" s="70" t="s">
        <v>2787</v>
      </c>
      <c r="O39" s="69" t="s">
        <v>2797</v>
      </c>
      <c r="P39" s="69">
        <v>2</v>
      </c>
      <c r="Q39" s="69">
        <v>2</v>
      </c>
      <c r="R39" s="69">
        <v>29</v>
      </c>
      <c r="S39" s="69">
        <v>52</v>
      </c>
      <c r="T39" s="73" t="str">
        <f t="shared" si="2"/>
        <v>DA_bd_pl_m_g_c_str</v>
      </c>
      <c r="U39" s="73" t="str">
        <f t="shared" si="3"/>
        <v>/Game/DungeonSiege/Items/Armor/Body/DA_bd_pl_m_g_c_str</v>
      </c>
      <c r="V39" s="73" t="str">
        <f t="shared" si="1"/>
        <v>Texture2D'/Game/DungeonSiege/art/bitmaps/gui/in_game/inventory/armor/body_armor/b_gui_ig_i_a_pos_a1_024.b_gui_ig_i_a_pos_a1_024'</v>
      </c>
      <c r="W39" s="73" t="s">
        <v>3061</v>
      </c>
    </row>
    <row r="40" spans="1:23" ht="15.75" thickBot="1" x14ac:dyDescent="0.3">
      <c r="A40" s="69">
        <v>38</v>
      </c>
      <c r="B40" s="69">
        <v>38</v>
      </c>
      <c r="C40" s="69">
        <f>HEX2DEC(B40+Items!$A$5)</f>
        <v>16973880</v>
      </c>
      <c r="D40" s="65" t="s">
        <v>2404</v>
      </c>
      <c r="E40" s="71">
        <v>197</v>
      </c>
      <c r="F40" s="72" t="s">
        <v>2384</v>
      </c>
      <c r="G40" s="69">
        <v>22</v>
      </c>
      <c r="H40" s="69">
        <v>0</v>
      </c>
      <c r="I40" s="69">
        <v>1</v>
      </c>
      <c r="J40" s="69">
        <v>0</v>
      </c>
      <c r="K40" s="69">
        <v>0</v>
      </c>
      <c r="L40" s="66" t="s">
        <v>2556</v>
      </c>
      <c r="M40" s="65" t="str">
        <f t="shared" si="0"/>
        <v>b_gui_ig_i_a_pos_a3_013</v>
      </c>
      <c r="N40" s="70" t="s">
        <v>2515</v>
      </c>
      <c r="O40" s="69" t="s">
        <v>2782</v>
      </c>
      <c r="P40" s="69">
        <v>2</v>
      </c>
      <c r="Q40" s="69">
        <v>3</v>
      </c>
      <c r="R40" s="69">
        <v>3</v>
      </c>
      <c r="S40" s="69">
        <v>15</v>
      </c>
      <c r="T40" s="73" t="str">
        <f t="shared" si="2"/>
        <v>DA_bd_pl_r_g_c_fin</v>
      </c>
      <c r="U40" s="73" t="str">
        <f t="shared" si="3"/>
        <v>/Game/DungeonSiege/Items/Armor/Body/DA_bd_pl_r_g_c_fin</v>
      </c>
      <c r="V40" s="73" t="str">
        <f t="shared" si="1"/>
        <v>Texture2D'/Game/DungeonSiege/art/bitmaps/gui/in_game/inventory/armor/body_armor/b_gui_ig_i_a_pos_a3_013.b_gui_ig_i_a_pos_a3_013'</v>
      </c>
      <c r="W40" s="73" t="s">
        <v>3061</v>
      </c>
    </row>
    <row r="41" spans="1:23" ht="15.75" thickBot="1" x14ac:dyDescent="0.3">
      <c r="A41" s="69">
        <v>39</v>
      </c>
      <c r="B41" s="69">
        <v>39</v>
      </c>
      <c r="C41" s="69">
        <f>HEX2DEC(B41+Items!$A$5)</f>
        <v>16973881</v>
      </c>
      <c r="D41" s="65" t="s">
        <v>2404</v>
      </c>
      <c r="E41" s="71">
        <v>323</v>
      </c>
      <c r="F41" s="72" t="s">
        <v>2384</v>
      </c>
      <c r="G41" s="69">
        <v>30</v>
      </c>
      <c r="H41" s="69">
        <v>0</v>
      </c>
      <c r="I41" s="69">
        <v>1</v>
      </c>
      <c r="J41" s="69">
        <v>0</v>
      </c>
      <c r="K41" s="69">
        <v>0</v>
      </c>
      <c r="L41" s="66" t="s">
        <v>2557</v>
      </c>
      <c r="M41" s="65" t="str">
        <f t="shared" si="0"/>
        <v>b_gui_ig_i_a_pos_a3_017</v>
      </c>
      <c r="N41" s="70" t="s">
        <v>2794</v>
      </c>
      <c r="O41" s="69" t="s">
        <v>2782</v>
      </c>
      <c r="P41" s="69">
        <v>2</v>
      </c>
      <c r="Q41" s="69">
        <v>3</v>
      </c>
      <c r="R41" s="69">
        <v>1</v>
      </c>
      <c r="S41" s="69">
        <v>10</v>
      </c>
      <c r="T41" s="73" t="str">
        <f t="shared" si="2"/>
        <v>DA_bd_pl_r_g_c_fin_o_str</v>
      </c>
      <c r="U41" s="73" t="str">
        <f t="shared" si="3"/>
        <v>/Game/DungeonSiege/Items/Armor/Body/DA_bd_pl_r_g_c_fin_o_str</v>
      </c>
      <c r="V41" s="73" t="str">
        <f t="shared" si="1"/>
        <v>Texture2D'/Game/DungeonSiege/art/bitmaps/gui/in_game/inventory/armor/body_armor/b_gui_ig_i_a_pos_a3_017.b_gui_ig_i_a_pos_a3_017'</v>
      </c>
      <c r="W41" s="73" t="s">
        <v>3061</v>
      </c>
    </row>
    <row r="42" spans="1:23" ht="15.75" thickBot="1" x14ac:dyDescent="0.3">
      <c r="A42" s="69">
        <v>40</v>
      </c>
      <c r="B42" s="69">
        <v>40</v>
      </c>
      <c r="C42" s="69">
        <f>HEX2DEC(B42+Items!$A$5)</f>
        <v>16973888</v>
      </c>
      <c r="D42" s="65" t="s">
        <v>2405</v>
      </c>
      <c r="E42" s="71">
        <v>253</v>
      </c>
      <c r="F42" s="72" t="s">
        <v>2384</v>
      </c>
      <c r="G42" s="69">
        <v>34</v>
      </c>
      <c r="H42" s="69">
        <v>0</v>
      </c>
      <c r="I42" s="69">
        <v>0</v>
      </c>
      <c r="J42" s="69">
        <v>1</v>
      </c>
      <c r="K42" s="69">
        <v>1</v>
      </c>
      <c r="L42" s="66" t="s">
        <v>2558</v>
      </c>
      <c r="M42" s="65" t="s">
        <v>2828</v>
      </c>
      <c r="N42" s="70" t="s">
        <v>2506</v>
      </c>
      <c r="O42" s="69" t="s">
        <v>2500</v>
      </c>
      <c r="P42" s="69">
        <v>2</v>
      </c>
      <c r="Q42" s="69">
        <v>3</v>
      </c>
      <c r="R42" s="69">
        <v>8</v>
      </c>
      <c r="S42" s="69">
        <v>16</v>
      </c>
      <c r="T42" s="73" t="str">
        <f t="shared" si="2"/>
        <v>DA_bd_ra_ba_f_g_o_fin</v>
      </c>
      <c r="U42" s="73" t="str">
        <f t="shared" si="3"/>
        <v>/Game/DungeonSiege/Items/Armor/Body/DA_bd_ra_ba_f_g_o_fin</v>
      </c>
      <c r="V42" s="73" t="str">
        <f t="shared" si="1"/>
        <v>Texture2D'/Game/DungeonSiege/art/bitmaps/gui/in_game/inventory/armor/body_armor/b_gui_ig_i_a_pos_a5_025.b_gui_ig_i_a_pos_a5_025'</v>
      </c>
      <c r="W42" s="73" t="s">
        <v>3061</v>
      </c>
    </row>
    <row r="43" spans="1:23" ht="15.75" thickBot="1" x14ac:dyDescent="0.3">
      <c r="A43" s="69">
        <v>41</v>
      </c>
      <c r="B43" s="69">
        <v>41</v>
      </c>
      <c r="C43" s="69">
        <f>HEX2DEC(B43+Items!$A$5)</f>
        <v>16973889</v>
      </c>
      <c r="D43" s="65" t="s">
        <v>2405</v>
      </c>
      <c r="E43" s="71">
        <v>447</v>
      </c>
      <c r="F43" s="72" t="s">
        <v>2384</v>
      </c>
      <c r="G43" s="69">
        <v>54</v>
      </c>
      <c r="H43" s="69">
        <v>0</v>
      </c>
      <c r="I43" s="69">
        <v>0</v>
      </c>
      <c r="J43" s="69">
        <v>1</v>
      </c>
      <c r="K43" s="69">
        <v>1</v>
      </c>
      <c r="L43" s="66" t="s">
        <v>2559</v>
      </c>
      <c r="M43" s="65" t="s">
        <v>2829</v>
      </c>
      <c r="N43" s="70" t="s">
        <v>2504</v>
      </c>
      <c r="O43" s="69" t="s">
        <v>2505</v>
      </c>
      <c r="P43" s="69">
        <v>2</v>
      </c>
      <c r="Q43" s="69">
        <v>3</v>
      </c>
      <c r="R43" s="69">
        <v>23</v>
      </c>
      <c r="S43" s="69">
        <v>40</v>
      </c>
      <c r="T43" s="73" t="str">
        <f t="shared" si="2"/>
        <v>DA_bd_ra_ba_f_g_o_fin_o_mag</v>
      </c>
      <c r="U43" s="73" t="str">
        <f t="shared" si="3"/>
        <v>/Game/DungeonSiege/Items/Armor/Body/DA_bd_ra_ba_f_g_o_fin_o_mag</v>
      </c>
      <c r="V43" s="73" t="str">
        <f t="shared" si="1"/>
        <v>Texture2D'/Game/DungeonSiege/art/bitmaps/gui/in_game/inventory/armor/body_armor/b_gui_ig_i_a_pos_a6_013.b_gui_ig_i_a_pos_a6_013'</v>
      </c>
      <c r="W43" s="73" t="s">
        <v>3061</v>
      </c>
    </row>
    <row r="44" spans="1:23" ht="15.75" thickBot="1" x14ac:dyDescent="0.3">
      <c r="A44" s="69">
        <v>42</v>
      </c>
      <c r="B44" s="69">
        <v>42</v>
      </c>
      <c r="C44" s="69">
        <f>HEX2DEC(B44+Items!$A$5)</f>
        <v>16973890</v>
      </c>
      <c r="D44" s="65" t="s">
        <v>2406</v>
      </c>
      <c r="E44" s="71">
        <v>347</v>
      </c>
      <c r="F44" s="72" t="s">
        <v>2384</v>
      </c>
      <c r="G44" s="69">
        <v>44</v>
      </c>
      <c r="H44" s="69">
        <v>0</v>
      </c>
      <c r="I44" s="69">
        <v>0</v>
      </c>
      <c r="J44" s="69">
        <v>1</v>
      </c>
      <c r="K44" s="69">
        <v>1</v>
      </c>
      <c r="L44" s="66" t="s">
        <v>2560</v>
      </c>
      <c r="M44" s="65" t="s">
        <v>2830</v>
      </c>
      <c r="N44" s="70" t="s">
        <v>2512</v>
      </c>
      <c r="O44" s="69" t="s">
        <v>2500</v>
      </c>
      <c r="P44" s="69">
        <v>2</v>
      </c>
      <c r="Q44" s="69">
        <v>3</v>
      </c>
      <c r="R44" s="69">
        <v>18</v>
      </c>
      <c r="S44" s="69">
        <v>34</v>
      </c>
      <c r="T44" s="73" t="str">
        <f t="shared" si="2"/>
        <v>DA_bd_ra_bp_f_g_c_fin</v>
      </c>
      <c r="U44" s="73" t="str">
        <f t="shared" si="3"/>
        <v>/Game/DungeonSiege/Items/Armor/Body/DA_bd_ra_bp_f_g_c_fin</v>
      </c>
      <c r="V44" s="73" t="str">
        <f t="shared" si="1"/>
        <v>Texture2D'/Game/DungeonSiege/art/bitmaps/gui/in_game/inventory/armor/body_armor/b_gui_ig_i_a_pos_a5_023.b_gui_ig_i_a_pos_a5_023'</v>
      </c>
      <c r="W44" s="73" t="s">
        <v>3061</v>
      </c>
    </row>
    <row r="45" spans="1:23" ht="15.75" thickBot="1" x14ac:dyDescent="0.3">
      <c r="A45" s="69">
        <v>43</v>
      </c>
      <c r="B45" s="69">
        <v>43</v>
      </c>
      <c r="C45" s="69">
        <f>HEX2DEC(B45+Items!$A$5)</f>
        <v>16973891</v>
      </c>
      <c r="D45" s="65" t="s">
        <v>2406</v>
      </c>
      <c r="E45" s="71">
        <v>484</v>
      </c>
      <c r="F45" s="72" t="s">
        <v>2384</v>
      </c>
      <c r="G45" s="69">
        <v>58</v>
      </c>
      <c r="H45" s="69">
        <v>0</v>
      </c>
      <c r="I45" s="69">
        <v>0</v>
      </c>
      <c r="J45" s="69">
        <v>1</v>
      </c>
      <c r="K45" s="69">
        <v>1</v>
      </c>
      <c r="L45" s="66" t="s">
        <v>2561</v>
      </c>
      <c r="M45" s="65" t="s">
        <v>2831</v>
      </c>
      <c r="N45" s="70" t="s">
        <v>2499</v>
      </c>
      <c r="O45" s="69" t="s">
        <v>2505</v>
      </c>
      <c r="P45" s="69">
        <v>2</v>
      </c>
      <c r="Q45" s="69">
        <v>3</v>
      </c>
      <c r="R45" s="69">
        <v>18</v>
      </c>
      <c r="S45" s="69">
        <v>34</v>
      </c>
      <c r="T45" s="73" t="str">
        <f t="shared" si="2"/>
        <v>DA_bd_ra_bp_f_g_c_fin_c_str</v>
      </c>
      <c r="U45" s="73" t="str">
        <f t="shared" si="3"/>
        <v>/Game/DungeonSiege/Items/Armor/Body/DA_bd_ra_bp_f_g_c_fin_c_str</v>
      </c>
      <c r="V45" s="73" t="str">
        <f t="shared" si="1"/>
        <v>Texture2D'/Game/DungeonSiege/art/bitmaps/gui/in_game/inventory/armor/body_armor/b_gui_ig_i_a_pos_a6_012.b_gui_ig_i_a_pos_a6_012'</v>
      </c>
      <c r="W45" s="73" t="s">
        <v>3061</v>
      </c>
    </row>
    <row r="46" spans="1:23" ht="15.75" thickBot="1" x14ac:dyDescent="0.3">
      <c r="A46" s="69">
        <v>44</v>
      </c>
      <c r="B46" s="69">
        <v>44</v>
      </c>
      <c r="C46" s="69">
        <f>HEX2DEC(B46+Items!$A$5)</f>
        <v>16973892</v>
      </c>
      <c r="D46" s="65" t="s">
        <v>2407</v>
      </c>
      <c r="E46" s="71">
        <v>204</v>
      </c>
      <c r="F46" s="72" t="s">
        <v>2384</v>
      </c>
      <c r="G46" s="69">
        <v>29</v>
      </c>
      <c r="H46" s="69">
        <v>0</v>
      </c>
      <c r="I46" s="69">
        <v>0</v>
      </c>
      <c r="J46" s="69">
        <v>1</v>
      </c>
      <c r="K46" s="69">
        <v>1</v>
      </c>
      <c r="L46" s="66" t="s">
        <v>2562</v>
      </c>
      <c r="M46" s="65" t="s">
        <v>2832</v>
      </c>
      <c r="N46" s="70" t="s">
        <v>2513</v>
      </c>
      <c r="O46" s="69" t="s">
        <v>2782</v>
      </c>
      <c r="P46" s="69">
        <v>2</v>
      </c>
      <c r="Q46" s="69">
        <v>3</v>
      </c>
      <c r="R46" s="69">
        <v>7</v>
      </c>
      <c r="S46" s="69">
        <v>14</v>
      </c>
      <c r="T46" s="73" t="str">
        <f t="shared" si="2"/>
        <v>DA_bd_ra_br_f_g_c_str</v>
      </c>
      <c r="U46" s="73" t="str">
        <f t="shared" si="3"/>
        <v>/Game/DungeonSiege/Items/Armor/Body/DA_bd_ra_br_f_g_c_str</v>
      </c>
      <c r="V46" s="73" t="str">
        <f t="shared" si="1"/>
        <v>Texture2D'/Game/DungeonSiege/art/bitmaps/gui/in_game/inventory/armor/body_armor/b_gui_ig_i_a_pos_a3_041.b_gui_ig_i_a_pos_a3_041'</v>
      </c>
      <c r="W46" s="73" t="s">
        <v>3061</v>
      </c>
    </row>
    <row r="47" spans="1:23" ht="15.75" thickBot="1" x14ac:dyDescent="0.3">
      <c r="A47" s="69">
        <v>45</v>
      </c>
      <c r="B47" s="69">
        <v>45</v>
      </c>
      <c r="C47" s="69">
        <f>HEX2DEC(B47+Items!$A$5)</f>
        <v>16973893</v>
      </c>
      <c r="D47" s="65" t="s">
        <v>2408</v>
      </c>
      <c r="E47" s="71">
        <v>83</v>
      </c>
      <c r="F47" s="72" t="s">
        <v>2384</v>
      </c>
      <c r="G47" s="69">
        <v>12</v>
      </c>
      <c r="H47" s="69">
        <v>0</v>
      </c>
      <c r="I47" s="69">
        <v>0</v>
      </c>
      <c r="J47" s="69">
        <v>1</v>
      </c>
      <c r="K47" s="69">
        <v>1</v>
      </c>
      <c r="L47" s="66" t="s">
        <v>2563</v>
      </c>
      <c r="M47" s="65" t="s">
        <v>2833</v>
      </c>
      <c r="N47" s="70" t="s">
        <v>2785</v>
      </c>
      <c r="O47" s="69" t="s">
        <v>2782</v>
      </c>
      <c r="P47" s="69">
        <v>2</v>
      </c>
      <c r="Q47" s="69">
        <v>3</v>
      </c>
      <c r="R47" s="69">
        <v>9</v>
      </c>
      <c r="S47" s="69">
        <v>44</v>
      </c>
      <c r="T47" s="73" t="str">
        <f t="shared" si="2"/>
        <v>DA_bd_ra_br_m_g_o_fin</v>
      </c>
      <c r="U47" s="73" t="str">
        <f t="shared" si="3"/>
        <v>/Game/DungeonSiege/Items/Armor/Body/DA_bd_ra_br_m_g_o_fin</v>
      </c>
      <c r="V47" s="73" t="str">
        <f t="shared" si="1"/>
        <v>Texture2D'/Game/DungeonSiege/art/bitmaps/gui/in_game/inventory/armor/body_armor/b_gui_ig_i_a_pos_a3_043.b_gui_ig_i_a_pos_a3_043'</v>
      </c>
      <c r="W47" s="73" t="s">
        <v>3061</v>
      </c>
    </row>
    <row r="48" spans="1:23" ht="15.75" thickBot="1" x14ac:dyDescent="0.3">
      <c r="A48" s="69">
        <v>46</v>
      </c>
      <c r="B48" s="69">
        <v>46</v>
      </c>
      <c r="C48" s="69">
        <f>HEX2DEC(B48+Items!$A$5)</f>
        <v>16973894</v>
      </c>
      <c r="D48" s="65" t="s">
        <v>2408</v>
      </c>
      <c r="E48" s="71">
        <v>145</v>
      </c>
      <c r="F48" s="72" t="s">
        <v>2384</v>
      </c>
      <c r="G48" s="69">
        <v>14</v>
      </c>
      <c r="H48" s="69">
        <v>0</v>
      </c>
      <c r="I48" s="69">
        <v>0</v>
      </c>
      <c r="J48" s="69">
        <v>1</v>
      </c>
      <c r="K48" s="69">
        <v>1</v>
      </c>
      <c r="L48" s="66" t="s">
        <v>2564</v>
      </c>
      <c r="M48" s="65" t="s">
        <v>2834</v>
      </c>
      <c r="N48" s="70" t="s">
        <v>2507</v>
      </c>
      <c r="O48" s="69" t="s">
        <v>2782</v>
      </c>
      <c r="P48" s="69">
        <v>2</v>
      </c>
      <c r="Q48" s="69">
        <v>3</v>
      </c>
      <c r="R48" s="69">
        <v>26</v>
      </c>
      <c r="S48" s="69">
        <v>97</v>
      </c>
      <c r="T48" s="73" t="str">
        <f t="shared" si="2"/>
        <v>DA_bd_ra_br_m_g_o_fin_c_mag</v>
      </c>
      <c r="U48" s="73" t="str">
        <f t="shared" si="3"/>
        <v>/Game/DungeonSiege/Items/Armor/Body/DA_bd_ra_br_m_g_o_fin_c_mag</v>
      </c>
      <c r="V48" s="73" t="str">
        <f t="shared" si="1"/>
        <v>Texture2D'/Game/DungeonSiege/art/bitmaps/gui/in_game/inventory/armor/body_armor/b_gui_ig_i_a_pos_a3_038.b_gui_ig_i_a_pos_a3_038'</v>
      </c>
      <c r="W48" s="73" t="s">
        <v>3061</v>
      </c>
    </row>
    <row r="49" spans="1:23" ht="15.75" thickBot="1" x14ac:dyDescent="0.3">
      <c r="A49" s="69">
        <v>47</v>
      </c>
      <c r="B49" s="69">
        <v>47</v>
      </c>
      <c r="C49" s="69">
        <f>HEX2DEC(B49+Items!$A$5)</f>
        <v>16973895</v>
      </c>
      <c r="D49" s="65" t="s">
        <v>2409</v>
      </c>
      <c r="E49" s="71">
        <v>72</v>
      </c>
      <c r="F49" s="72" t="s">
        <v>2384</v>
      </c>
      <c r="G49" s="69">
        <v>14</v>
      </c>
      <c r="H49" s="69">
        <v>1</v>
      </c>
      <c r="I49" s="69">
        <v>0</v>
      </c>
      <c r="J49" s="69">
        <v>1</v>
      </c>
      <c r="K49" s="69">
        <v>1</v>
      </c>
      <c r="L49" s="66" t="s">
        <v>2565</v>
      </c>
      <c r="M49" s="65" t="s">
        <v>2835</v>
      </c>
      <c r="N49" s="70" t="s">
        <v>2786</v>
      </c>
      <c r="O49" s="69" t="s">
        <v>2782</v>
      </c>
      <c r="P49" s="69">
        <v>2</v>
      </c>
      <c r="Q49" s="69">
        <v>3</v>
      </c>
      <c r="R49" s="69">
        <v>0</v>
      </c>
      <c r="S49" s="69">
        <v>20</v>
      </c>
      <c r="T49" s="73" t="str">
        <f t="shared" si="2"/>
        <v>DA_bd_ra_br_r_g_c_avg</v>
      </c>
      <c r="U49" s="73" t="str">
        <f t="shared" si="3"/>
        <v>/Game/DungeonSiege/Items/Armor/Body/DA_bd_ra_br_r_g_c_avg</v>
      </c>
      <c r="V49" s="73" t="str">
        <f t="shared" si="1"/>
        <v>Texture2D'/Game/DungeonSiege/art/bitmaps/gui/in_game/inventory/armor/body_armor/b_gui_ig_i_a_pos_a3_042.b_gui_ig_i_a_pos_a3_042'</v>
      </c>
      <c r="W49" s="73" t="s">
        <v>3061</v>
      </c>
    </row>
    <row r="50" spans="1:23" ht="15.75" thickBot="1" x14ac:dyDescent="0.3">
      <c r="A50" s="69">
        <v>48</v>
      </c>
      <c r="B50" s="69">
        <v>48</v>
      </c>
      <c r="C50" s="69">
        <f>HEX2DEC(B50+Items!$A$5)</f>
        <v>16973896</v>
      </c>
      <c r="D50" s="65" t="s">
        <v>2409</v>
      </c>
      <c r="E50" s="71">
        <v>80</v>
      </c>
      <c r="F50" s="72" t="s">
        <v>2384</v>
      </c>
      <c r="G50" s="69">
        <v>14</v>
      </c>
      <c r="H50" s="69">
        <v>0</v>
      </c>
      <c r="I50" s="69">
        <v>0</v>
      </c>
      <c r="J50" s="69">
        <v>1</v>
      </c>
      <c r="K50" s="69">
        <v>1</v>
      </c>
      <c r="L50" s="66" t="s">
        <v>2566</v>
      </c>
      <c r="M50" s="65" t="s">
        <v>2836</v>
      </c>
      <c r="N50" s="70" t="s">
        <v>2508</v>
      </c>
      <c r="O50" s="69" t="s">
        <v>2782</v>
      </c>
      <c r="P50" s="69">
        <v>2</v>
      </c>
      <c r="Q50" s="69">
        <v>3</v>
      </c>
      <c r="R50" s="69">
        <v>1</v>
      </c>
      <c r="S50" s="69">
        <v>20</v>
      </c>
      <c r="T50" s="73" t="str">
        <f t="shared" si="2"/>
        <v>DA_bd_ra_br_r_g_c_avg_c_fin</v>
      </c>
      <c r="U50" s="73" t="str">
        <f t="shared" si="3"/>
        <v>/Game/DungeonSiege/Items/Armor/Body/DA_bd_ra_br_r_g_c_avg_c_fin</v>
      </c>
      <c r="V50" s="73" t="str">
        <f t="shared" si="1"/>
        <v>Texture2D'/Game/DungeonSiege/art/bitmaps/gui/in_game/inventory/armor/body_armor/b_gui_ig_i_a_pos_a3_039.b_gui_ig_i_a_pos_a3_039'</v>
      </c>
      <c r="W50" s="73" t="s">
        <v>3061</v>
      </c>
    </row>
    <row r="51" spans="1:23" ht="15.75" thickBot="1" x14ac:dyDescent="0.3">
      <c r="A51" s="69">
        <v>49</v>
      </c>
      <c r="B51" s="69">
        <v>49</v>
      </c>
      <c r="C51" s="69">
        <f>HEX2DEC(B51+Items!$A$5)</f>
        <v>16973897</v>
      </c>
      <c r="D51" s="65" t="s">
        <v>2410</v>
      </c>
      <c r="E51" s="71">
        <v>391</v>
      </c>
      <c r="F51" s="72" t="s">
        <v>2384</v>
      </c>
      <c r="G51" s="69">
        <v>49</v>
      </c>
      <c r="H51" s="69">
        <v>0</v>
      </c>
      <c r="I51" s="69">
        <v>0</v>
      </c>
      <c r="J51" s="69">
        <v>1</v>
      </c>
      <c r="K51" s="69">
        <v>1</v>
      </c>
      <c r="L51" s="66" t="s">
        <v>2567</v>
      </c>
      <c r="M51" s="65" t="s">
        <v>2837</v>
      </c>
      <c r="N51" s="70" t="s">
        <v>2508</v>
      </c>
      <c r="O51" s="69" t="s">
        <v>2500</v>
      </c>
      <c r="P51" s="69">
        <v>2</v>
      </c>
      <c r="Q51" s="69">
        <v>3</v>
      </c>
      <c r="R51" s="69">
        <v>10</v>
      </c>
      <c r="S51" s="69">
        <v>25</v>
      </c>
      <c r="T51" s="73" t="str">
        <f t="shared" si="2"/>
        <v>DA_bd_ra_fp_f_g_o_fin</v>
      </c>
      <c r="U51" s="73" t="str">
        <f t="shared" si="3"/>
        <v>/Game/DungeonSiege/Items/Armor/Body/DA_bd_ra_fp_f_g_o_fin</v>
      </c>
      <c r="V51" s="73" t="str">
        <f t="shared" si="1"/>
        <v>Texture2D'/Game/DungeonSiege/art/bitmaps/gui/in_game/inventory/armor/body_armor/b_gui_ig_i_a_pos_a5_022.b_gui_ig_i_a_pos_a5_022'</v>
      </c>
      <c r="W51" s="73" t="s">
        <v>3061</v>
      </c>
    </row>
    <row r="52" spans="1:23" ht="15.75" thickBot="1" x14ac:dyDescent="0.3">
      <c r="A52" s="69">
        <v>50</v>
      </c>
      <c r="B52" s="69">
        <v>50</v>
      </c>
      <c r="C52" s="69">
        <f>HEX2DEC(B52+Items!$A$5)</f>
        <v>16973904</v>
      </c>
      <c r="D52" s="65" t="s">
        <v>2410</v>
      </c>
      <c r="E52" s="71">
        <v>497</v>
      </c>
      <c r="F52" s="72" t="s">
        <v>2384</v>
      </c>
      <c r="G52" s="69">
        <v>59</v>
      </c>
      <c r="H52" s="69">
        <v>0</v>
      </c>
      <c r="I52" s="69">
        <v>0</v>
      </c>
      <c r="J52" s="69">
        <v>1</v>
      </c>
      <c r="K52" s="69">
        <v>1</v>
      </c>
      <c r="L52" s="66" t="s">
        <v>2568</v>
      </c>
      <c r="M52" s="65" t="s">
        <v>2838</v>
      </c>
      <c r="N52" s="70" t="s">
        <v>2509</v>
      </c>
      <c r="O52" s="69" t="s">
        <v>2505</v>
      </c>
      <c r="P52" s="69">
        <v>2</v>
      </c>
      <c r="Q52" s="69">
        <v>3</v>
      </c>
      <c r="R52" s="69">
        <v>19</v>
      </c>
      <c r="S52" s="69">
        <v>37</v>
      </c>
      <c r="T52" s="73" t="str">
        <f t="shared" si="2"/>
        <v>DA_bd_ra_fp_f_g_o_fin_o_str</v>
      </c>
      <c r="U52" s="73" t="str">
        <f t="shared" si="3"/>
        <v>/Game/DungeonSiege/Items/Armor/Body/DA_bd_ra_fp_f_g_o_fin_o_str</v>
      </c>
      <c r="V52" s="73" t="str">
        <f t="shared" si="1"/>
        <v>Texture2D'/Game/DungeonSiege/art/bitmaps/gui/in_game/inventory/armor/body_armor/b_gui_ig_i_a_pos_a6_014.b_gui_ig_i_a_pos_a6_014'</v>
      </c>
      <c r="W52" s="73" t="s">
        <v>3061</v>
      </c>
    </row>
    <row r="53" spans="1:23" ht="15.75" thickBot="1" x14ac:dyDescent="0.3">
      <c r="A53" s="69">
        <v>51</v>
      </c>
      <c r="B53" s="69">
        <v>51</v>
      </c>
      <c r="C53" s="69">
        <f>HEX2DEC(B53+Items!$A$5)</f>
        <v>16973905</v>
      </c>
      <c r="D53" s="65" t="s">
        <v>2411</v>
      </c>
      <c r="E53" s="71">
        <v>242</v>
      </c>
      <c r="F53" s="72" t="s">
        <v>2384</v>
      </c>
      <c r="G53" s="69">
        <v>24</v>
      </c>
      <c r="H53" s="69">
        <v>1</v>
      </c>
      <c r="I53" s="69">
        <v>0</v>
      </c>
      <c r="J53" s="69">
        <v>1</v>
      </c>
      <c r="K53" s="69">
        <v>1</v>
      </c>
      <c r="L53" s="66" t="s">
        <v>2569</v>
      </c>
      <c r="M53" s="65" t="s">
        <v>2839</v>
      </c>
      <c r="N53" s="70" t="s">
        <v>2515</v>
      </c>
      <c r="O53" s="69" t="s">
        <v>2500</v>
      </c>
      <c r="P53" s="69">
        <v>2</v>
      </c>
      <c r="Q53" s="69">
        <v>3</v>
      </c>
      <c r="R53" s="69">
        <v>0</v>
      </c>
      <c r="S53" s="69">
        <v>67</v>
      </c>
      <c r="T53" s="73" t="str">
        <f t="shared" si="2"/>
        <v>DA_bd_ra_fp_r_g_c_avg</v>
      </c>
      <c r="U53" s="73" t="str">
        <f t="shared" si="3"/>
        <v>/Game/DungeonSiege/Items/Armor/Body/DA_bd_ra_fp_r_g_c_avg</v>
      </c>
      <c r="V53" s="73" t="str">
        <f t="shared" si="1"/>
        <v>Texture2D'/Game/DungeonSiege/art/bitmaps/gui/in_game/inventory/armor/body_armor/b_gui_ig_i_a_pos_a5_024.b_gui_ig_i_a_pos_a5_024'</v>
      </c>
      <c r="W53" s="73" t="s">
        <v>3061</v>
      </c>
    </row>
    <row r="54" spans="1:23" ht="15.75" thickBot="1" x14ac:dyDescent="0.3">
      <c r="A54" s="69">
        <v>52</v>
      </c>
      <c r="B54" s="69">
        <v>52</v>
      </c>
      <c r="C54" s="69">
        <f>HEX2DEC(B54+Items!$A$5)</f>
        <v>16973906</v>
      </c>
      <c r="D54" s="65" t="s">
        <v>2412</v>
      </c>
      <c r="E54" s="71">
        <v>54</v>
      </c>
      <c r="F54" s="72" t="s">
        <v>2384</v>
      </c>
      <c r="G54" s="69">
        <v>15</v>
      </c>
      <c r="H54" s="69">
        <v>1</v>
      </c>
      <c r="I54" s="69">
        <v>0</v>
      </c>
      <c r="J54" s="69">
        <v>0</v>
      </c>
      <c r="K54" s="69">
        <v>0</v>
      </c>
      <c r="L54" s="66" t="s">
        <v>2570</v>
      </c>
      <c r="M54" s="65" t="str">
        <f t="shared" ref="M54:M88" si="4">CONCATENATE("b_gui_ig_i_a_pos_",O54,"_",N54)</f>
        <v>b_gui_ig_i_a_pos_a5_026</v>
      </c>
      <c r="N54" s="70" t="s">
        <v>2785</v>
      </c>
      <c r="O54" s="69" t="s">
        <v>2500</v>
      </c>
      <c r="P54" s="69">
        <v>2</v>
      </c>
      <c r="Q54" s="69">
        <v>3</v>
      </c>
      <c r="R54" s="69"/>
      <c r="S54" s="69"/>
      <c r="T54" s="73" t="str">
        <f t="shared" si="2"/>
        <v>DA_bd_un_ba_f_g_skeleton_captain</v>
      </c>
      <c r="U54" s="73" t="str">
        <f t="shared" si="3"/>
        <v>/Game/DungeonSiege/Items/Armor/Body/DA_bd_un_ba_f_g_skeleton_captain</v>
      </c>
      <c r="V54" s="73" t="str">
        <f t="shared" si="1"/>
        <v>Texture2D'/Game/DungeonSiege/art/bitmaps/gui/in_game/inventory/armor/body_armor/b_gui_ig_i_a_pos_a5_026.b_gui_ig_i_a_pos_a5_026'</v>
      </c>
      <c r="W54" s="73" t="s">
        <v>3061</v>
      </c>
    </row>
    <row r="55" spans="1:23" ht="15.75" thickBot="1" x14ac:dyDescent="0.3">
      <c r="A55" s="69">
        <v>53</v>
      </c>
      <c r="B55" s="69">
        <v>53</v>
      </c>
      <c r="C55" s="69">
        <f>HEX2DEC(B55+Items!$A$5)</f>
        <v>16973907</v>
      </c>
      <c r="D55" s="65" t="s">
        <v>2413</v>
      </c>
      <c r="E55" s="71">
        <v>291</v>
      </c>
      <c r="F55" s="72" t="s">
        <v>2384</v>
      </c>
      <c r="G55" s="69">
        <v>40</v>
      </c>
      <c r="H55" s="69">
        <v>0</v>
      </c>
      <c r="I55" s="69">
        <v>0</v>
      </c>
      <c r="J55" s="69">
        <v>0</v>
      </c>
      <c r="K55" s="69">
        <v>1</v>
      </c>
      <c r="L55" s="66" t="s">
        <v>2571</v>
      </c>
      <c r="M55" s="65" t="str">
        <f t="shared" si="4"/>
        <v>b_gui_ig_i_a_pos_a6_010</v>
      </c>
      <c r="N55" s="70" t="s">
        <v>2512</v>
      </c>
      <c r="O55" s="69" t="s">
        <v>2505</v>
      </c>
      <c r="P55" s="69">
        <v>2</v>
      </c>
      <c r="Q55" s="69">
        <v>3</v>
      </c>
      <c r="R55" s="69">
        <v>6</v>
      </c>
      <c r="S55" s="69">
        <v>20</v>
      </c>
      <c r="T55" s="73" t="str">
        <f t="shared" si="2"/>
        <v>DA_bd_un_br_f_bone</v>
      </c>
      <c r="U55" s="73" t="str">
        <f t="shared" si="3"/>
        <v>/Game/DungeonSiege/Items/Armor/Body/DA_bd_un_br_f_bone</v>
      </c>
      <c r="V55" s="73" t="str">
        <f t="shared" si="1"/>
        <v>Texture2D'/Game/DungeonSiege/art/bitmaps/gui/in_game/inventory/armor/body_armor/b_gui_ig_i_a_pos_a6_010.b_gui_ig_i_a_pos_a6_010'</v>
      </c>
      <c r="W55" s="73" t="s">
        <v>3061</v>
      </c>
    </row>
    <row r="56" spans="1:23" ht="15.75" thickBot="1" x14ac:dyDescent="0.3">
      <c r="A56" s="69">
        <v>54</v>
      </c>
      <c r="B56" s="69">
        <v>54</v>
      </c>
      <c r="C56" s="69">
        <f>HEX2DEC(B56+Items!$A$5)</f>
        <v>16973908</v>
      </c>
      <c r="D56" s="65" t="s">
        <v>2414</v>
      </c>
      <c r="E56" s="71">
        <v>166</v>
      </c>
      <c r="F56" s="72" t="s">
        <v>2384</v>
      </c>
      <c r="G56" s="69">
        <v>27</v>
      </c>
      <c r="H56" s="69">
        <v>0</v>
      </c>
      <c r="I56" s="69">
        <v>0</v>
      </c>
      <c r="J56" s="69">
        <v>0</v>
      </c>
      <c r="K56" s="69">
        <v>1</v>
      </c>
      <c r="L56" s="66" t="s">
        <v>2572</v>
      </c>
      <c r="M56" s="65" t="str">
        <f t="shared" si="4"/>
        <v>b_gui_ig_i_a_pos_a3_031</v>
      </c>
      <c r="N56" s="70" t="s">
        <v>2793</v>
      </c>
      <c r="O56" s="69" t="s">
        <v>2782</v>
      </c>
      <c r="P56" s="69">
        <v>2</v>
      </c>
      <c r="Q56" s="69">
        <v>3</v>
      </c>
      <c r="R56" s="69">
        <v>3</v>
      </c>
      <c r="S56" s="69">
        <v>12</v>
      </c>
      <c r="T56" s="73" t="str">
        <f t="shared" si="2"/>
        <v>DA_bd_un_br_f_copper</v>
      </c>
      <c r="U56" s="73" t="str">
        <f t="shared" si="3"/>
        <v>/Game/DungeonSiege/Items/Armor/Body/DA_bd_un_br_f_copper</v>
      </c>
      <c r="V56" s="73" t="str">
        <f t="shared" si="1"/>
        <v>Texture2D'/Game/DungeonSiege/art/bitmaps/gui/in_game/inventory/armor/body_armor/b_gui_ig_i_a_pos_a3_031.b_gui_ig_i_a_pos_a3_031'</v>
      </c>
      <c r="W56" s="73" t="s">
        <v>3061</v>
      </c>
    </row>
    <row r="57" spans="1:23" ht="15.75" thickBot="1" x14ac:dyDescent="0.3">
      <c r="A57" s="69">
        <v>55</v>
      </c>
      <c r="B57" s="69">
        <v>55</v>
      </c>
      <c r="C57" s="69">
        <f>HEX2DEC(B57+Items!$A$5)</f>
        <v>16973909</v>
      </c>
      <c r="D57" s="65" t="s">
        <v>2415</v>
      </c>
      <c r="E57" s="71">
        <v>216</v>
      </c>
      <c r="F57" s="72" t="s">
        <v>2384</v>
      </c>
      <c r="G57" s="69">
        <v>32</v>
      </c>
      <c r="H57" s="69">
        <v>0</v>
      </c>
      <c r="I57" s="69">
        <v>0</v>
      </c>
      <c r="J57" s="69">
        <v>0</v>
      </c>
      <c r="K57" s="69">
        <v>1</v>
      </c>
      <c r="L57" s="66" t="s">
        <v>2573</v>
      </c>
      <c r="M57" s="65" t="str">
        <f t="shared" si="4"/>
        <v>b_gui_ig_i_a_pos_a2_021</v>
      </c>
      <c r="N57" s="70" t="s">
        <v>2796</v>
      </c>
      <c r="O57" s="69" t="s">
        <v>2781</v>
      </c>
      <c r="P57" s="69">
        <v>2</v>
      </c>
      <c r="Q57" s="69">
        <v>2</v>
      </c>
      <c r="R57" s="69">
        <v>4</v>
      </c>
      <c r="S57" s="69">
        <v>15</v>
      </c>
      <c r="T57" s="73" t="str">
        <f t="shared" si="2"/>
        <v>DA_bd_un_br_f_d_c_str</v>
      </c>
      <c r="U57" s="73" t="str">
        <f t="shared" si="3"/>
        <v>/Game/DungeonSiege/Items/Armor/Body/DA_bd_un_br_f_d_c_str</v>
      </c>
      <c r="V57" s="73" t="str">
        <f t="shared" si="1"/>
        <v>Texture2D'/Game/DungeonSiege/art/bitmaps/gui/in_game/inventory/armor/body_armor/b_gui_ig_i_a_pos_a2_021.b_gui_ig_i_a_pos_a2_021'</v>
      </c>
      <c r="W57" s="73" t="s">
        <v>3061</v>
      </c>
    </row>
    <row r="58" spans="1:23" ht="15.75" thickBot="1" x14ac:dyDescent="0.3">
      <c r="A58" s="69">
        <v>56</v>
      </c>
      <c r="B58" s="69">
        <v>56</v>
      </c>
      <c r="C58" s="69">
        <f>HEX2DEC(B58+Items!$A$5)</f>
        <v>16973910</v>
      </c>
      <c r="D58" s="65" t="s">
        <v>2416</v>
      </c>
      <c r="E58" s="71">
        <v>266</v>
      </c>
      <c r="F58" s="72" t="s">
        <v>2384</v>
      </c>
      <c r="G58" s="69">
        <v>37</v>
      </c>
      <c r="H58" s="69">
        <v>0</v>
      </c>
      <c r="I58" s="69">
        <v>0</v>
      </c>
      <c r="J58" s="69">
        <v>0</v>
      </c>
      <c r="K58" s="69">
        <v>1</v>
      </c>
      <c r="L58" s="66" t="s">
        <v>2574</v>
      </c>
      <c r="M58" s="65" t="str">
        <f t="shared" si="4"/>
        <v>b_gui_ig_i_a_pos_a1_053</v>
      </c>
      <c r="N58" s="70" t="s">
        <v>2798</v>
      </c>
      <c r="O58" s="69" t="s">
        <v>2797</v>
      </c>
      <c r="P58" s="69">
        <v>2</v>
      </c>
      <c r="Q58" s="69">
        <v>2</v>
      </c>
      <c r="R58" s="69">
        <v>5</v>
      </c>
      <c r="S58" s="69">
        <v>19</v>
      </c>
      <c r="T58" s="73" t="str">
        <f t="shared" si="2"/>
        <v>DA_bd_un_br_f_spider</v>
      </c>
      <c r="U58" s="73" t="str">
        <f t="shared" si="3"/>
        <v>/Game/DungeonSiege/Items/Armor/Body/DA_bd_un_br_f_spider</v>
      </c>
      <c r="V58" s="73" t="str">
        <f t="shared" si="1"/>
        <v>Texture2D'/Game/DungeonSiege/art/bitmaps/gui/in_game/inventory/armor/body_armor/b_gui_ig_i_a_pos_a1_053.b_gui_ig_i_a_pos_a1_053'</v>
      </c>
      <c r="W58" s="73" t="s">
        <v>3061</v>
      </c>
    </row>
    <row r="59" spans="1:23" ht="15.75" thickBot="1" x14ac:dyDescent="0.3">
      <c r="A59" s="69">
        <v>57</v>
      </c>
      <c r="B59" s="69">
        <v>57</v>
      </c>
      <c r="C59" s="69">
        <f>HEX2DEC(B59+Items!$A$5)</f>
        <v>16973911</v>
      </c>
      <c r="D59" s="65" t="s">
        <v>2417</v>
      </c>
      <c r="E59" s="71">
        <v>213</v>
      </c>
      <c r="F59" s="72" t="s">
        <v>2384</v>
      </c>
      <c r="G59" s="69">
        <v>23</v>
      </c>
      <c r="H59" s="69">
        <v>0</v>
      </c>
      <c r="I59" s="69">
        <v>0</v>
      </c>
      <c r="J59" s="69">
        <v>0</v>
      </c>
      <c r="K59" s="69">
        <v>1</v>
      </c>
      <c r="L59" s="66" t="s">
        <v>2575</v>
      </c>
      <c r="M59" s="65" t="str">
        <f t="shared" si="4"/>
        <v>b_gui_ig_i_a_pos_a4_009</v>
      </c>
      <c r="N59" s="70" t="s">
        <v>2503</v>
      </c>
      <c r="O59" s="69" t="s">
        <v>2799</v>
      </c>
      <c r="P59" s="69">
        <v>2</v>
      </c>
      <c r="Q59" s="69">
        <v>3</v>
      </c>
      <c r="R59" s="69">
        <v>9</v>
      </c>
      <c r="S59" s="69">
        <v>39</v>
      </c>
      <c r="T59" s="73" t="str">
        <f t="shared" si="2"/>
        <v>DA_bd_un_br_r_d_o_str</v>
      </c>
      <c r="U59" s="73" t="str">
        <f t="shared" si="3"/>
        <v>/Game/DungeonSiege/Items/Armor/Body/DA_bd_un_br_r_d_o_str</v>
      </c>
      <c r="V59" s="73" t="str">
        <f t="shared" si="1"/>
        <v>Texture2D'/Game/DungeonSiege/art/bitmaps/gui/in_game/inventory/armor/body_armor/b_gui_ig_i_a_pos_a4_009.b_gui_ig_i_a_pos_a4_009'</v>
      </c>
      <c r="W59" s="73" t="s">
        <v>3061</v>
      </c>
    </row>
    <row r="60" spans="1:23" ht="15.75" thickBot="1" x14ac:dyDescent="0.3">
      <c r="A60" s="69">
        <v>58</v>
      </c>
      <c r="B60" s="69">
        <v>58</v>
      </c>
      <c r="C60" s="69">
        <f>HEX2DEC(B60+Items!$A$5)</f>
        <v>16973912</v>
      </c>
      <c r="D60" s="65" t="s">
        <v>2418</v>
      </c>
      <c r="E60" s="71">
        <v>509</v>
      </c>
      <c r="F60" s="72" t="s">
        <v>2384</v>
      </c>
      <c r="G60" s="69">
        <v>62</v>
      </c>
      <c r="H60" s="69">
        <v>0</v>
      </c>
      <c r="I60" s="69">
        <v>0</v>
      </c>
      <c r="J60" s="69">
        <v>0</v>
      </c>
      <c r="K60" s="69">
        <v>1</v>
      </c>
      <c r="L60" s="66" t="s">
        <v>2576</v>
      </c>
      <c r="M60" s="65" t="str">
        <f t="shared" si="4"/>
        <v>b_gui_ig_i_a_pos_a5_006</v>
      </c>
      <c r="N60" s="70" t="s">
        <v>2509</v>
      </c>
      <c r="O60" s="69" t="s">
        <v>2500</v>
      </c>
      <c r="P60" s="69">
        <v>2</v>
      </c>
      <c r="Q60" s="69">
        <v>3</v>
      </c>
      <c r="R60" s="69">
        <v>10</v>
      </c>
      <c r="S60" s="69">
        <v>36</v>
      </c>
      <c r="T60" s="73" t="str">
        <f t="shared" si="2"/>
        <v>DA_bd_un_fp_f_g_c_mag</v>
      </c>
      <c r="U60" s="73" t="str">
        <f t="shared" si="3"/>
        <v>/Game/DungeonSiege/Items/Armor/Body/DA_bd_un_fp_f_g_c_mag</v>
      </c>
      <c r="V60" s="73" t="str">
        <f t="shared" si="1"/>
        <v>Texture2D'/Game/DungeonSiege/art/bitmaps/gui/in_game/inventory/armor/body_armor/b_gui_ig_i_a_pos_a5_006.b_gui_ig_i_a_pos_a5_006'</v>
      </c>
      <c r="W60" s="73" t="s">
        <v>3061</v>
      </c>
    </row>
    <row r="61" spans="1:23" ht="15.75" thickBot="1" x14ac:dyDescent="0.3">
      <c r="A61" s="69">
        <v>59</v>
      </c>
      <c r="B61" s="69">
        <v>59</v>
      </c>
      <c r="C61" s="69">
        <f>HEX2DEC(B61+Items!$A$5)</f>
        <v>16973913</v>
      </c>
      <c r="D61" s="65" t="s">
        <v>2418</v>
      </c>
      <c r="E61" s="71">
        <v>578</v>
      </c>
      <c r="F61" s="72" t="s">
        <v>2384</v>
      </c>
      <c r="G61" s="69">
        <v>69</v>
      </c>
      <c r="H61" s="69">
        <v>0</v>
      </c>
      <c r="I61" s="69">
        <v>0</v>
      </c>
      <c r="J61" s="69">
        <v>0</v>
      </c>
      <c r="K61" s="69">
        <v>1</v>
      </c>
      <c r="L61" s="66" t="s">
        <v>2577</v>
      </c>
      <c r="M61" s="65" t="str">
        <f t="shared" si="4"/>
        <v>b_gui_ig_i_a_pos_a5_005</v>
      </c>
      <c r="N61" s="70" t="s">
        <v>2508</v>
      </c>
      <c r="O61" s="69" t="s">
        <v>2500</v>
      </c>
      <c r="P61" s="69">
        <v>2</v>
      </c>
      <c r="Q61" s="69">
        <v>3</v>
      </c>
      <c r="R61" s="69">
        <v>1</v>
      </c>
      <c r="S61" s="69">
        <v>10</v>
      </c>
      <c r="T61" s="73" t="str">
        <f t="shared" si="2"/>
        <v>DA_bd_un_fp_f_g_c_mag_o_mag</v>
      </c>
      <c r="U61" s="73" t="str">
        <f t="shared" si="3"/>
        <v>/Game/DungeonSiege/Items/Armor/Body/DA_bd_un_fp_f_g_c_mag_o_mag</v>
      </c>
      <c r="V61" s="73" t="str">
        <f t="shared" si="1"/>
        <v>Texture2D'/Game/DungeonSiege/art/bitmaps/gui/in_game/inventory/armor/body_armor/b_gui_ig_i_a_pos_a5_005.b_gui_ig_i_a_pos_a5_005'</v>
      </c>
      <c r="W61" s="73" t="s">
        <v>3061</v>
      </c>
    </row>
    <row r="62" spans="1:23" ht="15.75" thickBot="1" x14ac:dyDescent="0.3">
      <c r="A62" s="69">
        <v>60</v>
      </c>
      <c r="B62" s="69">
        <v>60</v>
      </c>
      <c r="C62" s="69">
        <f>HEX2DEC(B62+Items!$A$5)</f>
        <v>16973920</v>
      </c>
      <c r="D62" s="65" t="s">
        <v>2419</v>
      </c>
      <c r="E62" s="71">
        <v>347</v>
      </c>
      <c r="F62" s="72" t="s">
        <v>2384</v>
      </c>
      <c r="G62" s="69">
        <v>45</v>
      </c>
      <c r="H62" s="69">
        <v>0</v>
      </c>
      <c r="I62" s="69">
        <v>0</v>
      </c>
      <c r="J62" s="69">
        <v>0</v>
      </c>
      <c r="K62" s="69">
        <v>1</v>
      </c>
      <c r="L62" s="66" t="s">
        <v>2578</v>
      </c>
      <c r="M62" s="65" t="str">
        <f t="shared" si="4"/>
        <v>b_gui_ig_i_a_pos_a6_009</v>
      </c>
      <c r="N62" s="70" t="s">
        <v>2503</v>
      </c>
      <c r="O62" s="69" t="s">
        <v>2505</v>
      </c>
      <c r="P62" s="69">
        <v>2</v>
      </c>
      <c r="Q62" s="69">
        <v>3</v>
      </c>
      <c r="R62" s="69">
        <v>7</v>
      </c>
      <c r="S62" s="69">
        <v>24</v>
      </c>
      <c r="T62" s="73" t="str">
        <f t="shared" si="2"/>
        <v>DA_bd_un_pl_f_crystal</v>
      </c>
      <c r="U62" s="73" t="str">
        <f t="shared" si="3"/>
        <v>/Game/DungeonSiege/Items/Armor/Body/DA_bd_un_pl_f_crystal</v>
      </c>
      <c r="V62" s="73" t="str">
        <f t="shared" si="1"/>
        <v>Texture2D'/Game/DungeonSiege/art/bitmaps/gui/in_game/inventory/armor/body_armor/b_gui_ig_i_a_pos_a6_009.b_gui_ig_i_a_pos_a6_009'</v>
      </c>
      <c r="W62" s="73" t="s">
        <v>3061</v>
      </c>
    </row>
    <row r="63" spans="1:23" ht="15.75" thickBot="1" x14ac:dyDescent="0.3">
      <c r="A63" s="69">
        <v>61</v>
      </c>
      <c r="B63" s="69">
        <v>61</v>
      </c>
      <c r="C63" s="69">
        <f>HEX2DEC(B63+Items!$A$5)</f>
        <v>16973921</v>
      </c>
      <c r="D63" s="65" t="s">
        <v>2420</v>
      </c>
      <c r="E63" s="71">
        <v>228</v>
      </c>
      <c r="F63" s="72" t="s">
        <v>2384</v>
      </c>
      <c r="G63" s="69">
        <v>33</v>
      </c>
      <c r="H63" s="69">
        <v>1</v>
      </c>
      <c r="I63" s="69">
        <v>0</v>
      </c>
      <c r="J63" s="69">
        <v>0</v>
      </c>
      <c r="K63" s="69">
        <v>0</v>
      </c>
      <c r="L63" s="66" t="s">
        <v>2579</v>
      </c>
      <c r="M63" s="65" t="str">
        <f t="shared" si="4"/>
        <v>b_gui_ig_i_a_pos_a3_016</v>
      </c>
      <c r="N63" s="70" t="s">
        <v>2517</v>
      </c>
      <c r="O63" s="69" t="s">
        <v>2782</v>
      </c>
      <c r="P63" s="69">
        <v>2</v>
      </c>
      <c r="Q63" s="69">
        <v>3</v>
      </c>
      <c r="R63" s="69"/>
      <c r="S63" s="69"/>
      <c r="T63" s="73" t="str">
        <f t="shared" si="2"/>
        <v>DA_bd_un_pl_f_g_c_avg</v>
      </c>
      <c r="U63" s="73" t="str">
        <f t="shared" si="3"/>
        <v>/Game/DungeonSiege/Items/Armor/Body/DA_bd_un_pl_f_g_c_avg</v>
      </c>
      <c r="V63" s="73" t="str">
        <f t="shared" si="1"/>
        <v>Texture2D'/Game/DungeonSiege/art/bitmaps/gui/in_game/inventory/armor/body_armor/b_gui_ig_i_a_pos_a3_016.b_gui_ig_i_a_pos_a3_016'</v>
      </c>
      <c r="W63" s="73" t="s">
        <v>3061</v>
      </c>
    </row>
    <row r="64" spans="1:23" ht="15.75" thickBot="1" x14ac:dyDescent="0.3">
      <c r="A64" s="69">
        <v>62</v>
      </c>
      <c r="B64" s="69">
        <v>62</v>
      </c>
      <c r="C64" s="69">
        <f>HEX2DEC(B64+Items!$A$5)</f>
        <v>16973922</v>
      </c>
      <c r="D64" s="65" t="s">
        <v>2420</v>
      </c>
      <c r="E64" s="71">
        <v>253</v>
      </c>
      <c r="F64" s="72" t="s">
        <v>2384</v>
      </c>
      <c r="G64" s="69">
        <v>36</v>
      </c>
      <c r="H64" s="69">
        <v>0</v>
      </c>
      <c r="I64" s="69">
        <v>1</v>
      </c>
      <c r="J64" s="69">
        <v>0</v>
      </c>
      <c r="K64" s="69">
        <v>0</v>
      </c>
      <c r="L64" s="66" t="s">
        <v>2580</v>
      </c>
      <c r="M64" s="65" t="str">
        <f t="shared" si="4"/>
        <v>b_gui_ig_i_a_pos_a3_015</v>
      </c>
      <c r="N64" s="70" t="s">
        <v>2506</v>
      </c>
      <c r="O64" s="69" t="s">
        <v>2782</v>
      </c>
      <c r="P64" s="69">
        <v>2</v>
      </c>
      <c r="Q64" s="69">
        <v>3</v>
      </c>
      <c r="R64" s="69">
        <v>1</v>
      </c>
      <c r="S64" s="69">
        <v>10</v>
      </c>
      <c r="T64" s="73" t="str">
        <f t="shared" si="2"/>
        <v>DA_bd_un_pl_f_g_c_avg_c_fin</v>
      </c>
      <c r="U64" s="73" t="str">
        <f t="shared" si="3"/>
        <v>/Game/DungeonSiege/Items/Armor/Body/DA_bd_un_pl_f_g_c_avg_c_fin</v>
      </c>
      <c r="V64" s="73" t="str">
        <f t="shared" si="1"/>
        <v>Texture2D'/Game/DungeonSiege/art/bitmaps/gui/in_game/inventory/armor/body_armor/b_gui_ig_i_a_pos_a3_015.b_gui_ig_i_a_pos_a3_015'</v>
      </c>
      <c r="W64" s="73" t="s">
        <v>3061</v>
      </c>
    </row>
    <row r="65" spans="1:23" ht="15.75" thickBot="1" x14ac:dyDescent="0.3">
      <c r="A65" s="69">
        <v>63</v>
      </c>
      <c r="B65" s="69">
        <v>63</v>
      </c>
      <c r="C65" s="69">
        <f>HEX2DEC(B65+Items!$A$5)</f>
        <v>16973923</v>
      </c>
      <c r="D65" s="65" t="s">
        <v>2421</v>
      </c>
      <c r="E65" s="71">
        <v>204</v>
      </c>
      <c r="F65" s="72" t="s">
        <v>2384</v>
      </c>
      <c r="G65" s="69">
        <v>31</v>
      </c>
      <c r="H65" s="69">
        <v>1</v>
      </c>
      <c r="I65" s="69">
        <v>0</v>
      </c>
      <c r="J65" s="69">
        <v>0</v>
      </c>
      <c r="K65" s="69">
        <v>0</v>
      </c>
      <c r="L65" s="66" t="s">
        <v>2581</v>
      </c>
      <c r="M65" s="65" t="str">
        <f t="shared" si="4"/>
        <v>b_gui_ig_i_a_pos_a3_014</v>
      </c>
      <c r="N65" s="70" t="s">
        <v>2516</v>
      </c>
      <c r="O65" s="69" t="s">
        <v>2782</v>
      </c>
      <c r="P65" s="69">
        <v>2</v>
      </c>
      <c r="Q65" s="69">
        <v>3</v>
      </c>
      <c r="R65" s="69"/>
      <c r="S65" s="69"/>
      <c r="T65" s="73" t="str">
        <f t="shared" si="2"/>
        <v>DA_bd_un_pl_f_g_c_fun</v>
      </c>
      <c r="U65" s="73" t="str">
        <f t="shared" si="3"/>
        <v>/Game/DungeonSiege/Items/Armor/Body/DA_bd_un_pl_f_g_c_fun</v>
      </c>
      <c r="V65" s="73" t="str">
        <f t="shared" si="1"/>
        <v>Texture2D'/Game/DungeonSiege/art/bitmaps/gui/in_game/inventory/armor/body_armor/b_gui_ig_i_a_pos_a3_014.b_gui_ig_i_a_pos_a3_014'</v>
      </c>
      <c r="W65" s="73" t="s">
        <v>3061</v>
      </c>
    </row>
    <row r="66" spans="1:23" ht="15.75" thickBot="1" x14ac:dyDescent="0.3">
      <c r="A66" s="69">
        <v>64</v>
      </c>
      <c r="B66" s="69">
        <v>0</v>
      </c>
      <c r="C66" s="69">
        <f>HEX2DEC(B66+Items!$A$2)</f>
        <v>16777216</v>
      </c>
      <c r="D66" s="65" t="s">
        <v>2422</v>
      </c>
      <c r="E66" s="71">
        <v>135</v>
      </c>
      <c r="F66" s="72" t="s">
        <v>2384</v>
      </c>
      <c r="G66" s="69">
        <v>24</v>
      </c>
      <c r="H66" s="69">
        <v>1</v>
      </c>
      <c r="I66" s="69">
        <v>0</v>
      </c>
      <c r="J66" s="69">
        <v>0</v>
      </c>
      <c r="K66" s="69">
        <v>0</v>
      </c>
      <c r="L66" s="66" t="s">
        <v>2582</v>
      </c>
      <c r="M66" s="65" t="str">
        <f t="shared" si="4"/>
        <v>b_gui_ig_i_a_pos_a4_004</v>
      </c>
      <c r="N66" s="70" t="s">
        <v>2507</v>
      </c>
      <c r="O66" s="69" t="s">
        <v>2799</v>
      </c>
      <c r="P66" s="69">
        <v>2</v>
      </c>
      <c r="Q66" s="69">
        <v>3</v>
      </c>
      <c r="R66" s="69"/>
      <c r="S66" s="69"/>
      <c r="T66" s="73" t="str">
        <f t="shared" si="2"/>
        <v>DA_bd_ch_f_g_c_avg</v>
      </c>
      <c r="U66" s="73" t="str">
        <f t="shared" si="3"/>
        <v>/Game/DungeonSiege/Items/Armor/Body/DA_bd_ch_f_g_c_avg</v>
      </c>
      <c r="V66" s="73" t="str">
        <f t="shared" ref="V66:V129" si="5">CONCATENATE("Texture2D'/Game/DungeonSiege/art/bitmaps/gui/in_game/inventory/armor/body_armor/",M66,".",M66,"'")</f>
        <v>Texture2D'/Game/DungeonSiege/art/bitmaps/gui/in_game/inventory/armor/body_armor/b_gui_ig_i_a_pos_a4_004.b_gui_ig_i_a_pos_a4_004'</v>
      </c>
      <c r="W66" s="73" t="s">
        <v>3060</v>
      </c>
    </row>
    <row r="67" spans="1:23" ht="15.75" thickBot="1" x14ac:dyDescent="0.3">
      <c r="A67" s="69">
        <v>65</v>
      </c>
      <c r="B67" s="69">
        <v>1</v>
      </c>
      <c r="C67" s="69">
        <f>HEX2DEC(B67+Items!$A$2)</f>
        <v>16777217</v>
      </c>
      <c r="D67" s="65" t="s">
        <v>2422</v>
      </c>
      <c r="E67" s="71">
        <v>147</v>
      </c>
      <c r="F67" s="72" t="s">
        <v>2384</v>
      </c>
      <c r="G67" s="69">
        <v>25</v>
      </c>
      <c r="H67" s="69">
        <v>0</v>
      </c>
      <c r="I67" s="69">
        <v>1</v>
      </c>
      <c r="J67" s="69">
        <v>0</v>
      </c>
      <c r="K67" s="69">
        <v>0</v>
      </c>
      <c r="L67" s="66" t="s">
        <v>2583</v>
      </c>
      <c r="M67" s="65" t="str">
        <f t="shared" si="4"/>
        <v>b_gui_ig_i_a_pos_a3_027</v>
      </c>
      <c r="N67" s="70" t="s">
        <v>2789</v>
      </c>
      <c r="O67" s="69" t="s">
        <v>2782</v>
      </c>
      <c r="P67" s="69">
        <v>2</v>
      </c>
      <c r="Q67" s="69">
        <v>2</v>
      </c>
      <c r="R67" s="69">
        <v>1</v>
      </c>
      <c r="S67" s="69">
        <v>6</v>
      </c>
      <c r="T67" s="73" t="str">
        <f t="shared" ref="T67:T130" si="6" xml:space="preserve"> CONCATENATE("DA_",SUBSTITUTE(L67,":","_"))</f>
        <v>DA_bd_ch_f_g_c_avg_c_fin</v>
      </c>
      <c r="U67" s="73" t="str">
        <f t="shared" ref="U67:U130" si="7">"/Game/DungeonSiege/Items/Armor/Body/" &amp; T67</f>
        <v>/Game/DungeonSiege/Items/Armor/Body/DA_bd_ch_f_g_c_avg_c_fin</v>
      </c>
      <c r="V67" s="73" t="str">
        <f t="shared" si="5"/>
        <v>Texture2D'/Game/DungeonSiege/art/bitmaps/gui/in_game/inventory/armor/body_armor/b_gui_ig_i_a_pos_a3_027.b_gui_ig_i_a_pos_a3_027'</v>
      </c>
      <c r="W67" s="73" t="s">
        <v>3060</v>
      </c>
    </row>
    <row r="68" spans="1:23" ht="15.75" thickBot="1" x14ac:dyDescent="0.3">
      <c r="A68" s="69">
        <v>66</v>
      </c>
      <c r="B68" s="69">
        <v>2</v>
      </c>
      <c r="C68" s="69">
        <f>HEX2DEC(B68+Items!$A$2)</f>
        <v>16777218</v>
      </c>
      <c r="D68" s="65" t="s">
        <v>2422</v>
      </c>
      <c r="E68" s="71">
        <v>241</v>
      </c>
      <c r="F68" s="72" t="s">
        <v>2384</v>
      </c>
      <c r="G68" s="69">
        <v>34</v>
      </c>
      <c r="H68" s="69">
        <v>0</v>
      </c>
      <c r="I68" s="69">
        <v>1</v>
      </c>
      <c r="J68" s="69">
        <v>0</v>
      </c>
      <c r="K68" s="69">
        <v>0</v>
      </c>
      <c r="L68" s="66" t="s">
        <v>2584</v>
      </c>
      <c r="M68" s="65" t="str">
        <f t="shared" si="4"/>
        <v>b_gui_ig_i_a_pos_a3_007</v>
      </c>
      <c r="N68" s="70" t="s">
        <v>2510</v>
      </c>
      <c r="O68" s="69" t="s">
        <v>2782</v>
      </c>
      <c r="P68" s="69">
        <v>2</v>
      </c>
      <c r="Q68" s="69">
        <v>3</v>
      </c>
      <c r="R68" s="69">
        <v>9</v>
      </c>
      <c r="S68" s="69">
        <v>17</v>
      </c>
      <c r="T68" s="73" t="str">
        <f t="shared" si="6"/>
        <v>DA_bd_ch_f_g_c_avg_c_str</v>
      </c>
      <c r="U68" s="73" t="str">
        <f t="shared" si="7"/>
        <v>/Game/DungeonSiege/Items/Armor/Body/DA_bd_ch_f_g_c_avg_c_str</v>
      </c>
      <c r="V68" s="73" t="str">
        <f t="shared" si="5"/>
        <v>Texture2D'/Game/DungeonSiege/art/bitmaps/gui/in_game/inventory/armor/body_armor/b_gui_ig_i_a_pos_a3_007.b_gui_ig_i_a_pos_a3_007'</v>
      </c>
      <c r="W68" s="73" t="s">
        <v>3060</v>
      </c>
    </row>
    <row r="69" spans="1:23" ht="15.75" thickBot="1" x14ac:dyDescent="0.3">
      <c r="A69" s="69">
        <v>67</v>
      </c>
      <c r="B69" s="69">
        <v>3</v>
      </c>
      <c r="C69" s="69">
        <f>HEX2DEC(B69+Items!$A$2)</f>
        <v>16777219</v>
      </c>
      <c r="D69" s="65" t="s">
        <v>2422</v>
      </c>
      <c r="E69" s="71">
        <v>204</v>
      </c>
      <c r="F69" s="72" t="s">
        <v>2384</v>
      </c>
      <c r="G69" s="69">
        <v>31</v>
      </c>
      <c r="H69" s="69">
        <v>0</v>
      </c>
      <c r="I69" s="69">
        <v>1</v>
      </c>
      <c r="J69" s="69">
        <v>1</v>
      </c>
      <c r="K69" s="69">
        <v>1</v>
      </c>
      <c r="L69" s="66" t="s">
        <v>2585</v>
      </c>
      <c r="M69" s="65" t="str">
        <f t="shared" si="4"/>
        <v>b_gui_ig_i_a_pos_a3_028</v>
      </c>
      <c r="N69" s="70" t="s">
        <v>2790</v>
      </c>
      <c r="O69" s="69" t="s">
        <v>2782</v>
      </c>
      <c r="P69" s="69">
        <v>2</v>
      </c>
      <c r="Q69" s="69">
        <v>2</v>
      </c>
      <c r="R69" s="69">
        <v>7</v>
      </c>
      <c r="S69" s="69">
        <v>14</v>
      </c>
      <c r="T69" s="73" t="str">
        <f t="shared" si="6"/>
        <v>DA_bd_ch_f_g_c_avg_o_fin</v>
      </c>
      <c r="U69" s="73" t="str">
        <f t="shared" si="7"/>
        <v>/Game/DungeonSiege/Items/Armor/Body/DA_bd_ch_f_g_c_avg_o_fin</v>
      </c>
      <c r="V69" s="73" t="str">
        <f t="shared" si="5"/>
        <v>Texture2D'/Game/DungeonSiege/art/bitmaps/gui/in_game/inventory/armor/body_armor/b_gui_ig_i_a_pos_a3_028.b_gui_ig_i_a_pos_a3_028'</v>
      </c>
      <c r="W69" s="73" t="s">
        <v>3060</v>
      </c>
    </row>
    <row r="70" spans="1:23" ht="15.75" thickBot="1" x14ac:dyDescent="0.3">
      <c r="A70" s="69">
        <v>68</v>
      </c>
      <c r="B70" s="69">
        <v>4</v>
      </c>
      <c r="C70" s="69">
        <f>HEX2DEC(B70+Items!$A$2)</f>
        <v>16777220</v>
      </c>
      <c r="D70" s="65" t="s">
        <v>2423</v>
      </c>
      <c r="E70" s="71">
        <v>122</v>
      </c>
      <c r="F70" s="72" t="s">
        <v>2384</v>
      </c>
      <c r="G70" s="69">
        <v>22</v>
      </c>
      <c r="H70" s="69">
        <v>1</v>
      </c>
      <c r="I70" s="69">
        <v>0</v>
      </c>
      <c r="J70" s="69">
        <v>0</v>
      </c>
      <c r="K70" s="69">
        <v>0</v>
      </c>
      <c r="L70" s="66" t="s">
        <v>2586</v>
      </c>
      <c r="M70" s="65" t="str">
        <f t="shared" si="4"/>
        <v>b_gui_ig_i_a_pos_a4_010</v>
      </c>
      <c r="N70" s="70" t="s">
        <v>2512</v>
      </c>
      <c r="O70" s="69" t="s">
        <v>2799</v>
      </c>
      <c r="P70" s="69">
        <v>2</v>
      </c>
      <c r="Q70" s="69">
        <v>3</v>
      </c>
      <c r="R70" s="69"/>
      <c r="S70" s="69"/>
      <c r="T70" s="73" t="str">
        <f t="shared" si="6"/>
        <v>DA_bd_ch_f_g_c_fun</v>
      </c>
      <c r="U70" s="73" t="str">
        <f t="shared" si="7"/>
        <v>/Game/DungeonSiege/Items/Armor/Body/DA_bd_ch_f_g_c_fun</v>
      </c>
      <c r="V70" s="73" t="str">
        <f t="shared" si="5"/>
        <v>Texture2D'/Game/DungeonSiege/art/bitmaps/gui/in_game/inventory/armor/body_armor/b_gui_ig_i_a_pos_a4_010.b_gui_ig_i_a_pos_a4_010'</v>
      </c>
      <c r="W70" s="73" t="s">
        <v>3060</v>
      </c>
    </row>
    <row r="71" spans="1:23" ht="15.75" thickBot="1" x14ac:dyDescent="0.3">
      <c r="A71" s="69">
        <v>69</v>
      </c>
      <c r="B71" s="69">
        <v>5</v>
      </c>
      <c r="C71" s="69">
        <f>HEX2DEC(B71+Items!$A$2)</f>
        <v>16777221</v>
      </c>
      <c r="D71" s="65" t="s">
        <v>2424</v>
      </c>
      <c r="E71" s="71">
        <v>98</v>
      </c>
      <c r="F71" s="72" t="s">
        <v>2384</v>
      </c>
      <c r="G71" s="69">
        <v>20</v>
      </c>
      <c r="H71" s="69">
        <v>1</v>
      </c>
      <c r="I71" s="69">
        <v>0</v>
      </c>
      <c r="J71" s="69">
        <v>0</v>
      </c>
      <c r="K71" s="69">
        <v>0</v>
      </c>
      <c r="L71" s="66" t="s">
        <v>2587</v>
      </c>
      <c r="M71" s="65" t="str">
        <f t="shared" si="4"/>
        <v>b_gui_ig_i_a_pos_a3_008</v>
      </c>
      <c r="N71" s="70" t="s">
        <v>2511</v>
      </c>
      <c r="O71" s="69" t="s">
        <v>2782</v>
      </c>
      <c r="P71" s="69">
        <v>2</v>
      </c>
      <c r="Q71" s="69">
        <v>3</v>
      </c>
      <c r="R71" s="69"/>
      <c r="S71" s="69"/>
      <c r="T71" s="73" t="str">
        <f t="shared" si="6"/>
        <v>DA_bd_ch_f_g_c_low</v>
      </c>
      <c r="U71" s="73" t="str">
        <f t="shared" si="7"/>
        <v>/Game/DungeonSiege/Items/Armor/Body/DA_bd_ch_f_g_c_low</v>
      </c>
      <c r="V71" s="73" t="str">
        <f t="shared" si="5"/>
        <v>Texture2D'/Game/DungeonSiege/art/bitmaps/gui/in_game/inventory/armor/body_armor/b_gui_ig_i_a_pos_a3_008.b_gui_ig_i_a_pos_a3_008'</v>
      </c>
      <c r="W71" s="73" t="s">
        <v>3060</v>
      </c>
    </row>
    <row r="72" spans="1:23" ht="15.75" thickBot="1" x14ac:dyDescent="0.3">
      <c r="A72" s="69">
        <v>70</v>
      </c>
      <c r="B72" s="69">
        <v>6</v>
      </c>
      <c r="C72" s="69">
        <f>HEX2DEC(B72+Items!$A$2)</f>
        <v>16777222</v>
      </c>
      <c r="D72" s="65" t="s">
        <v>2425</v>
      </c>
      <c r="E72" s="71">
        <v>80</v>
      </c>
      <c r="F72" s="72" t="s">
        <v>2384</v>
      </c>
      <c r="G72" s="69">
        <v>12</v>
      </c>
      <c r="H72" s="69">
        <v>1</v>
      </c>
      <c r="I72" s="69">
        <v>1</v>
      </c>
      <c r="J72" s="69">
        <v>0</v>
      </c>
      <c r="K72" s="69">
        <v>0</v>
      </c>
      <c r="L72" s="66" t="s">
        <v>2588</v>
      </c>
      <c r="M72" s="65" t="str">
        <f t="shared" si="4"/>
        <v>b_gui_ig_i_a_pos_a1_022</v>
      </c>
      <c r="N72" s="70" t="s">
        <v>2783</v>
      </c>
      <c r="O72" s="69" t="s">
        <v>2797</v>
      </c>
      <c r="P72" s="69">
        <v>2</v>
      </c>
      <c r="Q72" s="69">
        <v>2</v>
      </c>
      <c r="R72" s="69">
        <v>0</v>
      </c>
      <c r="S72" s="69">
        <v>4</v>
      </c>
      <c r="T72" s="73" t="str">
        <f t="shared" si="6"/>
        <v>DA_bd_ch_m_g_c_avg</v>
      </c>
      <c r="U72" s="73" t="str">
        <f t="shared" si="7"/>
        <v>/Game/DungeonSiege/Items/Armor/Body/DA_bd_ch_m_g_c_avg</v>
      </c>
      <c r="V72" s="73" t="str">
        <f t="shared" si="5"/>
        <v>Texture2D'/Game/DungeonSiege/art/bitmaps/gui/in_game/inventory/armor/body_armor/b_gui_ig_i_a_pos_a1_022.b_gui_ig_i_a_pos_a1_022'</v>
      </c>
      <c r="W72" s="73" t="s">
        <v>3060</v>
      </c>
    </row>
    <row r="73" spans="1:23" ht="15.75" thickBot="1" x14ac:dyDescent="0.3">
      <c r="A73" s="69">
        <v>71</v>
      </c>
      <c r="B73" s="69">
        <v>7</v>
      </c>
      <c r="C73" s="69">
        <f>HEX2DEC(B73+Items!$A$2)</f>
        <v>16777223</v>
      </c>
      <c r="D73" s="65" t="s">
        <v>2425</v>
      </c>
      <c r="E73" s="71">
        <v>92</v>
      </c>
      <c r="F73" s="72" t="s">
        <v>2384</v>
      </c>
      <c r="G73" s="69">
        <v>12</v>
      </c>
      <c r="H73" s="69">
        <v>0</v>
      </c>
      <c r="I73" s="69">
        <v>1</v>
      </c>
      <c r="J73" s="69">
        <v>0</v>
      </c>
      <c r="K73" s="69">
        <v>0</v>
      </c>
      <c r="L73" s="66" t="s">
        <v>2589</v>
      </c>
      <c r="M73" s="65" t="str">
        <f t="shared" si="4"/>
        <v>b_gui_ig_i_a_pos_a2_033</v>
      </c>
      <c r="N73" s="70" t="s">
        <v>2800</v>
      </c>
      <c r="O73" s="69" t="s">
        <v>2781</v>
      </c>
      <c r="P73" s="69">
        <v>2</v>
      </c>
      <c r="Q73" s="69">
        <v>2</v>
      </c>
      <c r="R73" s="69">
        <v>2</v>
      </c>
      <c r="S73" s="69">
        <v>10</v>
      </c>
      <c r="T73" s="73" t="str">
        <f t="shared" si="6"/>
        <v>DA_bd_ch_m_g_c_avg_c_fin</v>
      </c>
      <c r="U73" s="73" t="str">
        <f t="shared" si="7"/>
        <v>/Game/DungeonSiege/Items/Armor/Body/DA_bd_ch_m_g_c_avg_c_fin</v>
      </c>
      <c r="V73" s="73" t="str">
        <f t="shared" si="5"/>
        <v>Texture2D'/Game/DungeonSiege/art/bitmaps/gui/in_game/inventory/armor/body_armor/b_gui_ig_i_a_pos_a2_033.b_gui_ig_i_a_pos_a2_033'</v>
      </c>
      <c r="W73" s="73" t="s">
        <v>3060</v>
      </c>
    </row>
    <row r="74" spans="1:23" ht="15.75" thickBot="1" x14ac:dyDescent="0.3">
      <c r="A74" s="69">
        <v>72</v>
      </c>
      <c r="B74" s="69">
        <v>8</v>
      </c>
      <c r="C74" s="69">
        <f>HEX2DEC(B74+Items!$A$2)</f>
        <v>16777224</v>
      </c>
      <c r="D74" s="65" t="s">
        <v>2425</v>
      </c>
      <c r="E74" s="71">
        <v>201</v>
      </c>
      <c r="F74" s="72" t="s">
        <v>2384</v>
      </c>
      <c r="G74" s="69">
        <v>16</v>
      </c>
      <c r="H74" s="69">
        <v>0</v>
      </c>
      <c r="I74" s="69">
        <v>1</v>
      </c>
      <c r="J74" s="69">
        <v>0</v>
      </c>
      <c r="K74" s="69">
        <v>0</v>
      </c>
      <c r="L74" s="66" t="s">
        <v>2590</v>
      </c>
      <c r="M74" s="65" t="str">
        <f t="shared" si="4"/>
        <v>b_gui_ig_i_a_pos_a2_035</v>
      </c>
      <c r="N74" s="70" t="s">
        <v>2784</v>
      </c>
      <c r="O74" s="69" t="s">
        <v>2781</v>
      </c>
      <c r="P74" s="69">
        <v>2</v>
      </c>
      <c r="Q74" s="69">
        <v>2</v>
      </c>
      <c r="R74" s="69">
        <v>35</v>
      </c>
      <c r="S74" s="69">
        <v>50</v>
      </c>
      <c r="T74" s="73" t="str">
        <f t="shared" si="6"/>
        <v>DA_bd_ch_m_g_c_avg_c_mag</v>
      </c>
      <c r="U74" s="73" t="str">
        <f t="shared" si="7"/>
        <v>/Game/DungeonSiege/Items/Armor/Body/DA_bd_ch_m_g_c_avg_c_mag</v>
      </c>
      <c r="V74" s="73" t="str">
        <f t="shared" si="5"/>
        <v>Texture2D'/Game/DungeonSiege/art/bitmaps/gui/in_game/inventory/armor/body_armor/b_gui_ig_i_a_pos_a2_035.b_gui_ig_i_a_pos_a2_035'</v>
      </c>
      <c r="W74" s="73" t="s">
        <v>3060</v>
      </c>
    </row>
    <row r="75" spans="1:23" ht="15.75" thickBot="1" x14ac:dyDescent="0.3">
      <c r="A75" s="69">
        <v>73</v>
      </c>
      <c r="B75" s="69">
        <v>9</v>
      </c>
      <c r="C75" s="69">
        <f>HEX2DEC(B75+Items!$A$2)</f>
        <v>16777225</v>
      </c>
      <c r="D75" s="65" t="s">
        <v>2425</v>
      </c>
      <c r="E75" s="71">
        <v>148</v>
      </c>
      <c r="F75" s="72" t="s">
        <v>2384</v>
      </c>
      <c r="G75" s="69">
        <v>14</v>
      </c>
      <c r="H75" s="69">
        <v>0</v>
      </c>
      <c r="I75" s="69">
        <v>1</v>
      </c>
      <c r="J75" s="69">
        <v>0</v>
      </c>
      <c r="K75" s="69">
        <v>0</v>
      </c>
      <c r="L75" s="66" t="s">
        <v>2591</v>
      </c>
      <c r="M75" s="65" t="str">
        <f t="shared" si="4"/>
        <v>b_gui_ig_i_a_pos_a2_034</v>
      </c>
      <c r="N75" s="70" t="s">
        <v>2801</v>
      </c>
      <c r="O75" s="69" t="s">
        <v>2781</v>
      </c>
      <c r="P75" s="69">
        <v>2</v>
      </c>
      <c r="Q75" s="69">
        <v>2</v>
      </c>
      <c r="R75" s="69">
        <v>20</v>
      </c>
      <c r="S75" s="69">
        <v>36</v>
      </c>
      <c r="T75" s="73" t="str">
        <f t="shared" si="6"/>
        <v>DA_bd_ch_m_g_c_avg_c_str</v>
      </c>
      <c r="U75" s="73" t="str">
        <f t="shared" si="7"/>
        <v>/Game/DungeonSiege/Items/Armor/Body/DA_bd_ch_m_g_c_avg_c_str</v>
      </c>
      <c r="V75" s="73" t="str">
        <f t="shared" si="5"/>
        <v>Texture2D'/Game/DungeonSiege/art/bitmaps/gui/in_game/inventory/armor/body_armor/b_gui_ig_i_a_pos_a2_034.b_gui_ig_i_a_pos_a2_034'</v>
      </c>
      <c r="W75" s="73" t="s">
        <v>3060</v>
      </c>
    </row>
    <row r="76" spans="1:23" ht="15.75" thickBot="1" x14ac:dyDescent="0.3">
      <c r="A76" s="69">
        <v>74</v>
      </c>
      <c r="B76" s="69">
        <v>10</v>
      </c>
      <c r="C76" s="69">
        <f>HEX2DEC(B76+Items!$A$2)</f>
        <v>16777232</v>
      </c>
      <c r="D76" s="65" t="s">
        <v>2425</v>
      </c>
      <c r="E76" s="71">
        <v>106</v>
      </c>
      <c r="F76" s="72" t="s">
        <v>2384</v>
      </c>
      <c r="G76" s="69">
        <v>13</v>
      </c>
      <c r="H76" s="69">
        <v>0</v>
      </c>
      <c r="I76" s="69">
        <v>1</v>
      </c>
      <c r="J76" s="69">
        <v>1</v>
      </c>
      <c r="K76" s="69">
        <v>1</v>
      </c>
      <c r="L76" s="66" t="s">
        <v>2592</v>
      </c>
      <c r="M76" s="65" t="str">
        <f t="shared" si="4"/>
        <v>b_gui_ig_i_a_pos_a2_036</v>
      </c>
      <c r="N76" s="70" t="s">
        <v>2802</v>
      </c>
      <c r="O76" s="69" t="s">
        <v>2781</v>
      </c>
      <c r="P76" s="69">
        <v>2</v>
      </c>
      <c r="Q76" s="69">
        <v>2</v>
      </c>
      <c r="R76" s="69">
        <v>8</v>
      </c>
      <c r="S76" s="69">
        <v>20</v>
      </c>
      <c r="T76" s="73" t="str">
        <f t="shared" si="6"/>
        <v>DA_bd_ch_m_g_c_avg_o_avg</v>
      </c>
      <c r="U76" s="73" t="str">
        <f t="shared" si="7"/>
        <v>/Game/DungeonSiege/Items/Armor/Body/DA_bd_ch_m_g_c_avg_o_avg</v>
      </c>
      <c r="V76" s="73" t="str">
        <f t="shared" si="5"/>
        <v>Texture2D'/Game/DungeonSiege/art/bitmaps/gui/in_game/inventory/armor/body_armor/b_gui_ig_i_a_pos_a2_036.b_gui_ig_i_a_pos_a2_036'</v>
      </c>
      <c r="W76" s="73" t="s">
        <v>3060</v>
      </c>
    </row>
    <row r="77" spans="1:23" ht="15.75" thickBot="1" x14ac:dyDescent="0.3">
      <c r="A77" s="69">
        <v>75</v>
      </c>
      <c r="B77" s="69">
        <v>11</v>
      </c>
      <c r="C77" s="69">
        <f>HEX2DEC(B77+Items!$A$2)</f>
        <v>16777233</v>
      </c>
      <c r="D77" s="65" t="s">
        <v>2425</v>
      </c>
      <c r="E77" s="71">
        <v>125</v>
      </c>
      <c r="F77" s="72" t="s">
        <v>2384</v>
      </c>
      <c r="G77" s="69">
        <v>14</v>
      </c>
      <c r="H77" s="69">
        <v>0</v>
      </c>
      <c r="I77" s="69">
        <v>1</v>
      </c>
      <c r="J77" s="69">
        <v>1</v>
      </c>
      <c r="K77" s="69">
        <v>1</v>
      </c>
      <c r="L77" s="66" t="s">
        <v>2593</v>
      </c>
      <c r="M77" s="65" t="str">
        <f t="shared" si="4"/>
        <v>b_gui_ig_i_a_pos_a2_037</v>
      </c>
      <c r="N77" s="70" t="s">
        <v>2803</v>
      </c>
      <c r="O77" s="69" t="s">
        <v>2781</v>
      </c>
      <c r="P77" s="69">
        <v>2</v>
      </c>
      <c r="Q77" s="69">
        <v>2</v>
      </c>
      <c r="R77" s="69">
        <v>13</v>
      </c>
      <c r="S77" s="69">
        <v>28</v>
      </c>
      <c r="T77" s="73" t="str">
        <f t="shared" si="6"/>
        <v>DA_bd_ch_m_g_c_avg_o_fin</v>
      </c>
      <c r="U77" s="73" t="str">
        <f t="shared" si="7"/>
        <v>/Game/DungeonSiege/Items/Armor/Body/DA_bd_ch_m_g_c_avg_o_fin</v>
      </c>
      <c r="V77" s="73" t="str">
        <f t="shared" si="5"/>
        <v>Texture2D'/Game/DungeonSiege/art/bitmaps/gui/in_game/inventory/armor/body_armor/b_gui_ig_i_a_pos_a2_037.b_gui_ig_i_a_pos_a2_037'</v>
      </c>
      <c r="W77" s="73" t="s">
        <v>3060</v>
      </c>
    </row>
    <row r="78" spans="1:23" ht="15.75" thickBot="1" x14ac:dyDescent="0.3">
      <c r="A78" s="69">
        <v>76</v>
      </c>
      <c r="B78" s="69">
        <v>12</v>
      </c>
      <c r="C78" s="69">
        <f>HEX2DEC(B78+Items!$A$2)</f>
        <v>16777234</v>
      </c>
      <c r="D78" s="65" t="s">
        <v>2425</v>
      </c>
      <c r="E78" s="71">
        <v>232</v>
      </c>
      <c r="F78" s="72" t="s">
        <v>2384</v>
      </c>
      <c r="G78" s="69">
        <v>17</v>
      </c>
      <c r="H78" s="69">
        <v>0</v>
      </c>
      <c r="I78" s="69">
        <v>1</v>
      </c>
      <c r="J78" s="69">
        <v>1</v>
      </c>
      <c r="K78" s="69">
        <v>1</v>
      </c>
      <c r="L78" s="66" t="s">
        <v>2594</v>
      </c>
      <c r="M78" s="65" t="str">
        <f t="shared" si="4"/>
        <v>b_gui_ig_i_a_pos_a2_050</v>
      </c>
      <c r="N78" s="70" t="s">
        <v>2804</v>
      </c>
      <c r="O78" s="69" t="s">
        <v>2781</v>
      </c>
      <c r="P78" s="69">
        <v>2</v>
      </c>
      <c r="Q78" s="69">
        <v>2</v>
      </c>
      <c r="R78" s="69">
        <v>43</v>
      </c>
      <c r="S78" s="69">
        <v>59</v>
      </c>
      <c r="T78" s="73" t="str">
        <f t="shared" si="6"/>
        <v>DA_bd_ch_m_g_c_avg_o_mag</v>
      </c>
      <c r="U78" s="73" t="str">
        <f t="shared" si="7"/>
        <v>/Game/DungeonSiege/Items/Armor/Body/DA_bd_ch_m_g_c_avg_o_mag</v>
      </c>
      <c r="V78" s="73" t="str">
        <f t="shared" si="5"/>
        <v>Texture2D'/Game/DungeonSiege/art/bitmaps/gui/in_game/inventory/armor/body_armor/b_gui_ig_i_a_pos_a2_050.b_gui_ig_i_a_pos_a2_050'</v>
      </c>
      <c r="W78" s="73" t="s">
        <v>3060</v>
      </c>
    </row>
    <row r="79" spans="1:23" ht="15.75" thickBot="1" x14ac:dyDescent="0.3">
      <c r="A79" s="69">
        <v>77</v>
      </c>
      <c r="B79" s="69">
        <v>13</v>
      </c>
      <c r="C79" s="69">
        <f>HEX2DEC(B79+Items!$A$2)</f>
        <v>16777235</v>
      </c>
      <c r="D79" s="65" t="s">
        <v>2425</v>
      </c>
      <c r="E79" s="71">
        <v>173</v>
      </c>
      <c r="F79" s="72" t="s">
        <v>2384</v>
      </c>
      <c r="G79" s="69">
        <v>15</v>
      </c>
      <c r="H79" s="69">
        <v>0</v>
      </c>
      <c r="I79" s="69">
        <v>1</v>
      </c>
      <c r="J79" s="69">
        <v>1</v>
      </c>
      <c r="K79" s="69">
        <v>1</v>
      </c>
      <c r="L79" s="66" t="s">
        <v>2595</v>
      </c>
      <c r="M79" s="65" t="str">
        <f t="shared" si="4"/>
        <v>b_gui_ig_i_a_pos_a2_038</v>
      </c>
      <c r="N79" s="70" t="s">
        <v>2805</v>
      </c>
      <c r="O79" s="69" t="s">
        <v>2781</v>
      </c>
      <c r="P79" s="69">
        <v>2</v>
      </c>
      <c r="Q79" s="69">
        <v>2</v>
      </c>
      <c r="R79" s="69">
        <v>29</v>
      </c>
      <c r="S79" s="69">
        <v>43</v>
      </c>
      <c r="T79" s="73" t="str">
        <f t="shared" si="6"/>
        <v>DA_bd_ch_m_g_c_avg_o_str</v>
      </c>
      <c r="U79" s="73" t="str">
        <f t="shared" si="7"/>
        <v>/Game/DungeonSiege/Items/Armor/Body/DA_bd_ch_m_g_c_avg_o_str</v>
      </c>
      <c r="V79" s="73" t="str">
        <f t="shared" si="5"/>
        <v>Texture2D'/Game/DungeonSiege/art/bitmaps/gui/in_game/inventory/armor/body_armor/b_gui_ig_i_a_pos_a2_038.b_gui_ig_i_a_pos_a2_038'</v>
      </c>
      <c r="W79" s="73" t="s">
        <v>3060</v>
      </c>
    </row>
    <row r="80" spans="1:23" ht="15.75" thickBot="1" x14ac:dyDescent="0.3">
      <c r="A80" s="69">
        <v>78</v>
      </c>
      <c r="B80" s="69">
        <v>14</v>
      </c>
      <c r="C80" s="69">
        <f>HEX2DEC(B80+Items!$A$2)</f>
        <v>16777236</v>
      </c>
      <c r="D80" s="65" t="s">
        <v>2426</v>
      </c>
      <c r="E80" s="71">
        <v>100</v>
      </c>
      <c r="F80" s="72" t="s">
        <v>2384</v>
      </c>
      <c r="G80" s="69">
        <v>16</v>
      </c>
      <c r="H80" s="69">
        <v>1</v>
      </c>
      <c r="I80" s="69">
        <v>1</v>
      </c>
      <c r="J80" s="69">
        <v>0</v>
      </c>
      <c r="K80" s="69">
        <v>0</v>
      </c>
      <c r="L80" s="66" t="s">
        <v>2596</v>
      </c>
      <c r="M80" s="65" t="str">
        <f t="shared" si="4"/>
        <v>b_gui_ig_i_a_pos_a2_029</v>
      </c>
      <c r="N80" s="70" t="s">
        <v>2791</v>
      </c>
      <c r="O80" s="69" t="s">
        <v>2781</v>
      </c>
      <c r="P80" s="69">
        <v>2</v>
      </c>
      <c r="Q80" s="69">
        <v>2</v>
      </c>
      <c r="R80" s="69">
        <v>0</v>
      </c>
      <c r="S80" s="69">
        <v>3</v>
      </c>
      <c r="T80" s="73" t="str">
        <f t="shared" si="6"/>
        <v>DA_bd_ch_r_g_c_avg</v>
      </c>
      <c r="U80" s="73" t="str">
        <f t="shared" si="7"/>
        <v>/Game/DungeonSiege/Items/Armor/Body/DA_bd_ch_r_g_c_avg</v>
      </c>
      <c r="V80" s="73" t="str">
        <f t="shared" si="5"/>
        <v>Texture2D'/Game/DungeonSiege/art/bitmaps/gui/in_game/inventory/armor/body_armor/b_gui_ig_i_a_pos_a2_029.b_gui_ig_i_a_pos_a2_029'</v>
      </c>
      <c r="W80" s="73" t="s">
        <v>3060</v>
      </c>
    </row>
    <row r="81" spans="1:23" ht="15.75" thickBot="1" x14ac:dyDescent="0.3">
      <c r="A81" s="69">
        <v>79</v>
      </c>
      <c r="B81" s="69">
        <v>15</v>
      </c>
      <c r="C81" s="69">
        <f>HEX2DEC(B81+Items!$A$2)</f>
        <v>16777237</v>
      </c>
      <c r="D81" s="65" t="s">
        <v>2426</v>
      </c>
      <c r="E81" s="71">
        <v>116</v>
      </c>
      <c r="F81" s="72" t="s">
        <v>2384</v>
      </c>
      <c r="G81" s="69">
        <v>17</v>
      </c>
      <c r="H81" s="69">
        <v>0</v>
      </c>
      <c r="I81" s="69">
        <v>1</v>
      </c>
      <c r="J81" s="69">
        <v>0</v>
      </c>
      <c r="K81" s="69">
        <v>0</v>
      </c>
      <c r="L81" s="66" t="s">
        <v>2597</v>
      </c>
      <c r="M81" s="65" t="str">
        <f t="shared" si="4"/>
        <v>b_gui_ig_i_a_pos_a3_006</v>
      </c>
      <c r="N81" s="70" t="s">
        <v>2509</v>
      </c>
      <c r="O81" s="69" t="s">
        <v>2782</v>
      </c>
      <c r="P81" s="69">
        <v>2</v>
      </c>
      <c r="Q81" s="69">
        <v>3</v>
      </c>
      <c r="R81" s="69">
        <v>2</v>
      </c>
      <c r="S81" s="69">
        <v>9</v>
      </c>
      <c r="T81" s="73" t="str">
        <f t="shared" si="6"/>
        <v>DA_bd_ch_r_g_c_avg_c_fin</v>
      </c>
      <c r="U81" s="73" t="str">
        <f t="shared" si="7"/>
        <v>/Game/DungeonSiege/Items/Armor/Body/DA_bd_ch_r_g_c_avg_c_fin</v>
      </c>
      <c r="V81" s="73" t="str">
        <f t="shared" si="5"/>
        <v>Texture2D'/Game/DungeonSiege/art/bitmaps/gui/in_game/inventory/armor/body_armor/b_gui_ig_i_a_pos_a3_006.b_gui_ig_i_a_pos_a3_006'</v>
      </c>
      <c r="W81" s="73" t="s">
        <v>3060</v>
      </c>
    </row>
    <row r="82" spans="1:23" ht="15.75" thickBot="1" x14ac:dyDescent="0.3">
      <c r="A82" s="69">
        <v>80</v>
      </c>
      <c r="B82" s="69">
        <v>16</v>
      </c>
      <c r="C82" s="69">
        <f>HEX2DEC(B82+Items!$A$2)</f>
        <v>16777238</v>
      </c>
      <c r="D82" s="65" t="s">
        <v>2426</v>
      </c>
      <c r="E82" s="71">
        <v>274</v>
      </c>
      <c r="F82" s="72" t="s">
        <v>2384</v>
      </c>
      <c r="G82" s="69">
        <v>27</v>
      </c>
      <c r="H82" s="69">
        <v>0</v>
      </c>
      <c r="I82" s="69">
        <v>1</v>
      </c>
      <c r="J82" s="69">
        <v>0</v>
      </c>
      <c r="K82" s="69">
        <v>0</v>
      </c>
      <c r="L82" s="66" t="s">
        <v>2598</v>
      </c>
      <c r="M82" s="65" t="str">
        <f t="shared" si="4"/>
        <v>b_gui_ig_i_a_pos_a2_030</v>
      </c>
      <c r="N82" s="70" t="s">
        <v>2792</v>
      </c>
      <c r="O82" s="69" t="s">
        <v>2781</v>
      </c>
      <c r="P82" s="69">
        <v>2</v>
      </c>
      <c r="Q82" s="69">
        <v>2</v>
      </c>
      <c r="R82" s="69">
        <v>27</v>
      </c>
      <c r="S82" s="69">
        <v>38</v>
      </c>
      <c r="T82" s="73" t="str">
        <f t="shared" si="6"/>
        <v>DA_bd_ch_r_g_c_avg_c_mag</v>
      </c>
      <c r="U82" s="73" t="str">
        <f t="shared" si="7"/>
        <v>/Game/DungeonSiege/Items/Armor/Body/DA_bd_ch_r_g_c_avg_c_mag</v>
      </c>
      <c r="V82" s="73" t="str">
        <f t="shared" si="5"/>
        <v>Texture2D'/Game/DungeonSiege/art/bitmaps/gui/in_game/inventory/armor/body_armor/b_gui_ig_i_a_pos_a2_030.b_gui_ig_i_a_pos_a2_030'</v>
      </c>
      <c r="W82" s="73" t="s">
        <v>3060</v>
      </c>
    </row>
    <row r="83" spans="1:23" ht="15.75" thickBot="1" x14ac:dyDescent="0.3">
      <c r="A83" s="69">
        <v>81</v>
      </c>
      <c r="B83" s="69">
        <v>17</v>
      </c>
      <c r="C83" s="69">
        <f>HEX2DEC(B83+Items!$A$2)</f>
        <v>16777239</v>
      </c>
      <c r="D83" s="65" t="s">
        <v>2426</v>
      </c>
      <c r="E83" s="71">
        <v>197</v>
      </c>
      <c r="F83" s="72" t="s">
        <v>2384</v>
      </c>
      <c r="G83" s="69">
        <v>22</v>
      </c>
      <c r="H83" s="69">
        <v>0</v>
      </c>
      <c r="I83" s="69">
        <v>1</v>
      </c>
      <c r="J83" s="69">
        <v>0</v>
      </c>
      <c r="K83" s="69">
        <v>0</v>
      </c>
      <c r="L83" s="66" t="s">
        <v>2599</v>
      </c>
      <c r="M83" s="65" t="str">
        <f t="shared" si="4"/>
        <v>b_gui_ig_i_a_pos_a3_029</v>
      </c>
      <c r="N83" s="70" t="s">
        <v>2791</v>
      </c>
      <c r="O83" s="69" t="s">
        <v>2782</v>
      </c>
      <c r="P83" s="69">
        <v>2</v>
      </c>
      <c r="Q83" s="69">
        <v>2</v>
      </c>
      <c r="R83" s="69">
        <v>15</v>
      </c>
      <c r="S83" s="69">
        <v>27</v>
      </c>
      <c r="T83" s="73" t="str">
        <f t="shared" si="6"/>
        <v>DA_bd_ch_r_g_c_avg_c_str</v>
      </c>
      <c r="U83" s="73" t="str">
        <f t="shared" si="7"/>
        <v>/Game/DungeonSiege/Items/Armor/Body/DA_bd_ch_r_g_c_avg_c_str</v>
      </c>
      <c r="V83" s="73" t="str">
        <f t="shared" si="5"/>
        <v>Texture2D'/Game/DungeonSiege/art/bitmaps/gui/in_game/inventory/armor/body_armor/b_gui_ig_i_a_pos_a3_029.b_gui_ig_i_a_pos_a3_029'</v>
      </c>
      <c r="W83" s="73" t="s">
        <v>3060</v>
      </c>
    </row>
    <row r="84" spans="1:23" ht="15.75" thickBot="1" x14ac:dyDescent="0.3">
      <c r="A84" s="69">
        <v>82</v>
      </c>
      <c r="B84" s="69">
        <v>18</v>
      </c>
      <c r="C84" s="69">
        <f>HEX2DEC(B84+Items!$A$2)</f>
        <v>16777240</v>
      </c>
      <c r="D84" s="65" t="s">
        <v>2426</v>
      </c>
      <c r="E84" s="71">
        <v>140</v>
      </c>
      <c r="F84" s="72" t="s">
        <v>2384</v>
      </c>
      <c r="G84" s="69">
        <v>18</v>
      </c>
      <c r="H84" s="69">
        <v>0</v>
      </c>
      <c r="I84" s="69">
        <v>1</v>
      </c>
      <c r="J84" s="69">
        <v>1</v>
      </c>
      <c r="K84" s="69">
        <v>1</v>
      </c>
      <c r="L84" s="66" t="s">
        <v>2600</v>
      </c>
      <c r="M84" s="65" t="str">
        <f t="shared" si="4"/>
        <v>b_gui_ig_i_a_pos_a2_014</v>
      </c>
      <c r="N84" s="70" t="s">
        <v>2516</v>
      </c>
      <c r="O84" s="69" t="s">
        <v>2781</v>
      </c>
      <c r="P84" s="69">
        <v>2</v>
      </c>
      <c r="Q84" s="69">
        <v>2</v>
      </c>
      <c r="R84" s="69">
        <v>6</v>
      </c>
      <c r="S84" s="69">
        <v>14</v>
      </c>
      <c r="T84" s="73" t="str">
        <f t="shared" si="6"/>
        <v>DA_bd_ch_r_g_c_avg_o_avg</v>
      </c>
      <c r="U84" s="73" t="str">
        <f t="shared" si="7"/>
        <v>/Game/DungeonSiege/Items/Armor/Body/DA_bd_ch_r_g_c_avg_o_avg</v>
      </c>
      <c r="V84" s="73" t="str">
        <f t="shared" si="5"/>
        <v>Texture2D'/Game/DungeonSiege/art/bitmaps/gui/in_game/inventory/armor/body_armor/b_gui_ig_i_a_pos_a2_014.b_gui_ig_i_a_pos_a2_014'</v>
      </c>
      <c r="W84" s="73" t="s">
        <v>3060</v>
      </c>
    </row>
    <row r="85" spans="1:23" ht="15.75" thickBot="1" x14ac:dyDescent="0.3">
      <c r="A85" s="69">
        <v>83</v>
      </c>
      <c r="B85" s="69">
        <v>19</v>
      </c>
      <c r="C85" s="69">
        <f>HEX2DEC(B85+Items!$A$2)</f>
        <v>16777241</v>
      </c>
      <c r="D85" s="65" t="s">
        <v>2426</v>
      </c>
      <c r="E85" s="71">
        <v>167</v>
      </c>
      <c r="F85" s="72" t="s">
        <v>2384</v>
      </c>
      <c r="G85" s="69">
        <v>20</v>
      </c>
      <c r="H85" s="69">
        <v>0</v>
      </c>
      <c r="I85" s="69">
        <v>1</v>
      </c>
      <c r="J85" s="69">
        <v>1</v>
      </c>
      <c r="K85" s="69">
        <v>1</v>
      </c>
      <c r="L85" s="66" t="s">
        <v>2601</v>
      </c>
      <c r="M85" s="65" t="str">
        <f t="shared" si="4"/>
        <v>b_gui_ig_i_a_pos_a2_031</v>
      </c>
      <c r="N85" s="70" t="s">
        <v>2793</v>
      </c>
      <c r="O85" s="69" t="s">
        <v>2781</v>
      </c>
      <c r="P85" s="69">
        <v>2</v>
      </c>
      <c r="Q85" s="69">
        <v>2</v>
      </c>
      <c r="R85" s="69">
        <v>10</v>
      </c>
      <c r="S85" s="69">
        <v>21</v>
      </c>
      <c r="T85" s="73" t="str">
        <f t="shared" si="6"/>
        <v>DA_bd_ch_r_g_c_avg_o_fin</v>
      </c>
      <c r="U85" s="73" t="str">
        <f t="shared" si="7"/>
        <v>/Game/DungeonSiege/Items/Armor/Body/DA_bd_ch_r_g_c_avg_o_fin</v>
      </c>
      <c r="V85" s="73" t="str">
        <f t="shared" si="5"/>
        <v>Texture2D'/Game/DungeonSiege/art/bitmaps/gui/in_game/inventory/armor/body_armor/b_gui_ig_i_a_pos_a2_031.b_gui_ig_i_a_pos_a2_031'</v>
      </c>
      <c r="W85" s="73" t="s">
        <v>3060</v>
      </c>
    </row>
    <row r="86" spans="1:23" ht="15.75" thickBot="1" x14ac:dyDescent="0.3">
      <c r="A86" s="69">
        <v>84</v>
      </c>
      <c r="B86" s="69">
        <v>20</v>
      </c>
      <c r="C86" s="69">
        <f>HEX2DEC(B86+Items!$A$2)</f>
        <v>16777248</v>
      </c>
      <c r="D86" s="65" t="s">
        <v>2426</v>
      </c>
      <c r="E86" s="71">
        <v>319</v>
      </c>
      <c r="F86" s="72" t="s">
        <v>2384</v>
      </c>
      <c r="G86" s="69">
        <v>29</v>
      </c>
      <c r="H86" s="69">
        <v>0</v>
      </c>
      <c r="I86" s="69">
        <v>1</v>
      </c>
      <c r="J86" s="69">
        <v>1</v>
      </c>
      <c r="K86" s="69">
        <v>1</v>
      </c>
      <c r="L86" s="66" t="s">
        <v>2602</v>
      </c>
      <c r="M86" s="65" t="str">
        <f t="shared" si="4"/>
        <v>b_gui_ig_i_a_pos_a2_032</v>
      </c>
      <c r="N86" s="70" t="s">
        <v>2806</v>
      </c>
      <c r="O86" s="69" t="s">
        <v>2781</v>
      </c>
      <c r="P86" s="69">
        <v>2</v>
      </c>
      <c r="Q86" s="69">
        <v>2</v>
      </c>
      <c r="R86" s="69">
        <v>33</v>
      </c>
      <c r="S86" s="69">
        <v>46</v>
      </c>
      <c r="T86" s="73" t="str">
        <f t="shared" si="6"/>
        <v>DA_bd_ch_r_g_c_avg_o_mag</v>
      </c>
      <c r="U86" s="73" t="str">
        <f t="shared" si="7"/>
        <v>/Game/DungeonSiege/Items/Armor/Body/DA_bd_ch_r_g_c_avg_o_mag</v>
      </c>
      <c r="V86" s="73" t="str">
        <f t="shared" si="5"/>
        <v>Texture2D'/Game/DungeonSiege/art/bitmaps/gui/in_game/inventory/armor/body_armor/b_gui_ig_i_a_pos_a2_032.b_gui_ig_i_a_pos_a2_032'</v>
      </c>
      <c r="W86" s="73" t="s">
        <v>3060</v>
      </c>
    </row>
    <row r="87" spans="1:23" ht="15.75" thickBot="1" x14ac:dyDescent="0.3">
      <c r="A87" s="69">
        <v>85</v>
      </c>
      <c r="B87" s="69">
        <v>21</v>
      </c>
      <c r="C87" s="69">
        <f>HEX2DEC(B87+Items!$A$2)</f>
        <v>16777249</v>
      </c>
      <c r="D87" s="65" t="s">
        <v>2426</v>
      </c>
      <c r="E87" s="71">
        <v>234</v>
      </c>
      <c r="F87" s="72" t="s">
        <v>2384</v>
      </c>
      <c r="G87" s="69">
        <v>24</v>
      </c>
      <c r="H87" s="69">
        <v>0</v>
      </c>
      <c r="I87" s="69">
        <v>1</v>
      </c>
      <c r="J87" s="69">
        <v>1</v>
      </c>
      <c r="K87" s="69">
        <v>1</v>
      </c>
      <c r="L87" s="66" t="s">
        <v>2603</v>
      </c>
      <c r="M87" s="65" t="str">
        <f t="shared" si="4"/>
        <v>b_gui_ig_i_a_pos_a3_030</v>
      </c>
      <c r="N87" s="70" t="s">
        <v>2792</v>
      </c>
      <c r="O87" s="69" t="s">
        <v>2782</v>
      </c>
      <c r="P87" s="69">
        <v>2</v>
      </c>
      <c r="Q87" s="69">
        <v>2</v>
      </c>
      <c r="R87" s="69">
        <v>22</v>
      </c>
      <c r="S87" s="69">
        <v>33</v>
      </c>
      <c r="T87" s="73" t="str">
        <f t="shared" si="6"/>
        <v>DA_bd_ch_r_g_c_avg_o_str</v>
      </c>
      <c r="U87" s="73" t="str">
        <f t="shared" si="7"/>
        <v>/Game/DungeonSiege/Items/Armor/Body/DA_bd_ch_r_g_c_avg_o_str</v>
      </c>
      <c r="V87" s="73" t="str">
        <f t="shared" si="5"/>
        <v>Texture2D'/Game/DungeonSiege/art/bitmaps/gui/in_game/inventory/armor/body_armor/b_gui_ig_i_a_pos_a3_030.b_gui_ig_i_a_pos_a3_030'</v>
      </c>
      <c r="W87" s="73" t="s">
        <v>3060</v>
      </c>
    </row>
    <row r="88" spans="1:23" ht="15.75" thickBot="1" x14ac:dyDescent="0.3">
      <c r="A88" s="69">
        <v>86</v>
      </c>
      <c r="B88" s="69">
        <v>22</v>
      </c>
      <c r="C88" s="69">
        <f>HEX2DEC(B88+Items!$A$2)</f>
        <v>16777250</v>
      </c>
      <c r="D88" s="65" t="s">
        <v>2427</v>
      </c>
      <c r="E88" s="71">
        <v>84</v>
      </c>
      <c r="F88" s="72" t="s">
        <v>2384</v>
      </c>
      <c r="G88" s="69">
        <v>15</v>
      </c>
      <c r="H88" s="69">
        <v>1</v>
      </c>
      <c r="I88" s="69">
        <v>0</v>
      </c>
      <c r="J88" s="69">
        <v>0</v>
      </c>
      <c r="K88" s="69">
        <v>0</v>
      </c>
      <c r="L88" s="66" t="s">
        <v>2604</v>
      </c>
      <c r="M88" s="65" t="str">
        <f t="shared" si="4"/>
        <v>b_gui_ig_i_a_pos_a2_017</v>
      </c>
      <c r="N88" s="70" t="s">
        <v>2794</v>
      </c>
      <c r="O88" s="69" t="s">
        <v>2781</v>
      </c>
      <c r="P88" s="69">
        <v>2</v>
      </c>
      <c r="Q88" s="69">
        <v>2</v>
      </c>
      <c r="R88" s="69"/>
      <c r="S88" s="69"/>
      <c r="T88" s="73" t="str">
        <f t="shared" si="6"/>
        <v>DA_bd_ch_r_g_c_fun</v>
      </c>
      <c r="U88" s="73" t="str">
        <f t="shared" si="7"/>
        <v>/Game/DungeonSiege/Items/Armor/Body/DA_bd_ch_r_g_c_fun</v>
      </c>
      <c r="V88" s="73" t="str">
        <f t="shared" si="5"/>
        <v>Texture2D'/Game/DungeonSiege/art/bitmaps/gui/in_game/inventory/armor/body_armor/b_gui_ig_i_a_pos_a2_017.b_gui_ig_i_a_pos_a2_017'</v>
      </c>
      <c r="W88" s="73" t="s">
        <v>3060</v>
      </c>
    </row>
    <row r="89" spans="1:23" ht="15.75" thickBot="1" x14ac:dyDescent="0.3">
      <c r="A89" s="69">
        <v>87</v>
      </c>
      <c r="B89" s="69">
        <v>23</v>
      </c>
      <c r="C89" s="69">
        <f>HEX2DEC(B89+Items!$A$2)</f>
        <v>16777251</v>
      </c>
      <c r="D89" s="65" t="s">
        <v>2428</v>
      </c>
      <c r="E89" s="71">
        <v>97</v>
      </c>
      <c r="F89" s="72" t="s">
        <v>2384</v>
      </c>
      <c r="G89" s="69">
        <v>12</v>
      </c>
      <c r="H89" s="69">
        <v>0</v>
      </c>
      <c r="I89" s="69">
        <v>0</v>
      </c>
      <c r="J89" s="69">
        <v>1</v>
      </c>
      <c r="K89" s="69">
        <v>0</v>
      </c>
      <c r="L89" s="66" t="s">
        <v>2605</v>
      </c>
      <c r="M89" s="65" t="s">
        <v>2840</v>
      </c>
      <c r="N89" s="70" t="s">
        <v>2800</v>
      </c>
      <c r="O89" s="69" t="s">
        <v>2781</v>
      </c>
      <c r="P89" s="69">
        <v>2</v>
      </c>
      <c r="Q89" s="69">
        <v>2</v>
      </c>
      <c r="R89" s="69">
        <v>2</v>
      </c>
      <c r="S89" s="69">
        <v>11</v>
      </c>
      <c r="T89" s="73" t="str">
        <f t="shared" si="6"/>
        <v>DA_bd_ra_ch_m_g_c_fin</v>
      </c>
      <c r="U89" s="73" t="str">
        <f t="shared" si="7"/>
        <v>/Game/DungeonSiege/Items/Armor/Body/DA_bd_ra_ch_m_g_c_fin</v>
      </c>
      <c r="V89" s="73" t="str">
        <f t="shared" si="5"/>
        <v>Texture2D'/Game/DungeonSiege/art/bitmaps/gui/in_game/inventory/armor/body_armor/b_gui_ig_i_a_pos_a2_064.b_gui_ig_i_a_pos_a2_064'</v>
      </c>
      <c r="W89" s="73" t="s">
        <v>3060</v>
      </c>
    </row>
    <row r="90" spans="1:23" ht="15.75" thickBot="1" x14ac:dyDescent="0.3">
      <c r="A90" s="69">
        <v>88</v>
      </c>
      <c r="B90" s="69">
        <v>24</v>
      </c>
      <c r="C90" s="69">
        <f>HEX2DEC(B90+Items!$A$2)</f>
        <v>16777252</v>
      </c>
      <c r="D90" s="65" t="s">
        <v>2428</v>
      </c>
      <c r="E90" s="71">
        <v>111</v>
      </c>
      <c r="F90" s="72" t="s">
        <v>2384</v>
      </c>
      <c r="G90" s="69">
        <v>13</v>
      </c>
      <c r="H90" s="69">
        <v>0</v>
      </c>
      <c r="I90" s="69">
        <v>0</v>
      </c>
      <c r="J90" s="69">
        <v>1</v>
      </c>
      <c r="K90" s="69">
        <v>0</v>
      </c>
      <c r="L90" s="66" t="s">
        <v>2606</v>
      </c>
      <c r="M90" s="65" t="s">
        <v>2841</v>
      </c>
      <c r="N90" s="70" t="s">
        <v>2802</v>
      </c>
      <c r="O90" s="69" t="s">
        <v>2781</v>
      </c>
      <c r="P90" s="69">
        <v>2</v>
      </c>
      <c r="Q90" s="69">
        <v>2</v>
      </c>
      <c r="R90" s="69">
        <v>8</v>
      </c>
      <c r="S90" s="69">
        <v>49</v>
      </c>
      <c r="T90" s="73" t="str">
        <f t="shared" si="6"/>
        <v>DA_bd_ra_ch_m_g_c_fin_o_avg</v>
      </c>
      <c r="U90" s="73" t="str">
        <f t="shared" si="7"/>
        <v>/Game/DungeonSiege/Items/Armor/Body/DA_bd_ra_ch_m_g_c_fin_o_avg</v>
      </c>
      <c r="V90" s="73" t="str">
        <f t="shared" si="5"/>
        <v>Texture2D'/Game/DungeonSiege/art/bitmaps/gui/in_game/inventory/armor/body_armor/b_gui_ig_i_a_pos_a2_065.b_gui_ig_i_a_pos_a2_065'</v>
      </c>
      <c r="W90" s="73" t="s">
        <v>3060</v>
      </c>
    </row>
    <row r="91" spans="1:23" ht="15.75" thickBot="1" x14ac:dyDescent="0.3">
      <c r="A91" s="69">
        <v>89</v>
      </c>
      <c r="B91" s="69">
        <v>25</v>
      </c>
      <c r="C91" s="69">
        <f>HEX2DEC(B91+Items!$A$2)</f>
        <v>16777253</v>
      </c>
      <c r="D91" s="65" t="s">
        <v>2428</v>
      </c>
      <c r="E91" s="71">
        <v>131</v>
      </c>
      <c r="F91" s="72" t="s">
        <v>2384</v>
      </c>
      <c r="G91" s="69">
        <v>14</v>
      </c>
      <c r="H91" s="69">
        <v>0</v>
      </c>
      <c r="I91" s="69">
        <v>0</v>
      </c>
      <c r="J91" s="69">
        <v>1</v>
      </c>
      <c r="K91" s="69">
        <v>0</v>
      </c>
      <c r="L91" s="66" t="s">
        <v>2607</v>
      </c>
      <c r="M91" s="65" t="s">
        <v>2842</v>
      </c>
      <c r="N91" s="70" t="s">
        <v>2803</v>
      </c>
      <c r="O91" s="69" t="s">
        <v>2781</v>
      </c>
      <c r="P91" s="69">
        <v>2</v>
      </c>
      <c r="Q91" s="69">
        <v>2</v>
      </c>
      <c r="R91" s="69">
        <v>13</v>
      </c>
      <c r="S91" s="69">
        <v>70</v>
      </c>
      <c r="T91" s="73" t="str">
        <f t="shared" si="6"/>
        <v>DA_bd_ra_ch_m_g_c_fin_o_fin</v>
      </c>
      <c r="U91" s="73" t="str">
        <f t="shared" si="7"/>
        <v>/Game/DungeonSiege/Items/Armor/Body/DA_bd_ra_ch_m_g_c_fin_o_fin</v>
      </c>
      <c r="V91" s="73" t="str">
        <f t="shared" si="5"/>
        <v>Texture2D'/Game/DungeonSiege/art/bitmaps/gui/in_game/inventory/armor/body_armor/b_gui_ig_i_a_pos_a2_066.b_gui_ig_i_a_pos_a2_066'</v>
      </c>
      <c r="W91" s="73" t="s">
        <v>3060</v>
      </c>
    </row>
    <row r="92" spans="1:23" ht="15.75" thickBot="1" x14ac:dyDescent="0.3">
      <c r="A92" s="69">
        <v>90</v>
      </c>
      <c r="B92" s="69">
        <v>26</v>
      </c>
      <c r="C92" s="69">
        <f>HEX2DEC(B92+Items!$A$2)</f>
        <v>16777254</v>
      </c>
      <c r="D92" s="65" t="s">
        <v>2429</v>
      </c>
      <c r="E92" s="71">
        <v>173</v>
      </c>
      <c r="F92" s="72" t="s">
        <v>2384</v>
      </c>
      <c r="G92" s="69">
        <v>20</v>
      </c>
      <c r="H92" s="69">
        <v>0</v>
      </c>
      <c r="I92" s="69">
        <v>0</v>
      </c>
      <c r="J92" s="69">
        <v>1</v>
      </c>
      <c r="K92" s="69">
        <v>1</v>
      </c>
      <c r="L92" s="66" t="s">
        <v>2608</v>
      </c>
      <c r="M92" s="65" t="s">
        <v>2843</v>
      </c>
      <c r="N92" s="70" t="s">
        <v>2793</v>
      </c>
      <c r="O92" s="69" t="s">
        <v>2781</v>
      </c>
      <c r="P92" s="69">
        <v>2</v>
      </c>
      <c r="Q92" s="69">
        <v>2</v>
      </c>
      <c r="R92" s="69">
        <v>10</v>
      </c>
      <c r="S92" s="69">
        <v>48</v>
      </c>
      <c r="T92" s="73" t="str">
        <f t="shared" si="6"/>
        <v>DA_bd_ra_ch_r_g_o_fin</v>
      </c>
      <c r="U92" s="73" t="str">
        <f t="shared" si="7"/>
        <v>/Game/DungeonSiege/Items/Armor/Body/DA_bd_ra_ch_r_g_o_fin</v>
      </c>
      <c r="V92" s="73" t="str">
        <f t="shared" si="5"/>
        <v>Texture2D'/Game/DungeonSiege/art/bitmaps/gui/in_game/inventory/armor/body_armor/b_gui_ig_i_a_pos_a2_062.b_gui_ig_i_a_pos_a2_062'</v>
      </c>
      <c r="W92" s="73" t="s">
        <v>3060</v>
      </c>
    </row>
    <row r="93" spans="1:23" ht="15.75" thickBot="1" x14ac:dyDescent="0.3">
      <c r="A93" s="69">
        <v>91</v>
      </c>
      <c r="B93" s="69">
        <v>27</v>
      </c>
      <c r="C93" s="69">
        <f>HEX2DEC(B93+Items!$A$2)</f>
        <v>16777255</v>
      </c>
      <c r="D93" s="65" t="s">
        <v>2429</v>
      </c>
      <c r="E93" s="71">
        <v>205</v>
      </c>
      <c r="F93" s="72" t="s">
        <v>2384</v>
      </c>
      <c r="G93" s="69">
        <v>22</v>
      </c>
      <c r="H93" s="69">
        <v>0</v>
      </c>
      <c r="I93" s="69">
        <v>0</v>
      </c>
      <c r="J93" s="69">
        <v>1</v>
      </c>
      <c r="K93" s="69">
        <v>1</v>
      </c>
      <c r="L93" s="66" t="s">
        <v>2609</v>
      </c>
      <c r="M93" s="65" t="s">
        <v>2844</v>
      </c>
      <c r="N93" s="70" t="s">
        <v>2791</v>
      </c>
      <c r="O93" s="69" t="s">
        <v>2782</v>
      </c>
      <c r="P93" s="69">
        <v>2</v>
      </c>
      <c r="Q93" s="69">
        <v>2</v>
      </c>
      <c r="R93" s="69">
        <v>15</v>
      </c>
      <c r="S93" s="69">
        <v>62</v>
      </c>
      <c r="T93" s="73" t="str">
        <f t="shared" si="6"/>
        <v>DA_bd_ra_ch_r_g_o_fin_c_str</v>
      </c>
      <c r="U93" s="73" t="str">
        <f t="shared" si="7"/>
        <v>/Game/DungeonSiege/Items/Armor/Body/DA_bd_ra_ch_r_g_o_fin_c_str</v>
      </c>
      <c r="V93" s="73" t="str">
        <f t="shared" si="5"/>
        <v>Texture2D'/Game/DungeonSiege/art/bitmaps/gui/in_game/inventory/armor/body_armor/b_gui_ig_i_a_pos_a3_044.b_gui_ig_i_a_pos_a3_044'</v>
      </c>
      <c r="W93" s="73" t="s">
        <v>3060</v>
      </c>
    </row>
    <row r="94" spans="1:23" ht="15.75" thickBot="1" x14ac:dyDescent="0.3">
      <c r="A94" s="69">
        <v>92</v>
      </c>
      <c r="B94" s="69">
        <v>28</v>
      </c>
      <c r="C94" s="69">
        <f>HEX2DEC(B94+Items!$A$2)</f>
        <v>16777256</v>
      </c>
      <c r="D94" s="65" t="s">
        <v>2429</v>
      </c>
      <c r="E94" s="71">
        <v>327</v>
      </c>
      <c r="F94" s="72" t="s">
        <v>2384</v>
      </c>
      <c r="G94" s="69">
        <v>29</v>
      </c>
      <c r="H94" s="69">
        <v>0</v>
      </c>
      <c r="I94" s="69">
        <v>0</v>
      </c>
      <c r="J94" s="69">
        <v>1</v>
      </c>
      <c r="K94" s="69">
        <v>1</v>
      </c>
      <c r="L94" s="66" t="s">
        <v>2610</v>
      </c>
      <c r="M94" s="65" t="s">
        <v>2845</v>
      </c>
      <c r="N94" s="70" t="s">
        <v>2806</v>
      </c>
      <c r="O94" s="69" t="s">
        <v>2781</v>
      </c>
      <c r="P94" s="69">
        <v>2</v>
      </c>
      <c r="Q94" s="69">
        <v>2</v>
      </c>
      <c r="R94" s="69">
        <v>34</v>
      </c>
      <c r="S94" s="69">
        <v>106</v>
      </c>
      <c r="T94" s="73" t="str">
        <f t="shared" si="6"/>
        <v>DA_bd_ra_ch_r_g_o_fin_o_mag</v>
      </c>
      <c r="U94" s="73" t="str">
        <f t="shared" si="7"/>
        <v>/Game/DungeonSiege/Items/Armor/Body/DA_bd_ra_ch_r_g_o_fin_o_mag</v>
      </c>
      <c r="V94" s="73" t="str">
        <f t="shared" si="5"/>
        <v>Texture2D'/Game/DungeonSiege/art/bitmaps/gui/in_game/inventory/armor/body_armor/b_gui_ig_i_a_pos_a2_063.b_gui_ig_i_a_pos_a2_063'</v>
      </c>
      <c r="W94" s="73" t="s">
        <v>3060</v>
      </c>
    </row>
    <row r="95" spans="1:23" ht="15.75" thickBot="1" x14ac:dyDescent="0.3">
      <c r="A95" s="69">
        <v>93</v>
      </c>
      <c r="B95" s="69">
        <v>29</v>
      </c>
      <c r="C95" s="69">
        <f>HEX2DEC(B95+Items!$A$2)</f>
        <v>16777257</v>
      </c>
      <c r="D95" s="65" t="s">
        <v>2430</v>
      </c>
      <c r="E95" s="71">
        <v>366</v>
      </c>
      <c r="F95" s="72" t="s">
        <v>2384</v>
      </c>
      <c r="G95" s="69">
        <v>46</v>
      </c>
      <c r="H95" s="69">
        <v>0</v>
      </c>
      <c r="I95" s="69">
        <v>0</v>
      </c>
      <c r="J95" s="69">
        <v>1</v>
      </c>
      <c r="K95" s="69">
        <v>1</v>
      </c>
      <c r="L95" s="66" t="s">
        <v>2611</v>
      </c>
      <c r="M95" s="65" t="s">
        <v>2846</v>
      </c>
      <c r="N95" s="70" t="s">
        <v>2511</v>
      </c>
      <c r="O95" s="69" t="s">
        <v>2799</v>
      </c>
      <c r="P95" s="69">
        <v>2</v>
      </c>
      <c r="Q95" s="69">
        <v>3</v>
      </c>
      <c r="R95" s="69">
        <v>19</v>
      </c>
      <c r="S95" s="69">
        <v>33</v>
      </c>
      <c r="T95" s="73" t="str">
        <f t="shared" si="6"/>
        <v>DA_bd_ra_sc_f_g_o_mag</v>
      </c>
      <c r="U95" s="73" t="str">
        <f t="shared" si="7"/>
        <v>/Game/DungeonSiege/Items/Armor/Body/DA_bd_ra_sc_f_g_o_mag</v>
      </c>
      <c r="V95" s="73" t="str">
        <f t="shared" si="5"/>
        <v>Texture2D'/Game/DungeonSiege/art/bitmaps/gui/in_game/inventory/armor/body_armor/b_gui_ig_i_a_pos_a4_013.b_gui_ig_i_a_pos_a4_013'</v>
      </c>
      <c r="W95" s="73" t="s">
        <v>3060</v>
      </c>
    </row>
    <row r="96" spans="1:23" ht="15.75" thickBot="1" x14ac:dyDescent="0.3">
      <c r="A96" s="69">
        <v>94</v>
      </c>
      <c r="B96" s="69">
        <v>30</v>
      </c>
      <c r="C96" s="69">
        <f>HEX2DEC(B96+Items!$A$2)</f>
        <v>16777264</v>
      </c>
      <c r="D96" s="65" t="s">
        <v>2431</v>
      </c>
      <c r="E96" s="71">
        <v>72</v>
      </c>
      <c r="F96" s="72" t="s">
        <v>2384</v>
      </c>
      <c r="G96" s="69">
        <v>12</v>
      </c>
      <c r="H96" s="69">
        <v>0</v>
      </c>
      <c r="I96" s="69">
        <v>0</v>
      </c>
      <c r="J96" s="69">
        <v>1</v>
      </c>
      <c r="K96" s="69">
        <v>1</v>
      </c>
      <c r="L96" s="66" t="s">
        <v>2612</v>
      </c>
      <c r="M96" s="65" t="s">
        <v>2847</v>
      </c>
      <c r="N96" s="70" t="s">
        <v>2790</v>
      </c>
      <c r="O96" s="69" t="s">
        <v>2781</v>
      </c>
      <c r="P96" s="69">
        <v>2</v>
      </c>
      <c r="Q96" s="69">
        <v>2</v>
      </c>
      <c r="R96" s="69">
        <v>1</v>
      </c>
      <c r="S96" s="69">
        <v>32</v>
      </c>
      <c r="T96" s="73" t="str">
        <f t="shared" si="6"/>
        <v>DA_bd_ra_sc_m_g_c_fin</v>
      </c>
      <c r="U96" s="73" t="str">
        <f t="shared" si="7"/>
        <v>/Game/DungeonSiege/Items/Armor/Body/DA_bd_ra_sc_m_g_c_fin</v>
      </c>
      <c r="V96" s="73" t="str">
        <f t="shared" si="5"/>
        <v>Texture2D'/Game/DungeonSiege/art/bitmaps/gui/in_game/inventory/armor/body_armor/b_gui_ig_i_a_pos_a2_061.b_gui_ig_i_a_pos_a2_061'</v>
      </c>
      <c r="W96" s="73" t="s">
        <v>3060</v>
      </c>
    </row>
    <row r="97" spans="1:23" ht="15.75" thickBot="1" x14ac:dyDescent="0.3">
      <c r="A97" s="69">
        <v>95</v>
      </c>
      <c r="B97" s="69">
        <v>31</v>
      </c>
      <c r="C97" s="69">
        <f>HEX2DEC(B97+Items!$A$2)</f>
        <v>16777265</v>
      </c>
      <c r="D97" s="65" t="s">
        <v>2431</v>
      </c>
      <c r="E97" s="71">
        <v>159</v>
      </c>
      <c r="F97" s="72" t="s">
        <v>2384</v>
      </c>
      <c r="G97" s="69">
        <v>14</v>
      </c>
      <c r="H97" s="69">
        <v>0</v>
      </c>
      <c r="I97" s="69">
        <v>0</v>
      </c>
      <c r="J97" s="69">
        <v>1</v>
      </c>
      <c r="K97" s="69">
        <v>1</v>
      </c>
      <c r="L97" s="66" t="s">
        <v>2613</v>
      </c>
      <c r="M97" s="65" t="s">
        <v>2848</v>
      </c>
      <c r="N97" s="70" t="s">
        <v>2795</v>
      </c>
      <c r="O97" s="69" t="s">
        <v>2799</v>
      </c>
      <c r="P97" s="69">
        <v>2</v>
      </c>
      <c r="Q97" s="69">
        <v>3</v>
      </c>
      <c r="R97" s="69">
        <v>29</v>
      </c>
      <c r="S97" s="69">
        <v>106</v>
      </c>
      <c r="T97" s="73" t="str">
        <f t="shared" si="6"/>
        <v>DA_bd_ra_sc_m_g_c_fin_c_mag</v>
      </c>
      <c r="U97" s="73" t="str">
        <f t="shared" si="7"/>
        <v>/Game/DungeonSiege/Items/Armor/Body/DA_bd_ra_sc_m_g_c_fin_c_mag</v>
      </c>
      <c r="V97" s="73" t="str">
        <f t="shared" si="5"/>
        <v>Texture2D'/Game/DungeonSiege/art/bitmaps/gui/in_game/inventory/armor/body_armor/b_gui_ig_i_a_pos_a4_012.b_gui_ig_i_a_pos_a4_012'</v>
      </c>
      <c r="W97" s="73" t="s">
        <v>3060</v>
      </c>
    </row>
    <row r="98" spans="1:23" ht="15.75" thickBot="1" x14ac:dyDescent="0.3">
      <c r="A98" s="69">
        <v>96</v>
      </c>
      <c r="B98" s="69">
        <v>32</v>
      </c>
      <c r="C98" s="69">
        <f>HEX2DEC(B98+Items!$A$2)</f>
        <v>16777266</v>
      </c>
      <c r="D98" s="65" t="s">
        <v>2431</v>
      </c>
      <c r="E98" s="71">
        <v>99</v>
      </c>
      <c r="F98" s="72" t="s">
        <v>2384</v>
      </c>
      <c r="G98" s="69">
        <v>13</v>
      </c>
      <c r="H98" s="69">
        <v>0</v>
      </c>
      <c r="I98" s="69">
        <v>0</v>
      </c>
      <c r="J98" s="69">
        <v>1</v>
      </c>
      <c r="K98" s="69">
        <v>1</v>
      </c>
      <c r="L98" s="66" t="s">
        <v>2614</v>
      </c>
      <c r="M98" s="65" t="s">
        <v>2849</v>
      </c>
      <c r="N98" s="70" t="s">
        <v>2807</v>
      </c>
      <c r="O98" s="69" t="s">
        <v>2781</v>
      </c>
      <c r="P98" s="69">
        <v>2</v>
      </c>
      <c r="Q98" s="69">
        <v>2</v>
      </c>
      <c r="R98" s="69">
        <v>11</v>
      </c>
      <c r="S98" s="69">
        <v>53</v>
      </c>
      <c r="T98" s="73" t="str">
        <f t="shared" si="6"/>
        <v>DA_bd_ra_sc_m_g_c_fin_o_fin</v>
      </c>
      <c r="U98" s="73" t="str">
        <f t="shared" si="7"/>
        <v>/Game/DungeonSiege/Items/Armor/Body/DA_bd_ra_sc_m_g_c_fin_o_fin</v>
      </c>
      <c r="V98" s="73" t="str">
        <f t="shared" si="5"/>
        <v>Texture2D'/Game/DungeonSiege/art/bitmaps/gui/in_game/inventory/armor/body_armor/b_gui_ig_i_a_pos_a2_058.b_gui_ig_i_a_pos_a2_058'</v>
      </c>
      <c r="W98" s="73" t="s">
        <v>3060</v>
      </c>
    </row>
    <row r="99" spans="1:23" ht="15.75" thickBot="1" x14ac:dyDescent="0.3">
      <c r="A99" s="69">
        <v>97</v>
      </c>
      <c r="B99" s="69">
        <v>33</v>
      </c>
      <c r="C99" s="69">
        <f>HEX2DEC(B99+Items!$A$2)</f>
        <v>16777267</v>
      </c>
      <c r="D99" s="65" t="s">
        <v>2432</v>
      </c>
      <c r="E99" s="71">
        <v>94</v>
      </c>
      <c r="F99" s="72" t="s">
        <v>2384</v>
      </c>
      <c r="G99" s="69">
        <v>15</v>
      </c>
      <c r="H99" s="69">
        <v>0</v>
      </c>
      <c r="I99" s="69">
        <v>0</v>
      </c>
      <c r="J99" s="69">
        <v>1</v>
      </c>
      <c r="K99" s="69">
        <v>1</v>
      </c>
      <c r="L99" s="66" t="s">
        <v>2615</v>
      </c>
      <c r="M99" s="65" t="s">
        <v>2850</v>
      </c>
      <c r="N99" s="70" t="s">
        <v>2504</v>
      </c>
      <c r="O99" s="69" t="s">
        <v>2799</v>
      </c>
      <c r="P99" s="69">
        <v>2</v>
      </c>
      <c r="Q99" s="69">
        <v>3</v>
      </c>
      <c r="R99" s="69">
        <v>1</v>
      </c>
      <c r="S99" s="69">
        <v>23</v>
      </c>
      <c r="T99" s="73" t="str">
        <f t="shared" si="6"/>
        <v>DA_bd_ra_sc_r_g_c_fin</v>
      </c>
      <c r="U99" s="73" t="str">
        <f t="shared" si="7"/>
        <v>/Game/DungeonSiege/Items/Armor/Body/DA_bd_ra_sc_r_g_c_fin</v>
      </c>
      <c r="V99" s="73" t="str">
        <f t="shared" si="5"/>
        <v>Texture2D'/Game/DungeonSiege/art/bitmaps/gui/in_game/inventory/armor/body_armor/b_gui_ig_i_a_pos_a4_011.b_gui_ig_i_a_pos_a4_011'</v>
      </c>
      <c r="W99" s="73" t="s">
        <v>3060</v>
      </c>
    </row>
    <row r="100" spans="1:23" ht="15.75" thickBot="1" x14ac:dyDescent="0.3">
      <c r="A100" s="69">
        <v>98</v>
      </c>
      <c r="B100" s="69">
        <v>34</v>
      </c>
      <c r="C100" s="69">
        <f>HEX2DEC(B100+Items!$A$2)</f>
        <v>16777268</v>
      </c>
      <c r="D100" s="65" t="s">
        <v>2432</v>
      </c>
      <c r="E100" s="71">
        <v>153</v>
      </c>
      <c r="F100" s="72" t="s">
        <v>2384</v>
      </c>
      <c r="G100" s="69">
        <v>19</v>
      </c>
      <c r="H100" s="69">
        <v>0</v>
      </c>
      <c r="I100" s="69">
        <v>0</v>
      </c>
      <c r="J100" s="69">
        <v>1</v>
      </c>
      <c r="K100" s="69">
        <v>1</v>
      </c>
      <c r="L100" s="66" t="s">
        <v>2616</v>
      </c>
      <c r="M100" s="65" t="s">
        <v>2851</v>
      </c>
      <c r="N100" s="70" t="s">
        <v>2503</v>
      </c>
      <c r="O100" s="69" t="s">
        <v>2782</v>
      </c>
      <c r="P100" s="69">
        <v>2</v>
      </c>
      <c r="Q100" s="69">
        <v>3</v>
      </c>
      <c r="R100" s="69">
        <v>11</v>
      </c>
      <c r="S100" s="69">
        <v>42</v>
      </c>
      <c r="T100" s="73" t="str">
        <f t="shared" si="6"/>
        <v>DA_bd_ra_sc_r_g_c_fin_c_str</v>
      </c>
      <c r="U100" s="73" t="str">
        <f t="shared" si="7"/>
        <v>/Game/DungeonSiege/Items/Armor/Body/DA_bd_ra_sc_r_g_c_fin_c_str</v>
      </c>
      <c r="V100" s="73" t="str">
        <f t="shared" si="5"/>
        <v>Texture2D'/Game/DungeonSiege/art/bitmaps/gui/in_game/inventory/armor/body_armor/b_gui_ig_i_a_pos_a3_040.b_gui_ig_i_a_pos_a3_040'</v>
      </c>
      <c r="W100" s="73" t="s">
        <v>3060</v>
      </c>
    </row>
    <row r="101" spans="1:23" ht="15.75" thickBot="1" x14ac:dyDescent="0.3">
      <c r="A101" s="69">
        <v>99</v>
      </c>
      <c r="B101" s="69">
        <v>35</v>
      </c>
      <c r="C101" s="69">
        <f>HEX2DEC(B101+Items!$A$2)</f>
        <v>16777269</v>
      </c>
      <c r="D101" s="65" t="s">
        <v>2433</v>
      </c>
      <c r="E101" s="71">
        <v>104</v>
      </c>
      <c r="F101" s="72" t="s">
        <v>2384</v>
      </c>
      <c r="G101" s="69">
        <v>20</v>
      </c>
      <c r="H101" s="69">
        <v>1</v>
      </c>
      <c r="I101" s="69">
        <v>0</v>
      </c>
      <c r="J101" s="69">
        <v>0</v>
      </c>
      <c r="K101" s="69">
        <v>0</v>
      </c>
      <c r="L101" s="66" t="s">
        <v>2617</v>
      </c>
      <c r="M101" s="65" t="str">
        <f t="shared" ref="M101:M140" si="8">CONCATENATE("b_gui_ig_i_a_pos_",O101,"_",N101)</f>
        <v>b_gui_ig_i_a_pos_a3_025</v>
      </c>
      <c r="N101" s="70" t="s">
        <v>2788</v>
      </c>
      <c r="O101" s="69" t="s">
        <v>2782</v>
      </c>
      <c r="P101" s="69">
        <v>2</v>
      </c>
      <c r="Q101" s="69">
        <v>3</v>
      </c>
      <c r="R101" s="69"/>
      <c r="S101" s="69"/>
      <c r="T101" s="73" t="str">
        <f t="shared" si="6"/>
        <v>DA_bd_sc_f_g_c_avg</v>
      </c>
      <c r="U101" s="73" t="str">
        <f t="shared" si="7"/>
        <v>/Game/DungeonSiege/Items/Armor/Body/DA_bd_sc_f_g_c_avg</v>
      </c>
      <c r="V101" s="73" t="str">
        <f t="shared" si="5"/>
        <v>Texture2D'/Game/DungeonSiege/art/bitmaps/gui/in_game/inventory/armor/body_armor/b_gui_ig_i_a_pos_a3_025.b_gui_ig_i_a_pos_a3_025'</v>
      </c>
      <c r="W101" s="73" t="s">
        <v>3060</v>
      </c>
    </row>
    <row r="102" spans="1:23" ht="15.75" thickBot="1" x14ac:dyDescent="0.3">
      <c r="A102" s="69">
        <v>100</v>
      </c>
      <c r="B102" s="69">
        <v>36</v>
      </c>
      <c r="C102" s="69">
        <f>HEX2DEC(B102+Items!$A$2)</f>
        <v>16777270</v>
      </c>
      <c r="D102" s="65" t="s">
        <v>2433</v>
      </c>
      <c r="E102" s="71">
        <v>210</v>
      </c>
      <c r="F102" s="72" t="s">
        <v>2384</v>
      </c>
      <c r="G102" s="69">
        <v>31</v>
      </c>
      <c r="H102" s="69">
        <v>0</v>
      </c>
      <c r="I102" s="69">
        <v>1</v>
      </c>
      <c r="J102" s="69">
        <v>0</v>
      </c>
      <c r="K102" s="69">
        <v>0</v>
      </c>
      <c r="L102" s="66" t="s">
        <v>2618</v>
      </c>
      <c r="M102" s="65" t="str">
        <f t="shared" si="8"/>
        <v>b_gui_ig_i_a_pos_a4_001</v>
      </c>
      <c r="N102" s="70" t="s">
        <v>2499</v>
      </c>
      <c r="O102" s="69" t="s">
        <v>2799</v>
      </c>
      <c r="P102" s="69">
        <v>2</v>
      </c>
      <c r="Q102" s="69">
        <v>3</v>
      </c>
      <c r="R102" s="69">
        <v>8</v>
      </c>
      <c r="S102" s="69">
        <v>14</v>
      </c>
      <c r="T102" s="73" t="str">
        <f t="shared" si="6"/>
        <v>DA_bd_sc_f_g_c_avg_c_str</v>
      </c>
      <c r="U102" s="73" t="str">
        <f t="shared" si="7"/>
        <v>/Game/DungeonSiege/Items/Armor/Body/DA_bd_sc_f_g_c_avg_c_str</v>
      </c>
      <c r="V102" s="73" t="str">
        <f t="shared" si="5"/>
        <v>Texture2D'/Game/DungeonSiege/art/bitmaps/gui/in_game/inventory/armor/body_armor/b_gui_ig_i_a_pos_a4_001.b_gui_ig_i_a_pos_a4_001'</v>
      </c>
      <c r="W102" s="73" t="s">
        <v>3060</v>
      </c>
    </row>
    <row r="103" spans="1:23" ht="15.75" thickBot="1" x14ac:dyDescent="0.3">
      <c r="A103" s="69">
        <v>101</v>
      </c>
      <c r="B103" s="69">
        <v>37</v>
      </c>
      <c r="C103" s="69">
        <f>HEX2DEC(B103+Items!$A$2)</f>
        <v>16777271</v>
      </c>
      <c r="D103" s="65" t="s">
        <v>2433</v>
      </c>
      <c r="E103" s="71">
        <v>166</v>
      </c>
      <c r="F103" s="72" t="s">
        <v>2384</v>
      </c>
      <c r="G103" s="69">
        <v>27</v>
      </c>
      <c r="H103" s="69">
        <v>0</v>
      </c>
      <c r="I103" s="69">
        <v>1</v>
      </c>
      <c r="J103" s="69">
        <v>1</v>
      </c>
      <c r="K103" s="69">
        <v>1</v>
      </c>
      <c r="L103" s="66" t="s">
        <v>2619</v>
      </c>
      <c r="M103" s="65" t="str">
        <f t="shared" si="8"/>
        <v>b_gui_ig_i_a_pos_a4_006</v>
      </c>
      <c r="N103" s="70" t="s">
        <v>2509</v>
      </c>
      <c r="O103" s="69" t="s">
        <v>2799</v>
      </c>
      <c r="P103" s="69">
        <v>2</v>
      </c>
      <c r="Q103" s="69">
        <v>3</v>
      </c>
      <c r="R103" s="69">
        <v>5</v>
      </c>
      <c r="S103" s="69">
        <v>11</v>
      </c>
      <c r="T103" s="73" t="str">
        <f t="shared" si="6"/>
        <v>DA_bd_sc_f_g_c_avg_o_fin</v>
      </c>
      <c r="U103" s="73" t="str">
        <f t="shared" si="7"/>
        <v>/Game/DungeonSiege/Items/Armor/Body/DA_bd_sc_f_g_c_avg_o_fin</v>
      </c>
      <c r="V103" s="73" t="str">
        <f t="shared" si="5"/>
        <v>Texture2D'/Game/DungeonSiege/art/bitmaps/gui/in_game/inventory/armor/body_armor/b_gui_ig_i_a_pos_a4_006.b_gui_ig_i_a_pos_a4_006'</v>
      </c>
      <c r="W103" s="73" t="s">
        <v>3060</v>
      </c>
    </row>
    <row r="104" spans="1:23" ht="15.75" thickBot="1" x14ac:dyDescent="0.3">
      <c r="A104" s="69">
        <v>102</v>
      </c>
      <c r="B104" s="69">
        <v>38</v>
      </c>
      <c r="C104" s="69">
        <f>HEX2DEC(B104+Items!$A$2)</f>
        <v>16777272</v>
      </c>
      <c r="D104" s="65" t="s">
        <v>2433</v>
      </c>
      <c r="E104" s="71">
        <v>353</v>
      </c>
      <c r="F104" s="72" t="s">
        <v>2384</v>
      </c>
      <c r="G104" s="69">
        <v>46</v>
      </c>
      <c r="H104" s="69">
        <v>0</v>
      </c>
      <c r="I104" s="69">
        <v>1</v>
      </c>
      <c r="J104" s="69">
        <v>1</v>
      </c>
      <c r="K104" s="69">
        <v>1</v>
      </c>
      <c r="L104" s="66" t="s">
        <v>2620</v>
      </c>
      <c r="M104" s="65" t="str">
        <f t="shared" si="8"/>
        <v>b_gui_ig_i_a_pos_a4_008</v>
      </c>
      <c r="N104" s="70" t="s">
        <v>2511</v>
      </c>
      <c r="O104" s="69" t="s">
        <v>2799</v>
      </c>
      <c r="P104" s="69">
        <v>2</v>
      </c>
      <c r="Q104" s="69">
        <v>3</v>
      </c>
      <c r="R104" s="69">
        <v>18</v>
      </c>
      <c r="S104" s="69">
        <v>25</v>
      </c>
      <c r="T104" s="73" t="str">
        <f t="shared" si="6"/>
        <v>DA_bd_sc_f_g_c_avg_o_mag</v>
      </c>
      <c r="U104" s="73" t="str">
        <f t="shared" si="7"/>
        <v>/Game/DungeonSiege/Items/Armor/Body/DA_bd_sc_f_g_c_avg_o_mag</v>
      </c>
      <c r="V104" s="73" t="str">
        <f t="shared" si="5"/>
        <v>Texture2D'/Game/DungeonSiege/art/bitmaps/gui/in_game/inventory/armor/body_armor/b_gui_ig_i_a_pos_a4_008.b_gui_ig_i_a_pos_a4_008'</v>
      </c>
      <c r="W104" s="73" t="s">
        <v>3060</v>
      </c>
    </row>
    <row r="105" spans="1:23" ht="15.75" thickBot="1" x14ac:dyDescent="0.3">
      <c r="A105" s="69">
        <v>103</v>
      </c>
      <c r="B105" s="69">
        <v>39</v>
      </c>
      <c r="C105" s="69">
        <f>HEX2DEC(B105+Items!$A$2)</f>
        <v>16777273</v>
      </c>
      <c r="D105" s="65" t="s">
        <v>2433</v>
      </c>
      <c r="E105" s="71">
        <v>253</v>
      </c>
      <c r="F105" s="72" t="s">
        <v>2384</v>
      </c>
      <c r="G105" s="69">
        <v>36</v>
      </c>
      <c r="H105" s="69">
        <v>0</v>
      </c>
      <c r="I105" s="69">
        <v>1</v>
      </c>
      <c r="J105" s="69">
        <v>1</v>
      </c>
      <c r="K105" s="69">
        <v>1</v>
      </c>
      <c r="L105" s="66" t="s">
        <v>2621</v>
      </c>
      <c r="M105" s="65" t="str">
        <f t="shared" si="8"/>
        <v>b_gui_ig_i_a_pos_a3_012</v>
      </c>
      <c r="N105" s="70" t="s">
        <v>2514</v>
      </c>
      <c r="O105" s="69" t="s">
        <v>2782</v>
      </c>
      <c r="P105" s="69">
        <v>2</v>
      </c>
      <c r="Q105" s="69">
        <v>3</v>
      </c>
      <c r="R105" s="69">
        <v>11</v>
      </c>
      <c r="S105" s="69">
        <v>18</v>
      </c>
      <c r="T105" s="73" t="str">
        <f t="shared" si="6"/>
        <v>DA_bd_sc_f_g_c_avg_o_str</v>
      </c>
      <c r="U105" s="73" t="str">
        <f t="shared" si="7"/>
        <v>/Game/DungeonSiege/Items/Armor/Body/DA_bd_sc_f_g_c_avg_o_str</v>
      </c>
      <c r="V105" s="73" t="str">
        <f t="shared" si="5"/>
        <v>Texture2D'/Game/DungeonSiege/art/bitmaps/gui/in_game/inventory/armor/body_armor/b_gui_ig_i_a_pos_a3_012.b_gui_ig_i_a_pos_a3_012'</v>
      </c>
      <c r="W105" s="73" t="s">
        <v>3060</v>
      </c>
    </row>
    <row r="106" spans="1:23" ht="15.75" thickBot="1" x14ac:dyDescent="0.3">
      <c r="A106" s="69">
        <v>104</v>
      </c>
      <c r="B106" s="69">
        <v>40</v>
      </c>
      <c r="C106" s="69">
        <f>HEX2DEC(B106+Items!$A$2)</f>
        <v>16777280</v>
      </c>
      <c r="D106" s="65" t="s">
        <v>2434</v>
      </c>
      <c r="E106" s="71">
        <v>91</v>
      </c>
      <c r="F106" s="72" t="s">
        <v>2384</v>
      </c>
      <c r="G106" s="69">
        <v>19</v>
      </c>
      <c r="H106" s="69">
        <v>1</v>
      </c>
      <c r="I106" s="69">
        <v>0</v>
      </c>
      <c r="J106" s="69">
        <v>0</v>
      </c>
      <c r="K106" s="69">
        <v>0</v>
      </c>
      <c r="L106" s="66" t="s">
        <v>2622</v>
      </c>
      <c r="M106" s="65" t="str">
        <f t="shared" si="8"/>
        <v>b_gui_ig_i_a_pos_a3_036</v>
      </c>
      <c r="N106" s="70" t="s">
        <v>2802</v>
      </c>
      <c r="O106" s="69" t="s">
        <v>2782</v>
      </c>
      <c r="P106" s="69">
        <v>2</v>
      </c>
      <c r="Q106" s="69">
        <v>3</v>
      </c>
      <c r="R106" s="69"/>
      <c r="S106" s="69"/>
      <c r="T106" s="73" t="str">
        <f t="shared" si="6"/>
        <v>DA_bd_sc_f_g_c_fun</v>
      </c>
      <c r="U106" s="73" t="str">
        <f t="shared" si="7"/>
        <v>/Game/DungeonSiege/Items/Armor/Body/DA_bd_sc_f_g_c_fun</v>
      </c>
      <c r="V106" s="73" t="str">
        <f t="shared" si="5"/>
        <v>Texture2D'/Game/DungeonSiege/art/bitmaps/gui/in_game/inventory/armor/body_armor/b_gui_ig_i_a_pos_a3_036.b_gui_ig_i_a_pos_a3_036'</v>
      </c>
      <c r="W106" s="73" t="s">
        <v>3060</v>
      </c>
    </row>
    <row r="107" spans="1:23" ht="15.75" thickBot="1" x14ac:dyDescent="0.3">
      <c r="A107" s="69">
        <v>105</v>
      </c>
      <c r="B107" s="69">
        <v>41</v>
      </c>
      <c r="C107" s="69">
        <f>HEX2DEC(B107+Items!$A$2)</f>
        <v>16777281</v>
      </c>
      <c r="D107" s="65" t="s">
        <v>2435</v>
      </c>
      <c r="E107" s="71">
        <v>73</v>
      </c>
      <c r="F107" s="72" t="s">
        <v>2384</v>
      </c>
      <c r="G107" s="69">
        <v>17</v>
      </c>
      <c r="H107" s="69">
        <v>1</v>
      </c>
      <c r="I107" s="69">
        <v>0</v>
      </c>
      <c r="J107" s="69">
        <v>0</v>
      </c>
      <c r="K107" s="69">
        <v>0</v>
      </c>
      <c r="L107" s="66" t="s">
        <v>2623</v>
      </c>
      <c r="M107" s="65" t="str">
        <f t="shared" si="8"/>
        <v>b_gui_ig_i_a_pos_a4_007</v>
      </c>
      <c r="N107" s="70" t="s">
        <v>2510</v>
      </c>
      <c r="O107" s="69" t="s">
        <v>2799</v>
      </c>
      <c r="P107" s="69">
        <v>2</v>
      </c>
      <c r="Q107" s="69">
        <v>3</v>
      </c>
      <c r="R107" s="69"/>
      <c r="S107" s="69"/>
      <c r="T107" s="73" t="str">
        <f t="shared" si="6"/>
        <v>DA_bd_sc_f_g_o_low</v>
      </c>
      <c r="U107" s="73" t="str">
        <f t="shared" si="7"/>
        <v>/Game/DungeonSiege/Items/Armor/Body/DA_bd_sc_f_g_o_low</v>
      </c>
      <c r="V107" s="73" t="str">
        <f t="shared" si="5"/>
        <v>Texture2D'/Game/DungeonSiege/art/bitmaps/gui/in_game/inventory/armor/body_armor/b_gui_ig_i_a_pos_a4_007.b_gui_ig_i_a_pos_a4_007'</v>
      </c>
      <c r="W107" s="73" t="s">
        <v>3060</v>
      </c>
    </row>
    <row r="108" spans="1:23" ht="15.75" thickBot="1" x14ac:dyDescent="0.3">
      <c r="A108" s="69">
        <v>106</v>
      </c>
      <c r="B108" s="69">
        <v>42</v>
      </c>
      <c r="C108" s="69">
        <f>HEX2DEC(B108+Items!$A$2)</f>
        <v>16777282</v>
      </c>
      <c r="D108" s="65" t="s">
        <v>2436</v>
      </c>
      <c r="E108" s="71">
        <v>61</v>
      </c>
      <c r="F108" s="69"/>
      <c r="G108" s="69"/>
      <c r="H108" s="69">
        <v>1</v>
      </c>
      <c r="I108" s="69">
        <v>0</v>
      </c>
      <c r="J108" s="69">
        <v>0</v>
      </c>
      <c r="K108" s="69">
        <v>0</v>
      </c>
      <c r="L108" s="66" t="s">
        <v>2624</v>
      </c>
      <c r="M108" s="65" t="str">
        <f t="shared" si="8"/>
        <v>b_gui_ig_i_a_pos_a2_027</v>
      </c>
      <c r="N108" s="70" t="s">
        <v>2789</v>
      </c>
      <c r="O108" s="69" t="s">
        <v>2781</v>
      </c>
      <c r="P108" s="69">
        <v>2</v>
      </c>
      <c r="Q108" s="69">
        <v>2</v>
      </c>
      <c r="R108" s="69"/>
      <c r="S108" s="69"/>
      <c r="T108" s="73" t="str">
        <f t="shared" si="6"/>
        <v>DA_bd_sc_m_g_c_avg</v>
      </c>
      <c r="U108" s="73" t="str">
        <f t="shared" si="7"/>
        <v>/Game/DungeonSiege/Items/Armor/Body/DA_bd_sc_m_g_c_avg</v>
      </c>
      <c r="V108" s="73" t="str">
        <f t="shared" si="5"/>
        <v>Texture2D'/Game/DungeonSiege/art/bitmaps/gui/in_game/inventory/armor/body_armor/b_gui_ig_i_a_pos_a2_027.b_gui_ig_i_a_pos_a2_027'</v>
      </c>
      <c r="W108" s="73" t="s">
        <v>3060</v>
      </c>
    </row>
    <row r="109" spans="1:23" ht="15.75" thickBot="1" x14ac:dyDescent="0.3">
      <c r="A109" s="69">
        <v>107</v>
      </c>
      <c r="B109" s="69">
        <v>43</v>
      </c>
      <c r="C109" s="69">
        <f>HEX2DEC(B109+Items!$A$2)</f>
        <v>16777283</v>
      </c>
      <c r="D109" s="65" t="s">
        <v>2436</v>
      </c>
      <c r="E109" s="71">
        <v>66</v>
      </c>
      <c r="F109" s="72" t="s">
        <v>2384</v>
      </c>
      <c r="G109" s="69">
        <v>12</v>
      </c>
      <c r="H109" s="69">
        <v>0</v>
      </c>
      <c r="I109" s="69">
        <v>1</v>
      </c>
      <c r="J109" s="69">
        <v>0</v>
      </c>
      <c r="K109" s="69">
        <v>0</v>
      </c>
      <c r="L109" s="66" t="s">
        <v>2625</v>
      </c>
      <c r="M109" s="65" t="str">
        <f t="shared" si="8"/>
        <v>b_gui_ig_i_a_pos_a2_028</v>
      </c>
      <c r="N109" s="70" t="s">
        <v>2790</v>
      </c>
      <c r="O109" s="69" t="s">
        <v>2781</v>
      </c>
      <c r="P109" s="69">
        <v>2</v>
      </c>
      <c r="Q109" s="69">
        <v>2</v>
      </c>
      <c r="R109" s="69">
        <v>1</v>
      </c>
      <c r="S109" s="69">
        <v>9</v>
      </c>
      <c r="T109" s="73" t="str">
        <f t="shared" si="6"/>
        <v>DA_bd_sc_m_g_c_avg_c_fin</v>
      </c>
      <c r="U109" s="73" t="str">
        <f t="shared" si="7"/>
        <v>/Game/DungeonSiege/Items/Armor/Body/DA_bd_sc_m_g_c_avg_c_fin</v>
      </c>
      <c r="V109" s="73" t="str">
        <f t="shared" si="5"/>
        <v>Texture2D'/Game/DungeonSiege/art/bitmaps/gui/in_game/inventory/armor/body_armor/b_gui_ig_i_a_pos_a2_028.b_gui_ig_i_a_pos_a2_028'</v>
      </c>
      <c r="W109" s="73" t="s">
        <v>3060</v>
      </c>
    </row>
    <row r="110" spans="1:23" ht="15.75" thickBot="1" x14ac:dyDescent="0.3">
      <c r="A110" s="69">
        <v>108</v>
      </c>
      <c r="B110" s="69">
        <v>44</v>
      </c>
      <c r="C110" s="69">
        <f>HEX2DEC(B110+Items!$A$2)</f>
        <v>16777284</v>
      </c>
      <c r="D110" s="65" t="s">
        <v>2436</v>
      </c>
      <c r="E110" s="71">
        <v>151</v>
      </c>
      <c r="F110" s="72" t="s">
        <v>2384</v>
      </c>
      <c r="G110" s="69">
        <v>14</v>
      </c>
      <c r="H110" s="69">
        <v>0</v>
      </c>
      <c r="I110" s="69">
        <v>1</v>
      </c>
      <c r="J110" s="69">
        <v>0</v>
      </c>
      <c r="K110" s="69">
        <v>0</v>
      </c>
      <c r="L110" s="66" t="s">
        <v>2626</v>
      </c>
      <c r="M110" s="65" t="str">
        <f t="shared" si="8"/>
        <v>b_gui_ig_i_a_pos_a4_003</v>
      </c>
      <c r="N110" s="70" t="s">
        <v>2795</v>
      </c>
      <c r="O110" s="69" t="s">
        <v>2799</v>
      </c>
      <c r="P110" s="69">
        <v>2</v>
      </c>
      <c r="Q110" s="69">
        <v>3</v>
      </c>
      <c r="R110" s="69">
        <v>27</v>
      </c>
      <c r="S110" s="69">
        <v>38</v>
      </c>
      <c r="T110" s="73" t="str">
        <f t="shared" si="6"/>
        <v>DA_bd_sc_m_g_c_avg_c_mag</v>
      </c>
      <c r="U110" s="73" t="str">
        <f t="shared" si="7"/>
        <v>/Game/DungeonSiege/Items/Armor/Body/DA_bd_sc_m_g_c_avg_c_mag</v>
      </c>
      <c r="V110" s="73" t="str">
        <f t="shared" si="5"/>
        <v>Texture2D'/Game/DungeonSiege/art/bitmaps/gui/in_game/inventory/armor/body_armor/b_gui_ig_i_a_pos_a4_003.b_gui_ig_i_a_pos_a4_003'</v>
      </c>
      <c r="W110" s="73" t="s">
        <v>3060</v>
      </c>
    </row>
    <row r="111" spans="1:23" ht="15.75" thickBot="1" x14ac:dyDescent="0.3">
      <c r="A111" s="69">
        <v>109</v>
      </c>
      <c r="B111" s="69">
        <v>45</v>
      </c>
      <c r="C111" s="69">
        <f>HEX2DEC(B111+Items!$A$2)</f>
        <v>16777285</v>
      </c>
      <c r="D111" s="65" t="s">
        <v>2436</v>
      </c>
      <c r="E111" s="71">
        <v>92</v>
      </c>
      <c r="F111" s="72" t="s">
        <v>2384</v>
      </c>
      <c r="G111" s="69">
        <v>12</v>
      </c>
      <c r="H111" s="69">
        <v>0</v>
      </c>
      <c r="I111" s="69">
        <v>1</v>
      </c>
      <c r="J111" s="69">
        <v>1</v>
      </c>
      <c r="K111" s="69">
        <v>1</v>
      </c>
      <c r="L111" s="66" t="s">
        <v>2627</v>
      </c>
      <c r="M111" s="65" t="str">
        <f t="shared" si="8"/>
        <v>b_gui_ig_i_a_pos_a2_018</v>
      </c>
      <c r="N111" s="70" t="s">
        <v>2807</v>
      </c>
      <c r="O111" s="69" t="s">
        <v>2781</v>
      </c>
      <c r="P111" s="69">
        <v>2</v>
      </c>
      <c r="Q111" s="69">
        <v>2</v>
      </c>
      <c r="R111" s="69">
        <v>10</v>
      </c>
      <c r="S111" s="69">
        <v>22</v>
      </c>
      <c r="T111" s="73" t="str">
        <f t="shared" si="6"/>
        <v>DA_bd_sc_m_g_c_avg_o_fin</v>
      </c>
      <c r="U111" s="73" t="str">
        <f t="shared" si="7"/>
        <v>/Game/DungeonSiege/Items/Armor/Body/DA_bd_sc_m_g_c_avg_o_fin</v>
      </c>
      <c r="V111" s="73" t="str">
        <f t="shared" si="5"/>
        <v>Texture2D'/Game/DungeonSiege/art/bitmaps/gui/in_game/inventory/armor/body_armor/b_gui_ig_i_a_pos_a2_018.b_gui_ig_i_a_pos_a2_018'</v>
      </c>
      <c r="W111" s="73" t="s">
        <v>3060</v>
      </c>
    </row>
    <row r="112" spans="1:23" ht="15.75" thickBot="1" x14ac:dyDescent="0.3">
      <c r="A112" s="69">
        <v>110</v>
      </c>
      <c r="B112" s="69">
        <v>46</v>
      </c>
      <c r="C112" s="69">
        <f>HEX2DEC(B112+Items!$A$2)</f>
        <v>16777286</v>
      </c>
      <c r="D112" s="65" t="s">
        <v>2437</v>
      </c>
      <c r="E112" s="71">
        <v>78</v>
      </c>
      <c r="F112" s="72" t="s">
        <v>2384</v>
      </c>
      <c r="G112" s="69">
        <v>14</v>
      </c>
      <c r="H112" s="69">
        <v>1</v>
      </c>
      <c r="I112" s="69">
        <v>0</v>
      </c>
      <c r="J112" s="69">
        <v>0</v>
      </c>
      <c r="K112" s="69">
        <v>0</v>
      </c>
      <c r="L112" s="66" t="s">
        <v>2628</v>
      </c>
      <c r="M112" s="65" t="str">
        <f t="shared" si="8"/>
        <v>b_gui_ig_i_a_pos_a3_026</v>
      </c>
      <c r="N112" s="70" t="s">
        <v>2785</v>
      </c>
      <c r="O112" s="69" t="s">
        <v>2782</v>
      </c>
      <c r="P112" s="69">
        <v>2</v>
      </c>
      <c r="Q112" s="69">
        <v>3</v>
      </c>
      <c r="R112" s="69"/>
      <c r="S112" s="69"/>
      <c r="T112" s="73" t="str">
        <f t="shared" si="6"/>
        <v>DA_bd_sc_r_g_c_avg</v>
      </c>
      <c r="U112" s="73" t="str">
        <f t="shared" si="7"/>
        <v>/Game/DungeonSiege/Items/Armor/Body/DA_bd_sc_r_g_c_avg</v>
      </c>
      <c r="V112" s="73" t="str">
        <f t="shared" si="5"/>
        <v>Texture2D'/Game/DungeonSiege/art/bitmaps/gui/in_game/inventory/armor/body_armor/b_gui_ig_i_a_pos_a3_026.b_gui_ig_i_a_pos_a3_026'</v>
      </c>
      <c r="W112" s="73" t="s">
        <v>3060</v>
      </c>
    </row>
    <row r="113" spans="1:23" ht="15.75" thickBot="1" x14ac:dyDescent="0.3">
      <c r="A113" s="69">
        <v>111</v>
      </c>
      <c r="B113" s="69">
        <v>47</v>
      </c>
      <c r="C113" s="69">
        <f>HEX2DEC(B113+Items!$A$2)</f>
        <v>16777287</v>
      </c>
      <c r="D113" s="65" t="s">
        <v>2437</v>
      </c>
      <c r="E113" s="71">
        <v>88</v>
      </c>
      <c r="F113" s="72" t="s">
        <v>2384</v>
      </c>
      <c r="G113" s="69">
        <v>15</v>
      </c>
      <c r="H113" s="69">
        <v>0</v>
      </c>
      <c r="I113" s="69">
        <v>1</v>
      </c>
      <c r="J113" s="69">
        <v>0</v>
      </c>
      <c r="K113" s="69">
        <v>0</v>
      </c>
      <c r="L113" s="66" t="s">
        <v>2629</v>
      </c>
      <c r="M113" s="65" t="str">
        <f t="shared" si="8"/>
        <v>b_gui_ig_i_a_pos_a4_002</v>
      </c>
      <c r="N113" s="70" t="s">
        <v>2504</v>
      </c>
      <c r="O113" s="69" t="s">
        <v>2799</v>
      </c>
      <c r="P113" s="69">
        <v>2</v>
      </c>
      <c r="Q113" s="69">
        <v>3</v>
      </c>
      <c r="R113" s="69">
        <v>1</v>
      </c>
      <c r="S113" s="69">
        <v>7</v>
      </c>
      <c r="T113" s="73" t="str">
        <f t="shared" si="6"/>
        <v>DA_bd_sc_r_g_c_avg_c_fin</v>
      </c>
      <c r="U113" s="73" t="str">
        <f t="shared" si="7"/>
        <v>/Game/DungeonSiege/Items/Armor/Body/DA_bd_sc_r_g_c_avg_c_fin</v>
      </c>
      <c r="V113" s="73" t="str">
        <f t="shared" si="5"/>
        <v>Texture2D'/Game/DungeonSiege/art/bitmaps/gui/in_game/inventory/armor/body_armor/b_gui_ig_i_a_pos_a4_002.b_gui_ig_i_a_pos_a4_002'</v>
      </c>
      <c r="W113" s="73" t="s">
        <v>3060</v>
      </c>
    </row>
    <row r="114" spans="1:23" ht="15.75" thickBot="1" x14ac:dyDescent="0.3">
      <c r="A114" s="69">
        <v>112</v>
      </c>
      <c r="B114" s="69">
        <v>48</v>
      </c>
      <c r="C114" s="69">
        <f>HEX2DEC(B114+Items!$A$2)</f>
        <v>16777288</v>
      </c>
      <c r="D114" s="65" t="s">
        <v>2437</v>
      </c>
      <c r="E114" s="71">
        <v>144</v>
      </c>
      <c r="F114" s="72" t="s">
        <v>2384</v>
      </c>
      <c r="G114" s="69">
        <v>19</v>
      </c>
      <c r="H114" s="69">
        <v>0</v>
      </c>
      <c r="I114" s="69">
        <v>1</v>
      </c>
      <c r="J114" s="69">
        <v>0</v>
      </c>
      <c r="K114" s="69">
        <v>0</v>
      </c>
      <c r="L114" s="66" t="s">
        <v>2630</v>
      </c>
      <c r="M114" s="65" t="str">
        <f t="shared" si="8"/>
        <v>b_gui_ig_i_a_pos_a3_009</v>
      </c>
      <c r="N114" s="70" t="s">
        <v>2503</v>
      </c>
      <c r="O114" s="69" t="s">
        <v>2782</v>
      </c>
      <c r="P114" s="69">
        <v>2</v>
      </c>
      <c r="Q114" s="69">
        <v>3</v>
      </c>
      <c r="R114" s="69">
        <v>10</v>
      </c>
      <c r="S114" s="69">
        <v>20</v>
      </c>
      <c r="T114" s="73" t="str">
        <f t="shared" si="6"/>
        <v>DA_bd_sc_r_g_c_avg_c_str</v>
      </c>
      <c r="U114" s="73" t="str">
        <f t="shared" si="7"/>
        <v>/Game/DungeonSiege/Items/Armor/Body/DA_bd_sc_r_g_c_avg_c_str</v>
      </c>
      <c r="V114" s="73" t="str">
        <f t="shared" si="5"/>
        <v>Texture2D'/Game/DungeonSiege/art/bitmaps/gui/in_game/inventory/armor/body_armor/b_gui_ig_i_a_pos_a3_009.b_gui_ig_i_a_pos_a3_009'</v>
      </c>
      <c r="W114" s="73" t="s">
        <v>3060</v>
      </c>
    </row>
    <row r="115" spans="1:23" ht="15.75" thickBot="1" x14ac:dyDescent="0.3">
      <c r="A115" s="69">
        <v>113</v>
      </c>
      <c r="B115" s="69">
        <v>49</v>
      </c>
      <c r="C115" s="69">
        <f>HEX2DEC(B115+Items!$A$2)</f>
        <v>16777289</v>
      </c>
      <c r="D115" s="65" t="s">
        <v>2437</v>
      </c>
      <c r="E115" s="71">
        <v>120</v>
      </c>
      <c r="F115" s="72" t="s">
        <v>2384</v>
      </c>
      <c r="G115" s="69">
        <v>17</v>
      </c>
      <c r="H115" s="69">
        <v>0</v>
      </c>
      <c r="I115" s="69">
        <v>1</v>
      </c>
      <c r="J115" s="69">
        <v>1</v>
      </c>
      <c r="K115" s="69">
        <v>1</v>
      </c>
      <c r="L115" s="66" t="s">
        <v>2631</v>
      </c>
      <c r="M115" s="65" t="str">
        <f t="shared" si="8"/>
        <v>b_gui_ig_i_a_pos_a2_019</v>
      </c>
      <c r="N115" s="70" t="s">
        <v>2779</v>
      </c>
      <c r="O115" s="69" t="s">
        <v>2781</v>
      </c>
      <c r="P115" s="69">
        <v>2</v>
      </c>
      <c r="Q115" s="69">
        <v>2</v>
      </c>
      <c r="R115" s="69">
        <v>8</v>
      </c>
      <c r="S115" s="69">
        <v>16</v>
      </c>
      <c r="T115" s="73" t="str">
        <f t="shared" si="6"/>
        <v>DA_bd_sc_r_g_c_avg_o_fin</v>
      </c>
      <c r="U115" s="73" t="str">
        <f t="shared" si="7"/>
        <v>/Game/DungeonSiege/Items/Armor/Body/DA_bd_sc_r_g_c_avg_o_fin</v>
      </c>
      <c r="V115" s="73" t="str">
        <f t="shared" si="5"/>
        <v>Texture2D'/Game/DungeonSiege/art/bitmaps/gui/in_game/inventory/armor/body_armor/b_gui_ig_i_a_pos_a2_019.b_gui_ig_i_a_pos_a2_019'</v>
      </c>
      <c r="W115" s="73" t="s">
        <v>3060</v>
      </c>
    </row>
    <row r="116" spans="1:23" ht="15.75" thickBot="1" x14ac:dyDescent="0.3">
      <c r="A116" s="69">
        <v>114</v>
      </c>
      <c r="B116" s="69">
        <v>50</v>
      </c>
      <c r="C116" s="69">
        <f>HEX2DEC(B116+Items!$A$2)</f>
        <v>16777296</v>
      </c>
      <c r="D116" s="65" t="s">
        <v>2438</v>
      </c>
      <c r="E116" s="71">
        <v>201</v>
      </c>
      <c r="F116" s="72" t="s">
        <v>2384</v>
      </c>
      <c r="G116" s="69">
        <v>22</v>
      </c>
      <c r="H116" s="69">
        <v>0</v>
      </c>
      <c r="I116" s="69">
        <v>0</v>
      </c>
      <c r="J116" s="69">
        <v>0</v>
      </c>
      <c r="K116" s="69">
        <v>1</v>
      </c>
      <c r="L116" s="66" t="s">
        <v>2632</v>
      </c>
      <c r="M116" s="65" t="str">
        <f t="shared" si="8"/>
        <v>b_gui_ig_i_a_pos_a1_052</v>
      </c>
      <c r="N116" s="70" t="s">
        <v>2808</v>
      </c>
      <c r="O116" s="69" t="s">
        <v>2797</v>
      </c>
      <c r="P116" s="69">
        <v>2</v>
      </c>
      <c r="Q116" s="69">
        <v>2</v>
      </c>
      <c r="R116" s="69">
        <v>8</v>
      </c>
      <c r="S116" s="69">
        <v>37</v>
      </c>
      <c r="T116" s="73" t="str">
        <f t="shared" si="6"/>
        <v>DA_bd_un_ch_r_green</v>
      </c>
      <c r="U116" s="73" t="str">
        <f t="shared" si="7"/>
        <v>/Game/DungeonSiege/Items/Armor/Body/DA_bd_un_ch_r_green</v>
      </c>
      <c r="V116" s="73" t="str">
        <f t="shared" si="5"/>
        <v>Texture2D'/Game/DungeonSiege/art/bitmaps/gui/in_game/inventory/armor/body_armor/b_gui_ig_i_a_pos_a1_052.b_gui_ig_i_a_pos_a1_052'</v>
      </c>
      <c r="W116" s="73" t="s">
        <v>3060</v>
      </c>
    </row>
    <row r="117" spans="1:23" ht="15.75" thickBot="1" x14ac:dyDescent="0.3">
      <c r="A117" s="69">
        <v>115</v>
      </c>
      <c r="B117" s="69">
        <v>51</v>
      </c>
      <c r="C117" s="69">
        <f>HEX2DEC(B117+Items!$A$2)</f>
        <v>16777297</v>
      </c>
      <c r="D117" s="65" t="s">
        <v>2439</v>
      </c>
      <c r="E117" s="71">
        <v>472</v>
      </c>
      <c r="F117" s="72" t="s">
        <v>2384</v>
      </c>
      <c r="G117" s="69">
        <v>58</v>
      </c>
      <c r="H117" s="69">
        <v>0</v>
      </c>
      <c r="I117" s="69">
        <v>0</v>
      </c>
      <c r="J117" s="69">
        <v>0</v>
      </c>
      <c r="K117" s="69">
        <v>1</v>
      </c>
      <c r="L117" s="66" t="s">
        <v>2633</v>
      </c>
      <c r="M117" s="65" t="str">
        <f t="shared" si="8"/>
        <v>b_gui_ig_i_a_pos_a5_018</v>
      </c>
      <c r="N117" s="70" t="s">
        <v>2807</v>
      </c>
      <c r="O117" s="69" t="s">
        <v>2500</v>
      </c>
      <c r="P117" s="69">
        <v>2</v>
      </c>
      <c r="Q117" s="69">
        <v>3</v>
      </c>
      <c r="R117" s="69">
        <v>9</v>
      </c>
      <c r="S117" s="69">
        <v>33</v>
      </c>
      <c r="T117" s="73" t="str">
        <f t="shared" si="6"/>
        <v>DA_bd_un_sc_f_dragon</v>
      </c>
      <c r="U117" s="73" t="str">
        <f t="shared" si="7"/>
        <v>/Game/DungeonSiege/Items/Armor/Body/DA_bd_un_sc_f_dragon</v>
      </c>
      <c r="V117" s="73" t="str">
        <f t="shared" si="5"/>
        <v>Texture2D'/Game/DungeonSiege/art/bitmaps/gui/in_game/inventory/armor/body_armor/b_gui_ig_i_a_pos_a5_018.b_gui_ig_i_a_pos_a5_018'</v>
      </c>
      <c r="W117" s="73" t="s">
        <v>3060</v>
      </c>
    </row>
    <row r="118" spans="1:23" ht="15.75" thickBot="1" x14ac:dyDescent="0.3">
      <c r="A118" s="69">
        <v>116</v>
      </c>
      <c r="B118" s="69">
        <v>52</v>
      </c>
      <c r="C118" s="69">
        <f>HEX2DEC(B118+Items!$A$2)</f>
        <v>16777298</v>
      </c>
      <c r="D118" s="65" t="s">
        <v>2440</v>
      </c>
      <c r="E118" s="71">
        <v>294</v>
      </c>
      <c r="F118" s="72" t="s">
        <v>2384</v>
      </c>
      <c r="G118" s="69">
        <v>28</v>
      </c>
      <c r="H118" s="69">
        <v>0</v>
      </c>
      <c r="I118" s="69">
        <v>1</v>
      </c>
      <c r="J118" s="69">
        <v>0</v>
      </c>
      <c r="K118" s="69">
        <v>0</v>
      </c>
      <c r="L118" s="66" t="s">
        <v>2634</v>
      </c>
      <c r="M118" s="65" t="str">
        <f t="shared" si="8"/>
        <v>b_gui_ig_i_a_pos_a3_018</v>
      </c>
      <c r="N118" s="70" t="s">
        <v>2807</v>
      </c>
      <c r="O118" s="69" t="s">
        <v>2782</v>
      </c>
      <c r="P118" s="69">
        <v>2</v>
      </c>
      <c r="Q118" s="69">
        <v>3</v>
      </c>
      <c r="R118" s="69">
        <v>12</v>
      </c>
      <c r="S118" s="69">
        <v>54</v>
      </c>
      <c r="T118" s="73" t="str">
        <f t="shared" si="6"/>
        <v>DA_bd_un_sc_r_d_o_mag</v>
      </c>
      <c r="U118" s="73" t="str">
        <f t="shared" si="7"/>
        <v>/Game/DungeonSiege/Items/Armor/Body/DA_bd_un_sc_r_d_o_mag</v>
      </c>
      <c r="V118" s="73" t="str">
        <f t="shared" si="5"/>
        <v>Texture2D'/Game/DungeonSiege/art/bitmaps/gui/in_game/inventory/armor/body_armor/b_gui_ig_i_a_pos_a3_018.b_gui_ig_i_a_pos_a3_018'</v>
      </c>
      <c r="W118" s="73" t="s">
        <v>3060</v>
      </c>
    </row>
    <row r="119" spans="1:23" ht="15.75" thickBot="1" x14ac:dyDescent="0.3">
      <c r="A119" s="69">
        <v>117</v>
      </c>
      <c r="B119" s="69">
        <v>0</v>
      </c>
      <c r="C119" s="69">
        <f>HEX2DEC(B119+Items!$A$4)</f>
        <v>16908288</v>
      </c>
      <c r="D119" s="65" t="s">
        <v>2441</v>
      </c>
      <c r="E119" s="71">
        <v>51</v>
      </c>
      <c r="F119" s="72" t="s">
        <v>2384</v>
      </c>
      <c r="G119" s="69">
        <v>15</v>
      </c>
      <c r="H119" s="69">
        <v>1</v>
      </c>
      <c r="I119" s="69">
        <v>0</v>
      </c>
      <c r="J119" s="69">
        <v>0</v>
      </c>
      <c r="K119" s="69">
        <v>0</v>
      </c>
      <c r="L119" s="66" t="s">
        <v>2635</v>
      </c>
      <c r="M119" s="65" t="str">
        <f t="shared" si="8"/>
        <v>b_gui_ig_i_a_pos_a3_001</v>
      </c>
      <c r="N119" s="70" t="s">
        <v>2499</v>
      </c>
      <c r="O119" s="69" t="s">
        <v>2782</v>
      </c>
      <c r="P119" s="69">
        <v>2</v>
      </c>
      <c r="Q119" s="69">
        <v>2</v>
      </c>
      <c r="R119" s="69"/>
      <c r="S119" s="69"/>
      <c r="T119" s="73" t="str">
        <f t="shared" si="6"/>
        <v>DA_bd_bl_f_g_c_avg</v>
      </c>
      <c r="U119" s="73" t="str">
        <f t="shared" si="7"/>
        <v>/Game/DungeonSiege/Items/Armor/Body/DA_bd_bl_f_g_c_avg</v>
      </c>
      <c r="V119" s="73" t="str">
        <f t="shared" si="5"/>
        <v>Texture2D'/Game/DungeonSiege/art/bitmaps/gui/in_game/inventory/armor/body_armor/b_gui_ig_i_a_pos_a3_001.b_gui_ig_i_a_pos_a3_001'</v>
      </c>
      <c r="W119" s="73" t="s">
        <v>3062</v>
      </c>
    </row>
    <row r="120" spans="1:23" ht="15.75" thickBot="1" x14ac:dyDescent="0.3">
      <c r="A120" s="69">
        <v>118</v>
      </c>
      <c r="B120" s="69">
        <v>1</v>
      </c>
      <c r="C120" s="69">
        <f>HEX2DEC(B120+Items!$A$4)</f>
        <v>16908289</v>
      </c>
      <c r="D120" s="65" t="s">
        <v>2441</v>
      </c>
      <c r="E120" s="71">
        <v>122</v>
      </c>
      <c r="F120" s="72" t="s">
        <v>2384</v>
      </c>
      <c r="G120" s="69">
        <v>22</v>
      </c>
      <c r="H120" s="69">
        <v>0</v>
      </c>
      <c r="I120" s="69">
        <v>1</v>
      </c>
      <c r="J120" s="69">
        <v>0</v>
      </c>
      <c r="K120" s="69">
        <v>0</v>
      </c>
      <c r="L120" s="66" t="s">
        <v>2636</v>
      </c>
      <c r="M120" s="65" t="str">
        <f t="shared" si="8"/>
        <v>b_gui_ig_i_a_pos_a2_048</v>
      </c>
      <c r="N120" s="70" t="s">
        <v>2809</v>
      </c>
      <c r="O120" s="69" t="s">
        <v>2781</v>
      </c>
      <c r="P120" s="69">
        <v>2</v>
      </c>
      <c r="Q120" s="69">
        <v>2</v>
      </c>
      <c r="R120" s="69">
        <v>6</v>
      </c>
      <c r="S120" s="69">
        <v>10</v>
      </c>
      <c r="T120" s="73" t="str">
        <f t="shared" si="6"/>
        <v>DA_bd_bl_f_g_c_avg_c_str</v>
      </c>
      <c r="U120" s="73" t="str">
        <f t="shared" si="7"/>
        <v>/Game/DungeonSiege/Items/Armor/Body/DA_bd_bl_f_g_c_avg_c_str</v>
      </c>
      <c r="V120" s="73" t="str">
        <f t="shared" si="5"/>
        <v>Texture2D'/Game/DungeonSiege/art/bitmaps/gui/in_game/inventory/armor/body_armor/b_gui_ig_i_a_pos_a2_048.b_gui_ig_i_a_pos_a2_048'</v>
      </c>
      <c r="W120" s="73" t="s">
        <v>3062</v>
      </c>
    </row>
    <row r="121" spans="1:23" ht="15.75" thickBot="1" x14ac:dyDescent="0.3">
      <c r="A121" s="69">
        <v>119</v>
      </c>
      <c r="B121" s="69">
        <v>2</v>
      </c>
      <c r="C121" s="69">
        <f>HEX2DEC(B121+Items!$A$4)</f>
        <v>16908290</v>
      </c>
      <c r="D121" s="65" t="s">
        <v>2441</v>
      </c>
      <c r="E121" s="71">
        <v>98</v>
      </c>
      <c r="F121" s="72" t="s">
        <v>2384</v>
      </c>
      <c r="G121" s="69">
        <v>20</v>
      </c>
      <c r="H121" s="69">
        <v>0</v>
      </c>
      <c r="I121" s="69">
        <v>1</v>
      </c>
      <c r="J121" s="69">
        <v>1</v>
      </c>
      <c r="K121" s="69">
        <v>1</v>
      </c>
      <c r="L121" s="66" t="s">
        <v>2637</v>
      </c>
      <c r="M121" s="65" t="str">
        <f t="shared" si="8"/>
        <v>b_gui_ig_i_a_pos_a2_049</v>
      </c>
      <c r="N121" s="70" t="s">
        <v>2810</v>
      </c>
      <c r="O121" s="69" t="s">
        <v>2781</v>
      </c>
      <c r="P121" s="69">
        <v>2</v>
      </c>
      <c r="Q121" s="69">
        <v>2</v>
      </c>
      <c r="R121" s="69">
        <v>4</v>
      </c>
      <c r="S121" s="69">
        <v>8</v>
      </c>
      <c r="T121" s="73" t="str">
        <f t="shared" si="6"/>
        <v>DA_bd_bl_f_g_c_avg_o_fin</v>
      </c>
      <c r="U121" s="73" t="str">
        <f t="shared" si="7"/>
        <v>/Game/DungeonSiege/Items/Armor/Body/DA_bd_bl_f_g_c_avg_o_fin</v>
      </c>
      <c r="V121" s="73" t="str">
        <f t="shared" si="5"/>
        <v>Texture2D'/Game/DungeonSiege/art/bitmaps/gui/in_game/inventory/armor/body_armor/b_gui_ig_i_a_pos_a2_049.b_gui_ig_i_a_pos_a2_049'</v>
      </c>
      <c r="W121" s="73" t="s">
        <v>3062</v>
      </c>
    </row>
    <row r="122" spans="1:23" ht="15.75" thickBot="1" x14ac:dyDescent="0.3">
      <c r="A122" s="69">
        <v>120</v>
      </c>
      <c r="B122" s="69">
        <v>3</v>
      </c>
      <c r="C122" s="69">
        <f>HEX2DEC(B122+Items!$A$4)</f>
        <v>16908291</v>
      </c>
      <c r="D122" s="65" t="s">
        <v>2442</v>
      </c>
      <c r="E122" s="71">
        <v>44</v>
      </c>
      <c r="F122" s="72" t="s">
        <v>2384</v>
      </c>
      <c r="G122" s="69">
        <v>14</v>
      </c>
      <c r="H122" s="69">
        <v>1</v>
      </c>
      <c r="I122" s="69">
        <v>0</v>
      </c>
      <c r="J122" s="69">
        <v>0</v>
      </c>
      <c r="K122" s="69">
        <v>0</v>
      </c>
      <c r="L122" s="66" t="s">
        <v>2638</v>
      </c>
      <c r="M122" s="65" t="str">
        <f t="shared" si="8"/>
        <v>b_gui_ig_i_a_pos_a2_055</v>
      </c>
      <c r="N122" s="70" t="s">
        <v>2811</v>
      </c>
      <c r="O122" s="69" t="s">
        <v>2781</v>
      </c>
      <c r="P122" s="69">
        <v>2</v>
      </c>
      <c r="Q122" s="69">
        <v>2</v>
      </c>
      <c r="R122" s="69"/>
      <c r="S122" s="69"/>
      <c r="T122" s="73" t="str">
        <f t="shared" si="6"/>
        <v>DA_bd_bl_f_g_c_fun</v>
      </c>
      <c r="U122" s="73" t="str">
        <f t="shared" si="7"/>
        <v>/Game/DungeonSiege/Items/Armor/Body/DA_bd_bl_f_g_c_fun</v>
      </c>
      <c r="V122" s="73" t="str">
        <f t="shared" si="5"/>
        <v>Texture2D'/Game/DungeonSiege/art/bitmaps/gui/in_game/inventory/armor/body_armor/b_gui_ig_i_a_pos_a2_055.b_gui_ig_i_a_pos_a2_055'</v>
      </c>
      <c r="W122" s="73" t="s">
        <v>3062</v>
      </c>
    </row>
    <row r="123" spans="1:23" ht="15.75" thickBot="1" x14ac:dyDescent="0.3">
      <c r="A123" s="69">
        <v>121</v>
      </c>
      <c r="B123" s="69">
        <v>4</v>
      </c>
      <c r="C123" s="69">
        <f>HEX2DEC(B123+Items!$A$4)</f>
        <v>16908292</v>
      </c>
      <c r="D123" s="65" t="s">
        <v>2443</v>
      </c>
      <c r="E123" s="71">
        <v>35</v>
      </c>
      <c r="F123" s="72" t="s">
        <v>2384</v>
      </c>
      <c r="G123" s="69">
        <v>13</v>
      </c>
      <c r="H123" s="69">
        <v>1</v>
      </c>
      <c r="I123" s="69">
        <v>0</v>
      </c>
      <c r="J123" s="69">
        <v>0</v>
      </c>
      <c r="K123" s="69">
        <v>0</v>
      </c>
      <c r="L123" s="66" t="s">
        <v>2639</v>
      </c>
      <c r="M123" s="65" t="str">
        <f t="shared" si="8"/>
        <v>b_gui_ig_i_a_pos_a2_054</v>
      </c>
      <c r="N123" s="70" t="s">
        <v>2812</v>
      </c>
      <c r="O123" s="69" t="s">
        <v>2781</v>
      </c>
      <c r="P123" s="69">
        <v>2</v>
      </c>
      <c r="Q123" s="69">
        <v>2</v>
      </c>
      <c r="R123" s="69"/>
      <c r="S123" s="69"/>
      <c r="T123" s="73" t="str">
        <f t="shared" si="6"/>
        <v>DA_bd_bl_f_g_c_low</v>
      </c>
      <c r="U123" s="73" t="str">
        <f t="shared" si="7"/>
        <v>/Game/DungeonSiege/Items/Armor/Body/DA_bd_bl_f_g_c_low</v>
      </c>
      <c r="V123" s="73" t="str">
        <f t="shared" si="5"/>
        <v>Texture2D'/Game/DungeonSiege/art/bitmaps/gui/in_game/inventory/armor/body_armor/b_gui_ig_i_a_pos_a2_054.b_gui_ig_i_a_pos_a2_054'</v>
      </c>
      <c r="W123" s="73" t="s">
        <v>3062</v>
      </c>
    </row>
    <row r="124" spans="1:23" ht="15.75" thickBot="1" x14ac:dyDescent="0.3">
      <c r="A124" s="69">
        <v>122</v>
      </c>
      <c r="B124" s="69">
        <v>5</v>
      </c>
      <c r="C124" s="69">
        <f>HEX2DEC(B124+Items!$A$4)</f>
        <v>16908293</v>
      </c>
      <c r="D124" s="65" t="s">
        <v>2444</v>
      </c>
      <c r="E124" s="71">
        <v>33</v>
      </c>
      <c r="F124" s="69"/>
      <c r="G124" s="69"/>
      <c r="H124" s="69">
        <v>1</v>
      </c>
      <c r="I124" s="69">
        <v>0</v>
      </c>
      <c r="J124" s="69">
        <v>0</v>
      </c>
      <c r="K124" s="69">
        <v>0</v>
      </c>
      <c r="L124" s="66" t="s">
        <v>2640</v>
      </c>
      <c r="M124" s="65" t="str">
        <f t="shared" si="8"/>
        <v>b_gui_ig_i_a_pos_a2_024</v>
      </c>
      <c r="N124" s="70" t="s">
        <v>2787</v>
      </c>
      <c r="O124" s="69" t="s">
        <v>2781</v>
      </c>
      <c r="P124" s="69">
        <v>2</v>
      </c>
      <c r="Q124" s="69">
        <v>2</v>
      </c>
      <c r="R124" s="69"/>
      <c r="S124" s="69"/>
      <c r="T124" s="73" t="str">
        <f t="shared" si="6"/>
        <v>DA_bd_bl_m_g_c_avg</v>
      </c>
      <c r="U124" s="73" t="str">
        <f t="shared" si="7"/>
        <v>/Game/DungeonSiege/Items/Armor/Body/DA_bd_bl_m_g_c_avg</v>
      </c>
      <c r="V124" s="73" t="str">
        <f t="shared" si="5"/>
        <v>Texture2D'/Game/DungeonSiege/art/bitmaps/gui/in_game/inventory/armor/body_armor/b_gui_ig_i_a_pos_a2_024.b_gui_ig_i_a_pos_a2_024'</v>
      </c>
      <c r="W124" s="73" t="s">
        <v>3062</v>
      </c>
    </row>
    <row r="125" spans="1:23" ht="15.75" thickBot="1" x14ac:dyDescent="0.3">
      <c r="A125" s="69">
        <v>123</v>
      </c>
      <c r="B125" s="69">
        <v>6</v>
      </c>
      <c r="C125" s="69">
        <f>HEX2DEC(B125+Items!$A$4)</f>
        <v>16908294</v>
      </c>
      <c r="D125" s="65" t="s">
        <v>2444</v>
      </c>
      <c r="E125" s="71">
        <v>40</v>
      </c>
      <c r="F125" s="69"/>
      <c r="G125" s="69"/>
      <c r="H125" s="69">
        <v>0</v>
      </c>
      <c r="I125" s="69">
        <v>1</v>
      </c>
      <c r="J125" s="69">
        <v>0</v>
      </c>
      <c r="K125" s="69">
        <v>0</v>
      </c>
      <c r="L125" s="66" t="s">
        <v>2641</v>
      </c>
      <c r="M125" s="65" t="str">
        <f t="shared" si="8"/>
        <v>b_gui_ig_i_a_pos_a2_025</v>
      </c>
      <c r="N125" s="70" t="s">
        <v>2788</v>
      </c>
      <c r="O125" s="69" t="s">
        <v>2781</v>
      </c>
      <c r="P125" s="69">
        <v>2</v>
      </c>
      <c r="Q125" s="69">
        <v>2</v>
      </c>
      <c r="R125" s="69">
        <v>1</v>
      </c>
      <c r="S125" s="69">
        <v>5</v>
      </c>
      <c r="T125" s="73" t="str">
        <f t="shared" si="6"/>
        <v>DA_bd_bl_m_g_c_avg_c_fin</v>
      </c>
      <c r="U125" s="73" t="str">
        <f t="shared" si="7"/>
        <v>/Game/DungeonSiege/Items/Armor/Body/DA_bd_bl_m_g_c_avg_c_fin</v>
      </c>
      <c r="V125" s="73" t="str">
        <f t="shared" si="5"/>
        <v>Texture2D'/Game/DungeonSiege/art/bitmaps/gui/in_game/inventory/armor/body_armor/b_gui_ig_i_a_pos_a2_025.b_gui_ig_i_a_pos_a2_025'</v>
      </c>
      <c r="W125" s="73" t="s">
        <v>3062</v>
      </c>
    </row>
    <row r="126" spans="1:23" ht="15.75" thickBot="1" x14ac:dyDescent="0.3">
      <c r="A126" s="69">
        <v>124</v>
      </c>
      <c r="B126" s="69">
        <v>7</v>
      </c>
      <c r="C126" s="69">
        <f>HEX2DEC(B126+Items!$A$4)</f>
        <v>16908295</v>
      </c>
      <c r="D126" s="65" t="s">
        <v>2444</v>
      </c>
      <c r="E126" s="71">
        <v>61</v>
      </c>
      <c r="F126" s="69"/>
      <c r="G126" s="69"/>
      <c r="H126" s="69">
        <v>0</v>
      </c>
      <c r="I126" s="69">
        <v>1</v>
      </c>
      <c r="J126" s="69">
        <v>1</v>
      </c>
      <c r="K126" s="69">
        <v>1</v>
      </c>
      <c r="L126" s="66" t="s">
        <v>2642</v>
      </c>
      <c r="M126" s="65" t="str">
        <f t="shared" si="8"/>
        <v>b_gui_ig_i_a_pos_a3_003</v>
      </c>
      <c r="N126" s="70" t="s">
        <v>2795</v>
      </c>
      <c r="O126" s="69" t="s">
        <v>2782</v>
      </c>
      <c r="P126" s="69">
        <v>2</v>
      </c>
      <c r="Q126" s="69">
        <v>2</v>
      </c>
      <c r="R126" s="69">
        <v>7</v>
      </c>
      <c r="S126" s="69">
        <v>14</v>
      </c>
      <c r="T126" s="73" t="str">
        <f t="shared" si="6"/>
        <v>DA_bd_bl_m_g_c_avg_o_fin</v>
      </c>
      <c r="U126" s="73" t="str">
        <f t="shared" si="7"/>
        <v>/Game/DungeonSiege/Items/Armor/Body/DA_bd_bl_m_g_c_avg_o_fin</v>
      </c>
      <c r="V126" s="73" t="str">
        <f t="shared" si="5"/>
        <v>Texture2D'/Game/DungeonSiege/art/bitmaps/gui/in_game/inventory/armor/body_armor/b_gui_ig_i_a_pos_a3_003.b_gui_ig_i_a_pos_a3_003'</v>
      </c>
      <c r="W126" s="73" t="s">
        <v>3062</v>
      </c>
    </row>
    <row r="127" spans="1:23" ht="15.75" thickBot="1" x14ac:dyDescent="0.3">
      <c r="A127" s="69">
        <v>125</v>
      </c>
      <c r="B127" s="69">
        <v>8</v>
      </c>
      <c r="C127" s="69">
        <f>HEX2DEC(B127+Items!$A$4)</f>
        <v>16908296</v>
      </c>
      <c r="D127" s="65" t="s">
        <v>2445</v>
      </c>
      <c r="E127" s="71">
        <v>39</v>
      </c>
      <c r="F127" s="72" t="s">
        <v>2384</v>
      </c>
      <c r="G127" s="69">
        <v>12</v>
      </c>
      <c r="H127" s="69">
        <v>1</v>
      </c>
      <c r="I127" s="69">
        <v>0</v>
      </c>
      <c r="J127" s="69">
        <v>0</v>
      </c>
      <c r="K127" s="69">
        <v>0</v>
      </c>
      <c r="L127" s="66" t="s">
        <v>2643</v>
      </c>
      <c r="M127" s="65" t="str">
        <f t="shared" si="8"/>
        <v>b_gui_ig_i_a_pos_a3_002</v>
      </c>
      <c r="N127" s="70" t="s">
        <v>2504</v>
      </c>
      <c r="O127" s="69" t="s">
        <v>2782</v>
      </c>
      <c r="P127" s="69">
        <v>2</v>
      </c>
      <c r="Q127" s="69">
        <v>2</v>
      </c>
      <c r="R127" s="69"/>
      <c r="S127" s="69"/>
      <c r="T127" s="73" t="str">
        <f t="shared" si="6"/>
        <v>DA_bd_bl_r_g_c_avg</v>
      </c>
      <c r="U127" s="73" t="str">
        <f t="shared" si="7"/>
        <v>/Game/DungeonSiege/Items/Armor/Body/DA_bd_bl_r_g_c_avg</v>
      </c>
      <c r="V127" s="73" t="str">
        <f t="shared" si="5"/>
        <v>Texture2D'/Game/DungeonSiege/art/bitmaps/gui/in_game/inventory/armor/body_armor/b_gui_ig_i_a_pos_a3_002.b_gui_ig_i_a_pos_a3_002'</v>
      </c>
      <c r="W127" s="73" t="s">
        <v>3062</v>
      </c>
    </row>
    <row r="128" spans="1:23" ht="15.75" thickBot="1" x14ac:dyDescent="0.3">
      <c r="A128" s="69">
        <v>126</v>
      </c>
      <c r="B128" s="69">
        <v>9</v>
      </c>
      <c r="C128" s="69">
        <f>HEX2DEC(B128+Items!$A$4)</f>
        <v>16908297</v>
      </c>
      <c r="D128" s="65" t="s">
        <v>2445</v>
      </c>
      <c r="E128" s="71">
        <v>80</v>
      </c>
      <c r="F128" s="72" t="s">
        <v>2384</v>
      </c>
      <c r="G128" s="69">
        <v>15</v>
      </c>
      <c r="H128" s="69">
        <v>0</v>
      </c>
      <c r="I128" s="69">
        <v>1</v>
      </c>
      <c r="J128" s="69">
        <v>1</v>
      </c>
      <c r="K128" s="69">
        <v>1</v>
      </c>
      <c r="L128" s="66" t="s">
        <v>2644</v>
      </c>
      <c r="M128" s="65" t="str">
        <f t="shared" si="8"/>
        <v>b_gui_ig_i_a_pos_a2_023</v>
      </c>
      <c r="N128" s="70" t="s">
        <v>2786</v>
      </c>
      <c r="O128" s="69" t="s">
        <v>2781</v>
      </c>
      <c r="P128" s="69">
        <v>2</v>
      </c>
      <c r="Q128" s="69">
        <v>2</v>
      </c>
      <c r="R128" s="69">
        <v>5</v>
      </c>
      <c r="S128" s="69">
        <v>11</v>
      </c>
      <c r="T128" s="73" t="str">
        <f t="shared" si="6"/>
        <v>DA_bd_bl_r_g_c_avg_o_fin</v>
      </c>
      <c r="U128" s="73" t="str">
        <f t="shared" si="7"/>
        <v>/Game/DungeonSiege/Items/Armor/Body/DA_bd_bl_r_g_c_avg_o_fin</v>
      </c>
      <c r="V128" s="73" t="str">
        <f t="shared" si="5"/>
        <v>Texture2D'/Game/DungeonSiege/art/bitmaps/gui/in_game/inventory/armor/body_armor/b_gui_ig_i_a_pos_a2_023.b_gui_ig_i_a_pos_a2_023'</v>
      </c>
      <c r="W128" s="73" t="s">
        <v>3062</v>
      </c>
    </row>
    <row r="129" spans="1:23" ht="15.75" thickBot="1" x14ac:dyDescent="0.3">
      <c r="A129" s="69">
        <v>127</v>
      </c>
      <c r="B129" s="69">
        <v>10</v>
      </c>
      <c r="C129" s="69">
        <f>HEX2DEC(B129+Items!$A$4)</f>
        <v>16908304</v>
      </c>
      <c r="D129" s="65" t="s">
        <v>2446</v>
      </c>
      <c r="E129" s="71">
        <v>10</v>
      </c>
      <c r="F129" s="69"/>
      <c r="G129" s="69"/>
      <c r="H129" s="69">
        <v>1</v>
      </c>
      <c r="I129" s="69">
        <v>0</v>
      </c>
      <c r="J129" s="69">
        <v>0</v>
      </c>
      <c r="K129" s="69">
        <v>0</v>
      </c>
      <c r="L129" s="66" t="s">
        <v>2645</v>
      </c>
      <c r="M129" s="65" t="str">
        <f t="shared" si="8"/>
        <v>b_gui_ig_i_a_pos_a1_001</v>
      </c>
      <c r="N129" s="70" t="s">
        <v>2499</v>
      </c>
      <c r="O129" s="69" t="s">
        <v>2797</v>
      </c>
      <c r="P129" s="69">
        <v>2</v>
      </c>
      <c r="Q129" s="69">
        <v>2</v>
      </c>
      <c r="R129" s="69"/>
      <c r="S129" s="69"/>
      <c r="T129" s="73" t="str">
        <f t="shared" si="6"/>
        <v>DA_bd_le_f_g_c_avg</v>
      </c>
      <c r="U129" s="73" t="str">
        <f t="shared" si="7"/>
        <v>/Game/DungeonSiege/Items/Armor/Body/DA_bd_le_f_g_c_avg</v>
      </c>
      <c r="V129" s="73" t="str">
        <f t="shared" si="5"/>
        <v>Texture2D'/Game/DungeonSiege/art/bitmaps/gui/in_game/inventory/armor/body_armor/b_gui_ig_i_a_pos_a1_001.b_gui_ig_i_a_pos_a1_001'</v>
      </c>
      <c r="W129" s="73" t="s">
        <v>3062</v>
      </c>
    </row>
    <row r="130" spans="1:23" ht="15.75" thickBot="1" x14ac:dyDescent="0.3">
      <c r="A130" s="69">
        <v>128</v>
      </c>
      <c r="B130" s="69">
        <v>11</v>
      </c>
      <c r="C130" s="69">
        <f>HEX2DEC(B130+Items!$A$4)</f>
        <v>16908305</v>
      </c>
      <c r="D130" s="65" t="s">
        <v>2446</v>
      </c>
      <c r="E130" s="71">
        <v>23</v>
      </c>
      <c r="F130" s="72" t="s">
        <v>2384</v>
      </c>
      <c r="G130" s="69">
        <v>12</v>
      </c>
      <c r="H130" s="69">
        <v>0</v>
      </c>
      <c r="I130" s="69">
        <v>1</v>
      </c>
      <c r="J130" s="69">
        <v>0</v>
      </c>
      <c r="K130" s="69">
        <v>0</v>
      </c>
      <c r="L130" s="66" t="s">
        <v>2646</v>
      </c>
      <c r="M130" s="65" t="str">
        <f t="shared" si="8"/>
        <v>b_gui_ig_i_a_pos_a1_042</v>
      </c>
      <c r="N130" s="70" t="s">
        <v>2813</v>
      </c>
      <c r="O130" s="69" t="s">
        <v>2797</v>
      </c>
      <c r="P130" s="69">
        <v>2</v>
      </c>
      <c r="Q130" s="69">
        <v>2</v>
      </c>
      <c r="R130" s="69">
        <v>1</v>
      </c>
      <c r="S130" s="69">
        <v>2</v>
      </c>
      <c r="T130" s="73" t="str">
        <f t="shared" si="6"/>
        <v>DA_bd_le_f_g_c_avg_c_fin</v>
      </c>
      <c r="U130" s="73" t="str">
        <f t="shared" si="7"/>
        <v>/Game/DungeonSiege/Items/Armor/Body/DA_bd_le_f_g_c_avg_c_fin</v>
      </c>
      <c r="V130" s="73" t="str">
        <f t="shared" ref="V130:V193" si="9">CONCATENATE("Texture2D'/Game/DungeonSiege/art/bitmaps/gui/in_game/inventory/armor/body_armor/",M130,".",M130,"'")</f>
        <v>Texture2D'/Game/DungeonSiege/art/bitmaps/gui/in_game/inventory/armor/body_armor/b_gui_ig_i_a_pos_a1_042.b_gui_ig_i_a_pos_a1_042'</v>
      </c>
      <c r="W130" s="73" t="s">
        <v>3062</v>
      </c>
    </row>
    <row r="131" spans="1:23" ht="15.75" thickBot="1" x14ac:dyDescent="0.3">
      <c r="A131" s="69">
        <v>129</v>
      </c>
      <c r="B131" s="69">
        <v>12</v>
      </c>
      <c r="C131" s="69">
        <f>HEX2DEC(B131+Items!$A$4)</f>
        <v>16908306</v>
      </c>
      <c r="D131" s="65" t="s">
        <v>2446</v>
      </c>
      <c r="E131" s="71">
        <v>60</v>
      </c>
      <c r="F131" s="72" t="s">
        <v>2384</v>
      </c>
      <c r="G131" s="69">
        <v>16</v>
      </c>
      <c r="H131" s="69">
        <v>0</v>
      </c>
      <c r="I131" s="69">
        <v>1</v>
      </c>
      <c r="J131" s="69">
        <v>1</v>
      </c>
      <c r="K131" s="69">
        <v>1</v>
      </c>
      <c r="L131" s="66" t="s">
        <v>2647</v>
      </c>
      <c r="M131" s="65" t="str">
        <f t="shared" si="8"/>
        <v>b_gui_ig_i_a_pos_a1_043</v>
      </c>
      <c r="N131" s="70" t="s">
        <v>2814</v>
      </c>
      <c r="O131" s="69" t="s">
        <v>2797</v>
      </c>
      <c r="P131" s="69">
        <v>2</v>
      </c>
      <c r="Q131" s="69">
        <v>2</v>
      </c>
      <c r="R131" s="69">
        <v>2</v>
      </c>
      <c r="S131" s="69">
        <v>5</v>
      </c>
      <c r="T131" s="73" t="str">
        <f t="shared" ref="T131:T194" si="10" xml:space="preserve"> CONCATENATE("DA_",SUBSTITUTE(L131,":","_"))</f>
        <v>DA_bd_le_f_g_c_avg_o_fin</v>
      </c>
      <c r="U131" s="73" t="str">
        <f t="shared" ref="U131:U194" si="11">"/Game/DungeonSiege/Items/Armor/Body/" &amp; T131</f>
        <v>/Game/DungeonSiege/Items/Armor/Body/DA_bd_le_f_g_c_avg_o_fin</v>
      </c>
      <c r="V131" s="73" t="str">
        <f t="shared" si="9"/>
        <v>Texture2D'/Game/DungeonSiege/art/bitmaps/gui/in_game/inventory/armor/body_armor/b_gui_ig_i_a_pos_a1_043.b_gui_ig_i_a_pos_a1_043'</v>
      </c>
      <c r="W131" s="73" t="s">
        <v>3062</v>
      </c>
    </row>
    <row r="132" spans="1:23" ht="15.75" thickBot="1" x14ac:dyDescent="0.3">
      <c r="A132" s="69">
        <v>130</v>
      </c>
      <c r="B132" s="69">
        <v>13</v>
      </c>
      <c r="C132" s="69">
        <f>HEX2DEC(B132+Items!$A$4)</f>
        <v>16908307</v>
      </c>
      <c r="D132" s="65" t="s">
        <v>2447</v>
      </c>
      <c r="E132" s="71">
        <v>6</v>
      </c>
      <c r="F132" s="69"/>
      <c r="G132" s="69"/>
      <c r="H132" s="69">
        <v>1</v>
      </c>
      <c r="I132" s="69">
        <v>0</v>
      </c>
      <c r="J132" s="69">
        <v>0</v>
      </c>
      <c r="K132" s="69">
        <v>0</v>
      </c>
      <c r="L132" s="66" t="s">
        <v>2648</v>
      </c>
      <c r="M132" s="65" t="str">
        <f t="shared" si="8"/>
        <v>b_gui_ig_i_a_pos_a1_077</v>
      </c>
      <c r="N132" s="70" t="s">
        <v>2815</v>
      </c>
      <c r="O132" s="69" t="s">
        <v>2797</v>
      </c>
      <c r="P132" s="69">
        <v>2</v>
      </c>
      <c r="Q132" s="69">
        <v>2</v>
      </c>
      <c r="R132" s="69"/>
      <c r="S132" s="69"/>
      <c r="T132" s="73" t="str">
        <f t="shared" si="10"/>
        <v>DA_bd_le_f_g_c_fun</v>
      </c>
      <c r="U132" s="73" t="str">
        <f t="shared" si="11"/>
        <v>/Game/DungeonSiege/Items/Armor/Body/DA_bd_le_f_g_c_fun</v>
      </c>
      <c r="V132" s="73" t="str">
        <f t="shared" si="9"/>
        <v>Texture2D'/Game/DungeonSiege/art/bitmaps/gui/in_game/inventory/armor/body_armor/b_gui_ig_i_a_pos_a1_077.b_gui_ig_i_a_pos_a1_077'</v>
      </c>
      <c r="W132" s="73" t="s">
        <v>3062</v>
      </c>
    </row>
    <row r="133" spans="1:23" ht="15.75" thickBot="1" x14ac:dyDescent="0.3">
      <c r="A133" s="69">
        <v>131</v>
      </c>
      <c r="B133" s="69">
        <v>14</v>
      </c>
      <c r="C133" s="69">
        <f>HEX2DEC(B133+Items!$A$4)</f>
        <v>16908308</v>
      </c>
      <c r="D133" s="65" t="s">
        <v>2448</v>
      </c>
      <c r="E133" s="71">
        <v>4</v>
      </c>
      <c r="F133" s="69"/>
      <c r="G133" s="69"/>
      <c r="H133" s="69">
        <v>1</v>
      </c>
      <c r="I133" s="69">
        <v>0</v>
      </c>
      <c r="J133" s="69">
        <v>0</v>
      </c>
      <c r="K133" s="69">
        <v>0</v>
      </c>
      <c r="L133" s="66" t="s">
        <v>2649</v>
      </c>
      <c r="M133" s="65" t="str">
        <f t="shared" si="8"/>
        <v>b_gui_ig_i_a_pos_a1_076</v>
      </c>
      <c r="N133" s="70" t="s">
        <v>2816</v>
      </c>
      <c r="O133" s="69" t="s">
        <v>2797</v>
      </c>
      <c r="P133" s="69">
        <v>2</v>
      </c>
      <c r="Q133" s="69">
        <v>2</v>
      </c>
      <c r="R133" s="69"/>
      <c r="S133" s="69"/>
      <c r="T133" s="73" t="str">
        <f t="shared" si="10"/>
        <v>DA_bd_le_f_g_c_low</v>
      </c>
      <c r="U133" s="73" t="str">
        <f t="shared" si="11"/>
        <v>/Game/DungeonSiege/Items/Armor/Body/DA_bd_le_f_g_c_low</v>
      </c>
      <c r="V133" s="73" t="str">
        <f t="shared" si="9"/>
        <v>Texture2D'/Game/DungeonSiege/art/bitmaps/gui/in_game/inventory/armor/body_armor/b_gui_ig_i_a_pos_a1_076.b_gui_ig_i_a_pos_a1_076'</v>
      </c>
      <c r="W133" s="73" t="s">
        <v>3062</v>
      </c>
    </row>
    <row r="134" spans="1:23" ht="15.75" thickBot="1" x14ac:dyDescent="0.3">
      <c r="A134" s="69">
        <v>132</v>
      </c>
      <c r="B134" s="69">
        <v>15</v>
      </c>
      <c r="C134" s="69">
        <f>HEX2DEC(B134+Items!$A$4)</f>
        <v>16908309</v>
      </c>
      <c r="D134" s="65" t="s">
        <v>2449</v>
      </c>
      <c r="E134" s="71">
        <v>10</v>
      </c>
      <c r="F134" s="69"/>
      <c r="G134" s="69"/>
      <c r="H134" s="69">
        <v>1</v>
      </c>
      <c r="I134" s="69">
        <v>0</v>
      </c>
      <c r="J134" s="69">
        <v>0</v>
      </c>
      <c r="K134" s="69">
        <v>0</v>
      </c>
      <c r="L134" s="66" t="s">
        <v>2650</v>
      </c>
      <c r="M134" s="65" t="str">
        <f t="shared" si="8"/>
        <v>b_gui_ig_i_a_pos_a1_045</v>
      </c>
      <c r="N134" s="70" t="s">
        <v>2817</v>
      </c>
      <c r="O134" s="69" t="s">
        <v>2797</v>
      </c>
      <c r="P134" s="69">
        <v>2</v>
      </c>
      <c r="Q134" s="69">
        <v>2</v>
      </c>
      <c r="R134" s="69"/>
      <c r="S134" s="69"/>
      <c r="T134" s="73" t="str">
        <f t="shared" si="10"/>
        <v>DA_bd_le_m_g_c_avg</v>
      </c>
      <c r="U134" s="73" t="str">
        <f t="shared" si="11"/>
        <v>/Game/DungeonSiege/Items/Armor/Body/DA_bd_le_m_g_c_avg</v>
      </c>
      <c r="V134" s="73" t="str">
        <f t="shared" si="9"/>
        <v>Texture2D'/Game/DungeonSiege/art/bitmaps/gui/in_game/inventory/armor/body_armor/b_gui_ig_i_a_pos_a1_045.b_gui_ig_i_a_pos_a1_045'</v>
      </c>
      <c r="W134" s="73" t="s">
        <v>3062</v>
      </c>
    </row>
    <row r="135" spans="1:23" ht="15.75" thickBot="1" x14ac:dyDescent="0.3">
      <c r="A135" s="69">
        <v>133</v>
      </c>
      <c r="B135" s="69">
        <v>16</v>
      </c>
      <c r="C135" s="69">
        <f>HEX2DEC(B135+Items!$A$4)</f>
        <v>16908310</v>
      </c>
      <c r="D135" s="65" t="s">
        <v>2449</v>
      </c>
      <c r="E135" s="71">
        <v>55</v>
      </c>
      <c r="F135" s="69"/>
      <c r="G135" s="69"/>
      <c r="H135" s="69">
        <v>0</v>
      </c>
      <c r="I135" s="69">
        <v>1</v>
      </c>
      <c r="J135" s="69">
        <v>0</v>
      </c>
      <c r="K135" s="69">
        <v>0</v>
      </c>
      <c r="L135" s="66" t="s">
        <v>2651</v>
      </c>
      <c r="M135" s="65" t="str">
        <f t="shared" si="8"/>
        <v>b_gui_ig_i_a_pos_a1_021</v>
      </c>
      <c r="N135" s="70" t="s">
        <v>2796</v>
      </c>
      <c r="O135" s="69" t="s">
        <v>2797</v>
      </c>
      <c r="P135" s="69">
        <v>2</v>
      </c>
      <c r="Q135" s="69">
        <v>2</v>
      </c>
      <c r="R135" s="69">
        <v>7</v>
      </c>
      <c r="S135" s="69">
        <v>14</v>
      </c>
      <c r="T135" s="73" t="str">
        <f t="shared" si="10"/>
        <v>DA_bd_le_m_g_c_avg_c_str</v>
      </c>
      <c r="U135" s="73" t="str">
        <f t="shared" si="11"/>
        <v>/Game/DungeonSiege/Items/Armor/Body/DA_bd_le_m_g_c_avg_c_str</v>
      </c>
      <c r="V135" s="73" t="str">
        <f t="shared" si="9"/>
        <v>Texture2D'/Game/DungeonSiege/art/bitmaps/gui/in_game/inventory/armor/body_armor/b_gui_ig_i_a_pos_a1_021.b_gui_ig_i_a_pos_a1_021'</v>
      </c>
      <c r="W135" s="73" t="s">
        <v>3062</v>
      </c>
    </row>
    <row r="136" spans="1:23" ht="15.75" thickBot="1" x14ac:dyDescent="0.3">
      <c r="A136" s="69">
        <v>134</v>
      </c>
      <c r="B136" s="69">
        <v>17</v>
      </c>
      <c r="C136" s="69">
        <f>HEX2DEC(B136+Items!$A$4)</f>
        <v>16908311</v>
      </c>
      <c r="D136" s="65" t="s">
        <v>2449</v>
      </c>
      <c r="E136" s="71">
        <v>27</v>
      </c>
      <c r="F136" s="69"/>
      <c r="G136" s="69"/>
      <c r="H136" s="69">
        <v>0</v>
      </c>
      <c r="I136" s="69">
        <v>1</v>
      </c>
      <c r="J136" s="69">
        <v>1</v>
      </c>
      <c r="K136" s="69">
        <v>1</v>
      </c>
      <c r="L136" s="66" t="s">
        <v>2652</v>
      </c>
      <c r="M136" s="65" t="str">
        <f t="shared" si="8"/>
        <v>b_gui_ig_i_a_pos_a1_003</v>
      </c>
      <c r="N136" s="70" t="s">
        <v>2795</v>
      </c>
      <c r="O136" s="69" t="s">
        <v>2797</v>
      </c>
      <c r="P136" s="69">
        <v>2</v>
      </c>
      <c r="Q136" s="69">
        <v>2</v>
      </c>
      <c r="R136" s="69">
        <v>2</v>
      </c>
      <c r="S136" s="69">
        <v>5</v>
      </c>
      <c r="T136" s="73" t="str">
        <f t="shared" si="10"/>
        <v>DA_bd_le_m_g_c_avg_o_avg</v>
      </c>
      <c r="U136" s="73" t="str">
        <f t="shared" si="11"/>
        <v>/Game/DungeonSiege/Items/Armor/Body/DA_bd_le_m_g_c_avg_o_avg</v>
      </c>
      <c r="V136" s="73" t="str">
        <f t="shared" si="9"/>
        <v>Texture2D'/Game/DungeonSiege/art/bitmaps/gui/in_game/inventory/armor/body_armor/b_gui_ig_i_a_pos_a1_003.b_gui_ig_i_a_pos_a1_003'</v>
      </c>
      <c r="W136" s="73" t="s">
        <v>3062</v>
      </c>
    </row>
    <row r="137" spans="1:23" ht="15.75" thickBot="1" x14ac:dyDescent="0.3">
      <c r="A137" s="69">
        <v>135</v>
      </c>
      <c r="B137" s="69">
        <v>18</v>
      </c>
      <c r="C137" s="69">
        <f>HEX2DEC(B137+Items!$A$4)</f>
        <v>16908312</v>
      </c>
      <c r="D137" s="65" t="s">
        <v>2449</v>
      </c>
      <c r="E137" s="71">
        <v>40</v>
      </c>
      <c r="F137" s="69"/>
      <c r="G137" s="69"/>
      <c r="H137" s="69">
        <v>0</v>
      </c>
      <c r="I137" s="69">
        <v>1</v>
      </c>
      <c r="J137" s="69">
        <v>1</v>
      </c>
      <c r="K137" s="69">
        <v>1</v>
      </c>
      <c r="L137" s="66" t="s">
        <v>2653</v>
      </c>
      <c r="M137" s="65" t="str">
        <f t="shared" si="8"/>
        <v>b_gui_ig_i_a_pos_a2_015</v>
      </c>
      <c r="N137" s="70" t="s">
        <v>2506</v>
      </c>
      <c r="O137" s="69" t="s">
        <v>2781</v>
      </c>
      <c r="P137" s="69">
        <v>2</v>
      </c>
      <c r="Q137" s="69">
        <v>2</v>
      </c>
      <c r="R137" s="69">
        <v>4</v>
      </c>
      <c r="S137" s="69">
        <v>9</v>
      </c>
      <c r="T137" s="73" t="str">
        <f t="shared" si="10"/>
        <v>DA_bd_le_m_g_c_avg_o_fin</v>
      </c>
      <c r="U137" s="73" t="str">
        <f t="shared" si="11"/>
        <v>/Game/DungeonSiege/Items/Armor/Body/DA_bd_le_m_g_c_avg_o_fin</v>
      </c>
      <c r="V137" s="73" t="str">
        <f t="shared" si="9"/>
        <v>Texture2D'/Game/DungeonSiege/art/bitmaps/gui/in_game/inventory/armor/body_armor/b_gui_ig_i_a_pos_a2_015.b_gui_ig_i_a_pos_a2_015'</v>
      </c>
      <c r="W137" s="73" t="s">
        <v>3062</v>
      </c>
    </row>
    <row r="138" spans="1:23" ht="15.75" thickBot="1" x14ac:dyDescent="0.3">
      <c r="A138" s="69">
        <v>136</v>
      </c>
      <c r="B138" s="69">
        <v>19</v>
      </c>
      <c r="C138" s="69">
        <f>HEX2DEC(B138+Items!$A$4)</f>
        <v>16908313</v>
      </c>
      <c r="D138" s="65" t="s">
        <v>2450</v>
      </c>
      <c r="E138" s="71">
        <v>11</v>
      </c>
      <c r="F138" s="69"/>
      <c r="G138" s="69"/>
      <c r="H138" s="69">
        <v>1</v>
      </c>
      <c r="I138" s="69">
        <v>0</v>
      </c>
      <c r="J138" s="69">
        <v>0</v>
      </c>
      <c r="K138" s="69">
        <v>0</v>
      </c>
      <c r="L138" s="66" t="s">
        <v>2654</v>
      </c>
      <c r="M138" s="65" t="str">
        <f t="shared" si="8"/>
        <v>b_gui_ig_i_a_pos_a1_002</v>
      </c>
      <c r="N138" s="70" t="s">
        <v>2504</v>
      </c>
      <c r="O138" s="69" t="s">
        <v>2797</v>
      </c>
      <c r="P138" s="69">
        <v>2</v>
      </c>
      <c r="Q138" s="69">
        <v>2</v>
      </c>
      <c r="R138" s="69"/>
      <c r="S138" s="69"/>
      <c r="T138" s="73" t="str">
        <f t="shared" si="10"/>
        <v>DA_bd_le_r_g_c_avg</v>
      </c>
      <c r="U138" s="73" t="str">
        <f t="shared" si="11"/>
        <v>/Game/DungeonSiege/Items/Armor/Body/DA_bd_le_r_g_c_avg</v>
      </c>
      <c r="V138" s="73" t="str">
        <f t="shared" si="9"/>
        <v>Texture2D'/Game/DungeonSiege/art/bitmaps/gui/in_game/inventory/armor/body_armor/b_gui_ig_i_a_pos_a1_002.b_gui_ig_i_a_pos_a1_002'</v>
      </c>
      <c r="W138" s="73" t="s">
        <v>3062</v>
      </c>
    </row>
    <row r="139" spans="1:23" ht="15.75" thickBot="1" x14ac:dyDescent="0.3">
      <c r="A139" s="69">
        <v>137</v>
      </c>
      <c r="B139" s="69">
        <v>20</v>
      </c>
      <c r="C139" s="69">
        <f>HEX2DEC(B139+Items!$A$4)</f>
        <v>16908320</v>
      </c>
      <c r="D139" s="65" t="s">
        <v>2450</v>
      </c>
      <c r="E139" s="71">
        <v>55</v>
      </c>
      <c r="F139" s="72" t="s">
        <v>2384</v>
      </c>
      <c r="G139" s="69">
        <v>13</v>
      </c>
      <c r="H139" s="69">
        <v>0</v>
      </c>
      <c r="I139" s="69">
        <v>1</v>
      </c>
      <c r="J139" s="69">
        <v>1</v>
      </c>
      <c r="K139" s="69">
        <v>1</v>
      </c>
      <c r="L139" s="66" t="s">
        <v>2655</v>
      </c>
      <c r="M139" s="65" t="str">
        <f t="shared" si="8"/>
        <v>b_gui_ig_i_a_pos_a1_044</v>
      </c>
      <c r="N139" s="70" t="s">
        <v>2818</v>
      </c>
      <c r="O139" s="69" t="s">
        <v>2797</v>
      </c>
      <c r="P139" s="69">
        <v>2</v>
      </c>
      <c r="Q139" s="69">
        <v>2</v>
      </c>
      <c r="R139" s="69">
        <v>3</v>
      </c>
      <c r="S139" s="69">
        <v>7</v>
      </c>
      <c r="T139" s="73" t="str">
        <f t="shared" si="10"/>
        <v>DA_bd_le_r_g_c_avg_o_fin</v>
      </c>
      <c r="U139" s="73" t="str">
        <f t="shared" si="11"/>
        <v>/Game/DungeonSiege/Items/Armor/Body/DA_bd_le_r_g_c_avg_o_fin</v>
      </c>
      <c r="V139" s="73" t="str">
        <f t="shared" si="9"/>
        <v>Texture2D'/Game/DungeonSiege/art/bitmaps/gui/in_game/inventory/armor/body_armor/b_gui_ig_i_a_pos_a1_044.b_gui_ig_i_a_pos_a1_044'</v>
      </c>
      <c r="W139" s="73" t="s">
        <v>3062</v>
      </c>
    </row>
    <row r="140" spans="1:23" ht="15.75" thickBot="1" x14ac:dyDescent="0.3">
      <c r="A140" s="69">
        <v>138</v>
      </c>
      <c r="B140" s="69">
        <v>21</v>
      </c>
      <c r="C140" s="69">
        <f>HEX2DEC(B140+Items!$A$4)</f>
        <v>16908321</v>
      </c>
      <c r="D140" s="65" t="s">
        <v>2451</v>
      </c>
      <c r="E140" s="71">
        <v>3</v>
      </c>
      <c r="F140" s="69"/>
      <c r="G140" s="69"/>
      <c r="H140" s="69">
        <v>1</v>
      </c>
      <c r="I140" s="69">
        <v>0</v>
      </c>
      <c r="J140" s="69">
        <v>0</v>
      </c>
      <c r="K140" s="69">
        <v>0</v>
      </c>
      <c r="L140" s="66" t="s">
        <v>2656</v>
      </c>
      <c r="M140" s="65" t="str">
        <f t="shared" si="8"/>
        <v>b_gui_ig_i_a_pos_a1_018</v>
      </c>
      <c r="N140" s="70" t="s">
        <v>2807</v>
      </c>
      <c r="O140" s="69" t="s">
        <v>2797</v>
      </c>
      <c r="P140" s="69">
        <v>2</v>
      </c>
      <c r="Q140" s="69">
        <v>2</v>
      </c>
      <c r="R140" s="69"/>
      <c r="S140" s="69"/>
      <c r="T140" s="73" t="str">
        <f t="shared" si="10"/>
        <v>DA_bd_le_r_g_c_low</v>
      </c>
      <c r="U140" s="73" t="str">
        <f t="shared" si="11"/>
        <v>/Game/DungeonSiege/Items/Armor/Body/DA_bd_le_r_g_c_low</v>
      </c>
      <c r="V140" s="73" t="str">
        <f t="shared" si="9"/>
        <v>Texture2D'/Game/DungeonSiege/art/bitmaps/gui/in_game/inventory/armor/body_armor/b_gui_ig_i_a_pos_a1_018.b_gui_ig_i_a_pos_a1_018'</v>
      </c>
      <c r="W140" s="73" t="s">
        <v>3062</v>
      </c>
    </row>
    <row r="141" spans="1:23" ht="15.75" thickBot="1" x14ac:dyDescent="0.3">
      <c r="A141" s="69">
        <v>139</v>
      </c>
      <c r="B141" s="69">
        <v>22</v>
      </c>
      <c r="C141" s="69">
        <f>HEX2DEC(B141+Items!$A$4)</f>
        <v>16908322</v>
      </c>
      <c r="D141" s="65" t="s">
        <v>2452</v>
      </c>
      <c r="E141" s="71">
        <v>141</v>
      </c>
      <c r="F141" s="72" t="s">
        <v>2384</v>
      </c>
      <c r="G141" s="69">
        <v>24</v>
      </c>
      <c r="H141" s="69">
        <v>1</v>
      </c>
      <c r="I141" s="69">
        <v>0</v>
      </c>
      <c r="J141" s="69">
        <v>1</v>
      </c>
      <c r="K141" s="69">
        <v>1</v>
      </c>
      <c r="L141" s="66" t="s">
        <v>2657</v>
      </c>
      <c r="M141" s="65" t="s">
        <v>2905</v>
      </c>
      <c r="N141" s="70" t="s">
        <v>2809</v>
      </c>
      <c r="O141" s="69" t="s">
        <v>2781</v>
      </c>
      <c r="P141" s="69">
        <v>2</v>
      </c>
      <c r="Q141" s="69">
        <v>2</v>
      </c>
      <c r="R141" s="69"/>
      <c r="S141" s="69"/>
      <c r="T141" s="73" t="str">
        <f t="shared" si="10"/>
        <v>DA_bd_ra_bl_f_g_c_str</v>
      </c>
      <c r="U141" s="73" t="str">
        <f t="shared" si="11"/>
        <v>/Game/DungeonSiege/Items/Armor/Body/DA_bd_ra_bl_f_g_c_str</v>
      </c>
      <c r="V141" s="73" t="str">
        <f t="shared" si="9"/>
        <v>Texture2D'/Game/DungeonSiege/art/bitmaps/gui/in_game/inventory/armor/body_armor/b_gui_ig_i_a_pos_a2_071.b_gui_ig_i_a_pos_a2_071'</v>
      </c>
      <c r="W141" s="73" t="s">
        <v>3062</v>
      </c>
    </row>
    <row r="142" spans="1:23" ht="15.75" thickBot="1" x14ac:dyDescent="0.3">
      <c r="A142" s="69">
        <v>140</v>
      </c>
      <c r="B142" s="69">
        <v>23</v>
      </c>
      <c r="C142" s="69">
        <f>HEX2DEC(B142+Items!$A$4)</f>
        <v>16908323</v>
      </c>
      <c r="D142" s="65" t="s">
        <v>2452</v>
      </c>
      <c r="E142" s="71">
        <v>116</v>
      </c>
      <c r="F142" s="72" t="s">
        <v>2384</v>
      </c>
      <c r="G142" s="69">
        <v>22</v>
      </c>
      <c r="H142" s="69">
        <v>0</v>
      </c>
      <c r="I142" s="69">
        <v>0</v>
      </c>
      <c r="J142" s="69">
        <v>1</v>
      </c>
      <c r="K142" s="69">
        <v>1</v>
      </c>
      <c r="L142" s="66" t="s">
        <v>2658</v>
      </c>
      <c r="M142" s="65" t="s">
        <v>2904</v>
      </c>
      <c r="N142" s="70" t="s">
        <v>2810</v>
      </c>
      <c r="O142" s="69" t="s">
        <v>2781</v>
      </c>
      <c r="P142" s="69">
        <v>2</v>
      </c>
      <c r="Q142" s="69">
        <v>2</v>
      </c>
      <c r="R142" s="69">
        <v>6</v>
      </c>
      <c r="S142" s="69">
        <v>9</v>
      </c>
      <c r="T142" s="73" t="str">
        <f t="shared" si="10"/>
        <v>DA_bd_ra_bl_f_g_c_str_o_fin</v>
      </c>
      <c r="U142" s="73" t="str">
        <f t="shared" si="11"/>
        <v>/Game/DungeonSiege/Items/Armor/Body/DA_bd_ra_bl_f_g_c_str_o_fin</v>
      </c>
      <c r="V142" s="73" t="str">
        <f t="shared" si="9"/>
        <v>Texture2D'/Game/DungeonSiege/art/bitmaps/gui/in_game/inventory/armor/body_armor/b_gui_ig_i_a_pos_a2_072.b_gui_ig_i_a_pos_a2_072'</v>
      </c>
      <c r="W142" s="73" t="s">
        <v>3062</v>
      </c>
    </row>
    <row r="143" spans="1:23" ht="15.75" thickBot="1" x14ac:dyDescent="0.3">
      <c r="A143" s="69">
        <v>141</v>
      </c>
      <c r="B143" s="69">
        <v>24</v>
      </c>
      <c r="C143" s="69">
        <f>HEX2DEC(B143+Items!$A$4)</f>
        <v>16908324</v>
      </c>
      <c r="D143" s="65" t="s">
        <v>2453</v>
      </c>
      <c r="E143" s="71">
        <v>44</v>
      </c>
      <c r="F143" s="69"/>
      <c r="G143" s="69"/>
      <c r="H143" s="69">
        <v>0</v>
      </c>
      <c r="I143" s="69">
        <v>0</v>
      </c>
      <c r="J143" s="69">
        <v>1</v>
      </c>
      <c r="K143" s="69">
        <v>1</v>
      </c>
      <c r="L143" s="66" t="s">
        <v>2659</v>
      </c>
      <c r="M143" s="65" t="s">
        <v>2903</v>
      </c>
      <c r="N143" s="70" t="s">
        <v>2788</v>
      </c>
      <c r="O143" s="69" t="s">
        <v>2781</v>
      </c>
      <c r="P143" s="69">
        <v>2</v>
      </c>
      <c r="Q143" s="69">
        <v>2</v>
      </c>
      <c r="R143" s="69">
        <v>1</v>
      </c>
      <c r="S143" s="69">
        <v>20</v>
      </c>
      <c r="T143" s="73" t="str">
        <f t="shared" si="10"/>
        <v>DA_bd_ra_bl_m_g_c_fin</v>
      </c>
      <c r="U143" s="73" t="str">
        <f t="shared" si="11"/>
        <v>/Game/DungeonSiege/Items/Armor/Body/DA_bd_ra_bl_m_g_c_fin</v>
      </c>
      <c r="V143" s="73" t="str">
        <f t="shared" si="9"/>
        <v>Texture2D'/Game/DungeonSiege/art/bitmaps/gui/in_game/inventory/armor/body_armor/b_gui_ig_i_a_pos_a2_060.b_gui_ig_i_a_pos_a2_060'</v>
      </c>
      <c r="W143" s="73" t="s">
        <v>3062</v>
      </c>
    </row>
    <row r="144" spans="1:23" ht="15.75" thickBot="1" x14ac:dyDescent="0.3">
      <c r="A144" s="69">
        <v>142</v>
      </c>
      <c r="B144" s="69">
        <v>25</v>
      </c>
      <c r="C144" s="69">
        <f>HEX2DEC(B144+Items!$A$4)</f>
        <v>16908325</v>
      </c>
      <c r="D144" s="65" t="s">
        <v>2453</v>
      </c>
      <c r="E144" s="71">
        <v>65</v>
      </c>
      <c r="F144" s="69"/>
      <c r="G144" s="69"/>
      <c r="H144" s="69">
        <v>0</v>
      </c>
      <c r="I144" s="69">
        <v>0</v>
      </c>
      <c r="J144" s="69">
        <v>1</v>
      </c>
      <c r="K144" s="69">
        <v>1</v>
      </c>
      <c r="L144" s="66" t="s">
        <v>2660</v>
      </c>
      <c r="M144" s="65" t="s">
        <v>2902</v>
      </c>
      <c r="N144" s="70" t="s">
        <v>2795</v>
      </c>
      <c r="O144" s="69" t="s">
        <v>2782</v>
      </c>
      <c r="P144" s="69">
        <v>2</v>
      </c>
      <c r="Q144" s="69">
        <v>2</v>
      </c>
      <c r="R144" s="69">
        <v>7</v>
      </c>
      <c r="S144" s="69">
        <v>35</v>
      </c>
      <c r="T144" s="73" t="str">
        <f t="shared" si="10"/>
        <v>DA_bd_ra_bl_m_g_c_fin_o_fin</v>
      </c>
      <c r="U144" s="73" t="str">
        <f t="shared" si="11"/>
        <v>/Game/DungeonSiege/Items/Armor/Body/DA_bd_ra_bl_m_g_c_fin_o_fin</v>
      </c>
      <c r="V144" s="73" t="str">
        <f t="shared" si="9"/>
        <v>Texture2D'/Game/DungeonSiege/art/bitmaps/gui/in_game/inventory/armor/body_armor/b_gui_ig_i_a_pos_a3_037.b_gui_ig_i_a_pos_a3_037'</v>
      </c>
      <c r="W144" s="73" t="s">
        <v>3062</v>
      </c>
    </row>
    <row r="145" spans="1:23" ht="15.75" thickBot="1" x14ac:dyDescent="0.3">
      <c r="A145" s="69">
        <v>143</v>
      </c>
      <c r="B145" s="69">
        <v>26</v>
      </c>
      <c r="C145" s="69">
        <f>HEX2DEC(B145+Items!$A$4)</f>
        <v>16908326</v>
      </c>
      <c r="D145" s="65" t="s">
        <v>2454</v>
      </c>
      <c r="E145" s="71">
        <v>84</v>
      </c>
      <c r="F145" s="72" t="s">
        <v>2384</v>
      </c>
      <c r="G145" s="69">
        <v>14</v>
      </c>
      <c r="H145" s="69">
        <v>0</v>
      </c>
      <c r="I145" s="69">
        <v>0</v>
      </c>
      <c r="J145" s="69">
        <v>1</v>
      </c>
      <c r="K145" s="69">
        <v>1</v>
      </c>
      <c r="L145" s="66" t="s">
        <v>2661</v>
      </c>
      <c r="M145" s="65" t="s">
        <v>2901</v>
      </c>
      <c r="N145" s="70" t="s">
        <v>2786</v>
      </c>
      <c r="O145" s="69" t="s">
        <v>2781</v>
      </c>
      <c r="P145" s="69">
        <v>2</v>
      </c>
      <c r="Q145" s="69">
        <v>2</v>
      </c>
      <c r="R145" s="69">
        <v>5</v>
      </c>
      <c r="S145" s="69">
        <v>21</v>
      </c>
      <c r="T145" s="73" t="str">
        <f t="shared" si="10"/>
        <v>DA_bd_ra_bl_r_g_o_fin</v>
      </c>
      <c r="U145" s="73" t="str">
        <f t="shared" si="11"/>
        <v>/Game/DungeonSiege/Items/Armor/Body/DA_bd_ra_bl_r_g_o_fin</v>
      </c>
      <c r="V145" s="73" t="str">
        <f t="shared" si="9"/>
        <v>Texture2D'/Game/DungeonSiege/art/bitmaps/gui/in_game/inventory/armor/body_armor/b_gui_ig_i_a_pos_a2_059.b_gui_ig_i_a_pos_a2_059'</v>
      </c>
      <c r="W145" s="73" t="s">
        <v>3062</v>
      </c>
    </row>
    <row r="146" spans="1:23" ht="15.75" thickBot="1" x14ac:dyDescent="0.3">
      <c r="A146" s="69">
        <v>144</v>
      </c>
      <c r="B146" s="69">
        <v>27</v>
      </c>
      <c r="C146" s="69">
        <f>HEX2DEC(B146+Items!$A$4)</f>
        <v>16908327</v>
      </c>
      <c r="D146" s="65" t="s">
        <v>2455</v>
      </c>
      <c r="E146" s="71">
        <v>35</v>
      </c>
      <c r="F146" s="72" t="s">
        <v>2384</v>
      </c>
      <c r="G146" s="69">
        <v>12</v>
      </c>
      <c r="H146" s="69">
        <v>0</v>
      </c>
      <c r="I146" s="69">
        <v>0</v>
      </c>
      <c r="J146" s="69">
        <v>1</v>
      </c>
      <c r="K146" s="69">
        <v>1</v>
      </c>
      <c r="L146" s="66" t="s">
        <v>2662</v>
      </c>
      <c r="M146" s="65" t="s">
        <v>2900</v>
      </c>
      <c r="N146" s="70" t="s">
        <v>2813</v>
      </c>
      <c r="O146" s="69" t="s">
        <v>2797</v>
      </c>
      <c r="P146" s="69">
        <v>2</v>
      </c>
      <c r="Q146" s="69">
        <v>2</v>
      </c>
      <c r="R146" s="69">
        <v>1</v>
      </c>
      <c r="S146" s="69">
        <v>5</v>
      </c>
      <c r="T146" s="73" t="str">
        <f t="shared" si="10"/>
        <v>DA_bd_ra_le_f_g_c_fin</v>
      </c>
      <c r="U146" s="73" t="str">
        <f t="shared" si="11"/>
        <v>/Game/DungeonSiege/Items/Armor/Body/DA_bd_ra_le_f_g_c_fin</v>
      </c>
      <c r="V146" s="73" t="str">
        <f t="shared" si="9"/>
        <v>Texture2D'/Game/DungeonSiege/art/bitmaps/gui/in_game/inventory/armor/body_armor/b_gui_ig_i_a_pos_a1_059.b_gui_ig_i_a_pos_a1_059'</v>
      </c>
      <c r="W146" s="73" t="s">
        <v>3062</v>
      </c>
    </row>
    <row r="147" spans="1:23" ht="15.75" thickBot="1" x14ac:dyDescent="0.3">
      <c r="A147" s="69">
        <v>145</v>
      </c>
      <c r="B147" s="69">
        <v>28</v>
      </c>
      <c r="C147" s="69">
        <f>HEX2DEC(B147+Items!$A$4)</f>
        <v>16908328</v>
      </c>
      <c r="D147" s="65" t="s">
        <v>2456</v>
      </c>
      <c r="E147" s="71">
        <v>33</v>
      </c>
      <c r="F147" s="69"/>
      <c r="G147" s="69"/>
      <c r="H147" s="69">
        <v>0</v>
      </c>
      <c r="I147" s="69">
        <v>0</v>
      </c>
      <c r="J147" s="69">
        <v>1</v>
      </c>
      <c r="K147" s="69">
        <v>1</v>
      </c>
      <c r="L147" s="66" t="s">
        <v>2663</v>
      </c>
      <c r="M147" s="65" t="s">
        <v>2899</v>
      </c>
      <c r="N147" s="70" t="s">
        <v>2795</v>
      </c>
      <c r="O147" s="69" t="s">
        <v>2797</v>
      </c>
      <c r="P147" s="69">
        <v>2</v>
      </c>
      <c r="Q147" s="69">
        <v>2</v>
      </c>
      <c r="R147" s="69">
        <v>2</v>
      </c>
      <c r="S147" s="69">
        <v>15</v>
      </c>
      <c r="T147" s="73" t="str">
        <f t="shared" si="10"/>
        <v>DA_bd_ra_le_m_g_o_avg</v>
      </c>
      <c r="U147" s="73" t="str">
        <f t="shared" si="11"/>
        <v>/Game/DungeonSiege/Items/Armor/Body/DA_bd_ra_le_m_g_o_avg</v>
      </c>
      <c r="V147" s="73" t="str">
        <f t="shared" si="9"/>
        <v>Texture2D'/Game/DungeonSiege/art/bitmaps/gui/in_game/inventory/armor/body_armor/b_gui_ig_i_a_pos_a1_058.b_gui_ig_i_a_pos_a1_058'</v>
      </c>
      <c r="W147" s="73" t="s">
        <v>3062</v>
      </c>
    </row>
    <row r="148" spans="1:23" ht="15.75" thickBot="1" x14ac:dyDescent="0.3">
      <c r="A148" s="69">
        <v>146</v>
      </c>
      <c r="B148" s="69">
        <v>29</v>
      </c>
      <c r="C148" s="69">
        <f>HEX2DEC(B148+Items!$A$4)</f>
        <v>16908329</v>
      </c>
      <c r="D148" s="65" t="s">
        <v>2457</v>
      </c>
      <c r="E148" s="71">
        <v>59</v>
      </c>
      <c r="F148" s="72" t="s">
        <v>2384</v>
      </c>
      <c r="G148" s="69">
        <v>13</v>
      </c>
      <c r="H148" s="69">
        <v>0</v>
      </c>
      <c r="I148" s="69">
        <v>0</v>
      </c>
      <c r="J148" s="69">
        <v>1</v>
      </c>
      <c r="K148" s="69">
        <v>1</v>
      </c>
      <c r="L148" s="66" t="s">
        <v>2664</v>
      </c>
      <c r="M148" s="65" t="s">
        <v>2898</v>
      </c>
      <c r="N148" s="70" t="s">
        <v>2818</v>
      </c>
      <c r="O148" s="69" t="s">
        <v>2797</v>
      </c>
      <c r="P148" s="69">
        <v>2</v>
      </c>
      <c r="Q148" s="69">
        <v>2</v>
      </c>
      <c r="R148" s="69">
        <v>4</v>
      </c>
      <c r="S148" s="69">
        <v>15</v>
      </c>
      <c r="T148" s="73" t="str">
        <f t="shared" si="10"/>
        <v>DA_bd_ra_le_r_g_o_fin</v>
      </c>
      <c r="U148" s="73" t="str">
        <f t="shared" si="11"/>
        <v>/Game/DungeonSiege/Items/Armor/Body/DA_bd_ra_le_r_g_o_fin</v>
      </c>
      <c r="V148" s="73" t="str">
        <f t="shared" si="9"/>
        <v>Texture2D'/Game/DungeonSiege/art/bitmaps/gui/in_game/inventory/armor/body_armor/b_gui_ig_i_a_pos_a1_060.b_gui_ig_i_a_pos_a1_060'</v>
      </c>
      <c r="W148" s="73" t="s">
        <v>3062</v>
      </c>
    </row>
    <row r="149" spans="1:23" ht="15.75" thickBot="1" x14ac:dyDescent="0.3">
      <c r="A149" s="69">
        <v>147</v>
      </c>
      <c r="B149" s="69">
        <v>30</v>
      </c>
      <c r="C149" s="69">
        <f>HEX2DEC(B149+Items!$A$4)</f>
        <v>16908336</v>
      </c>
      <c r="D149" s="65" t="s">
        <v>2458</v>
      </c>
      <c r="E149" s="71">
        <v>23</v>
      </c>
      <c r="F149" s="69"/>
      <c r="G149" s="69"/>
      <c r="H149" s="69">
        <v>1</v>
      </c>
      <c r="I149" s="69">
        <v>0</v>
      </c>
      <c r="J149" s="69">
        <v>1</v>
      </c>
      <c r="K149" s="69">
        <v>1</v>
      </c>
      <c r="L149" s="66" t="s">
        <v>2665</v>
      </c>
      <c r="M149" s="65" t="s">
        <v>2897</v>
      </c>
      <c r="N149" s="70" t="s">
        <v>2819</v>
      </c>
      <c r="O149" s="69" t="s">
        <v>2797</v>
      </c>
      <c r="P149" s="69">
        <v>2</v>
      </c>
      <c r="Q149" s="69">
        <v>2</v>
      </c>
      <c r="R149" s="69">
        <v>0</v>
      </c>
      <c r="S149" s="69">
        <v>11</v>
      </c>
      <c r="T149" s="73" t="str">
        <f t="shared" si="10"/>
        <v>DA_bd_ra_sl_m_g_c_avg</v>
      </c>
      <c r="U149" s="73" t="str">
        <f t="shared" si="11"/>
        <v>/Game/DungeonSiege/Items/Armor/Body/DA_bd_ra_sl_m_g_c_avg</v>
      </c>
      <c r="V149" s="73" t="str">
        <f t="shared" si="9"/>
        <v>Texture2D'/Game/DungeonSiege/art/bitmaps/gui/in_game/inventory/armor/body_armor/b_gui_ig_i_a_pos_a1_061.b_gui_ig_i_a_pos_a1_061'</v>
      </c>
      <c r="W149" s="73" t="s">
        <v>3062</v>
      </c>
    </row>
    <row r="150" spans="1:23" ht="15.75" thickBot="1" x14ac:dyDescent="0.3">
      <c r="A150" s="69">
        <v>148</v>
      </c>
      <c r="B150" s="69">
        <v>31</v>
      </c>
      <c r="C150" s="69">
        <f>HEX2DEC(B150+Items!$A$4)</f>
        <v>16908337</v>
      </c>
      <c r="D150" s="65" t="s">
        <v>2458</v>
      </c>
      <c r="E150" s="71">
        <v>30</v>
      </c>
      <c r="F150" s="69"/>
      <c r="G150" s="69"/>
      <c r="H150" s="69">
        <v>0</v>
      </c>
      <c r="I150" s="69">
        <v>0</v>
      </c>
      <c r="J150" s="69">
        <v>1</v>
      </c>
      <c r="K150" s="69">
        <v>1</v>
      </c>
      <c r="L150" s="66" t="s">
        <v>2666</v>
      </c>
      <c r="M150" s="65" t="s">
        <v>2896</v>
      </c>
      <c r="N150" s="70" t="s">
        <v>2820</v>
      </c>
      <c r="O150" s="69" t="s">
        <v>2797</v>
      </c>
      <c r="P150" s="69">
        <v>2</v>
      </c>
      <c r="Q150" s="69">
        <v>2</v>
      </c>
      <c r="R150" s="69">
        <v>1</v>
      </c>
      <c r="S150" s="69">
        <v>13</v>
      </c>
      <c r="T150" s="73" t="str">
        <f t="shared" si="10"/>
        <v>DA_bd_ra_sl_m_g_c_avg_c_fin</v>
      </c>
      <c r="U150" s="73" t="str">
        <f t="shared" si="11"/>
        <v>/Game/DungeonSiege/Items/Armor/Body/DA_bd_ra_sl_m_g_c_avg_c_fin</v>
      </c>
      <c r="V150" s="73" t="str">
        <f t="shared" si="9"/>
        <v>Texture2D'/Game/DungeonSiege/art/bitmaps/gui/in_game/inventory/armor/body_armor/b_gui_ig_i_a_pos_a1_062.b_gui_ig_i_a_pos_a1_062'</v>
      </c>
      <c r="W150" s="73" t="s">
        <v>3062</v>
      </c>
    </row>
    <row r="151" spans="1:23" ht="15.75" thickBot="1" x14ac:dyDescent="0.3">
      <c r="A151" s="69">
        <v>149</v>
      </c>
      <c r="B151" s="69">
        <v>32</v>
      </c>
      <c r="C151" s="69">
        <f>HEX2DEC(B151+Items!$A$4)</f>
        <v>16908338</v>
      </c>
      <c r="D151" s="65" t="s">
        <v>2458</v>
      </c>
      <c r="E151" s="71">
        <v>66</v>
      </c>
      <c r="F151" s="72" t="s">
        <v>2384</v>
      </c>
      <c r="G151" s="69">
        <v>12</v>
      </c>
      <c r="H151" s="69">
        <v>0</v>
      </c>
      <c r="I151" s="69">
        <v>0</v>
      </c>
      <c r="J151" s="69">
        <v>1</v>
      </c>
      <c r="K151" s="69">
        <v>1</v>
      </c>
      <c r="L151" s="66" t="s">
        <v>2667</v>
      </c>
      <c r="M151" s="65" t="s">
        <v>2895</v>
      </c>
      <c r="N151" s="70" t="s">
        <v>2819</v>
      </c>
      <c r="O151" s="69" t="s">
        <v>2781</v>
      </c>
      <c r="P151" s="69">
        <v>2</v>
      </c>
      <c r="Q151" s="69">
        <v>2</v>
      </c>
      <c r="R151" s="69">
        <v>9</v>
      </c>
      <c r="S151" s="69">
        <v>38</v>
      </c>
      <c r="T151" s="73" t="str">
        <f t="shared" si="10"/>
        <v>DA_bd_ra_sl_m_g_c_avg_c_str</v>
      </c>
      <c r="U151" s="73" t="str">
        <f t="shared" si="11"/>
        <v>/Game/DungeonSiege/Items/Armor/Body/DA_bd_ra_sl_m_g_c_avg_c_str</v>
      </c>
      <c r="V151" s="73" t="str">
        <f t="shared" si="9"/>
        <v>Texture2D'/Game/DungeonSiege/art/bitmaps/gui/in_game/inventory/armor/body_armor/b_gui_ig_i_a_pos_a2_069.b_gui_ig_i_a_pos_a2_069'</v>
      </c>
      <c r="W151" s="73" t="s">
        <v>3062</v>
      </c>
    </row>
    <row r="152" spans="1:23" ht="15.75" thickBot="1" x14ac:dyDescent="0.3">
      <c r="A152" s="69">
        <v>150</v>
      </c>
      <c r="B152" s="69">
        <v>33</v>
      </c>
      <c r="C152" s="69">
        <f>HEX2DEC(B152+Items!$A$4)</f>
        <v>16908339</v>
      </c>
      <c r="D152" s="65" t="s">
        <v>2458</v>
      </c>
      <c r="E152" s="71">
        <v>52</v>
      </c>
      <c r="F152" s="69"/>
      <c r="G152" s="69"/>
      <c r="H152" s="69">
        <v>0</v>
      </c>
      <c r="I152" s="69">
        <v>0</v>
      </c>
      <c r="J152" s="69">
        <v>1</v>
      </c>
      <c r="K152" s="69">
        <v>1</v>
      </c>
      <c r="L152" s="66" t="s">
        <v>2668</v>
      </c>
      <c r="M152" s="65" t="s">
        <v>2894</v>
      </c>
      <c r="N152" s="70" t="s">
        <v>2804</v>
      </c>
      <c r="O152" s="69" t="s">
        <v>2797</v>
      </c>
      <c r="P152" s="69">
        <v>2</v>
      </c>
      <c r="Q152" s="69">
        <v>2</v>
      </c>
      <c r="R152" s="69">
        <v>6</v>
      </c>
      <c r="S152" s="69">
        <v>28</v>
      </c>
      <c r="T152" s="73" t="str">
        <f t="shared" si="10"/>
        <v>DA_bd_ra_sl_m_g_c_avg_o_fin</v>
      </c>
      <c r="U152" s="73" t="str">
        <f t="shared" si="11"/>
        <v>/Game/DungeonSiege/Items/Armor/Body/DA_bd_ra_sl_m_g_c_avg_o_fin</v>
      </c>
      <c r="V152" s="73" t="str">
        <f t="shared" si="9"/>
        <v>Texture2D'/Game/DungeonSiege/art/bitmaps/gui/in_game/inventory/armor/body_armor/b_gui_ig_i_a_pos_a1_063.b_gui_ig_i_a_pos_a1_063'</v>
      </c>
      <c r="W152" s="73" t="s">
        <v>3062</v>
      </c>
    </row>
    <row r="153" spans="1:23" ht="15.75" thickBot="1" x14ac:dyDescent="0.3">
      <c r="A153" s="69">
        <v>151</v>
      </c>
      <c r="B153" s="69">
        <v>34</v>
      </c>
      <c r="C153" s="69">
        <f>HEX2DEC(B153+Items!$A$4)</f>
        <v>16908340</v>
      </c>
      <c r="D153" s="65" t="s">
        <v>2458</v>
      </c>
      <c r="E153" s="71">
        <v>89</v>
      </c>
      <c r="F153" s="72" t="s">
        <v>2384</v>
      </c>
      <c r="G153" s="69">
        <v>12</v>
      </c>
      <c r="H153" s="69">
        <v>0</v>
      </c>
      <c r="I153" s="69">
        <v>0</v>
      </c>
      <c r="J153" s="69">
        <v>1</v>
      </c>
      <c r="K153" s="69">
        <v>1</v>
      </c>
      <c r="L153" s="66" t="s">
        <v>2669</v>
      </c>
      <c r="M153" s="65" t="s">
        <v>2893</v>
      </c>
      <c r="N153" s="70" t="s">
        <v>2820</v>
      </c>
      <c r="O153" s="69" t="s">
        <v>2781</v>
      </c>
      <c r="P153" s="69">
        <v>2</v>
      </c>
      <c r="Q153" s="69">
        <v>2</v>
      </c>
      <c r="R153" s="69">
        <v>14</v>
      </c>
      <c r="S153" s="69">
        <v>55</v>
      </c>
      <c r="T153" s="73" t="str">
        <f t="shared" si="10"/>
        <v>DA_bd_ra_sl_m_g_c_avg_o_str</v>
      </c>
      <c r="U153" s="73" t="str">
        <f t="shared" si="11"/>
        <v>/Game/DungeonSiege/Items/Armor/Body/DA_bd_ra_sl_m_g_c_avg_o_str</v>
      </c>
      <c r="V153" s="73" t="str">
        <f t="shared" si="9"/>
        <v>Texture2D'/Game/DungeonSiege/art/bitmaps/gui/in_game/inventory/armor/body_armor/b_gui_ig_i_a_pos_a2_070.b_gui_ig_i_a_pos_a2_070'</v>
      </c>
      <c r="W153" s="73" t="s">
        <v>3062</v>
      </c>
    </row>
    <row r="154" spans="1:23" ht="15.75" thickBot="1" x14ac:dyDescent="0.3">
      <c r="A154" s="69">
        <v>152</v>
      </c>
      <c r="B154" s="69">
        <v>35</v>
      </c>
      <c r="C154" s="69">
        <f>HEX2DEC(B154+Items!$A$4)</f>
        <v>16908341</v>
      </c>
      <c r="D154" s="65" t="s">
        <v>2459</v>
      </c>
      <c r="E154" s="71">
        <v>27</v>
      </c>
      <c r="F154" s="69"/>
      <c r="G154" s="69"/>
      <c r="H154" s="69">
        <v>1</v>
      </c>
      <c r="I154" s="69">
        <v>0</v>
      </c>
      <c r="J154" s="69">
        <v>1</v>
      </c>
      <c r="K154" s="69">
        <v>1</v>
      </c>
      <c r="L154" s="66" t="s">
        <v>2670</v>
      </c>
      <c r="M154" s="65" t="s">
        <v>2890</v>
      </c>
      <c r="N154" s="70" t="s">
        <v>2504</v>
      </c>
      <c r="O154" s="69" t="s">
        <v>2781</v>
      </c>
      <c r="P154" s="69">
        <v>2</v>
      </c>
      <c r="Q154" s="69">
        <v>2</v>
      </c>
      <c r="R154" s="69">
        <v>0</v>
      </c>
      <c r="S154" s="69">
        <v>7</v>
      </c>
      <c r="T154" s="73" t="str">
        <f t="shared" si="10"/>
        <v>DA_bd_ra_sl_r_g_c_avg</v>
      </c>
      <c r="U154" s="73" t="str">
        <f t="shared" si="11"/>
        <v>/Game/DungeonSiege/Items/Armor/Body/DA_bd_ra_sl_r_g_c_avg</v>
      </c>
      <c r="V154" s="73" t="str">
        <f t="shared" si="9"/>
        <v>Texture2D'/Game/DungeonSiege/art/bitmaps/gui/in_game/inventory/armor/body_armor/b_gui_ig_i_a_pos_a2_057.b_gui_ig_i_a_pos_a2_057'</v>
      </c>
      <c r="W154" s="73" t="s">
        <v>3062</v>
      </c>
    </row>
    <row r="155" spans="1:23" ht="15.75" thickBot="1" x14ac:dyDescent="0.3">
      <c r="A155" s="69">
        <v>153</v>
      </c>
      <c r="B155" s="69">
        <v>36</v>
      </c>
      <c r="C155" s="69">
        <f>HEX2DEC(B155+Items!$A$4)</f>
        <v>16908342</v>
      </c>
      <c r="D155" s="65" t="s">
        <v>2459</v>
      </c>
      <c r="E155" s="71">
        <v>35</v>
      </c>
      <c r="F155" s="69"/>
      <c r="G155" s="69"/>
      <c r="H155" s="69">
        <v>0</v>
      </c>
      <c r="I155" s="69">
        <v>0</v>
      </c>
      <c r="J155" s="69">
        <v>1</v>
      </c>
      <c r="K155" s="69">
        <v>1</v>
      </c>
      <c r="L155" s="66" t="s">
        <v>2671</v>
      </c>
      <c r="M155" s="65" t="s">
        <v>2891</v>
      </c>
      <c r="N155" s="70" t="s">
        <v>2821</v>
      </c>
      <c r="O155" s="69" t="s">
        <v>2781</v>
      </c>
      <c r="P155" s="69">
        <v>2</v>
      </c>
      <c r="Q155" s="69">
        <v>2</v>
      </c>
      <c r="R155" s="69">
        <v>1</v>
      </c>
      <c r="S155" s="69">
        <v>9</v>
      </c>
      <c r="T155" s="73" t="str">
        <f t="shared" si="10"/>
        <v>DA_bd_ra_sl_r_g_c_avg_c_fin</v>
      </c>
      <c r="U155" s="73" t="str">
        <f t="shared" si="11"/>
        <v>/Game/DungeonSiege/Items/Armor/Body/DA_bd_ra_sl_r_g_c_avg_c_fin</v>
      </c>
      <c r="V155" s="73" t="str">
        <f t="shared" si="9"/>
        <v>Texture2D'/Game/DungeonSiege/art/bitmaps/gui/in_game/inventory/armor/body_armor/b_gui_ig_i_a_pos_a2_067.b_gui_ig_i_a_pos_a2_067'</v>
      </c>
      <c r="W155" s="73" t="s">
        <v>3062</v>
      </c>
    </row>
    <row r="156" spans="1:23" ht="15.75" thickBot="1" x14ac:dyDescent="0.3">
      <c r="A156" s="69">
        <v>154</v>
      </c>
      <c r="B156" s="69">
        <v>37</v>
      </c>
      <c r="C156" s="69">
        <f>HEX2DEC(B156+Items!$A$4)</f>
        <v>16908343</v>
      </c>
      <c r="D156" s="65" t="s">
        <v>2459</v>
      </c>
      <c r="E156" s="71">
        <v>92</v>
      </c>
      <c r="F156" s="72" t="s">
        <v>2384</v>
      </c>
      <c r="G156" s="69">
        <v>15</v>
      </c>
      <c r="H156" s="69">
        <v>0</v>
      </c>
      <c r="I156" s="69">
        <v>0</v>
      </c>
      <c r="J156" s="69">
        <v>1</v>
      </c>
      <c r="K156" s="69">
        <v>1</v>
      </c>
      <c r="L156" s="66" t="s">
        <v>2672</v>
      </c>
      <c r="M156" s="65" t="s">
        <v>2892</v>
      </c>
      <c r="N156" s="70" t="s">
        <v>2822</v>
      </c>
      <c r="O156" s="69" t="s">
        <v>2781</v>
      </c>
      <c r="P156" s="69">
        <v>2</v>
      </c>
      <c r="Q156" s="69">
        <v>2</v>
      </c>
      <c r="R156" s="69">
        <v>7</v>
      </c>
      <c r="S156" s="69">
        <v>25</v>
      </c>
      <c r="T156" s="73" t="str">
        <f t="shared" si="10"/>
        <v>DA_bd_ra_sl_r_g_c_avg_c_str</v>
      </c>
      <c r="U156" s="73" t="str">
        <f t="shared" si="11"/>
        <v>/Game/DungeonSiege/Items/Armor/Body/DA_bd_ra_sl_r_g_c_avg_c_str</v>
      </c>
      <c r="V156" s="73" t="str">
        <f t="shared" si="9"/>
        <v>Texture2D'/Game/DungeonSiege/art/bitmaps/gui/in_game/inventory/armor/body_armor/b_gui_ig_i_a_pos_a2_068.b_gui_ig_i_a_pos_a2_068'</v>
      </c>
      <c r="W156" s="73" t="s">
        <v>3062</v>
      </c>
    </row>
    <row r="157" spans="1:23" ht="15.75" thickBot="1" x14ac:dyDescent="0.3">
      <c r="A157" s="69">
        <v>155</v>
      </c>
      <c r="B157" s="69">
        <v>38</v>
      </c>
      <c r="C157" s="69">
        <f>HEX2DEC(B157+Items!$A$4)</f>
        <v>16908344</v>
      </c>
      <c r="D157" s="65" t="s">
        <v>2460</v>
      </c>
      <c r="E157" s="71">
        <v>23</v>
      </c>
      <c r="F157" s="72" t="s">
        <v>2384</v>
      </c>
      <c r="G157" s="69">
        <v>12</v>
      </c>
      <c r="H157" s="69">
        <v>1</v>
      </c>
      <c r="I157" s="69">
        <v>0</v>
      </c>
      <c r="J157" s="69">
        <v>0</v>
      </c>
      <c r="K157" s="69">
        <v>0</v>
      </c>
      <c r="L157" s="66" t="s">
        <v>2673</v>
      </c>
      <c r="M157" s="65" t="str">
        <f t="shared" ref="M157:M181" si="12">CONCATENATE("b_gui_ig_i_a_pos_",O157,"_",N157)</f>
        <v>b_gui_ig_i_a_pos_a2_001</v>
      </c>
      <c r="N157" s="70" t="s">
        <v>2499</v>
      </c>
      <c r="O157" s="69" t="s">
        <v>2781</v>
      </c>
      <c r="P157" s="69">
        <v>2</v>
      </c>
      <c r="Q157" s="69">
        <v>2</v>
      </c>
      <c r="R157" s="69"/>
      <c r="S157" s="69"/>
      <c r="T157" s="73" t="str">
        <f t="shared" si="10"/>
        <v>DA_bd_sl_f_g_c_avg</v>
      </c>
      <c r="U157" s="73" t="str">
        <f t="shared" si="11"/>
        <v>/Game/DungeonSiege/Items/Armor/Body/DA_bd_sl_f_g_c_avg</v>
      </c>
      <c r="V157" s="73" t="str">
        <f t="shared" si="9"/>
        <v>Texture2D'/Game/DungeonSiege/art/bitmaps/gui/in_game/inventory/armor/body_armor/b_gui_ig_i_a_pos_a2_001.b_gui_ig_i_a_pos_a2_001'</v>
      </c>
      <c r="W157" s="73" t="s">
        <v>3062</v>
      </c>
    </row>
    <row r="158" spans="1:23" ht="15.75" thickBot="1" x14ac:dyDescent="0.3">
      <c r="A158" s="69">
        <v>156</v>
      </c>
      <c r="B158" s="69">
        <v>39</v>
      </c>
      <c r="C158" s="69">
        <f>HEX2DEC(B158+Items!$A$4)</f>
        <v>16908345</v>
      </c>
      <c r="D158" s="65" t="s">
        <v>2460</v>
      </c>
      <c r="E158" s="71">
        <v>98</v>
      </c>
      <c r="F158" s="72" t="s">
        <v>2384</v>
      </c>
      <c r="G158" s="69">
        <v>20</v>
      </c>
      <c r="H158" s="69">
        <v>0</v>
      </c>
      <c r="I158" s="69">
        <v>1</v>
      </c>
      <c r="J158" s="69">
        <v>0</v>
      </c>
      <c r="K158" s="69">
        <v>0</v>
      </c>
      <c r="L158" s="66" t="s">
        <v>2674</v>
      </c>
      <c r="M158" s="65" t="str">
        <f t="shared" si="12"/>
        <v>b_gui_ig_i_a_pos_a3_019</v>
      </c>
      <c r="N158" s="70" t="s">
        <v>2779</v>
      </c>
      <c r="O158" s="69" t="s">
        <v>2782</v>
      </c>
      <c r="P158" s="69">
        <v>2</v>
      </c>
      <c r="Q158" s="69">
        <v>3</v>
      </c>
      <c r="R158" s="69">
        <v>5</v>
      </c>
      <c r="S158" s="69">
        <v>8</v>
      </c>
      <c r="T158" s="73" t="str">
        <f t="shared" si="10"/>
        <v>DA_bd_sl_f_g_c_avg_c_str</v>
      </c>
      <c r="U158" s="73" t="str">
        <f t="shared" si="11"/>
        <v>/Game/DungeonSiege/Items/Armor/Body/DA_bd_sl_f_g_c_avg_c_str</v>
      </c>
      <c r="V158" s="73" t="str">
        <f t="shared" si="9"/>
        <v>Texture2D'/Game/DungeonSiege/art/bitmaps/gui/in_game/inventory/armor/body_armor/b_gui_ig_i_a_pos_a3_019.b_gui_ig_i_a_pos_a3_019'</v>
      </c>
      <c r="W158" s="73" t="s">
        <v>3062</v>
      </c>
    </row>
    <row r="159" spans="1:23" ht="15.75" thickBot="1" x14ac:dyDescent="0.3">
      <c r="A159" s="69">
        <v>157</v>
      </c>
      <c r="B159" s="69">
        <v>40</v>
      </c>
      <c r="C159" s="69">
        <f>HEX2DEC(B159+Items!$A$4)</f>
        <v>16908352</v>
      </c>
      <c r="D159" s="65" t="s">
        <v>2460</v>
      </c>
      <c r="E159" s="71">
        <v>73</v>
      </c>
      <c r="F159" s="72" t="s">
        <v>2384</v>
      </c>
      <c r="G159" s="69">
        <v>17</v>
      </c>
      <c r="H159" s="69">
        <v>0</v>
      </c>
      <c r="I159" s="69">
        <v>1</v>
      </c>
      <c r="J159" s="69">
        <v>1</v>
      </c>
      <c r="K159" s="69">
        <v>1</v>
      </c>
      <c r="L159" s="66" t="s">
        <v>2675</v>
      </c>
      <c r="M159" s="65" t="str">
        <f t="shared" si="12"/>
        <v>b_gui_ig_i_a_pos_a2_039</v>
      </c>
      <c r="N159" s="70" t="s">
        <v>2823</v>
      </c>
      <c r="O159" s="69" t="s">
        <v>2781</v>
      </c>
      <c r="P159" s="69">
        <v>2</v>
      </c>
      <c r="Q159" s="69">
        <v>2</v>
      </c>
      <c r="R159" s="69">
        <v>3</v>
      </c>
      <c r="S159" s="69">
        <v>6</v>
      </c>
      <c r="T159" s="73" t="str">
        <f t="shared" si="10"/>
        <v>DA_bd_sl_f_g_c_avg_o_fin</v>
      </c>
      <c r="U159" s="73" t="str">
        <f t="shared" si="11"/>
        <v>/Game/DungeonSiege/Items/Armor/Body/DA_bd_sl_f_g_c_avg_o_fin</v>
      </c>
      <c r="V159" s="73" t="str">
        <f t="shared" si="9"/>
        <v>Texture2D'/Game/DungeonSiege/art/bitmaps/gui/in_game/inventory/armor/body_armor/b_gui_ig_i_a_pos_a2_039.b_gui_ig_i_a_pos_a2_039'</v>
      </c>
      <c r="W159" s="73" t="s">
        <v>3062</v>
      </c>
    </row>
    <row r="160" spans="1:23" ht="15.75" thickBot="1" x14ac:dyDescent="0.3">
      <c r="A160" s="69">
        <v>158</v>
      </c>
      <c r="B160" s="69">
        <v>41</v>
      </c>
      <c r="C160" s="69">
        <f>HEX2DEC(B160+Items!$A$4)</f>
        <v>16908353</v>
      </c>
      <c r="D160" s="65" t="s">
        <v>2461</v>
      </c>
      <c r="E160" s="71">
        <v>16</v>
      </c>
      <c r="F160" s="69"/>
      <c r="G160" s="69"/>
      <c r="H160" s="69">
        <v>1</v>
      </c>
      <c r="I160" s="69">
        <v>0</v>
      </c>
      <c r="J160" s="69">
        <v>0</v>
      </c>
      <c r="K160" s="69">
        <v>0</v>
      </c>
      <c r="L160" s="66" t="s">
        <v>2676</v>
      </c>
      <c r="M160" s="65" t="str">
        <f t="shared" si="12"/>
        <v>b_gui_ig_i_a_pos_a2_056</v>
      </c>
      <c r="N160" s="70" t="s">
        <v>2824</v>
      </c>
      <c r="O160" s="69" t="s">
        <v>2781</v>
      </c>
      <c r="P160" s="69">
        <v>2</v>
      </c>
      <c r="Q160" s="69">
        <v>2</v>
      </c>
      <c r="R160" s="69"/>
      <c r="S160" s="69"/>
      <c r="T160" s="73" t="str">
        <f t="shared" si="10"/>
        <v>DA_bd_sl_f_g_c_fun</v>
      </c>
      <c r="U160" s="73" t="str">
        <f t="shared" si="11"/>
        <v>/Game/DungeonSiege/Items/Armor/Body/DA_bd_sl_f_g_c_fun</v>
      </c>
      <c r="V160" s="73" t="str">
        <f t="shared" si="9"/>
        <v>Texture2D'/Game/DungeonSiege/art/bitmaps/gui/in_game/inventory/armor/body_armor/b_gui_ig_i_a_pos_a2_056.b_gui_ig_i_a_pos_a2_056'</v>
      </c>
      <c r="W160" s="73" t="s">
        <v>3062</v>
      </c>
    </row>
    <row r="161" spans="1:23" ht="15.75" thickBot="1" x14ac:dyDescent="0.3">
      <c r="A161" s="69">
        <v>159</v>
      </c>
      <c r="B161" s="69">
        <v>42</v>
      </c>
      <c r="C161" s="69">
        <f>HEX2DEC(B161+Items!$A$4)</f>
        <v>16908354</v>
      </c>
      <c r="D161" s="65" t="s">
        <v>2462</v>
      </c>
      <c r="E161" s="71">
        <v>18</v>
      </c>
      <c r="F161" s="69"/>
      <c r="G161" s="69"/>
      <c r="H161" s="69">
        <v>1</v>
      </c>
      <c r="I161" s="69">
        <v>0</v>
      </c>
      <c r="J161" s="69">
        <v>0</v>
      </c>
      <c r="K161" s="69">
        <v>0</v>
      </c>
      <c r="L161" s="66" t="s">
        <v>2677</v>
      </c>
      <c r="M161" s="65" t="str">
        <f t="shared" si="12"/>
        <v>b_gui_ig_i_a_pos_a1_046</v>
      </c>
      <c r="N161" s="70" t="s">
        <v>2819</v>
      </c>
      <c r="O161" s="69" t="s">
        <v>2797</v>
      </c>
      <c r="P161" s="69">
        <v>2</v>
      </c>
      <c r="Q161" s="69">
        <v>2</v>
      </c>
      <c r="R161" s="69"/>
      <c r="S161" s="69"/>
      <c r="T161" s="73" t="str">
        <f t="shared" si="10"/>
        <v>DA_bd_sl_m_g_c_avg</v>
      </c>
      <c r="U161" s="73" t="str">
        <f t="shared" si="11"/>
        <v>/Game/DungeonSiege/Items/Armor/Body/DA_bd_sl_m_g_c_avg</v>
      </c>
      <c r="V161" s="73" t="str">
        <f t="shared" si="9"/>
        <v>Texture2D'/Game/DungeonSiege/art/bitmaps/gui/in_game/inventory/armor/body_armor/b_gui_ig_i_a_pos_a1_046.b_gui_ig_i_a_pos_a1_046'</v>
      </c>
      <c r="W161" s="73" t="s">
        <v>3062</v>
      </c>
    </row>
    <row r="162" spans="1:23" ht="15.75" thickBot="1" x14ac:dyDescent="0.3">
      <c r="A162" s="69">
        <v>160</v>
      </c>
      <c r="B162" s="69">
        <v>43</v>
      </c>
      <c r="C162" s="69">
        <f>HEX2DEC(B162+Items!$A$4)</f>
        <v>16908355</v>
      </c>
      <c r="D162" s="65" t="s">
        <v>2462</v>
      </c>
      <c r="E162" s="71">
        <v>24</v>
      </c>
      <c r="F162" s="69"/>
      <c r="G162" s="69"/>
      <c r="H162" s="69">
        <v>0</v>
      </c>
      <c r="I162" s="69">
        <v>1</v>
      </c>
      <c r="J162" s="69">
        <v>0</v>
      </c>
      <c r="K162" s="69">
        <v>0</v>
      </c>
      <c r="L162" s="66" t="s">
        <v>2678</v>
      </c>
      <c r="M162" s="65" t="str">
        <f t="shared" si="12"/>
        <v>b_gui_ig_i_a_pos_a1_047</v>
      </c>
      <c r="N162" s="70" t="s">
        <v>2820</v>
      </c>
      <c r="O162" s="69" t="s">
        <v>2797</v>
      </c>
      <c r="P162" s="69">
        <v>2</v>
      </c>
      <c r="Q162" s="69">
        <v>2</v>
      </c>
      <c r="R162" s="69">
        <v>1</v>
      </c>
      <c r="S162" s="69">
        <v>3</v>
      </c>
      <c r="T162" s="73" t="str">
        <f t="shared" si="10"/>
        <v>DA_bd_sl_m_g_c_avg_c_fin</v>
      </c>
      <c r="U162" s="73" t="str">
        <f t="shared" si="11"/>
        <v>/Game/DungeonSiege/Items/Armor/Body/DA_bd_sl_m_g_c_avg_c_fin</v>
      </c>
      <c r="V162" s="73" t="str">
        <f t="shared" si="9"/>
        <v>Texture2D'/Game/DungeonSiege/art/bitmaps/gui/in_game/inventory/armor/body_armor/b_gui_ig_i_a_pos_a1_047.b_gui_ig_i_a_pos_a1_047'</v>
      </c>
      <c r="W162" s="73" t="s">
        <v>3062</v>
      </c>
    </row>
    <row r="163" spans="1:23" ht="15.75" thickBot="1" x14ac:dyDescent="0.3">
      <c r="A163" s="69">
        <v>161</v>
      </c>
      <c r="B163" s="69">
        <v>44</v>
      </c>
      <c r="C163" s="69">
        <f>HEX2DEC(B163+Items!$A$4)</f>
        <v>16908356</v>
      </c>
      <c r="D163" s="65" t="s">
        <v>2462</v>
      </c>
      <c r="E163" s="71">
        <v>103</v>
      </c>
      <c r="F163" s="72" t="s">
        <v>2384</v>
      </c>
      <c r="G163" s="69">
        <v>13</v>
      </c>
      <c r="H163" s="69">
        <v>0</v>
      </c>
      <c r="I163" s="69">
        <v>1</v>
      </c>
      <c r="J163" s="69">
        <v>0</v>
      </c>
      <c r="K163" s="69">
        <v>0</v>
      </c>
      <c r="L163" s="66" t="s">
        <v>2679</v>
      </c>
      <c r="M163" s="65" t="str">
        <f t="shared" si="12"/>
        <v>b_gui_ig_i_a_pos_a1_048</v>
      </c>
      <c r="N163" s="70" t="s">
        <v>2809</v>
      </c>
      <c r="O163" s="69" t="s">
        <v>2797</v>
      </c>
      <c r="P163" s="69">
        <v>2</v>
      </c>
      <c r="Q163" s="69">
        <v>2</v>
      </c>
      <c r="R163" s="69">
        <v>18</v>
      </c>
      <c r="S163" s="69">
        <v>26</v>
      </c>
      <c r="T163" s="73" t="str">
        <f t="shared" si="10"/>
        <v>DA_bd_sl_m_g_c_avg_c_mag</v>
      </c>
      <c r="U163" s="73" t="str">
        <f t="shared" si="11"/>
        <v>/Game/DungeonSiege/Items/Armor/Body/DA_bd_sl_m_g_c_avg_c_mag</v>
      </c>
      <c r="V163" s="73" t="str">
        <f t="shared" si="9"/>
        <v>Texture2D'/Game/DungeonSiege/art/bitmaps/gui/in_game/inventory/armor/body_armor/b_gui_ig_i_a_pos_a1_048.b_gui_ig_i_a_pos_a1_048'</v>
      </c>
      <c r="W163" s="73" t="s">
        <v>3062</v>
      </c>
    </row>
    <row r="164" spans="1:23" ht="15.75" thickBot="1" x14ac:dyDescent="0.3">
      <c r="A164" s="69">
        <v>162</v>
      </c>
      <c r="B164" s="69">
        <v>45</v>
      </c>
      <c r="C164" s="69">
        <f>HEX2DEC(B164+Items!$A$4)</f>
        <v>16908357</v>
      </c>
      <c r="D164" s="65" t="s">
        <v>2462</v>
      </c>
      <c r="E164" s="71">
        <v>64</v>
      </c>
      <c r="F164" s="72" t="s">
        <v>2384</v>
      </c>
      <c r="G164" s="69">
        <v>12</v>
      </c>
      <c r="H164" s="69">
        <v>0</v>
      </c>
      <c r="I164" s="69">
        <v>1</v>
      </c>
      <c r="J164" s="69">
        <v>0</v>
      </c>
      <c r="K164" s="69">
        <v>0</v>
      </c>
      <c r="L164" s="66" t="s">
        <v>2680</v>
      </c>
      <c r="M164" s="65" t="str">
        <f t="shared" si="12"/>
        <v>b_gui_ig_i_a_pos_a2_046</v>
      </c>
      <c r="N164" s="70" t="s">
        <v>2819</v>
      </c>
      <c r="O164" s="69" t="s">
        <v>2781</v>
      </c>
      <c r="P164" s="69">
        <v>2</v>
      </c>
      <c r="Q164" s="69">
        <v>2</v>
      </c>
      <c r="R164" s="69">
        <v>8</v>
      </c>
      <c r="S164" s="69">
        <v>16</v>
      </c>
      <c r="T164" s="73" t="str">
        <f t="shared" si="10"/>
        <v>DA_bd_sl_m_g_c_avg_c_str</v>
      </c>
      <c r="U164" s="73" t="str">
        <f t="shared" si="11"/>
        <v>/Game/DungeonSiege/Items/Armor/Body/DA_bd_sl_m_g_c_avg_c_str</v>
      </c>
      <c r="V164" s="73" t="str">
        <f t="shared" si="9"/>
        <v>Texture2D'/Game/DungeonSiege/art/bitmaps/gui/in_game/inventory/armor/body_armor/b_gui_ig_i_a_pos_a2_046.b_gui_ig_i_a_pos_a2_046'</v>
      </c>
      <c r="W164" s="73" t="s">
        <v>3062</v>
      </c>
    </row>
    <row r="165" spans="1:23" ht="15.75" thickBot="1" x14ac:dyDescent="0.3">
      <c r="A165" s="69">
        <v>163</v>
      </c>
      <c r="B165" s="69">
        <v>46</v>
      </c>
      <c r="C165" s="69">
        <f>HEX2DEC(B165+Items!$A$4)</f>
        <v>16908358</v>
      </c>
      <c r="D165" s="65" t="s">
        <v>2462</v>
      </c>
      <c r="E165" s="71">
        <v>35</v>
      </c>
      <c r="F165" s="69"/>
      <c r="G165" s="69"/>
      <c r="H165" s="69">
        <v>0</v>
      </c>
      <c r="I165" s="69">
        <v>1</v>
      </c>
      <c r="J165" s="69">
        <v>1</v>
      </c>
      <c r="K165" s="69">
        <v>1</v>
      </c>
      <c r="L165" s="66" t="s">
        <v>2681</v>
      </c>
      <c r="M165" s="65" t="str">
        <f t="shared" si="12"/>
        <v>b_gui_ig_i_a_pos_a1_049</v>
      </c>
      <c r="N165" s="70" t="s">
        <v>2810</v>
      </c>
      <c r="O165" s="69" t="s">
        <v>2797</v>
      </c>
      <c r="P165" s="69">
        <v>2</v>
      </c>
      <c r="Q165" s="69">
        <v>2</v>
      </c>
      <c r="R165" s="69">
        <v>2</v>
      </c>
      <c r="S165" s="69">
        <v>6</v>
      </c>
      <c r="T165" s="73" t="str">
        <f t="shared" si="10"/>
        <v>DA_bd_sl_m_g_c_avg_o_avg</v>
      </c>
      <c r="U165" s="73" t="str">
        <f t="shared" si="11"/>
        <v>/Game/DungeonSiege/Items/Armor/Body/DA_bd_sl_m_g_c_avg_o_avg</v>
      </c>
      <c r="V165" s="73" t="str">
        <f t="shared" si="9"/>
        <v>Texture2D'/Game/DungeonSiege/art/bitmaps/gui/in_game/inventory/armor/body_armor/b_gui_ig_i_a_pos_a1_049.b_gui_ig_i_a_pos_a1_049'</v>
      </c>
      <c r="W165" s="73" t="s">
        <v>3062</v>
      </c>
    </row>
    <row r="166" spans="1:23" ht="15.75" thickBot="1" x14ac:dyDescent="0.3">
      <c r="A166" s="69">
        <v>164</v>
      </c>
      <c r="B166" s="69">
        <v>47</v>
      </c>
      <c r="C166" s="69">
        <f>HEX2DEC(B166+Items!$A$4)</f>
        <v>16908359</v>
      </c>
      <c r="D166" s="65" t="s">
        <v>2462</v>
      </c>
      <c r="E166" s="71">
        <v>47</v>
      </c>
      <c r="F166" s="69"/>
      <c r="G166" s="69"/>
      <c r="H166" s="69">
        <v>0</v>
      </c>
      <c r="I166" s="69">
        <v>1</v>
      </c>
      <c r="J166" s="69">
        <v>1</v>
      </c>
      <c r="K166" s="69">
        <v>1</v>
      </c>
      <c r="L166" s="66" t="s">
        <v>2682</v>
      </c>
      <c r="M166" s="65" t="str">
        <f t="shared" si="12"/>
        <v>b_gui_ig_i_a_pos_a1_050</v>
      </c>
      <c r="N166" s="70" t="s">
        <v>2804</v>
      </c>
      <c r="O166" s="69" t="s">
        <v>2797</v>
      </c>
      <c r="P166" s="69">
        <v>2</v>
      </c>
      <c r="Q166" s="69">
        <v>2</v>
      </c>
      <c r="R166" s="69">
        <v>5</v>
      </c>
      <c r="S166" s="69">
        <v>11</v>
      </c>
      <c r="T166" s="73" t="str">
        <f t="shared" si="10"/>
        <v>DA_bd_sl_m_g_c_avg_o_fin</v>
      </c>
      <c r="U166" s="73" t="str">
        <f t="shared" si="11"/>
        <v>/Game/DungeonSiege/Items/Armor/Body/DA_bd_sl_m_g_c_avg_o_fin</v>
      </c>
      <c r="V166" s="73" t="str">
        <f t="shared" si="9"/>
        <v>Texture2D'/Game/DungeonSiege/art/bitmaps/gui/in_game/inventory/armor/body_armor/b_gui_ig_i_a_pos_a1_050.b_gui_ig_i_a_pos_a1_050'</v>
      </c>
      <c r="W166" s="73" t="s">
        <v>3062</v>
      </c>
    </row>
    <row r="167" spans="1:23" ht="15.75" thickBot="1" x14ac:dyDescent="0.3">
      <c r="A167" s="69">
        <v>165</v>
      </c>
      <c r="B167" s="69">
        <v>48</v>
      </c>
      <c r="C167" s="69">
        <f>HEX2DEC(B167+Items!$A$4)</f>
        <v>16908360</v>
      </c>
      <c r="D167" s="65" t="s">
        <v>2462</v>
      </c>
      <c r="E167" s="71">
        <v>83</v>
      </c>
      <c r="F167" s="72" t="s">
        <v>2384</v>
      </c>
      <c r="G167" s="69">
        <v>12</v>
      </c>
      <c r="H167" s="69">
        <v>0</v>
      </c>
      <c r="I167" s="69">
        <v>1</v>
      </c>
      <c r="J167" s="69">
        <v>1</v>
      </c>
      <c r="K167" s="69">
        <v>1</v>
      </c>
      <c r="L167" s="66" t="s">
        <v>2683</v>
      </c>
      <c r="M167" s="65" t="str">
        <f t="shared" si="12"/>
        <v>b_gui_ig_i_a_pos_a2_047</v>
      </c>
      <c r="N167" s="70" t="s">
        <v>2820</v>
      </c>
      <c r="O167" s="69" t="s">
        <v>2781</v>
      </c>
      <c r="P167" s="69">
        <v>2</v>
      </c>
      <c r="Q167" s="69">
        <v>2</v>
      </c>
      <c r="R167" s="69">
        <v>14</v>
      </c>
      <c r="S167" s="69">
        <v>21</v>
      </c>
      <c r="T167" s="73" t="str">
        <f t="shared" si="10"/>
        <v>DA_bd_sl_m_g_c_avg_o_str</v>
      </c>
      <c r="U167" s="73" t="str">
        <f t="shared" si="11"/>
        <v>/Game/DungeonSiege/Items/Armor/Body/DA_bd_sl_m_g_c_avg_o_str</v>
      </c>
      <c r="V167" s="73" t="str">
        <f t="shared" si="9"/>
        <v>Texture2D'/Game/DungeonSiege/art/bitmaps/gui/in_game/inventory/armor/body_armor/b_gui_ig_i_a_pos_a2_047.b_gui_ig_i_a_pos_a2_047'</v>
      </c>
      <c r="W167" s="73" t="s">
        <v>3062</v>
      </c>
    </row>
    <row r="168" spans="1:23" ht="15.75" thickBot="1" x14ac:dyDescent="0.3">
      <c r="A168" s="69">
        <v>166</v>
      </c>
      <c r="B168" s="69">
        <v>49</v>
      </c>
      <c r="C168" s="69">
        <f>HEX2DEC(B168+Items!$A$4)</f>
        <v>16908361</v>
      </c>
      <c r="D168" s="65" t="s">
        <v>2463</v>
      </c>
      <c r="E168" s="71">
        <v>13</v>
      </c>
      <c r="F168" s="69"/>
      <c r="G168" s="69"/>
      <c r="H168" s="69">
        <v>1</v>
      </c>
      <c r="I168" s="69">
        <v>0</v>
      </c>
      <c r="J168" s="69">
        <v>0</v>
      </c>
      <c r="K168" s="69">
        <v>0</v>
      </c>
      <c r="L168" s="66" t="s">
        <v>2684</v>
      </c>
      <c r="M168" s="65" t="str">
        <f t="shared" si="12"/>
        <v>b_gui_ig_i_a_pos_a2_003</v>
      </c>
      <c r="N168" s="70" t="s">
        <v>2795</v>
      </c>
      <c r="O168" s="69" t="s">
        <v>2781</v>
      </c>
      <c r="P168" s="69">
        <v>2</v>
      </c>
      <c r="Q168" s="69">
        <v>2</v>
      </c>
      <c r="R168" s="69"/>
      <c r="S168" s="69"/>
      <c r="T168" s="73" t="str">
        <f t="shared" si="10"/>
        <v>DA_bd_sl_m_g_c_fun</v>
      </c>
      <c r="U168" s="73" t="str">
        <f t="shared" si="11"/>
        <v>/Game/DungeonSiege/Items/Armor/Body/DA_bd_sl_m_g_c_fun</v>
      </c>
      <c r="V168" s="73" t="str">
        <f t="shared" si="9"/>
        <v>Texture2D'/Game/DungeonSiege/art/bitmaps/gui/in_game/inventory/armor/body_armor/b_gui_ig_i_a_pos_a2_003.b_gui_ig_i_a_pos_a2_003'</v>
      </c>
      <c r="W168" s="73" t="s">
        <v>3062</v>
      </c>
    </row>
    <row r="169" spans="1:23" ht="15.75" thickBot="1" x14ac:dyDescent="0.3">
      <c r="A169" s="69">
        <v>167</v>
      </c>
      <c r="B169" s="69">
        <v>50</v>
      </c>
      <c r="C169" s="69">
        <f>HEX2DEC(B169+Items!$A$4)</f>
        <v>16908368</v>
      </c>
      <c r="D169" s="65" t="s">
        <v>2464</v>
      </c>
      <c r="E169" s="71">
        <v>19</v>
      </c>
      <c r="F169" s="69"/>
      <c r="G169" s="69"/>
      <c r="H169" s="69">
        <v>1</v>
      </c>
      <c r="I169" s="69">
        <v>0</v>
      </c>
      <c r="J169" s="69">
        <v>0</v>
      </c>
      <c r="K169" s="69">
        <v>0</v>
      </c>
      <c r="L169" s="66" t="s">
        <v>2685</v>
      </c>
      <c r="M169" s="65" t="str">
        <f t="shared" si="12"/>
        <v>b_gui_ig_i_a_pos_a2_002</v>
      </c>
      <c r="N169" s="70" t="s">
        <v>2504</v>
      </c>
      <c r="O169" s="69" t="s">
        <v>2781</v>
      </c>
      <c r="P169" s="69">
        <v>2</v>
      </c>
      <c r="Q169" s="69">
        <v>2</v>
      </c>
      <c r="R169" s="69"/>
      <c r="S169" s="69"/>
      <c r="T169" s="73" t="str">
        <f t="shared" si="10"/>
        <v>DA_bd_sl_r_g_c_avg</v>
      </c>
      <c r="U169" s="73" t="str">
        <f t="shared" si="11"/>
        <v>/Game/DungeonSiege/Items/Armor/Body/DA_bd_sl_r_g_c_avg</v>
      </c>
      <c r="V169" s="73" t="str">
        <f t="shared" si="9"/>
        <v>Texture2D'/Game/DungeonSiege/art/bitmaps/gui/in_game/inventory/armor/body_armor/b_gui_ig_i_a_pos_a2_002.b_gui_ig_i_a_pos_a2_002'</v>
      </c>
      <c r="W169" s="73" t="s">
        <v>3062</v>
      </c>
    </row>
    <row r="170" spans="1:23" ht="15.75" thickBot="1" x14ac:dyDescent="0.3">
      <c r="A170" s="69">
        <v>168</v>
      </c>
      <c r="B170" s="69">
        <v>51</v>
      </c>
      <c r="C170" s="69">
        <f>HEX2DEC(B170+Items!$A$4)</f>
        <v>16908369</v>
      </c>
      <c r="D170" s="65" t="s">
        <v>2464</v>
      </c>
      <c r="E170" s="71">
        <v>29</v>
      </c>
      <c r="F170" s="69"/>
      <c r="G170" s="69"/>
      <c r="H170" s="69">
        <v>0</v>
      </c>
      <c r="I170" s="69">
        <v>1</v>
      </c>
      <c r="J170" s="69">
        <v>0</v>
      </c>
      <c r="K170" s="69">
        <v>0</v>
      </c>
      <c r="L170" s="66" t="s">
        <v>2686</v>
      </c>
      <c r="M170" s="65" t="str">
        <f t="shared" si="12"/>
        <v>b_gui_ig_i_a_pos_a2_040</v>
      </c>
      <c r="N170" s="70" t="s">
        <v>2821</v>
      </c>
      <c r="O170" s="69" t="s">
        <v>2781</v>
      </c>
      <c r="P170" s="69">
        <v>2</v>
      </c>
      <c r="Q170" s="69">
        <v>2</v>
      </c>
      <c r="R170" s="69">
        <v>1</v>
      </c>
      <c r="S170" s="69">
        <v>2</v>
      </c>
      <c r="T170" s="73" t="str">
        <f t="shared" si="10"/>
        <v>DA_bd_sl_r_g_c_avg_c_fin</v>
      </c>
      <c r="U170" s="73" t="str">
        <f t="shared" si="11"/>
        <v>/Game/DungeonSiege/Items/Armor/Body/DA_bd_sl_r_g_c_avg_c_fin</v>
      </c>
      <c r="V170" s="73" t="str">
        <f t="shared" si="9"/>
        <v>Texture2D'/Game/DungeonSiege/art/bitmaps/gui/in_game/inventory/armor/body_armor/b_gui_ig_i_a_pos_a2_040.b_gui_ig_i_a_pos_a2_040'</v>
      </c>
      <c r="W170" s="73" t="s">
        <v>3062</v>
      </c>
    </row>
    <row r="171" spans="1:23" ht="15.75" thickBot="1" x14ac:dyDescent="0.3">
      <c r="A171" s="69">
        <v>169</v>
      </c>
      <c r="B171" s="69">
        <v>52</v>
      </c>
      <c r="C171" s="69">
        <f>HEX2DEC(B171+Items!$A$4)</f>
        <v>16908370</v>
      </c>
      <c r="D171" s="65" t="s">
        <v>2464</v>
      </c>
      <c r="E171" s="71">
        <v>142</v>
      </c>
      <c r="F171" s="72" t="s">
        <v>2384</v>
      </c>
      <c r="G171" s="69">
        <v>18</v>
      </c>
      <c r="H171" s="69">
        <v>0</v>
      </c>
      <c r="I171" s="69">
        <v>1</v>
      </c>
      <c r="J171" s="69">
        <v>0</v>
      </c>
      <c r="K171" s="69">
        <v>0</v>
      </c>
      <c r="L171" s="66" t="s">
        <v>2687</v>
      </c>
      <c r="M171" s="65" t="str">
        <f t="shared" si="12"/>
        <v>b_gui_ig_i_a_pos_a2_042</v>
      </c>
      <c r="N171" s="70" t="s">
        <v>2813</v>
      </c>
      <c r="O171" s="69" t="s">
        <v>2781</v>
      </c>
      <c r="P171" s="69">
        <v>2</v>
      </c>
      <c r="Q171" s="69">
        <v>2</v>
      </c>
      <c r="R171" s="69">
        <v>14</v>
      </c>
      <c r="S171" s="69">
        <v>20</v>
      </c>
      <c r="T171" s="73" t="str">
        <f t="shared" si="10"/>
        <v>DA_bd_sl_r_g_c_avg_c_mag</v>
      </c>
      <c r="U171" s="73" t="str">
        <f t="shared" si="11"/>
        <v>/Game/DungeonSiege/Items/Armor/Body/DA_bd_sl_r_g_c_avg_c_mag</v>
      </c>
      <c r="V171" s="73" t="str">
        <f t="shared" si="9"/>
        <v>Texture2D'/Game/DungeonSiege/art/bitmaps/gui/in_game/inventory/armor/body_armor/b_gui_ig_i_a_pos_a2_042.b_gui_ig_i_a_pos_a2_042'</v>
      </c>
      <c r="W171" s="73" t="s">
        <v>3062</v>
      </c>
    </row>
    <row r="172" spans="1:23" ht="15.75" thickBot="1" x14ac:dyDescent="0.3">
      <c r="A172" s="69">
        <v>170</v>
      </c>
      <c r="B172" s="69">
        <v>53</v>
      </c>
      <c r="C172" s="69">
        <f>HEX2DEC(B172+Items!$A$4)</f>
        <v>16908371</v>
      </c>
      <c r="D172" s="65" t="s">
        <v>2464</v>
      </c>
      <c r="E172" s="71">
        <v>84</v>
      </c>
      <c r="F172" s="72" t="s">
        <v>2384</v>
      </c>
      <c r="G172" s="69">
        <v>15</v>
      </c>
      <c r="H172" s="69">
        <v>0</v>
      </c>
      <c r="I172" s="69">
        <v>1</v>
      </c>
      <c r="J172" s="69">
        <v>0</v>
      </c>
      <c r="K172" s="69">
        <v>0</v>
      </c>
      <c r="L172" s="66" t="s">
        <v>2688</v>
      </c>
      <c r="M172" s="65" t="str">
        <f t="shared" si="12"/>
        <v>b_gui_ig_i_a_pos_a2_041</v>
      </c>
      <c r="N172" s="70" t="s">
        <v>2822</v>
      </c>
      <c r="O172" s="69" t="s">
        <v>2781</v>
      </c>
      <c r="P172" s="69">
        <v>2</v>
      </c>
      <c r="Q172" s="69">
        <v>2</v>
      </c>
      <c r="R172" s="69">
        <v>6</v>
      </c>
      <c r="S172" s="69">
        <v>12</v>
      </c>
      <c r="T172" s="73" t="str">
        <f t="shared" si="10"/>
        <v>DA_bd_sl_r_g_c_avg_c_str</v>
      </c>
      <c r="U172" s="73" t="str">
        <f t="shared" si="11"/>
        <v>/Game/DungeonSiege/Items/Armor/Body/DA_bd_sl_r_g_c_avg_c_str</v>
      </c>
      <c r="V172" s="73" t="str">
        <f t="shared" si="9"/>
        <v>Texture2D'/Game/DungeonSiege/art/bitmaps/gui/in_game/inventory/armor/body_armor/b_gui_ig_i_a_pos_a2_041.b_gui_ig_i_a_pos_a2_041'</v>
      </c>
      <c r="W172" s="73" t="s">
        <v>3062</v>
      </c>
    </row>
    <row r="173" spans="1:23" ht="15.75" thickBot="1" x14ac:dyDescent="0.3">
      <c r="A173" s="69">
        <v>171</v>
      </c>
      <c r="B173" s="69">
        <v>54</v>
      </c>
      <c r="C173" s="69">
        <f>HEX2DEC(B173+Items!$A$4)</f>
        <v>16908372</v>
      </c>
      <c r="D173" s="65" t="s">
        <v>2464</v>
      </c>
      <c r="E173" s="71">
        <v>43</v>
      </c>
      <c r="F173" s="72" t="s">
        <v>2384</v>
      </c>
      <c r="G173" s="69">
        <v>12</v>
      </c>
      <c r="H173" s="69">
        <v>0</v>
      </c>
      <c r="I173" s="69">
        <v>1</v>
      </c>
      <c r="J173" s="69">
        <v>1</v>
      </c>
      <c r="K173" s="69">
        <v>1</v>
      </c>
      <c r="L173" s="66" t="s">
        <v>2689</v>
      </c>
      <c r="M173" s="65" t="str">
        <f t="shared" si="12"/>
        <v>b_gui_ig_i_a_pos_a2_043</v>
      </c>
      <c r="N173" s="70" t="s">
        <v>2814</v>
      </c>
      <c r="O173" s="69" t="s">
        <v>2781</v>
      </c>
      <c r="P173" s="69">
        <v>2</v>
      </c>
      <c r="Q173" s="69">
        <v>2</v>
      </c>
      <c r="R173" s="69">
        <v>1</v>
      </c>
      <c r="S173" s="69">
        <v>4</v>
      </c>
      <c r="T173" s="73" t="str">
        <f t="shared" si="10"/>
        <v>DA_bd_sl_r_g_c_avg_o_avg</v>
      </c>
      <c r="U173" s="73" t="str">
        <f t="shared" si="11"/>
        <v>/Game/DungeonSiege/Items/Armor/Body/DA_bd_sl_r_g_c_avg_o_avg</v>
      </c>
      <c r="V173" s="73" t="str">
        <f t="shared" si="9"/>
        <v>Texture2D'/Game/DungeonSiege/art/bitmaps/gui/in_game/inventory/armor/body_armor/b_gui_ig_i_a_pos_a2_043.b_gui_ig_i_a_pos_a2_043'</v>
      </c>
      <c r="W173" s="73" t="s">
        <v>3062</v>
      </c>
    </row>
    <row r="174" spans="1:23" ht="15.75" thickBot="1" x14ac:dyDescent="0.3">
      <c r="A174" s="69">
        <v>172</v>
      </c>
      <c r="B174" s="69">
        <v>55</v>
      </c>
      <c r="C174" s="69">
        <f>HEX2DEC(B174+Items!$A$4)</f>
        <v>16908373</v>
      </c>
      <c r="D174" s="65" t="s">
        <v>2464</v>
      </c>
      <c r="E174" s="71">
        <v>59</v>
      </c>
      <c r="F174" s="72" t="s">
        <v>2384</v>
      </c>
      <c r="G174" s="69">
        <v>13</v>
      </c>
      <c r="H174" s="69">
        <v>0</v>
      </c>
      <c r="I174" s="69">
        <v>1</v>
      </c>
      <c r="J174" s="69">
        <v>1</v>
      </c>
      <c r="K174" s="69">
        <v>1</v>
      </c>
      <c r="L174" s="66" t="s">
        <v>2690</v>
      </c>
      <c r="M174" s="65" t="str">
        <f t="shared" si="12"/>
        <v>b_gui_ig_i_a_pos_a2_044</v>
      </c>
      <c r="N174" s="70" t="s">
        <v>2818</v>
      </c>
      <c r="O174" s="69" t="s">
        <v>2781</v>
      </c>
      <c r="P174" s="69">
        <v>2</v>
      </c>
      <c r="Q174" s="69">
        <v>2</v>
      </c>
      <c r="R174" s="69">
        <v>4</v>
      </c>
      <c r="S174" s="69">
        <v>8</v>
      </c>
      <c r="T174" s="73" t="str">
        <f t="shared" si="10"/>
        <v>DA_bd_sl_r_g_c_avg_o_fin</v>
      </c>
      <c r="U174" s="73" t="str">
        <f t="shared" si="11"/>
        <v>/Game/DungeonSiege/Items/Armor/Body/DA_bd_sl_r_g_c_avg_o_fin</v>
      </c>
      <c r="V174" s="73" t="str">
        <f t="shared" si="9"/>
        <v>Texture2D'/Game/DungeonSiege/art/bitmaps/gui/in_game/inventory/armor/body_armor/b_gui_ig_i_a_pos_a2_044.b_gui_ig_i_a_pos_a2_044'</v>
      </c>
      <c r="W174" s="73" t="s">
        <v>3062</v>
      </c>
    </row>
    <row r="175" spans="1:23" ht="15.75" thickBot="1" x14ac:dyDescent="0.3">
      <c r="A175" s="69">
        <v>173</v>
      </c>
      <c r="B175" s="69">
        <v>56</v>
      </c>
      <c r="C175" s="69">
        <f>HEX2DEC(B175+Items!$A$4)</f>
        <v>16908374</v>
      </c>
      <c r="D175" s="65" t="s">
        <v>2464</v>
      </c>
      <c r="E175" s="71">
        <v>173</v>
      </c>
      <c r="F175" s="72" t="s">
        <v>2384</v>
      </c>
      <c r="G175" s="69">
        <v>20</v>
      </c>
      <c r="H175" s="69">
        <v>0</v>
      </c>
      <c r="I175" s="69">
        <v>1</v>
      </c>
      <c r="J175" s="69">
        <v>1</v>
      </c>
      <c r="K175" s="69">
        <v>1</v>
      </c>
      <c r="L175" s="66" t="s">
        <v>2691</v>
      </c>
      <c r="M175" s="65" t="str">
        <f t="shared" si="12"/>
        <v>b_gui_ig_i_a_pos_a2_013</v>
      </c>
      <c r="N175" s="70" t="s">
        <v>2515</v>
      </c>
      <c r="O175" s="69" t="s">
        <v>2781</v>
      </c>
      <c r="P175" s="69">
        <v>2</v>
      </c>
      <c r="Q175" s="69">
        <v>2</v>
      </c>
      <c r="R175" s="69">
        <v>18</v>
      </c>
      <c r="S175" s="69">
        <v>25</v>
      </c>
      <c r="T175" s="73" t="str">
        <f t="shared" si="10"/>
        <v>DA_bd_sl_r_g_c_avg_o_mag</v>
      </c>
      <c r="U175" s="73" t="str">
        <f t="shared" si="11"/>
        <v>/Game/DungeonSiege/Items/Armor/Body/DA_bd_sl_r_g_c_avg_o_mag</v>
      </c>
      <c r="V175" s="73" t="str">
        <f t="shared" si="9"/>
        <v>Texture2D'/Game/DungeonSiege/art/bitmaps/gui/in_game/inventory/armor/body_armor/b_gui_ig_i_a_pos_a2_013.b_gui_ig_i_a_pos_a2_013'</v>
      </c>
      <c r="W175" s="73" t="s">
        <v>3062</v>
      </c>
    </row>
    <row r="176" spans="1:23" ht="15.75" thickBot="1" x14ac:dyDescent="0.3">
      <c r="A176" s="69">
        <v>174</v>
      </c>
      <c r="B176" s="69">
        <v>57</v>
      </c>
      <c r="C176" s="69">
        <f>HEX2DEC(B176+Items!$A$4)</f>
        <v>16908375</v>
      </c>
      <c r="D176" s="65" t="s">
        <v>2464</v>
      </c>
      <c r="E176" s="71">
        <v>112</v>
      </c>
      <c r="F176" s="72" t="s">
        <v>2384</v>
      </c>
      <c r="G176" s="69">
        <v>17</v>
      </c>
      <c r="H176" s="69">
        <v>0</v>
      </c>
      <c r="I176" s="69">
        <v>1</v>
      </c>
      <c r="J176" s="69">
        <v>1</v>
      </c>
      <c r="K176" s="69">
        <v>1</v>
      </c>
      <c r="L176" s="66" t="s">
        <v>2692</v>
      </c>
      <c r="M176" s="65" t="str">
        <f t="shared" si="12"/>
        <v>b_gui_ig_i_a_pos_a2_045</v>
      </c>
      <c r="N176" s="70" t="s">
        <v>2817</v>
      </c>
      <c r="O176" s="69" t="s">
        <v>2781</v>
      </c>
      <c r="P176" s="69">
        <v>2</v>
      </c>
      <c r="Q176" s="69">
        <v>2</v>
      </c>
      <c r="R176" s="69">
        <v>10</v>
      </c>
      <c r="S176" s="69">
        <v>16</v>
      </c>
      <c r="T176" s="73" t="str">
        <f t="shared" si="10"/>
        <v>DA_bd_sl_r_g_c_avg_o_str</v>
      </c>
      <c r="U176" s="73" t="str">
        <f t="shared" si="11"/>
        <v>/Game/DungeonSiege/Items/Armor/Body/DA_bd_sl_r_g_c_avg_o_str</v>
      </c>
      <c r="V176" s="73" t="str">
        <f t="shared" si="9"/>
        <v>Texture2D'/Game/DungeonSiege/art/bitmaps/gui/in_game/inventory/armor/body_armor/b_gui_ig_i_a_pos_a2_045.b_gui_ig_i_a_pos_a2_045'</v>
      </c>
      <c r="W176" s="73" t="s">
        <v>3062</v>
      </c>
    </row>
    <row r="177" spans="1:23" ht="15.75" thickBot="1" x14ac:dyDescent="0.3">
      <c r="A177" s="69">
        <v>175</v>
      </c>
      <c r="B177" s="69">
        <v>58</v>
      </c>
      <c r="C177" s="69">
        <f>HEX2DEC(B177+Items!$A$4)</f>
        <v>16908376</v>
      </c>
      <c r="D177" s="65" t="s">
        <v>2465</v>
      </c>
      <c r="E177" s="71">
        <v>50</v>
      </c>
      <c r="F177" s="72" t="s">
        <v>2384</v>
      </c>
      <c r="G177" s="69">
        <v>15</v>
      </c>
      <c r="H177" s="69">
        <v>1</v>
      </c>
      <c r="I177" s="69">
        <v>0</v>
      </c>
      <c r="J177" s="69">
        <v>0</v>
      </c>
      <c r="K177" s="69">
        <v>1</v>
      </c>
      <c r="L177" s="66" t="s">
        <v>2693</v>
      </c>
      <c r="M177" s="65" t="str">
        <f t="shared" si="12"/>
        <v>b_gui_ig_i_a_pos_a3_045</v>
      </c>
      <c r="N177" s="70" t="s">
        <v>2817</v>
      </c>
      <c r="O177" s="69" t="s">
        <v>2782</v>
      </c>
      <c r="P177" s="69">
        <v>2</v>
      </c>
      <c r="Q177" s="69">
        <v>3</v>
      </c>
      <c r="R177" s="69"/>
      <c r="S177" s="69"/>
      <c r="T177" s="73" t="str">
        <f t="shared" si="10"/>
        <v>DA_gen_bd_un_bl_f_g_c_blood</v>
      </c>
      <c r="U177" s="73" t="str">
        <f t="shared" si="11"/>
        <v>/Game/DungeonSiege/Items/Armor/Body/DA_gen_bd_un_bl_f_g_c_blood</v>
      </c>
      <c r="V177" s="73" t="str">
        <f t="shared" si="9"/>
        <v>Texture2D'/Game/DungeonSiege/art/bitmaps/gui/in_game/inventory/armor/body_armor/b_gui_ig_i_a_pos_a3_045.b_gui_ig_i_a_pos_a3_045'</v>
      </c>
      <c r="W177" s="73" t="s">
        <v>3062</v>
      </c>
    </row>
    <row r="178" spans="1:23" ht="15.75" thickBot="1" x14ac:dyDescent="0.3">
      <c r="A178" s="69">
        <v>176</v>
      </c>
      <c r="B178" s="69">
        <v>59</v>
      </c>
      <c r="C178" s="69">
        <f>HEX2DEC(B178+Items!$A$4)</f>
        <v>16908377</v>
      </c>
      <c r="D178" s="65" t="s">
        <v>2465</v>
      </c>
      <c r="E178" s="71">
        <v>50</v>
      </c>
      <c r="F178" s="72" t="s">
        <v>2384</v>
      </c>
      <c r="G178" s="69">
        <v>15</v>
      </c>
      <c r="H178" s="69">
        <v>1</v>
      </c>
      <c r="I178" s="69">
        <v>0</v>
      </c>
      <c r="J178" s="69">
        <v>0</v>
      </c>
      <c r="K178" s="69">
        <v>1</v>
      </c>
      <c r="L178" s="66" t="s">
        <v>2694</v>
      </c>
      <c r="M178" s="65" t="str">
        <f t="shared" si="12"/>
        <v>b_gui_ig_i_a_pos_a3_045</v>
      </c>
      <c r="N178" s="70" t="s">
        <v>2817</v>
      </c>
      <c r="O178" s="69" t="s">
        <v>2782</v>
      </c>
      <c r="P178" s="69">
        <v>2</v>
      </c>
      <c r="Q178" s="69">
        <v>3</v>
      </c>
      <c r="R178" s="69"/>
      <c r="S178" s="69"/>
      <c r="T178" s="73" t="str">
        <f t="shared" si="10"/>
        <v>DA_bd_un_bl_f_g_c_blood</v>
      </c>
      <c r="U178" s="73" t="str">
        <f t="shared" si="11"/>
        <v>/Game/DungeonSiege/Items/Armor/Body/DA_bd_un_bl_f_g_c_blood</v>
      </c>
      <c r="V178" s="73" t="str">
        <f t="shared" si="9"/>
        <v>Texture2D'/Game/DungeonSiege/art/bitmaps/gui/in_game/inventory/armor/body_armor/b_gui_ig_i_a_pos_a3_045.b_gui_ig_i_a_pos_a3_045'</v>
      </c>
      <c r="W178" s="73" t="s">
        <v>3062</v>
      </c>
    </row>
    <row r="179" spans="1:23" ht="15.75" thickBot="1" x14ac:dyDescent="0.3">
      <c r="A179" s="69">
        <v>177</v>
      </c>
      <c r="B179" s="69">
        <v>60</v>
      </c>
      <c r="C179" s="69">
        <f>HEX2DEC(B179+Items!$A$4)</f>
        <v>16908384</v>
      </c>
      <c r="D179" s="65" t="s">
        <v>2466</v>
      </c>
      <c r="E179" s="71">
        <v>72</v>
      </c>
      <c r="F179" s="72" t="s">
        <v>2384</v>
      </c>
      <c r="G179" s="69">
        <v>14</v>
      </c>
      <c r="H179" s="69">
        <v>0</v>
      </c>
      <c r="I179" s="69">
        <v>0</v>
      </c>
      <c r="J179" s="69">
        <v>0</v>
      </c>
      <c r="K179" s="69">
        <v>1</v>
      </c>
      <c r="L179" s="66" t="s">
        <v>2695</v>
      </c>
      <c r="M179" s="65" t="str">
        <f t="shared" si="12"/>
        <v>b_gui_ig_i_a_pos_a2_051</v>
      </c>
      <c r="N179" s="70" t="s">
        <v>2825</v>
      </c>
      <c r="O179" s="69" t="s">
        <v>2781</v>
      </c>
      <c r="P179" s="69">
        <v>2</v>
      </c>
      <c r="Q179" s="69">
        <v>2</v>
      </c>
      <c r="R179" s="69">
        <v>3</v>
      </c>
      <c r="S179" s="69">
        <v>13</v>
      </c>
      <c r="T179" s="73" t="str">
        <f t="shared" si="10"/>
        <v>DA_bd_un_bl_r_leaf</v>
      </c>
      <c r="U179" s="73" t="str">
        <f t="shared" si="11"/>
        <v>/Game/DungeonSiege/Items/Armor/Body/DA_bd_un_bl_r_leaf</v>
      </c>
      <c r="V179" s="73" t="str">
        <f t="shared" si="9"/>
        <v>Texture2D'/Game/DungeonSiege/art/bitmaps/gui/in_game/inventory/armor/body_armor/b_gui_ig_i_a_pos_a2_051.b_gui_ig_i_a_pos_a2_051'</v>
      </c>
      <c r="W179" s="73" t="s">
        <v>3062</v>
      </c>
    </row>
    <row r="180" spans="1:23" ht="15.75" thickBot="1" x14ac:dyDescent="0.3">
      <c r="A180" s="69">
        <v>178</v>
      </c>
      <c r="B180" s="69">
        <v>61</v>
      </c>
      <c r="C180" s="69">
        <f>HEX2DEC(B180+Items!$A$4)</f>
        <v>16908385</v>
      </c>
      <c r="D180" s="65" t="s">
        <v>2467</v>
      </c>
      <c r="E180" s="71">
        <v>10</v>
      </c>
      <c r="F180" s="69"/>
      <c r="G180" s="69"/>
      <c r="H180" s="69">
        <v>1</v>
      </c>
      <c r="I180" s="69">
        <v>0</v>
      </c>
      <c r="J180" s="69">
        <v>0</v>
      </c>
      <c r="K180" s="69">
        <v>0</v>
      </c>
      <c r="L180" s="66" t="s">
        <v>2696</v>
      </c>
      <c r="M180" s="65" t="str">
        <f t="shared" si="12"/>
        <v>b_gui_ig_i_a_pos_a1_078</v>
      </c>
      <c r="N180" s="70" t="s">
        <v>2826</v>
      </c>
      <c r="O180" s="69" t="s">
        <v>2797</v>
      </c>
      <c r="P180" s="69">
        <v>2</v>
      </c>
      <c r="Q180" s="69">
        <v>2</v>
      </c>
      <c r="R180" s="69"/>
      <c r="S180" s="69"/>
      <c r="T180" s="73" t="str">
        <f t="shared" si="10"/>
        <v>DA_bd_un_le_f_pad_avg</v>
      </c>
      <c r="U180" s="73" t="str">
        <f t="shared" si="11"/>
        <v>/Game/DungeonSiege/Items/Armor/Body/DA_bd_un_le_f_pad_avg</v>
      </c>
      <c r="V180" s="73" t="str">
        <f t="shared" si="9"/>
        <v>Texture2D'/Game/DungeonSiege/art/bitmaps/gui/in_game/inventory/armor/body_armor/b_gui_ig_i_a_pos_a1_078.b_gui_ig_i_a_pos_a1_078'</v>
      </c>
      <c r="W180" s="73" t="s">
        <v>3062</v>
      </c>
    </row>
    <row r="181" spans="1:23" ht="15.75" thickBot="1" x14ac:dyDescent="0.3">
      <c r="A181" s="69">
        <v>179</v>
      </c>
      <c r="B181" s="69">
        <v>62</v>
      </c>
      <c r="C181" s="69">
        <f>HEX2DEC(B181+Items!$A$4)</f>
        <v>16908386</v>
      </c>
      <c r="D181" s="65" t="s">
        <v>2468</v>
      </c>
      <c r="E181" s="71">
        <v>44</v>
      </c>
      <c r="F181" s="72" t="s">
        <v>2384</v>
      </c>
      <c r="G181" s="69">
        <v>14</v>
      </c>
      <c r="H181" s="69">
        <v>0</v>
      </c>
      <c r="I181" s="69">
        <v>0</v>
      </c>
      <c r="J181" s="69">
        <v>0</v>
      </c>
      <c r="K181" s="69">
        <v>1</v>
      </c>
      <c r="L181" s="66" t="s">
        <v>2697</v>
      </c>
      <c r="M181" s="65" t="str">
        <f t="shared" si="12"/>
        <v>b_gui_ig_i_a_pos_a1_054</v>
      </c>
      <c r="N181" s="70" t="s">
        <v>2812</v>
      </c>
      <c r="O181" s="69" t="s">
        <v>2797</v>
      </c>
      <c r="P181" s="69">
        <v>2</v>
      </c>
      <c r="Q181" s="69">
        <v>2</v>
      </c>
      <c r="R181" s="69">
        <v>1</v>
      </c>
      <c r="S181" s="69">
        <v>3</v>
      </c>
      <c r="T181" s="73" t="str">
        <f t="shared" si="10"/>
        <v>DA_bd_un_sl_f_barbarian</v>
      </c>
      <c r="U181" s="73" t="str">
        <f t="shared" si="11"/>
        <v>/Game/DungeonSiege/Items/Armor/Body/DA_bd_un_sl_f_barbarian</v>
      </c>
      <c r="V181" s="73" t="str">
        <f t="shared" si="9"/>
        <v>Texture2D'/Game/DungeonSiege/art/bitmaps/gui/in_game/inventory/armor/body_armor/b_gui_ig_i_a_pos_a1_054.b_gui_ig_i_a_pos_a1_054'</v>
      </c>
      <c r="W181" s="73" t="s">
        <v>3062</v>
      </c>
    </row>
    <row r="182" spans="1:23" ht="15.75" thickBot="1" x14ac:dyDescent="0.3">
      <c r="A182" s="69">
        <v>180</v>
      </c>
      <c r="B182" s="69">
        <v>0</v>
      </c>
      <c r="C182" s="69">
        <f>HEX2DEC(B182+Items!$A$3)</f>
        <v>16842752</v>
      </c>
      <c r="D182" s="65" t="s">
        <v>2469</v>
      </c>
      <c r="E182" s="71">
        <v>9</v>
      </c>
      <c r="F182" s="72" t="s">
        <v>2470</v>
      </c>
      <c r="G182" s="69">
        <v>13</v>
      </c>
      <c r="H182" s="69">
        <v>0</v>
      </c>
      <c r="I182" s="69">
        <v>0</v>
      </c>
      <c r="J182" s="69">
        <v>1</v>
      </c>
      <c r="K182" s="69">
        <v>1</v>
      </c>
      <c r="L182" s="66" t="s">
        <v>2698</v>
      </c>
      <c r="M182" s="65" t="s">
        <v>2889</v>
      </c>
      <c r="N182" s="70" t="s">
        <v>2512</v>
      </c>
      <c r="O182" s="69" t="s">
        <v>2827</v>
      </c>
      <c r="P182" s="69">
        <v>2</v>
      </c>
      <c r="Q182" s="69">
        <v>2</v>
      </c>
      <c r="R182" s="69">
        <v>2</v>
      </c>
      <c r="S182" s="69">
        <v>10</v>
      </c>
      <c r="T182" s="73" t="str">
        <f t="shared" si="10"/>
        <v>DA_bd_ra_ro_m_d_c_003</v>
      </c>
      <c r="U182" s="73" t="str">
        <f t="shared" si="11"/>
        <v>/Game/DungeonSiege/Items/Armor/Body/DA_bd_ra_ro_m_d_c_003</v>
      </c>
      <c r="V182" s="73" t="str">
        <f t="shared" si="9"/>
        <v>Texture2D'/Game/DungeonSiege/art/bitmaps/gui/in_game/inventory/armor/body_armor/b_gui_ig_i_a_pos_a7_059.b_gui_ig_i_a_pos_a7_059'</v>
      </c>
      <c r="W182" s="73" t="s">
        <v>3063</v>
      </c>
    </row>
    <row r="183" spans="1:23" ht="15.75" thickBot="1" x14ac:dyDescent="0.3">
      <c r="A183" s="69">
        <v>181</v>
      </c>
      <c r="B183" s="69">
        <v>1</v>
      </c>
      <c r="C183" s="69">
        <f>HEX2DEC(B183+Items!$A$3)</f>
        <v>16842753</v>
      </c>
      <c r="D183" s="65" t="s">
        <v>2469</v>
      </c>
      <c r="E183" s="71">
        <v>9</v>
      </c>
      <c r="F183" s="72" t="s">
        <v>2470</v>
      </c>
      <c r="G183" s="69">
        <v>13</v>
      </c>
      <c r="H183" s="69">
        <v>0</v>
      </c>
      <c r="I183" s="69">
        <v>0</v>
      </c>
      <c r="J183" s="69">
        <v>1</v>
      </c>
      <c r="K183" s="69">
        <v>1</v>
      </c>
      <c r="L183" s="66" t="s">
        <v>2699</v>
      </c>
      <c r="M183" s="65" t="s">
        <v>2888</v>
      </c>
      <c r="N183" s="70" t="s">
        <v>2514</v>
      </c>
      <c r="O183" s="69" t="s">
        <v>2827</v>
      </c>
      <c r="P183" s="69">
        <v>2</v>
      </c>
      <c r="Q183" s="69">
        <v>2</v>
      </c>
      <c r="R183" s="69">
        <v>1</v>
      </c>
      <c r="S183" s="69">
        <v>13</v>
      </c>
      <c r="T183" s="73" t="str">
        <f t="shared" si="10"/>
        <v>DA_bd_ra_ro_m_d_c_004</v>
      </c>
      <c r="U183" s="73" t="str">
        <f t="shared" si="11"/>
        <v>/Game/DungeonSiege/Items/Armor/Body/DA_bd_ra_ro_m_d_c_004</v>
      </c>
      <c r="V183" s="73" t="str">
        <f t="shared" si="9"/>
        <v>Texture2D'/Game/DungeonSiege/art/bitmaps/gui/in_game/inventory/armor/body_armor/b_gui_ig_i_a_pos_a7_061.b_gui_ig_i_a_pos_a7_061'</v>
      </c>
      <c r="W183" s="73" t="s">
        <v>3063</v>
      </c>
    </row>
    <row r="184" spans="1:23" ht="15.75" thickBot="1" x14ac:dyDescent="0.3">
      <c r="A184" s="69">
        <v>182</v>
      </c>
      <c r="B184" s="69">
        <v>2</v>
      </c>
      <c r="C184" s="69">
        <f>HEX2DEC(B184+Items!$A$3)</f>
        <v>16842754</v>
      </c>
      <c r="D184" s="65" t="s">
        <v>2471</v>
      </c>
      <c r="E184" s="71">
        <v>17</v>
      </c>
      <c r="F184" s="72" t="s">
        <v>2470</v>
      </c>
      <c r="G184" s="69">
        <v>17</v>
      </c>
      <c r="H184" s="69">
        <v>0</v>
      </c>
      <c r="I184" s="69">
        <v>0</v>
      </c>
      <c r="J184" s="69">
        <v>1</v>
      </c>
      <c r="K184" s="69">
        <v>1</v>
      </c>
      <c r="L184" s="66" t="s">
        <v>2700</v>
      </c>
      <c r="M184" s="65" t="s">
        <v>2887</v>
      </c>
      <c r="N184" s="70" t="s">
        <v>2780</v>
      </c>
      <c r="O184" s="69" t="s">
        <v>2827</v>
      </c>
      <c r="P184" s="69">
        <v>2</v>
      </c>
      <c r="Q184" s="69">
        <v>2</v>
      </c>
      <c r="R184" s="69">
        <v>3</v>
      </c>
      <c r="S184" s="69">
        <v>20</v>
      </c>
      <c r="T184" s="73" t="str">
        <f t="shared" si="10"/>
        <v>DA_bd_ra_ro_m_d_c_009</v>
      </c>
      <c r="U184" s="73" t="str">
        <f t="shared" si="11"/>
        <v>/Game/DungeonSiege/Items/Armor/Body/DA_bd_ra_ro_m_d_c_009</v>
      </c>
      <c r="V184" s="73" t="str">
        <f t="shared" si="9"/>
        <v>Texture2D'/Game/DungeonSiege/art/bitmaps/gui/in_game/inventory/armor/body_armor/b_gui_ig_i_a_pos_a7_067.b_gui_ig_i_a_pos_a7_067'</v>
      </c>
      <c r="W184" s="73" t="s">
        <v>3063</v>
      </c>
    </row>
    <row r="185" spans="1:23" ht="15.75" thickBot="1" x14ac:dyDescent="0.3">
      <c r="A185" s="69">
        <v>183</v>
      </c>
      <c r="B185" s="69">
        <v>3</v>
      </c>
      <c r="C185" s="69">
        <f>HEX2DEC(B185+Items!$A$3)</f>
        <v>16842755</v>
      </c>
      <c r="D185" s="65" t="s">
        <v>2472</v>
      </c>
      <c r="E185" s="71">
        <v>57</v>
      </c>
      <c r="F185" s="72" t="s">
        <v>2470</v>
      </c>
      <c r="G185" s="69">
        <v>36</v>
      </c>
      <c r="H185" s="69">
        <v>0</v>
      </c>
      <c r="I185" s="69">
        <v>0</v>
      </c>
      <c r="J185" s="69">
        <v>1</v>
      </c>
      <c r="K185" s="69">
        <v>1</v>
      </c>
      <c r="L185" s="66" t="s">
        <v>2701</v>
      </c>
      <c r="M185" s="65" t="s">
        <v>2886</v>
      </c>
      <c r="N185" s="70" t="s">
        <v>2507</v>
      </c>
      <c r="O185" s="69" t="s">
        <v>2827</v>
      </c>
      <c r="P185" s="69">
        <v>2</v>
      </c>
      <c r="Q185" s="69">
        <v>2</v>
      </c>
      <c r="R185" s="69">
        <v>25</v>
      </c>
      <c r="S185" s="69">
        <v>95</v>
      </c>
      <c r="T185" s="73" t="str">
        <f t="shared" si="10"/>
        <v>DA_bd_ra_ro_m_d_c_041</v>
      </c>
      <c r="U185" s="73" t="str">
        <f t="shared" si="11"/>
        <v>/Game/DungeonSiege/Items/Armor/Body/DA_bd_ra_ro_m_d_c_041</v>
      </c>
      <c r="V185" s="73" t="str">
        <f t="shared" si="9"/>
        <v>Texture2D'/Game/DungeonSiege/art/bitmaps/gui/in_game/inventory/armor/body_armor/b_gui_ig_i_a_pos_a7_054.b_gui_ig_i_a_pos_a7_054'</v>
      </c>
      <c r="W185" s="73" t="s">
        <v>3063</v>
      </c>
    </row>
    <row r="186" spans="1:23" ht="15.75" thickBot="1" x14ac:dyDescent="0.3">
      <c r="A186" s="69">
        <v>184</v>
      </c>
      <c r="B186" s="69">
        <v>4</v>
      </c>
      <c r="C186" s="69">
        <f>HEX2DEC(B186+Items!$A$3)</f>
        <v>16842756</v>
      </c>
      <c r="D186" s="65" t="s">
        <v>2472</v>
      </c>
      <c r="E186" s="71">
        <v>61</v>
      </c>
      <c r="F186" s="72" t="s">
        <v>2470</v>
      </c>
      <c r="G186" s="69">
        <v>38</v>
      </c>
      <c r="H186" s="69">
        <v>0</v>
      </c>
      <c r="I186" s="69">
        <v>0</v>
      </c>
      <c r="J186" s="69">
        <v>1</v>
      </c>
      <c r="K186" s="69">
        <v>1</v>
      </c>
      <c r="L186" s="66" t="s">
        <v>2702</v>
      </c>
      <c r="M186" s="65" t="s">
        <v>2885</v>
      </c>
      <c r="N186" s="70" t="s">
        <v>2508</v>
      </c>
      <c r="O186" s="69" t="s">
        <v>2827</v>
      </c>
      <c r="P186" s="69">
        <v>2</v>
      </c>
      <c r="Q186" s="69">
        <v>2</v>
      </c>
      <c r="R186" s="69">
        <v>29</v>
      </c>
      <c r="S186" s="69">
        <v>116</v>
      </c>
      <c r="T186" s="73" t="str">
        <f t="shared" si="10"/>
        <v>DA_bd_ra_ro_m_d_c_043</v>
      </c>
      <c r="U186" s="73" t="str">
        <f t="shared" si="11"/>
        <v>/Game/DungeonSiege/Items/Armor/Body/DA_bd_ra_ro_m_d_c_043</v>
      </c>
      <c r="V186" s="73" t="str">
        <f t="shared" si="9"/>
        <v>Texture2D'/Game/DungeonSiege/art/bitmaps/gui/in_game/inventory/armor/body_armor/b_gui_ig_i_a_pos_a7_055.b_gui_ig_i_a_pos_a7_055'</v>
      </c>
      <c r="W186" s="73" t="s">
        <v>3063</v>
      </c>
    </row>
    <row r="187" spans="1:23" ht="15.75" thickBot="1" x14ac:dyDescent="0.3">
      <c r="A187" s="69">
        <v>185</v>
      </c>
      <c r="B187" s="69">
        <v>5</v>
      </c>
      <c r="C187" s="69">
        <f>HEX2DEC(B187+Items!$A$3)</f>
        <v>16842757</v>
      </c>
      <c r="D187" s="65" t="s">
        <v>2473</v>
      </c>
      <c r="E187" s="71">
        <v>83</v>
      </c>
      <c r="F187" s="72" t="s">
        <v>2470</v>
      </c>
      <c r="G187" s="69">
        <v>49</v>
      </c>
      <c r="H187" s="69">
        <v>0</v>
      </c>
      <c r="I187" s="69">
        <v>0</v>
      </c>
      <c r="J187" s="69">
        <v>1</v>
      </c>
      <c r="K187" s="69">
        <v>1</v>
      </c>
      <c r="L187" s="66" t="s">
        <v>2703</v>
      </c>
      <c r="M187" s="65" t="s">
        <v>2884</v>
      </c>
      <c r="N187" s="70" t="s">
        <v>2785</v>
      </c>
      <c r="O187" s="69" t="s">
        <v>2827</v>
      </c>
      <c r="P187" s="69">
        <v>2</v>
      </c>
      <c r="Q187" s="69">
        <v>2</v>
      </c>
      <c r="R187" s="69">
        <v>39</v>
      </c>
      <c r="S187" s="69">
        <v>159</v>
      </c>
      <c r="T187" s="73" t="str">
        <f t="shared" si="10"/>
        <v>DA_bd_ra_ro_m_d_c_077</v>
      </c>
      <c r="U187" s="73" t="str">
        <f t="shared" si="11"/>
        <v>/Game/DungeonSiege/Items/Armor/Body/DA_bd_ra_ro_m_d_c_077</v>
      </c>
      <c r="V187" s="73" t="str">
        <f t="shared" si="9"/>
        <v>Texture2D'/Game/DungeonSiege/art/bitmaps/gui/in_game/inventory/armor/body_armor/b_gui_ig_i_a_pos_a7_073.b_gui_ig_i_a_pos_a7_073'</v>
      </c>
      <c r="W187" s="73" t="s">
        <v>3063</v>
      </c>
    </row>
    <row r="188" spans="1:23" ht="15.75" thickBot="1" x14ac:dyDescent="0.3">
      <c r="A188" s="69">
        <v>186</v>
      </c>
      <c r="B188" s="69">
        <v>6</v>
      </c>
      <c r="C188" s="69">
        <f>HEX2DEC(B188+Items!$A$3)</f>
        <v>16842758</v>
      </c>
      <c r="D188" s="65" t="s">
        <v>2474</v>
      </c>
      <c r="E188" s="71">
        <v>6</v>
      </c>
      <c r="F188" s="72" t="s">
        <v>2470</v>
      </c>
      <c r="G188" s="69">
        <v>11</v>
      </c>
      <c r="H188" s="69">
        <v>0</v>
      </c>
      <c r="I188" s="69">
        <v>0</v>
      </c>
      <c r="J188" s="69">
        <v>1</v>
      </c>
      <c r="K188" s="69">
        <v>1</v>
      </c>
      <c r="L188" s="66" t="s">
        <v>2704</v>
      </c>
      <c r="M188" s="65" t="s">
        <v>2883</v>
      </c>
      <c r="N188" s="70" t="s">
        <v>2792</v>
      </c>
      <c r="O188" s="69" t="s">
        <v>2827</v>
      </c>
      <c r="P188" s="69">
        <v>2</v>
      </c>
      <c r="Q188" s="69">
        <v>2</v>
      </c>
      <c r="R188" s="69">
        <v>3</v>
      </c>
      <c r="S188" s="69">
        <v>11</v>
      </c>
      <c r="T188" s="73" t="str">
        <f t="shared" si="10"/>
        <v>DA_bd_ra_ro_m_g_c_001</v>
      </c>
      <c r="U188" s="73" t="str">
        <f t="shared" si="11"/>
        <v>/Game/DungeonSiege/Items/Armor/Body/DA_bd_ra_ro_m_g_c_001</v>
      </c>
      <c r="V188" s="73" t="str">
        <f t="shared" si="9"/>
        <v>Texture2D'/Game/DungeonSiege/art/bitmaps/gui/in_game/inventory/armor/body_armor/b_gui_ig_i_a_pos_a7_077.b_gui_ig_i_a_pos_a7_077'</v>
      </c>
      <c r="W188" s="73" t="s">
        <v>3063</v>
      </c>
    </row>
    <row r="189" spans="1:23" ht="15.75" thickBot="1" x14ac:dyDescent="0.3">
      <c r="A189" s="69">
        <v>187</v>
      </c>
      <c r="B189" s="69">
        <v>7</v>
      </c>
      <c r="C189" s="69">
        <f>HEX2DEC(B189+Items!$A$3)</f>
        <v>16842759</v>
      </c>
      <c r="D189" s="65" t="s">
        <v>2475</v>
      </c>
      <c r="E189" s="71">
        <v>7</v>
      </c>
      <c r="F189" s="72" t="s">
        <v>2470</v>
      </c>
      <c r="G189" s="69">
        <v>12</v>
      </c>
      <c r="H189" s="69">
        <v>0</v>
      </c>
      <c r="I189" s="69">
        <v>0</v>
      </c>
      <c r="J189" s="69">
        <v>1</v>
      </c>
      <c r="K189" s="69">
        <v>1</v>
      </c>
      <c r="L189" s="66" t="s">
        <v>2705</v>
      </c>
      <c r="M189" s="65" t="s">
        <v>2882</v>
      </c>
      <c r="N189" s="70" t="s">
        <v>2513</v>
      </c>
      <c r="O189" s="69" t="s">
        <v>2827</v>
      </c>
      <c r="P189" s="69">
        <v>2</v>
      </c>
      <c r="Q189" s="69">
        <v>2</v>
      </c>
      <c r="R189" s="69">
        <v>2</v>
      </c>
      <c r="S189" s="69">
        <v>18</v>
      </c>
      <c r="T189" s="73" t="str">
        <f t="shared" si="10"/>
        <v>DA_bd_ra_ro_m_g_c_002</v>
      </c>
      <c r="U189" s="73" t="str">
        <f t="shared" si="11"/>
        <v>/Game/DungeonSiege/Items/Armor/Body/DA_bd_ra_ro_m_g_c_002</v>
      </c>
      <c r="V189" s="73" t="str">
        <f t="shared" si="9"/>
        <v>Texture2D'/Game/DungeonSiege/art/bitmaps/gui/in_game/inventory/armor/body_armor/b_gui_ig_i_a_pos_a7_060.b_gui_ig_i_a_pos_a7_060'</v>
      </c>
      <c r="W189" s="73" t="s">
        <v>3063</v>
      </c>
    </row>
    <row r="190" spans="1:23" ht="15.75" thickBot="1" x14ac:dyDescent="0.3">
      <c r="A190" s="69">
        <v>188</v>
      </c>
      <c r="B190" s="69">
        <v>8</v>
      </c>
      <c r="C190" s="69">
        <f>HEX2DEC(B190+Items!$A$3)</f>
        <v>16842760</v>
      </c>
      <c r="D190" s="65" t="s">
        <v>2476</v>
      </c>
      <c r="E190" s="71">
        <v>11</v>
      </c>
      <c r="F190" s="72" t="s">
        <v>2470</v>
      </c>
      <c r="G190" s="69">
        <v>13</v>
      </c>
      <c r="H190" s="69">
        <v>0</v>
      </c>
      <c r="I190" s="69">
        <v>0</v>
      </c>
      <c r="J190" s="69">
        <v>1</v>
      </c>
      <c r="K190" s="69">
        <v>1</v>
      </c>
      <c r="L190" s="66" t="s">
        <v>2706</v>
      </c>
      <c r="M190" s="65" t="s">
        <v>2881</v>
      </c>
      <c r="N190" s="70" t="s">
        <v>2503</v>
      </c>
      <c r="O190" s="69" t="s">
        <v>2827</v>
      </c>
      <c r="P190" s="69">
        <v>2</v>
      </c>
      <c r="Q190" s="69">
        <v>2</v>
      </c>
      <c r="R190" s="69">
        <v>1</v>
      </c>
      <c r="S190" s="69">
        <v>15</v>
      </c>
      <c r="T190" s="73" t="str">
        <f t="shared" si="10"/>
        <v>DA_bd_ra_ro_m_g_c_005</v>
      </c>
      <c r="U190" s="73" t="str">
        <f t="shared" si="11"/>
        <v>/Game/DungeonSiege/Items/Armor/Body/DA_bd_ra_ro_m_g_c_005</v>
      </c>
      <c r="V190" s="73" t="str">
        <f t="shared" si="9"/>
        <v>Texture2D'/Game/DungeonSiege/art/bitmaps/gui/in_game/inventory/armor/body_armor/b_gui_ig_i_a_pos_a7_058.b_gui_ig_i_a_pos_a7_058'</v>
      </c>
      <c r="W190" s="73" t="s">
        <v>3063</v>
      </c>
    </row>
    <row r="191" spans="1:23" ht="15.75" thickBot="1" x14ac:dyDescent="0.3">
      <c r="A191" s="69">
        <v>189</v>
      </c>
      <c r="B191" s="69">
        <v>9</v>
      </c>
      <c r="C191" s="69">
        <f>HEX2DEC(B191+Items!$A$3)</f>
        <v>16842761</v>
      </c>
      <c r="D191" s="65" t="s">
        <v>2477</v>
      </c>
      <c r="E191" s="71">
        <v>11</v>
      </c>
      <c r="F191" s="72" t="s">
        <v>2470</v>
      </c>
      <c r="G191" s="69">
        <v>13</v>
      </c>
      <c r="H191" s="69">
        <v>0</v>
      </c>
      <c r="I191" s="69">
        <v>0</v>
      </c>
      <c r="J191" s="69">
        <v>1</v>
      </c>
      <c r="K191" s="69">
        <v>1</v>
      </c>
      <c r="L191" s="66" t="s">
        <v>2707</v>
      </c>
      <c r="M191" s="65" t="s">
        <v>2880</v>
      </c>
      <c r="N191" s="70" t="s">
        <v>2793</v>
      </c>
      <c r="O191" s="69" t="s">
        <v>2827</v>
      </c>
      <c r="P191" s="69">
        <v>2</v>
      </c>
      <c r="Q191" s="69">
        <v>2</v>
      </c>
      <c r="R191" s="69">
        <v>1</v>
      </c>
      <c r="S191" s="69">
        <v>15</v>
      </c>
      <c r="T191" s="73" t="str">
        <f t="shared" si="10"/>
        <v>DA_bd_ra_ro_m_g_c_005a</v>
      </c>
      <c r="U191" s="73" t="str">
        <f t="shared" si="11"/>
        <v>/Game/DungeonSiege/Items/Armor/Body/DA_bd_ra_ro_m_g_c_005a</v>
      </c>
      <c r="V191" s="73" t="str">
        <f t="shared" si="9"/>
        <v>Texture2D'/Game/DungeonSiege/art/bitmaps/gui/in_game/inventory/armor/body_armor/b_gui_ig_i_a_pos_a7_078.b_gui_ig_i_a_pos_a7_078'</v>
      </c>
      <c r="W191" s="73" t="s">
        <v>3063</v>
      </c>
    </row>
    <row r="192" spans="1:23" ht="15.75" thickBot="1" x14ac:dyDescent="0.3">
      <c r="A192" s="69">
        <v>190</v>
      </c>
      <c r="B192" s="69">
        <v>10</v>
      </c>
      <c r="C192" s="69">
        <f>HEX2DEC(B192+Items!$A$3)</f>
        <v>16842768</v>
      </c>
      <c r="D192" s="65" t="s">
        <v>2471</v>
      </c>
      <c r="E192" s="71">
        <v>15</v>
      </c>
      <c r="F192" s="72" t="s">
        <v>2470</v>
      </c>
      <c r="G192" s="69">
        <v>16</v>
      </c>
      <c r="H192" s="69">
        <v>0</v>
      </c>
      <c r="I192" s="69">
        <v>0</v>
      </c>
      <c r="J192" s="69">
        <v>1</v>
      </c>
      <c r="K192" s="69">
        <v>1</v>
      </c>
      <c r="L192" s="66" t="s">
        <v>2708</v>
      </c>
      <c r="M192" s="65" t="s">
        <v>2879</v>
      </c>
      <c r="N192" s="70" t="s">
        <v>2806</v>
      </c>
      <c r="O192" s="69" t="s">
        <v>2827</v>
      </c>
      <c r="P192" s="69">
        <v>2</v>
      </c>
      <c r="Q192" s="69">
        <v>2</v>
      </c>
      <c r="R192" s="69">
        <v>1</v>
      </c>
      <c r="S192" s="69">
        <v>18</v>
      </c>
      <c r="T192" s="73" t="str">
        <f t="shared" si="10"/>
        <v>DA_bd_ra_ro_m_g_c_008</v>
      </c>
      <c r="U192" s="73" t="str">
        <f t="shared" si="11"/>
        <v>/Game/DungeonSiege/Items/Armor/Body/DA_bd_ra_ro_m_g_c_008</v>
      </c>
      <c r="V192" s="73" t="str">
        <f t="shared" si="9"/>
        <v>Texture2D'/Game/DungeonSiege/art/bitmaps/gui/in_game/inventory/armor/body_armor/b_gui_ig_i_a_pos_a7_079.b_gui_ig_i_a_pos_a7_079'</v>
      </c>
      <c r="W192" s="73" t="s">
        <v>3063</v>
      </c>
    </row>
    <row r="193" spans="1:23" ht="15.75" thickBot="1" x14ac:dyDescent="0.3">
      <c r="A193" s="69">
        <v>191</v>
      </c>
      <c r="B193" s="69">
        <v>11</v>
      </c>
      <c r="C193" s="69">
        <f>HEX2DEC(B193+Items!$A$3)</f>
        <v>16842769</v>
      </c>
      <c r="D193" s="65" t="s">
        <v>2471</v>
      </c>
      <c r="E193" s="71">
        <v>19</v>
      </c>
      <c r="F193" s="72" t="s">
        <v>2470</v>
      </c>
      <c r="G193" s="69">
        <v>18</v>
      </c>
      <c r="H193" s="69">
        <v>0</v>
      </c>
      <c r="I193" s="69">
        <v>0</v>
      </c>
      <c r="J193" s="69">
        <v>1</v>
      </c>
      <c r="K193" s="69">
        <v>1</v>
      </c>
      <c r="L193" s="66" t="s">
        <v>2709</v>
      </c>
      <c r="M193" s="65" t="s">
        <v>2878</v>
      </c>
      <c r="N193" s="70" t="s">
        <v>2786</v>
      </c>
      <c r="O193" s="69" t="s">
        <v>2827</v>
      </c>
      <c r="P193" s="69">
        <v>2</v>
      </c>
      <c r="Q193" s="69">
        <v>2</v>
      </c>
      <c r="R193" s="69">
        <v>5</v>
      </c>
      <c r="S193" s="69">
        <v>27</v>
      </c>
      <c r="T193" s="73" t="str">
        <f t="shared" si="10"/>
        <v>DA_bd_ra_ro_m_g_c_012</v>
      </c>
      <c r="U193" s="73" t="str">
        <f t="shared" si="11"/>
        <v>/Game/DungeonSiege/Items/Armor/Body/DA_bd_ra_ro_m_g_c_012</v>
      </c>
      <c r="V193" s="73" t="str">
        <f t="shared" si="9"/>
        <v>Texture2D'/Game/DungeonSiege/art/bitmaps/gui/in_game/inventory/armor/body_armor/b_gui_ig_i_a_pos_a7_070.b_gui_ig_i_a_pos_a7_070'</v>
      </c>
      <c r="W193" s="73" t="s">
        <v>3063</v>
      </c>
    </row>
    <row r="194" spans="1:23" ht="15.75" thickBot="1" x14ac:dyDescent="0.3">
      <c r="A194" s="69">
        <v>192</v>
      </c>
      <c r="B194" s="69">
        <v>12</v>
      </c>
      <c r="C194" s="69">
        <f>HEX2DEC(B194+Items!$A$3)</f>
        <v>16842770</v>
      </c>
      <c r="D194" s="65" t="s">
        <v>2471</v>
      </c>
      <c r="E194" s="71">
        <v>22</v>
      </c>
      <c r="F194" s="72" t="s">
        <v>2470</v>
      </c>
      <c r="G194" s="69">
        <v>19</v>
      </c>
      <c r="H194" s="69">
        <v>0</v>
      </c>
      <c r="I194" s="69">
        <v>0</v>
      </c>
      <c r="J194" s="69">
        <v>1</v>
      </c>
      <c r="K194" s="69">
        <v>1</v>
      </c>
      <c r="L194" s="66" t="s">
        <v>2710</v>
      </c>
      <c r="M194" s="65" t="s">
        <v>2877</v>
      </c>
      <c r="N194" s="70" t="s">
        <v>2800</v>
      </c>
      <c r="O194" s="69" t="s">
        <v>2827</v>
      </c>
      <c r="P194" s="69">
        <v>2</v>
      </c>
      <c r="Q194" s="69">
        <v>2</v>
      </c>
      <c r="R194" s="69">
        <v>8</v>
      </c>
      <c r="S194" s="69">
        <v>34</v>
      </c>
      <c r="T194" s="73" t="str">
        <f t="shared" si="10"/>
        <v>DA_bd_ra_ro_m_g_c_014</v>
      </c>
      <c r="U194" s="73" t="str">
        <f t="shared" si="11"/>
        <v>/Game/DungeonSiege/Items/Armor/Body/DA_bd_ra_ro_m_g_c_014</v>
      </c>
      <c r="V194" s="73" t="str">
        <f t="shared" ref="V194:V262" si="13">CONCATENATE("Texture2D'/Game/DungeonSiege/art/bitmaps/gui/in_game/inventory/armor/body_armor/",M194,".",M194,"'")</f>
        <v>Texture2D'/Game/DungeonSiege/art/bitmaps/gui/in_game/inventory/armor/body_armor/b_gui_ig_i_a_pos_a7_080.b_gui_ig_i_a_pos_a7_080'</v>
      </c>
      <c r="W194" s="73" t="s">
        <v>3063</v>
      </c>
    </row>
    <row r="195" spans="1:23" ht="15.75" thickBot="1" x14ac:dyDescent="0.3">
      <c r="A195" s="69">
        <v>193</v>
      </c>
      <c r="B195" s="69">
        <v>13</v>
      </c>
      <c r="C195" s="69">
        <f>HEX2DEC(B195+Items!$A$3)</f>
        <v>16842771</v>
      </c>
      <c r="D195" s="65" t="s">
        <v>2471</v>
      </c>
      <c r="E195" s="71">
        <v>24</v>
      </c>
      <c r="F195" s="72" t="s">
        <v>2470</v>
      </c>
      <c r="G195" s="69">
        <v>20</v>
      </c>
      <c r="H195" s="69">
        <v>0</v>
      </c>
      <c r="I195" s="69">
        <v>0</v>
      </c>
      <c r="J195" s="69">
        <v>1</v>
      </c>
      <c r="K195" s="69">
        <v>1</v>
      </c>
      <c r="L195" s="66" t="s">
        <v>2711</v>
      </c>
      <c r="M195" s="65" t="s">
        <v>2876</v>
      </c>
      <c r="N195" s="70" t="s">
        <v>2499</v>
      </c>
      <c r="O195" s="69" t="s">
        <v>2827</v>
      </c>
      <c r="P195" s="69">
        <v>2</v>
      </c>
      <c r="Q195" s="69">
        <v>2</v>
      </c>
      <c r="R195" s="69">
        <v>11</v>
      </c>
      <c r="S195" s="69">
        <v>41</v>
      </c>
      <c r="T195" s="73" t="str">
        <f t="shared" ref="T195:T258" si="14" xml:space="preserve"> CONCATENATE("DA_",SUBSTITUTE(L195,":","_"))</f>
        <v>DA_bd_ra_ro_m_g_c_015</v>
      </c>
      <c r="U195" s="73" t="str">
        <f t="shared" ref="U195:U258" si="15">"/Game/DungeonSiege/Items/Armor/Body/" &amp; T195</f>
        <v>/Game/DungeonSiege/Items/Armor/Body/DA_bd_ra_ro_m_g_c_015</v>
      </c>
      <c r="V195" s="73" t="str">
        <f t="shared" si="13"/>
        <v>Texture2D'/Game/DungeonSiege/art/bitmaps/gui/in_game/inventory/armor/body_armor/b_gui_ig_i_a_pos_a7_051.b_gui_ig_i_a_pos_a7_051'</v>
      </c>
      <c r="W195" s="73" t="s">
        <v>3063</v>
      </c>
    </row>
    <row r="196" spans="1:23" ht="15.75" thickBot="1" x14ac:dyDescent="0.3">
      <c r="A196" s="69">
        <v>194</v>
      </c>
      <c r="B196" s="69">
        <v>14</v>
      </c>
      <c r="C196" s="69">
        <f>HEX2DEC(B196+Items!$A$3)</f>
        <v>16842772</v>
      </c>
      <c r="D196" s="65" t="s">
        <v>2478</v>
      </c>
      <c r="E196" s="71">
        <v>27</v>
      </c>
      <c r="F196" s="72" t="s">
        <v>2470</v>
      </c>
      <c r="G196" s="69">
        <v>22</v>
      </c>
      <c r="H196" s="69">
        <v>0</v>
      </c>
      <c r="I196" s="69">
        <v>0</v>
      </c>
      <c r="J196" s="69">
        <v>1</v>
      </c>
      <c r="K196" s="69">
        <v>1</v>
      </c>
      <c r="L196" s="66" t="s">
        <v>2712</v>
      </c>
      <c r="M196" s="65" t="s">
        <v>2875</v>
      </c>
      <c r="N196" s="70" t="s">
        <v>2801</v>
      </c>
      <c r="O196" s="69" t="s">
        <v>2827</v>
      </c>
      <c r="P196" s="69">
        <v>2</v>
      </c>
      <c r="Q196" s="69">
        <v>2</v>
      </c>
      <c r="R196" s="69">
        <v>2</v>
      </c>
      <c r="S196" s="69">
        <v>32</v>
      </c>
      <c r="T196" s="73" t="str">
        <f t="shared" si="14"/>
        <v>DA_bd_ra_ro_m_g_c_018</v>
      </c>
      <c r="U196" s="73" t="str">
        <f t="shared" si="15"/>
        <v>/Game/DungeonSiege/Items/Armor/Body/DA_bd_ra_ro_m_g_c_018</v>
      </c>
      <c r="V196" s="73" t="str">
        <f t="shared" si="13"/>
        <v>Texture2D'/Game/DungeonSiege/art/bitmaps/gui/in_game/inventory/armor/body_armor/b_gui_ig_i_a_pos_a7_081.b_gui_ig_i_a_pos_a7_081'</v>
      </c>
      <c r="W196" s="73" t="s">
        <v>3063</v>
      </c>
    </row>
    <row r="197" spans="1:23" ht="15.75" thickBot="1" x14ac:dyDescent="0.3">
      <c r="A197" s="69">
        <v>195</v>
      </c>
      <c r="B197" s="69">
        <v>15</v>
      </c>
      <c r="C197" s="69">
        <f>HEX2DEC(B197+Items!$A$3)</f>
        <v>16842773</v>
      </c>
      <c r="D197" s="65" t="s">
        <v>2478</v>
      </c>
      <c r="E197" s="71">
        <v>30</v>
      </c>
      <c r="F197" s="72" t="s">
        <v>2470</v>
      </c>
      <c r="G197" s="69">
        <v>24</v>
      </c>
      <c r="H197" s="69">
        <v>0</v>
      </c>
      <c r="I197" s="69">
        <v>0</v>
      </c>
      <c r="J197" s="69">
        <v>1</v>
      </c>
      <c r="K197" s="69">
        <v>1</v>
      </c>
      <c r="L197" s="66" t="s">
        <v>2713</v>
      </c>
      <c r="M197" s="65" t="s">
        <v>2874</v>
      </c>
      <c r="N197" s="70" t="s">
        <v>2517</v>
      </c>
      <c r="O197" s="69" t="s">
        <v>2827</v>
      </c>
      <c r="P197" s="69">
        <v>2</v>
      </c>
      <c r="Q197" s="69">
        <v>2</v>
      </c>
      <c r="R197" s="69">
        <v>6</v>
      </c>
      <c r="S197" s="69">
        <v>36</v>
      </c>
      <c r="T197" s="73" t="str">
        <f t="shared" si="14"/>
        <v>DA_bd_ra_ro_m_g_c_020</v>
      </c>
      <c r="U197" s="73" t="str">
        <f t="shared" si="15"/>
        <v>/Game/DungeonSiege/Items/Armor/Body/DA_bd_ra_ro_m_g_c_020</v>
      </c>
      <c r="V197" s="73" t="str">
        <f t="shared" si="13"/>
        <v>Texture2D'/Game/DungeonSiege/art/bitmaps/gui/in_game/inventory/armor/body_armor/b_gui_ig_i_a_pos_a7_065.b_gui_ig_i_a_pos_a7_065'</v>
      </c>
      <c r="W197" s="73" t="s">
        <v>3063</v>
      </c>
    </row>
    <row r="198" spans="1:23" ht="15.75" thickBot="1" x14ac:dyDescent="0.3">
      <c r="A198" s="69">
        <v>196</v>
      </c>
      <c r="B198" s="69">
        <v>16</v>
      </c>
      <c r="C198" s="69">
        <f>HEX2DEC(B198+Items!$A$3)</f>
        <v>16842774</v>
      </c>
      <c r="D198" s="65" t="s">
        <v>2478</v>
      </c>
      <c r="E198" s="71">
        <v>31</v>
      </c>
      <c r="F198" s="72" t="s">
        <v>2470</v>
      </c>
      <c r="G198" s="69">
        <v>24</v>
      </c>
      <c r="H198" s="69">
        <v>0</v>
      </c>
      <c r="I198" s="69">
        <v>0</v>
      </c>
      <c r="J198" s="69">
        <v>1</v>
      </c>
      <c r="K198" s="69">
        <v>1</v>
      </c>
      <c r="L198" s="66" t="s">
        <v>2714</v>
      </c>
      <c r="M198" s="65" t="s">
        <v>2873</v>
      </c>
      <c r="N198" s="70" t="s">
        <v>2784</v>
      </c>
      <c r="O198" s="69" t="s">
        <v>2827</v>
      </c>
      <c r="P198" s="69">
        <v>2</v>
      </c>
      <c r="Q198" s="69">
        <v>2</v>
      </c>
      <c r="R198" s="69">
        <v>8</v>
      </c>
      <c r="S198" s="69">
        <v>44</v>
      </c>
      <c r="T198" s="73" t="str">
        <f t="shared" si="14"/>
        <v>DA_bd_ra_ro_m_g_c_021</v>
      </c>
      <c r="U198" s="73" t="str">
        <f t="shared" si="15"/>
        <v>/Game/DungeonSiege/Items/Armor/Body/DA_bd_ra_ro_m_g_c_021</v>
      </c>
      <c r="V198" s="73" t="str">
        <f t="shared" si="13"/>
        <v>Texture2D'/Game/DungeonSiege/art/bitmaps/gui/in_game/inventory/armor/body_armor/b_gui_ig_i_a_pos_a7_082.b_gui_ig_i_a_pos_a7_082'</v>
      </c>
      <c r="W198" s="73" t="s">
        <v>3063</v>
      </c>
    </row>
    <row r="199" spans="1:23" ht="15.75" thickBot="1" x14ac:dyDescent="0.3">
      <c r="A199" s="69">
        <v>197</v>
      </c>
      <c r="B199" s="69">
        <v>17</v>
      </c>
      <c r="C199" s="69">
        <f>HEX2DEC(B199+Items!$A$3)</f>
        <v>16842775</v>
      </c>
      <c r="D199" s="65" t="s">
        <v>2478</v>
      </c>
      <c r="E199" s="71">
        <v>34</v>
      </c>
      <c r="F199" s="72" t="s">
        <v>2470</v>
      </c>
      <c r="G199" s="69">
        <v>25</v>
      </c>
      <c r="H199" s="69">
        <v>0</v>
      </c>
      <c r="I199" s="69">
        <v>0</v>
      </c>
      <c r="J199" s="69">
        <v>1</v>
      </c>
      <c r="K199" s="69">
        <v>1</v>
      </c>
      <c r="L199" s="66" t="s">
        <v>2715</v>
      </c>
      <c r="M199" s="65" t="s">
        <v>2872</v>
      </c>
      <c r="N199" s="70" t="s">
        <v>2506</v>
      </c>
      <c r="O199" s="69" t="s">
        <v>2827</v>
      </c>
      <c r="P199" s="69">
        <v>2</v>
      </c>
      <c r="Q199" s="69">
        <v>2</v>
      </c>
      <c r="R199" s="69">
        <v>12</v>
      </c>
      <c r="S199" s="69">
        <v>52</v>
      </c>
      <c r="T199" s="73" t="str">
        <f t="shared" si="14"/>
        <v>DA_bd_ra_ro_m_g_c_023</v>
      </c>
      <c r="U199" s="73" t="str">
        <f t="shared" si="15"/>
        <v>/Game/DungeonSiege/Items/Armor/Body/DA_bd_ra_ro_m_g_c_023</v>
      </c>
      <c r="V199" s="73" t="str">
        <f t="shared" si="13"/>
        <v>Texture2D'/Game/DungeonSiege/art/bitmaps/gui/in_game/inventory/armor/body_armor/b_gui_ig_i_a_pos_a7_064.b_gui_ig_i_a_pos_a7_064'</v>
      </c>
      <c r="W199" s="73" t="s">
        <v>3063</v>
      </c>
    </row>
    <row r="200" spans="1:23" ht="15.75" thickBot="1" x14ac:dyDescent="0.3">
      <c r="A200" s="69">
        <v>198</v>
      </c>
      <c r="B200" s="69">
        <v>18</v>
      </c>
      <c r="C200" s="69">
        <f>HEX2DEC(B200+Items!$A$3)</f>
        <v>16842776</v>
      </c>
      <c r="D200" s="65" t="s">
        <v>2478</v>
      </c>
      <c r="E200" s="71">
        <v>36</v>
      </c>
      <c r="F200" s="72" t="s">
        <v>2470</v>
      </c>
      <c r="G200" s="69">
        <v>26</v>
      </c>
      <c r="H200" s="69">
        <v>0</v>
      </c>
      <c r="I200" s="69">
        <v>0</v>
      </c>
      <c r="J200" s="69">
        <v>1</v>
      </c>
      <c r="K200" s="69">
        <v>1</v>
      </c>
      <c r="L200" s="66" t="s">
        <v>2716</v>
      </c>
      <c r="M200" s="65" t="s">
        <v>2871</v>
      </c>
      <c r="N200" s="70" t="s">
        <v>2802</v>
      </c>
      <c r="O200" s="69" t="s">
        <v>2827</v>
      </c>
      <c r="P200" s="69">
        <v>2</v>
      </c>
      <c r="Q200" s="69">
        <v>2</v>
      </c>
      <c r="R200" s="69">
        <v>16</v>
      </c>
      <c r="S200" s="69">
        <v>60</v>
      </c>
      <c r="T200" s="73" t="str">
        <f t="shared" si="14"/>
        <v>DA_bd_ra_ro_m_g_c_024</v>
      </c>
      <c r="U200" s="73" t="str">
        <f t="shared" si="15"/>
        <v>/Game/DungeonSiege/Items/Armor/Body/DA_bd_ra_ro_m_g_c_024</v>
      </c>
      <c r="V200" s="73" t="str">
        <f t="shared" si="13"/>
        <v>Texture2D'/Game/DungeonSiege/art/bitmaps/gui/in_game/inventory/armor/body_armor/b_gui_ig_i_a_pos_a7_083.b_gui_ig_i_a_pos_a7_083'</v>
      </c>
      <c r="W200" s="73" t="s">
        <v>3063</v>
      </c>
    </row>
    <row r="201" spans="1:23" ht="15.75" thickBot="1" x14ac:dyDescent="0.3">
      <c r="A201" s="69">
        <v>199</v>
      </c>
      <c r="B201" s="69">
        <v>19</v>
      </c>
      <c r="C201" s="69">
        <f>HEX2DEC(B201+Items!$A$3)</f>
        <v>16842777</v>
      </c>
      <c r="D201" s="65" t="s">
        <v>2478</v>
      </c>
      <c r="E201" s="71">
        <v>39</v>
      </c>
      <c r="F201" s="72" t="s">
        <v>2470</v>
      </c>
      <c r="G201" s="69">
        <v>27</v>
      </c>
      <c r="H201" s="69">
        <v>0</v>
      </c>
      <c r="I201" s="69">
        <v>0</v>
      </c>
      <c r="J201" s="69">
        <v>1</v>
      </c>
      <c r="K201" s="69">
        <v>1</v>
      </c>
      <c r="L201" s="66" t="s">
        <v>2717</v>
      </c>
      <c r="M201" s="65" t="s">
        <v>2870</v>
      </c>
      <c r="N201" s="70" t="s">
        <v>2515</v>
      </c>
      <c r="O201" s="69" t="s">
        <v>2827</v>
      </c>
      <c r="P201" s="69">
        <v>2</v>
      </c>
      <c r="Q201" s="69">
        <v>2</v>
      </c>
      <c r="R201" s="69">
        <v>18</v>
      </c>
      <c r="S201" s="69">
        <v>69</v>
      </c>
      <c r="T201" s="73" t="str">
        <f t="shared" si="14"/>
        <v>DA_bd_ra_ro_m_g_c_026</v>
      </c>
      <c r="U201" s="73" t="str">
        <f t="shared" si="15"/>
        <v>/Game/DungeonSiege/Items/Armor/Body/DA_bd_ra_ro_m_g_c_026</v>
      </c>
      <c r="V201" s="73" t="str">
        <f t="shared" si="13"/>
        <v>Texture2D'/Game/DungeonSiege/art/bitmaps/gui/in_game/inventory/armor/body_armor/b_gui_ig_i_a_pos_a7_062.b_gui_ig_i_a_pos_a7_062'</v>
      </c>
      <c r="W201" s="73" t="s">
        <v>3063</v>
      </c>
    </row>
    <row r="202" spans="1:23" ht="15.75" thickBot="1" x14ac:dyDescent="0.3">
      <c r="A202" s="69">
        <v>200</v>
      </c>
      <c r="B202" s="69">
        <v>20</v>
      </c>
      <c r="C202" s="69">
        <f>HEX2DEC(B202+Items!$A$3)</f>
        <v>16842784</v>
      </c>
      <c r="D202" s="65" t="s">
        <v>2478</v>
      </c>
      <c r="E202" s="71">
        <v>43</v>
      </c>
      <c r="F202" s="72" t="s">
        <v>2470</v>
      </c>
      <c r="G202" s="69">
        <v>29</v>
      </c>
      <c r="H202" s="69">
        <v>0</v>
      </c>
      <c r="I202" s="69">
        <v>0</v>
      </c>
      <c r="J202" s="69">
        <v>1</v>
      </c>
      <c r="K202" s="69">
        <v>1</v>
      </c>
      <c r="L202" s="66" t="s">
        <v>2718</v>
      </c>
      <c r="M202" s="65" t="s">
        <v>2869</v>
      </c>
      <c r="N202" s="70" t="s">
        <v>2803</v>
      </c>
      <c r="O202" s="69" t="s">
        <v>2827</v>
      </c>
      <c r="P202" s="69">
        <v>2</v>
      </c>
      <c r="Q202" s="69">
        <v>2</v>
      </c>
      <c r="R202" s="69">
        <v>20</v>
      </c>
      <c r="S202" s="69">
        <v>82</v>
      </c>
      <c r="T202" s="73" t="str">
        <f t="shared" si="14"/>
        <v>DA_bd_ra_ro_m_g_c_029</v>
      </c>
      <c r="U202" s="73" t="str">
        <f t="shared" si="15"/>
        <v>/Game/DungeonSiege/Items/Armor/Body/DA_bd_ra_ro_m_g_c_029</v>
      </c>
      <c r="V202" s="73" t="str">
        <f t="shared" si="13"/>
        <v>Texture2D'/Game/DungeonSiege/art/bitmaps/gui/in_game/inventory/armor/body_armor/b_gui_ig_i_a_pos_a7_084.b_gui_ig_i_a_pos_a7_084'</v>
      </c>
      <c r="W202" s="73" t="s">
        <v>3063</v>
      </c>
    </row>
    <row r="203" spans="1:23" ht="15.75" thickBot="1" x14ac:dyDescent="0.3">
      <c r="A203" s="69">
        <v>201</v>
      </c>
      <c r="B203" s="69">
        <v>21</v>
      </c>
      <c r="C203" s="69">
        <f>HEX2DEC(B203+Items!$A$3)</f>
        <v>16842785</v>
      </c>
      <c r="D203" s="65" t="s">
        <v>2472</v>
      </c>
      <c r="E203" s="71">
        <v>45</v>
      </c>
      <c r="F203" s="72" t="s">
        <v>2470</v>
      </c>
      <c r="G203" s="69">
        <v>31</v>
      </c>
      <c r="H203" s="69">
        <v>0</v>
      </c>
      <c r="I203" s="69">
        <v>0</v>
      </c>
      <c r="J203" s="69">
        <v>1</v>
      </c>
      <c r="K203" s="69">
        <v>1</v>
      </c>
      <c r="L203" s="66" t="s">
        <v>2719</v>
      </c>
      <c r="M203" s="65" t="s">
        <v>2868</v>
      </c>
      <c r="N203" s="70" t="s">
        <v>2796</v>
      </c>
      <c r="O203" s="69" t="s">
        <v>2827</v>
      </c>
      <c r="P203" s="69">
        <v>2</v>
      </c>
      <c r="Q203" s="69">
        <v>2</v>
      </c>
      <c r="R203" s="69">
        <v>3</v>
      </c>
      <c r="S203" s="69">
        <v>54</v>
      </c>
      <c r="T203" s="73" t="str">
        <f t="shared" si="14"/>
        <v>DA_bd_ra_ro_m_g_c_031</v>
      </c>
      <c r="U203" s="73" t="str">
        <f t="shared" si="15"/>
        <v>/Game/DungeonSiege/Items/Armor/Body/DA_bd_ra_ro_m_g_c_031</v>
      </c>
      <c r="V203" s="73" t="str">
        <f t="shared" si="13"/>
        <v>Texture2D'/Game/DungeonSiege/art/bitmaps/gui/in_game/inventory/armor/body_armor/b_gui_ig_i_a_pos_a7_068.b_gui_ig_i_a_pos_a7_068'</v>
      </c>
      <c r="W203" s="73" t="s">
        <v>3063</v>
      </c>
    </row>
    <row r="204" spans="1:23" ht="15.75" thickBot="1" x14ac:dyDescent="0.3">
      <c r="A204" s="69">
        <v>202</v>
      </c>
      <c r="B204" s="69">
        <v>22</v>
      </c>
      <c r="C204" s="69">
        <f>HEX2DEC(B204+Items!$A$3)</f>
        <v>16842786</v>
      </c>
      <c r="D204" s="65" t="s">
        <v>2472</v>
      </c>
      <c r="E204" s="71">
        <v>48</v>
      </c>
      <c r="F204" s="72" t="s">
        <v>2470</v>
      </c>
      <c r="G204" s="69">
        <v>32</v>
      </c>
      <c r="H204" s="69">
        <v>0</v>
      </c>
      <c r="I204" s="69">
        <v>0</v>
      </c>
      <c r="J204" s="69">
        <v>1</v>
      </c>
      <c r="K204" s="69">
        <v>1</v>
      </c>
      <c r="L204" s="66" t="s">
        <v>2720</v>
      </c>
      <c r="M204" s="65" t="s">
        <v>2867</v>
      </c>
      <c r="N204" s="70" t="s">
        <v>2805</v>
      </c>
      <c r="O204" s="69" t="s">
        <v>2827</v>
      </c>
      <c r="P204" s="69">
        <v>2</v>
      </c>
      <c r="Q204" s="69">
        <v>2</v>
      </c>
      <c r="R204" s="69">
        <v>9</v>
      </c>
      <c r="S204" s="69">
        <v>57</v>
      </c>
      <c r="T204" s="73" t="str">
        <f t="shared" si="14"/>
        <v>DA_bd_ra_ro_m_g_c_034</v>
      </c>
      <c r="U204" s="73" t="str">
        <f t="shared" si="15"/>
        <v>/Game/DungeonSiege/Items/Armor/Body/DA_bd_ra_ro_m_g_c_034</v>
      </c>
      <c r="V204" s="73" t="str">
        <f t="shared" si="13"/>
        <v>Texture2D'/Game/DungeonSiege/art/bitmaps/gui/in_game/inventory/armor/body_armor/b_gui_ig_i_a_pos_a7_085.b_gui_ig_i_a_pos_a7_085'</v>
      </c>
      <c r="W204" s="73" t="s">
        <v>3063</v>
      </c>
    </row>
    <row r="205" spans="1:23" ht="15.75" thickBot="1" x14ac:dyDescent="0.3">
      <c r="A205" s="69">
        <v>203</v>
      </c>
      <c r="B205" s="69">
        <v>23</v>
      </c>
      <c r="C205" s="69">
        <f>HEX2DEC(B205+Items!$A$3)</f>
        <v>16842787</v>
      </c>
      <c r="D205" s="65" t="s">
        <v>2472</v>
      </c>
      <c r="E205" s="71">
        <v>53</v>
      </c>
      <c r="F205" s="72" t="s">
        <v>2470</v>
      </c>
      <c r="G205" s="69">
        <v>34</v>
      </c>
      <c r="H205" s="69">
        <v>0</v>
      </c>
      <c r="I205" s="69">
        <v>0</v>
      </c>
      <c r="J205" s="69">
        <v>1</v>
      </c>
      <c r="K205" s="69">
        <v>1</v>
      </c>
      <c r="L205" s="66" t="s">
        <v>2721</v>
      </c>
      <c r="M205" s="65" t="s">
        <v>2866</v>
      </c>
      <c r="N205" s="70" t="s">
        <v>2788</v>
      </c>
      <c r="O205" s="69" t="s">
        <v>2827</v>
      </c>
      <c r="P205" s="69">
        <v>2</v>
      </c>
      <c r="Q205" s="69">
        <v>2</v>
      </c>
      <c r="R205" s="69">
        <v>14</v>
      </c>
      <c r="S205" s="69">
        <v>76</v>
      </c>
      <c r="T205" s="73" t="str">
        <f t="shared" si="14"/>
        <v>DA_bd_ra_ro_m_g_c_037</v>
      </c>
      <c r="U205" s="73" t="str">
        <f t="shared" si="15"/>
        <v>/Game/DungeonSiege/Items/Armor/Body/DA_bd_ra_ro_m_g_c_037</v>
      </c>
      <c r="V205" s="73" t="str">
        <f t="shared" si="13"/>
        <v>Texture2D'/Game/DungeonSiege/art/bitmaps/gui/in_game/inventory/armor/body_armor/b_gui_ig_i_a_pos_a7_072.b_gui_ig_i_a_pos_a7_072'</v>
      </c>
      <c r="W205" s="73" t="s">
        <v>3063</v>
      </c>
    </row>
    <row r="206" spans="1:23" ht="15.75" thickBot="1" x14ac:dyDescent="0.3">
      <c r="A206" s="69">
        <v>204</v>
      </c>
      <c r="B206" s="69">
        <v>24</v>
      </c>
      <c r="C206" s="69">
        <f>HEX2DEC(B206+Items!$A$3)</f>
        <v>16842788</v>
      </c>
      <c r="D206" s="65" t="s">
        <v>2472</v>
      </c>
      <c r="E206" s="71">
        <v>55</v>
      </c>
      <c r="F206" s="72" t="s">
        <v>2470</v>
      </c>
      <c r="G206" s="69">
        <v>36</v>
      </c>
      <c r="H206" s="69">
        <v>0</v>
      </c>
      <c r="I206" s="69">
        <v>0</v>
      </c>
      <c r="J206" s="69">
        <v>1</v>
      </c>
      <c r="K206" s="69">
        <v>1</v>
      </c>
      <c r="L206" s="66" t="s">
        <v>2722</v>
      </c>
      <c r="M206" s="65" t="s">
        <v>2865</v>
      </c>
      <c r="N206" s="70" t="s">
        <v>2823</v>
      </c>
      <c r="O206" s="69" t="s">
        <v>2827</v>
      </c>
      <c r="P206" s="69">
        <v>2</v>
      </c>
      <c r="Q206" s="69">
        <v>2</v>
      </c>
      <c r="R206" s="69">
        <v>20</v>
      </c>
      <c r="S206" s="69">
        <v>85</v>
      </c>
      <c r="T206" s="73" t="str">
        <f t="shared" si="14"/>
        <v>DA_bd_ra_ro_m_g_c_039</v>
      </c>
      <c r="U206" s="73" t="str">
        <f t="shared" si="15"/>
        <v>/Game/DungeonSiege/Items/Armor/Body/DA_bd_ra_ro_m_g_c_039</v>
      </c>
      <c r="V206" s="73" t="str">
        <f t="shared" si="13"/>
        <v>Texture2D'/Game/DungeonSiege/art/bitmaps/gui/in_game/inventory/armor/body_armor/b_gui_ig_i_a_pos_a7_086.b_gui_ig_i_a_pos_a7_086'</v>
      </c>
      <c r="W206" s="73" t="s">
        <v>3063</v>
      </c>
    </row>
    <row r="207" spans="1:23" ht="15.75" thickBot="1" x14ac:dyDescent="0.3">
      <c r="A207" s="69">
        <v>205</v>
      </c>
      <c r="B207" s="69">
        <v>25</v>
      </c>
      <c r="C207" s="69">
        <f>HEX2DEC(B207+Items!$A$3)</f>
        <v>16842789</v>
      </c>
      <c r="D207" s="65" t="s">
        <v>2472</v>
      </c>
      <c r="E207" s="71">
        <v>60</v>
      </c>
      <c r="F207" s="72" t="s">
        <v>2470</v>
      </c>
      <c r="G207" s="69">
        <v>38</v>
      </c>
      <c r="H207" s="69">
        <v>0</v>
      </c>
      <c r="I207" s="69">
        <v>0</v>
      </c>
      <c r="J207" s="69">
        <v>1</v>
      </c>
      <c r="K207" s="69">
        <v>1</v>
      </c>
      <c r="L207" s="66" t="s">
        <v>2723</v>
      </c>
      <c r="M207" s="65" t="s">
        <v>2864</v>
      </c>
      <c r="N207" s="70" t="s">
        <v>2821</v>
      </c>
      <c r="O207" s="69" t="s">
        <v>2827</v>
      </c>
      <c r="P207" s="69">
        <v>2</v>
      </c>
      <c r="Q207" s="69">
        <v>2</v>
      </c>
      <c r="R207" s="69">
        <v>28</v>
      </c>
      <c r="S207" s="69">
        <v>107</v>
      </c>
      <c r="T207" s="73" t="str">
        <f t="shared" si="14"/>
        <v>DA_bd_ra_ro_m_g_c_042</v>
      </c>
      <c r="U207" s="73" t="str">
        <f t="shared" si="15"/>
        <v>/Game/DungeonSiege/Items/Armor/Body/DA_bd_ra_ro_m_g_c_042</v>
      </c>
      <c r="V207" s="73" t="str">
        <f t="shared" si="13"/>
        <v>Texture2D'/Game/DungeonSiege/art/bitmaps/gui/in_game/inventory/armor/body_armor/b_gui_ig_i_a_pos_a7_087.b_gui_ig_i_a_pos_a7_087'</v>
      </c>
      <c r="W207" s="73" t="s">
        <v>3063</v>
      </c>
    </row>
    <row r="208" spans="1:23" ht="15.75" thickBot="1" x14ac:dyDescent="0.3">
      <c r="A208" s="69">
        <v>206</v>
      </c>
      <c r="B208" s="69">
        <v>26</v>
      </c>
      <c r="C208" s="69">
        <f>HEX2DEC(B208+Items!$A$3)</f>
        <v>16842790</v>
      </c>
      <c r="D208" s="65" t="s">
        <v>2473</v>
      </c>
      <c r="E208" s="71">
        <v>64</v>
      </c>
      <c r="F208" s="72" t="s">
        <v>2470</v>
      </c>
      <c r="G208" s="69">
        <v>40</v>
      </c>
      <c r="H208" s="69">
        <v>0</v>
      </c>
      <c r="I208" s="69">
        <v>0</v>
      </c>
      <c r="J208" s="69">
        <v>1</v>
      </c>
      <c r="K208" s="69">
        <v>1</v>
      </c>
      <c r="L208" s="66" t="s">
        <v>2724</v>
      </c>
      <c r="M208" s="65" t="s">
        <v>2863</v>
      </c>
      <c r="N208" s="70" t="s">
        <v>2822</v>
      </c>
      <c r="O208" s="69" t="s">
        <v>2827</v>
      </c>
      <c r="P208" s="69">
        <v>2</v>
      </c>
      <c r="Q208" s="69">
        <v>2</v>
      </c>
      <c r="R208" s="69">
        <v>4</v>
      </c>
      <c r="S208" s="69">
        <v>76</v>
      </c>
      <c r="T208" s="73" t="str">
        <f t="shared" si="14"/>
        <v>DA_bd_ra_ro_m_g_c_045</v>
      </c>
      <c r="U208" s="73" t="str">
        <f t="shared" si="15"/>
        <v>/Game/DungeonSiege/Items/Armor/Body/DA_bd_ra_ro_m_g_c_045</v>
      </c>
      <c r="V208" s="73" t="str">
        <f t="shared" si="13"/>
        <v>Texture2D'/Game/DungeonSiege/art/bitmaps/gui/in_game/inventory/armor/body_armor/b_gui_ig_i_a_pos_a7_088.b_gui_ig_i_a_pos_a7_088'</v>
      </c>
      <c r="W208" s="73" t="s">
        <v>3063</v>
      </c>
    </row>
    <row r="209" spans="1:23" ht="15.75" thickBot="1" x14ac:dyDescent="0.3">
      <c r="A209" s="69">
        <v>207</v>
      </c>
      <c r="B209" s="69">
        <v>27</v>
      </c>
      <c r="C209" s="69">
        <f>HEX2DEC(B209+Items!$A$3)</f>
        <v>16842791</v>
      </c>
      <c r="D209" s="65" t="s">
        <v>2473</v>
      </c>
      <c r="E209" s="71">
        <v>65</v>
      </c>
      <c r="F209" s="72" t="s">
        <v>2470</v>
      </c>
      <c r="G209" s="69">
        <v>40</v>
      </c>
      <c r="H209" s="69">
        <v>0</v>
      </c>
      <c r="I209" s="69">
        <v>0</v>
      </c>
      <c r="J209" s="69">
        <v>1</v>
      </c>
      <c r="K209" s="69">
        <v>1</v>
      </c>
      <c r="L209" s="66" t="s">
        <v>2725</v>
      </c>
      <c r="M209" s="65" t="s">
        <v>2862</v>
      </c>
      <c r="N209" s="70" t="s">
        <v>2504</v>
      </c>
      <c r="O209" s="69" t="s">
        <v>2827</v>
      </c>
      <c r="P209" s="69">
        <v>2</v>
      </c>
      <c r="Q209" s="69">
        <v>2</v>
      </c>
      <c r="R209" s="69">
        <v>12</v>
      </c>
      <c r="S209" s="69">
        <v>78</v>
      </c>
      <c r="T209" s="73" t="str">
        <f t="shared" si="14"/>
        <v>DA_bd_ra_ro_m_g_c_046</v>
      </c>
      <c r="U209" s="73" t="str">
        <f t="shared" si="15"/>
        <v>/Game/DungeonSiege/Items/Armor/Body/DA_bd_ra_ro_m_g_c_046</v>
      </c>
      <c r="V209" s="73" t="str">
        <f t="shared" si="13"/>
        <v>Texture2D'/Game/DungeonSiege/art/bitmaps/gui/in_game/inventory/armor/body_armor/b_gui_ig_i_a_pos_a7_052.b_gui_ig_i_a_pos_a7_052'</v>
      </c>
      <c r="W209" s="73" t="s">
        <v>3063</v>
      </c>
    </row>
    <row r="210" spans="1:23" ht="15.75" thickBot="1" x14ac:dyDescent="0.3">
      <c r="A210" s="69">
        <v>208</v>
      </c>
      <c r="B210" s="69">
        <v>28</v>
      </c>
      <c r="C210" s="69">
        <f>HEX2DEC(B210+Items!$A$3)</f>
        <v>16842792</v>
      </c>
      <c r="D210" s="65" t="s">
        <v>2473</v>
      </c>
      <c r="E210" s="71">
        <v>68</v>
      </c>
      <c r="F210" s="72" t="s">
        <v>2470</v>
      </c>
      <c r="G210" s="69">
        <v>42</v>
      </c>
      <c r="H210" s="69">
        <v>0</v>
      </c>
      <c r="I210" s="69">
        <v>0</v>
      </c>
      <c r="J210" s="69">
        <v>1</v>
      </c>
      <c r="K210" s="69">
        <v>1</v>
      </c>
      <c r="L210" s="66" t="s">
        <v>2726</v>
      </c>
      <c r="M210" s="65" t="s">
        <v>2861</v>
      </c>
      <c r="N210" s="70" t="s">
        <v>2783</v>
      </c>
      <c r="O210" s="69" t="s">
        <v>2827</v>
      </c>
      <c r="P210" s="69">
        <v>2</v>
      </c>
      <c r="Q210" s="69">
        <v>2</v>
      </c>
      <c r="R210" s="69">
        <v>18</v>
      </c>
      <c r="S210" s="69">
        <v>97</v>
      </c>
      <c r="T210" s="73" t="str">
        <f t="shared" si="14"/>
        <v>DA_bd_ra_ro_m_g_c_053</v>
      </c>
      <c r="U210" s="73" t="str">
        <f t="shared" si="15"/>
        <v>/Game/DungeonSiege/Items/Armor/Body/DA_bd_ra_ro_m_g_c_053</v>
      </c>
      <c r="V210" s="73" t="str">
        <f t="shared" si="13"/>
        <v>Texture2D'/Game/DungeonSiege/art/bitmaps/gui/in_game/inventory/armor/body_armor/b_gui_ig_i_a_pos_a7_069.b_gui_ig_i_a_pos_a7_069'</v>
      </c>
      <c r="W210" s="73" t="s">
        <v>3063</v>
      </c>
    </row>
    <row r="211" spans="1:23" ht="15.75" thickBot="1" x14ac:dyDescent="0.3">
      <c r="A211" s="69">
        <v>209</v>
      </c>
      <c r="B211" s="69">
        <v>29</v>
      </c>
      <c r="C211" s="69">
        <f>HEX2DEC(B211+Items!$A$3)</f>
        <v>16842793</v>
      </c>
      <c r="D211" s="65" t="s">
        <v>2473</v>
      </c>
      <c r="E211" s="71">
        <v>72</v>
      </c>
      <c r="F211" s="72" t="s">
        <v>2470</v>
      </c>
      <c r="G211" s="69">
        <v>43</v>
      </c>
      <c r="H211" s="69">
        <v>0</v>
      </c>
      <c r="I211" s="69">
        <v>0</v>
      </c>
      <c r="J211" s="69">
        <v>1</v>
      </c>
      <c r="K211" s="69">
        <v>1</v>
      </c>
      <c r="L211" s="66" t="s">
        <v>2727</v>
      </c>
      <c r="M211" s="65" t="s">
        <v>2860</v>
      </c>
      <c r="N211" s="70" t="s">
        <v>2787</v>
      </c>
      <c r="O211" s="69" t="s">
        <v>2827</v>
      </c>
      <c r="P211" s="69">
        <v>2</v>
      </c>
      <c r="Q211" s="69">
        <v>2</v>
      </c>
      <c r="R211" s="69">
        <v>26</v>
      </c>
      <c r="S211" s="69">
        <v>111</v>
      </c>
      <c r="T211" s="73" t="str">
        <f t="shared" si="14"/>
        <v>DA_bd_ra_ro_m_g_c_059</v>
      </c>
      <c r="U211" s="73" t="str">
        <f t="shared" si="15"/>
        <v>/Game/DungeonSiege/Items/Armor/Body/DA_bd_ra_ro_m_g_c_059</v>
      </c>
      <c r="V211" s="73" t="str">
        <f t="shared" si="13"/>
        <v>Texture2D'/Game/DungeonSiege/art/bitmaps/gui/in_game/inventory/armor/body_armor/b_gui_ig_i_a_pos_a7_071.b_gui_ig_i_a_pos_a7_071'</v>
      </c>
      <c r="W211" s="73" t="s">
        <v>3063</v>
      </c>
    </row>
    <row r="212" spans="1:23" ht="15.75" thickBot="1" x14ac:dyDescent="0.3">
      <c r="A212" s="69">
        <v>210</v>
      </c>
      <c r="B212" s="69">
        <v>30</v>
      </c>
      <c r="C212" s="69">
        <f>HEX2DEC(B212+Items!$A$3)</f>
        <v>16842800</v>
      </c>
      <c r="D212" s="65" t="s">
        <v>2473</v>
      </c>
      <c r="E212" s="71">
        <v>75</v>
      </c>
      <c r="F212" s="72" t="s">
        <v>2470</v>
      </c>
      <c r="G212" s="69">
        <v>45</v>
      </c>
      <c r="H212" s="69">
        <v>0</v>
      </c>
      <c r="I212" s="69">
        <v>0</v>
      </c>
      <c r="J212" s="69">
        <v>1</v>
      </c>
      <c r="K212" s="69">
        <v>1</v>
      </c>
      <c r="L212" s="66" t="s">
        <v>2728</v>
      </c>
      <c r="M212" s="65" t="s">
        <v>2859</v>
      </c>
      <c r="N212" s="70" t="s">
        <v>2790</v>
      </c>
      <c r="O212" s="69" t="s">
        <v>2827</v>
      </c>
      <c r="P212" s="69">
        <v>2</v>
      </c>
      <c r="Q212" s="69">
        <v>2</v>
      </c>
      <c r="R212" s="69">
        <v>33</v>
      </c>
      <c r="S212" s="69">
        <v>126</v>
      </c>
      <c r="T212" s="73" t="str">
        <f t="shared" si="14"/>
        <v>DA_bd_ra_ro_m_g_c_065</v>
      </c>
      <c r="U212" s="73" t="str">
        <f t="shared" si="15"/>
        <v>/Game/DungeonSiege/Items/Armor/Body/DA_bd_ra_ro_m_g_c_065</v>
      </c>
      <c r="V212" s="73" t="str">
        <f t="shared" si="13"/>
        <v>Texture2D'/Game/DungeonSiege/art/bitmaps/gui/in_game/inventory/armor/body_armor/b_gui_ig_i_a_pos_a7_075.b_gui_ig_i_a_pos_a7_075'</v>
      </c>
      <c r="W212" s="73" t="s">
        <v>3063</v>
      </c>
    </row>
    <row r="213" spans="1:23" ht="15.75" thickBot="1" x14ac:dyDescent="0.3">
      <c r="A213" s="69">
        <v>211</v>
      </c>
      <c r="B213" s="69">
        <v>31</v>
      </c>
      <c r="C213" s="69">
        <f>HEX2DEC(B213+Items!$A$3)</f>
        <v>16842801</v>
      </c>
      <c r="D213" s="65" t="s">
        <v>2473</v>
      </c>
      <c r="E213" s="71">
        <v>79</v>
      </c>
      <c r="F213" s="72" t="s">
        <v>2470</v>
      </c>
      <c r="G213" s="69">
        <v>47</v>
      </c>
      <c r="H213" s="69">
        <v>0</v>
      </c>
      <c r="I213" s="69">
        <v>0</v>
      </c>
      <c r="J213" s="69">
        <v>1</v>
      </c>
      <c r="K213" s="69">
        <v>1</v>
      </c>
      <c r="L213" s="66" t="s">
        <v>2729</v>
      </c>
      <c r="M213" s="65" t="s">
        <v>2858</v>
      </c>
      <c r="N213" s="70" t="s">
        <v>2791</v>
      </c>
      <c r="O213" s="69" t="s">
        <v>2827</v>
      </c>
      <c r="P213" s="69">
        <v>2</v>
      </c>
      <c r="Q213" s="69">
        <v>2</v>
      </c>
      <c r="R213" s="69">
        <v>37</v>
      </c>
      <c r="S213" s="69">
        <v>142</v>
      </c>
      <c r="T213" s="73" t="str">
        <f t="shared" si="14"/>
        <v>DA_bd_ra_ro_m_g_c_071</v>
      </c>
      <c r="U213" s="73" t="str">
        <f t="shared" si="15"/>
        <v>/Game/DungeonSiege/Items/Armor/Body/DA_bd_ra_ro_m_g_c_071</v>
      </c>
      <c r="V213" s="73" t="str">
        <f t="shared" si="13"/>
        <v>Texture2D'/Game/DungeonSiege/art/bitmaps/gui/in_game/inventory/armor/body_armor/b_gui_ig_i_a_pos_a7_076.b_gui_ig_i_a_pos_a7_076'</v>
      </c>
      <c r="W213" s="73" t="s">
        <v>3063</v>
      </c>
    </row>
    <row r="214" spans="1:23" ht="15.75" thickBot="1" x14ac:dyDescent="0.3">
      <c r="A214" s="69">
        <v>212</v>
      </c>
      <c r="B214" s="69">
        <v>32</v>
      </c>
      <c r="C214" s="69">
        <f>HEX2DEC(B214+Items!$A$3)</f>
        <v>16842802</v>
      </c>
      <c r="D214" s="65" t="s">
        <v>2479</v>
      </c>
      <c r="E214" s="71">
        <v>87</v>
      </c>
      <c r="F214" s="72" t="s">
        <v>2470</v>
      </c>
      <c r="G214" s="69">
        <v>51</v>
      </c>
      <c r="H214" s="69">
        <v>0</v>
      </c>
      <c r="I214" s="69">
        <v>0</v>
      </c>
      <c r="J214" s="69">
        <v>1</v>
      </c>
      <c r="K214" s="69">
        <v>1</v>
      </c>
      <c r="L214" s="66" t="s">
        <v>2730</v>
      </c>
      <c r="M214" s="65" t="s">
        <v>2857</v>
      </c>
      <c r="N214" s="70" t="s">
        <v>2516</v>
      </c>
      <c r="O214" s="69" t="s">
        <v>2827</v>
      </c>
      <c r="P214" s="69">
        <v>2</v>
      </c>
      <c r="Q214" s="69">
        <v>2</v>
      </c>
      <c r="R214" s="69">
        <v>6</v>
      </c>
      <c r="S214" s="69">
        <v>125</v>
      </c>
      <c r="T214" s="73" t="str">
        <f t="shared" si="14"/>
        <v>DA_bd_ra_ro_m_g_c_084</v>
      </c>
      <c r="U214" s="73" t="str">
        <f t="shared" si="15"/>
        <v>/Game/DungeonSiege/Items/Armor/Body/DA_bd_ra_ro_m_g_c_084</v>
      </c>
      <c r="V214" s="73" t="str">
        <f t="shared" si="13"/>
        <v>Texture2D'/Game/DungeonSiege/art/bitmaps/gui/in_game/inventory/armor/body_armor/b_gui_ig_i_a_pos_a7_063.b_gui_ig_i_a_pos_a7_063'</v>
      </c>
      <c r="W214" s="73" t="s">
        <v>3063</v>
      </c>
    </row>
    <row r="215" spans="1:23" ht="15.75" thickBot="1" x14ac:dyDescent="0.3">
      <c r="A215" s="69">
        <v>213</v>
      </c>
      <c r="B215" s="69">
        <v>33</v>
      </c>
      <c r="C215" s="69">
        <f>HEX2DEC(B215+Items!$A$3)</f>
        <v>16842803</v>
      </c>
      <c r="D215" s="65" t="s">
        <v>2479</v>
      </c>
      <c r="E215" s="71">
        <v>93</v>
      </c>
      <c r="F215" s="72" t="s">
        <v>2470</v>
      </c>
      <c r="G215" s="69">
        <v>54</v>
      </c>
      <c r="H215" s="69">
        <v>0</v>
      </c>
      <c r="I215" s="69">
        <v>0</v>
      </c>
      <c r="J215" s="69">
        <v>1</v>
      </c>
      <c r="K215" s="69">
        <v>1</v>
      </c>
      <c r="L215" s="66" t="s">
        <v>2731</v>
      </c>
      <c r="M215" s="65" t="s">
        <v>2856</v>
      </c>
      <c r="N215" s="70" t="s">
        <v>2509</v>
      </c>
      <c r="O215" s="69" t="s">
        <v>2827</v>
      </c>
      <c r="P215" s="69">
        <v>2</v>
      </c>
      <c r="Q215" s="69">
        <v>2</v>
      </c>
      <c r="R215" s="69">
        <v>18</v>
      </c>
      <c r="S215" s="69">
        <v>176</v>
      </c>
      <c r="T215" s="73" t="str">
        <f t="shared" si="14"/>
        <v>DA_bd_ra_ro_m_g_c_089</v>
      </c>
      <c r="U215" s="73" t="str">
        <f t="shared" si="15"/>
        <v>/Game/DungeonSiege/Items/Armor/Body/DA_bd_ra_ro_m_g_c_089</v>
      </c>
      <c r="V215" s="73" t="str">
        <f t="shared" si="13"/>
        <v>Texture2D'/Game/DungeonSiege/art/bitmaps/gui/in_game/inventory/armor/body_armor/b_gui_ig_i_a_pos_a7_056.b_gui_ig_i_a_pos_a7_056'</v>
      </c>
      <c r="W215" s="73" t="s">
        <v>3063</v>
      </c>
    </row>
    <row r="216" spans="1:23" ht="15.75" thickBot="1" x14ac:dyDescent="0.3">
      <c r="A216" s="69">
        <v>214</v>
      </c>
      <c r="B216" s="69">
        <v>34</v>
      </c>
      <c r="C216" s="69">
        <f>HEX2DEC(B216+Items!$A$3)</f>
        <v>16842804</v>
      </c>
      <c r="D216" s="65" t="s">
        <v>2479</v>
      </c>
      <c r="E216" s="71">
        <v>96</v>
      </c>
      <c r="F216" s="72" t="s">
        <v>2470</v>
      </c>
      <c r="G216" s="69">
        <v>56</v>
      </c>
      <c r="H216" s="69">
        <v>0</v>
      </c>
      <c r="I216" s="69">
        <v>0</v>
      </c>
      <c r="J216" s="69">
        <v>1</v>
      </c>
      <c r="K216" s="69">
        <v>1</v>
      </c>
      <c r="L216" s="66" t="s">
        <v>2732</v>
      </c>
      <c r="M216" s="65" t="s">
        <v>2855</v>
      </c>
      <c r="N216" s="70" t="s">
        <v>2511</v>
      </c>
      <c r="O216" s="69" t="s">
        <v>2827</v>
      </c>
      <c r="P216" s="69">
        <v>2</v>
      </c>
      <c r="Q216" s="69">
        <v>2</v>
      </c>
      <c r="R216" s="69">
        <v>18</v>
      </c>
      <c r="S216" s="69">
        <v>230</v>
      </c>
      <c r="T216" s="73" t="str">
        <f t="shared" si="14"/>
        <v>DA_bd_ra_ro_m_g_c_094</v>
      </c>
      <c r="U216" s="73" t="str">
        <f t="shared" si="15"/>
        <v>/Game/DungeonSiege/Items/Armor/Body/DA_bd_ra_ro_m_g_c_094</v>
      </c>
      <c r="V216" s="73" t="str">
        <f t="shared" si="13"/>
        <v>Texture2D'/Game/DungeonSiege/art/bitmaps/gui/in_game/inventory/armor/body_armor/b_gui_ig_i_a_pos_a7_057.b_gui_ig_i_a_pos_a7_057'</v>
      </c>
      <c r="W216" s="73" t="s">
        <v>3063</v>
      </c>
    </row>
    <row r="217" spans="1:23" ht="15.75" thickBot="1" x14ac:dyDescent="0.3">
      <c r="A217" s="69">
        <v>215</v>
      </c>
      <c r="B217" s="69">
        <v>35</v>
      </c>
      <c r="C217" s="69">
        <f>HEX2DEC(B217+Items!$A$3)</f>
        <v>16842805</v>
      </c>
      <c r="D217" s="65" t="s">
        <v>2480</v>
      </c>
      <c r="E217" s="71">
        <v>100</v>
      </c>
      <c r="F217" s="72" t="s">
        <v>2470</v>
      </c>
      <c r="G217" s="69">
        <v>58</v>
      </c>
      <c r="H217" s="69">
        <v>0</v>
      </c>
      <c r="I217" s="69">
        <v>0</v>
      </c>
      <c r="J217" s="69">
        <v>1</v>
      </c>
      <c r="K217" s="69">
        <v>1</v>
      </c>
      <c r="L217" s="66" t="s">
        <v>2733</v>
      </c>
      <c r="M217" s="65" t="s">
        <v>2854</v>
      </c>
      <c r="N217" s="70" t="s">
        <v>2789</v>
      </c>
      <c r="O217" s="69" t="s">
        <v>2827</v>
      </c>
      <c r="P217" s="69">
        <v>2</v>
      </c>
      <c r="Q217" s="69">
        <v>2</v>
      </c>
      <c r="R217" s="69">
        <v>7</v>
      </c>
      <c r="S217" s="69">
        <v>143</v>
      </c>
      <c r="T217" s="73" t="str">
        <f t="shared" si="14"/>
        <v>DA_bd_ra_ro_m_g_c_100</v>
      </c>
      <c r="U217" s="73" t="str">
        <f t="shared" si="15"/>
        <v>/Game/DungeonSiege/Items/Armor/Body/DA_bd_ra_ro_m_g_c_100</v>
      </c>
      <c r="V217" s="73" t="str">
        <f t="shared" si="13"/>
        <v>Texture2D'/Game/DungeonSiege/art/bitmaps/gui/in_game/inventory/armor/body_armor/b_gui_ig_i_a_pos_a7_074.b_gui_ig_i_a_pos_a7_074'</v>
      </c>
      <c r="W217" s="73" t="s">
        <v>3063</v>
      </c>
    </row>
    <row r="218" spans="1:23" ht="15.75" thickBot="1" x14ac:dyDescent="0.3">
      <c r="A218" s="69">
        <v>216</v>
      </c>
      <c r="B218" s="69">
        <v>36</v>
      </c>
      <c r="C218" s="69">
        <f>HEX2DEC(B218+Items!$A$3)</f>
        <v>16842806</v>
      </c>
      <c r="D218" s="65" t="s">
        <v>2480</v>
      </c>
      <c r="E218" s="71">
        <v>107</v>
      </c>
      <c r="F218" s="72" t="s">
        <v>2470</v>
      </c>
      <c r="G218" s="69">
        <v>61</v>
      </c>
      <c r="H218" s="69">
        <v>0</v>
      </c>
      <c r="I218" s="69">
        <v>0</v>
      </c>
      <c r="J218" s="69">
        <v>1</v>
      </c>
      <c r="K218" s="69">
        <v>1</v>
      </c>
      <c r="L218" s="66" t="s">
        <v>2734</v>
      </c>
      <c r="M218" s="65" t="s">
        <v>2853</v>
      </c>
      <c r="N218" s="70" t="s">
        <v>2794</v>
      </c>
      <c r="O218" s="69" t="s">
        <v>2827</v>
      </c>
      <c r="P218" s="69">
        <v>2</v>
      </c>
      <c r="Q218" s="69">
        <v>2</v>
      </c>
      <c r="R218" s="69">
        <v>20</v>
      </c>
      <c r="S218" s="69">
        <v>255</v>
      </c>
      <c r="T218" s="73" t="str">
        <f t="shared" si="14"/>
        <v>DA_bd_ra_ro_m_g_c_105</v>
      </c>
      <c r="U218" s="73" t="str">
        <f t="shared" si="15"/>
        <v>/Game/DungeonSiege/Items/Armor/Body/DA_bd_ra_ro_m_g_c_105</v>
      </c>
      <c r="V218" s="73" t="str">
        <f t="shared" si="13"/>
        <v>Texture2D'/Game/DungeonSiege/art/bitmaps/gui/in_game/inventory/armor/body_armor/b_gui_ig_i_a_pos_a7_066.b_gui_ig_i_a_pos_a7_066'</v>
      </c>
      <c r="W218" s="73" t="s">
        <v>3063</v>
      </c>
    </row>
    <row r="219" spans="1:23" ht="15.75" thickBot="1" x14ac:dyDescent="0.3">
      <c r="A219" s="69">
        <v>217</v>
      </c>
      <c r="B219" s="69">
        <v>37</v>
      </c>
      <c r="C219" s="69">
        <f>HEX2DEC(B219+Items!$A$3)</f>
        <v>16842807</v>
      </c>
      <c r="D219" s="65" t="s">
        <v>2481</v>
      </c>
      <c r="E219" s="71">
        <v>113</v>
      </c>
      <c r="F219" s="72" t="s">
        <v>2470</v>
      </c>
      <c r="G219" s="69">
        <v>64</v>
      </c>
      <c r="H219" s="69">
        <v>0</v>
      </c>
      <c r="I219" s="69">
        <v>0</v>
      </c>
      <c r="J219" s="69">
        <v>1</v>
      </c>
      <c r="K219" s="69">
        <v>1</v>
      </c>
      <c r="L219" s="66" t="s">
        <v>2735</v>
      </c>
      <c r="M219" s="65" t="s">
        <v>2852</v>
      </c>
      <c r="N219" s="70" t="s">
        <v>2795</v>
      </c>
      <c r="O219" s="69" t="s">
        <v>2827</v>
      </c>
      <c r="P219" s="69">
        <v>2</v>
      </c>
      <c r="Q219" s="69">
        <v>2</v>
      </c>
      <c r="R219" s="69">
        <v>11</v>
      </c>
      <c r="S219" s="69">
        <v>270</v>
      </c>
      <c r="T219" s="73" t="str">
        <f t="shared" si="14"/>
        <v>DA_bd_ra_ro_m_g_c_110</v>
      </c>
      <c r="U219" s="73" t="str">
        <f t="shared" si="15"/>
        <v>/Game/DungeonSiege/Items/Armor/Body/DA_bd_ra_ro_m_g_c_110</v>
      </c>
      <c r="V219" s="73" t="str">
        <f t="shared" si="13"/>
        <v>Texture2D'/Game/DungeonSiege/art/bitmaps/gui/in_game/inventory/armor/body_armor/b_gui_ig_i_a_pos_a7_053.b_gui_ig_i_a_pos_a7_053'</v>
      </c>
      <c r="W219" s="73" t="s">
        <v>3063</v>
      </c>
    </row>
    <row r="220" spans="1:23" ht="15.75" thickBot="1" x14ac:dyDescent="0.3">
      <c r="A220" s="69">
        <v>218</v>
      </c>
      <c r="B220" s="69">
        <v>38</v>
      </c>
      <c r="C220" s="69">
        <f>HEX2DEC(B220+Items!$A$3)</f>
        <v>16842808</v>
      </c>
      <c r="D220" s="65" t="s">
        <v>2482</v>
      </c>
      <c r="E220" s="71">
        <v>3</v>
      </c>
      <c r="F220" s="69"/>
      <c r="G220" s="69"/>
      <c r="H220" s="69">
        <v>1</v>
      </c>
      <c r="I220" s="69">
        <v>1</v>
      </c>
      <c r="J220" s="69">
        <v>0</v>
      </c>
      <c r="K220" s="69">
        <v>0</v>
      </c>
      <c r="L220" s="66" t="s">
        <v>2736</v>
      </c>
      <c r="M220" s="65" t="str">
        <f t="shared" ref="M220:M262" si="16">CONCATENATE("b_gui_ig_i_a_pos_",O220,"_",N220)</f>
        <v>b_gui_ig_i_a_pos_a7_010</v>
      </c>
      <c r="N220" s="70" t="s">
        <v>2512</v>
      </c>
      <c r="O220" s="69" t="s">
        <v>2827</v>
      </c>
      <c r="P220" s="69">
        <v>2</v>
      </c>
      <c r="Q220" s="69">
        <v>2</v>
      </c>
      <c r="R220" s="69">
        <v>0</v>
      </c>
      <c r="S220" s="69">
        <v>4</v>
      </c>
      <c r="T220" s="73" t="str">
        <f t="shared" si="14"/>
        <v>DA_bd_ro_m_d_c_003</v>
      </c>
      <c r="U220" s="73" t="str">
        <f t="shared" si="15"/>
        <v>/Game/DungeonSiege/Items/Armor/Body/DA_bd_ro_m_d_c_003</v>
      </c>
      <c r="V220" s="73" t="str">
        <f t="shared" si="13"/>
        <v>Texture2D'/Game/DungeonSiege/art/bitmaps/gui/in_game/inventory/armor/body_armor/b_gui_ig_i_a_pos_a7_010.b_gui_ig_i_a_pos_a7_010'</v>
      </c>
      <c r="W220" s="73" t="s">
        <v>3063</v>
      </c>
    </row>
    <row r="221" spans="1:23" ht="15.75" thickBot="1" x14ac:dyDescent="0.3">
      <c r="A221" s="69">
        <v>219</v>
      </c>
      <c r="B221" s="69">
        <v>39</v>
      </c>
      <c r="C221" s="69">
        <f>HEX2DEC(B221+Items!$A$3)</f>
        <v>16842809</v>
      </c>
      <c r="D221" s="65" t="s">
        <v>2482</v>
      </c>
      <c r="E221" s="71">
        <v>5</v>
      </c>
      <c r="F221" s="69"/>
      <c r="G221" s="69"/>
      <c r="H221" s="69">
        <v>0</v>
      </c>
      <c r="I221" s="69">
        <v>1</v>
      </c>
      <c r="J221" s="69">
        <v>0</v>
      </c>
      <c r="K221" s="69">
        <v>0</v>
      </c>
      <c r="L221" s="66" t="s">
        <v>2737</v>
      </c>
      <c r="M221" s="65" t="str">
        <f t="shared" si="16"/>
        <v>b_gui_ig_i_a_pos_a7_012</v>
      </c>
      <c r="N221" s="70" t="s">
        <v>2514</v>
      </c>
      <c r="O221" s="69" t="s">
        <v>2827</v>
      </c>
      <c r="P221" s="69">
        <v>2</v>
      </c>
      <c r="Q221" s="69">
        <v>2</v>
      </c>
      <c r="R221" s="69">
        <v>1</v>
      </c>
      <c r="S221" s="69">
        <v>6</v>
      </c>
      <c r="T221" s="73" t="str">
        <f t="shared" si="14"/>
        <v>DA_bd_ro_m_d_c_004</v>
      </c>
      <c r="U221" s="73" t="str">
        <f t="shared" si="15"/>
        <v>/Game/DungeonSiege/Items/Armor/Body/DA_bd_ro_m_d_c_004</v>
      </c>
      <c r="V221" s="73" t="str">
        <f t="shared" si="13"/>
        <v>Texture2D'/Game/DungeonSiege/art/bitmaps/gui/in_game/inventory/armor/body_armor/b_gui_ig_i_a_pos_a7_012.b_gui_ig_i_a_pos_a7_012'</v>
      </c>
      <c r="W221" s="73" t="s">
        <v>3063</v>
      </c>
    </row>
    <row r="222" spans="1:23" ht="15.75" thickBot="1" x14ac:dyDescent="0.3">
      <c r="A222" s="69">
        <v>220</v>
      </c>
      <c r="B222" s="69">
        <v>40</v>
      </c>
      <c r="C222" s="69">
        <f>HEX2DEC(B222+Items!$A$3)</f>
        <v>16842816</v>
      </c>
      <c r="D222" s="65" t="s">
        <v>2483</v>
      </c>
      <c r="E222" s="71">
        <v>11</v>
      </c>
      <c r="F222" s="72" t="s">
        <v>2470</v>
      </c>
      <c r="G222" s="69">
        <v>16</v>
      </c>
      <c r="H222" s="69">
        <v>0</v>
      </c>
      <c r="I222" s="69">
        <v>1</v>
      </c>
      <c r="J222" s="69">
        <v>0</v>
      </c>
      <c r="K222" s="69">
        <v>0</v>
      </c>
      <c r="L222" s="66" t="s">
        <v>2738</v>
      </c>
      <c r="M222" s="65" t="str">
        <f t="shared" si="16"/>
        <v>b_gui_ig_i_a_pos_a7_020</v>
      </c>
      <c r="N222" s="70" t="s">
        <v>2780</v>
      </c>
      <c r="O222" s="69" t="s">
        <v>2827</v>
      </c>
      <c r="P222" s="69">
        <v>2</v>
      </c>
      <c r="Q222" s="69">
        <v>2</v>
      </c>
      <c r="R222" s="69">
        <v>1</v>
      </c>
      <c r="S222" s="69">
        <v>14</v>
      </c>
      <c r="T222" s="73" t="str">
        <f t="shared" si="14"/>
        <v>DA_bd_ro_m_d_c_009</v>
      </c>
      <c r="U222" s="73" t="str">
        <f t="shared" si="15"/>
        <v>/Game/DungeonSiege/Items/Armor/Body/DA_bd_ro_m_d_c_009</v>
      </c>
      <c r="V222" s="73" t="str">
        <f t="shared" si="13"/>
        <v>Texture2D'/Game/DungeonSiege/art/bitmaps/gui/in_game/inventory/armor/body_armor/b_gui_ig_i_a_pos_a7_020.b_gui_ig_i_a_pos_a7_020'</v>
      </c>
      <c r="W222" s="73" t="s">
        <v>3063</v>
      </c>
    </row>
    <row r="223" spans="1:23" ht="15.75" thickBot="1" x14ac:dyDescent="0.3">
      <c r="A223" s="69">
        <v>221</v>
      </c>
      <c r="B223" s="69">
        <v>41</v>
      </c>
      <c r="C223" s="69">
        <f>HEX2DEC(B223+Items!$A$3)</f>
        <v>16842817</v>
      </c>
      <c r="D223" s="65" t="s">
        <v>2484</v>
      </c>
      <c r="E223" s="71">
        <v>53</v>
      </c>
      <c r="F223" s="72" t="s">
        <v>2470</v>
      </c>
      <c r="G223" s="69">
        <v>39</v>
      </c>
      <c r="H223" s="69">
        <v>0</v>
      </c>
      <c r="I223" s="69">
        <v>1</v>
      </c>
      <c r="J223" s="69">
        <v>0</v>
      </c>
      <c r="K223" s="69">
        <v>0</v>
      </c>
      <c r="L223" s="66" t="s">
        <v>2739</v>
      </c>
      <c r="M223" s="65" t="str">
        <f t="shared" si="16"/>
        <v>b_gui_ig_i_a_pos_a7_004</v>
      </c>
      <c r="N223" s="70" t="s">
        <v>2507</v>
      </c>
      <c r="O223" s="69" t="s">
        <v>2827</v>
      </c>
      <c r="P223" s="69">
        <v>2</v>
      </c>
      <c r="Q223" s="69">
        <v>2</v>
      </c>
      <c r="R223" s="69">
        <v>20</v>
      </c>
      <c r="S223" s="69">
        <v>64</v>
      </c>
      <c r="T223" s="73" t="str">
        <f t="shared" si="14"/>
        <v>DA_bd_ro_m_d_c_041</v>
      </c>
      <c r="U223" s="73" t="str">
        <f t="shared" si="15"/>
        <v>/Game/DungeonSiege/Items/Armor/Body/DA_bd_ro_m_d_c_041</v>
      </c>
      <c r="V223" s="73" t="str">
        <f t="shared" si="13"/>
        <v>Texture2D'/Game/DungeonSiege/art/bitmaps/gui/in_game/inventory/armor/body_armor/b_gui_ig_i_a_pos_a7_004.b_gui_ig_i_a_pos_a7_004'</v>
      </c>
      <c r="W223" s="73" t="s">
        <v>3063</v>
      </c>
    </row>
    <row r="224" spans="1:23" ht="15.75" thickBot="1" x14ac:dyDescent="0.3">
      <c r="A224" s="69">
        <v>222</v>
      </c>
      <c r="B224" s="69">
        <v>42</v>
      </c>
      <c r="C224" s="69">
        <f>HEX2DEC(B224+Items!$A$3)</f>
        <v>16842818</v>
      </c>
      <c r="D224" s="65" t="s">
        <v>2484</v>
      </c>
      <c r="E224" s="71">
        <v>56</v>
      </c>
      <c r="F224" s="72" t="s">
        <v>2470</v>
      </c>
      <c r="G224" s="69">
        <v>41</v>
      </c>
      <c r="H224" s="69">
        <v>0</v>
      </c>
      <c r="I224" s="69">
        <v>1</v>
      </c>
      <c r="J224" s="69">
        <v>0</v>
      </c>
      <c r="K224" s="69">
        <v>0</v>
      </c>
      <c r="L224" s="66" t="s">
        <v>2740</v>
      </c>
      <c r="M224" s="65" t="str">
        <f t="shared" si="16"/>
        <v>b_gui_ig_i_a_pos_a7_005</v>
      </c>
      <c r="N224" s="70" t="s">
        <v>2508</v>
      </c>
      <c r="O224" s="69" t="s">
        <v>2827</v>
      </c>
      <c r="P224" s="69">
        <v>2</v>
      </c>
      <c r="Q224" s="69">
        <v>2</v>
      </c>
      <c r="R224" s="69">
        <v>30</v>
      </c>
      <c r="S224" s="69">
        <v>69</v>
      </c>
      <c r="T224" s="73" t="str">
        <f t="shared" si="14"/>
        <v>DA_bd_ro_m_d_c_043</v>
      </c>
      <c r="U224" s="73" t="str">
        <f t="shared" si="15"/>
        <v>/Game/DungeonSiege/Items/Armor/Body/DA_bd_ro_m_d_c_043</v>
      </c>
      <c r="V224" s="73" t="str">
        <f t="shared" si="13"/>
        <v>Texture2D'/Game/DungeonSiege/art/bitmaps/gui/in_game/inventory/armor/body_armor/b_gui_ig_i_a_pos_a7_005.b_gui_ig_i_a_pos_a7_005'</v>
      </c>
      <c r="W224" s="73" t="s">
        <v>3063</v>
      </c>
    </row>
    <row r="225" spans="1:23" ht="15.75" thickBot="1" x14ac:dyDescent="0.3">
      <c r="A225" s="69">
        <v>223</v>
      </c>
      <c r="B225" s="69">
        <v>43</v>
      </c>
      <c r="C225" s="69">
        <f>HEX2DEC(B225+Items!$A$3)</f>
        <v>16842819</v>
      </c>
      <c r="D225" s="65" t="s">
        <v>2485</v>
      </c>
      <c r="E225" s="71">
        <v>78</v>
      </c>
      <c r="F225" s="72" t="s">
        <v>2470</v>
      </c>
      <c r="G225" s="69">
        <v>53</v>
      </c>
      <c r="H225" s="69">
        <v>0</v>
      </c>
      <c r="I225" s="69">
        <v>1</v>
      </c>
      <c r="J225" s="69">
        <v>0</v>
      </c>
      <c r="K225" s="69">
        <v>0</v>
      </c>
      <c r="L225" s="66" t="s">
        <v>2741</v>
      </c>
      <c r="M225" s="65" t="str">
        <f t="shared" si="16"/>
        <v>b_gui_ig_i_a_pos_a7_026</v>
      </c>
      <c r="N225" s="70" t="s">
        <v>2785</v>
      </c>
      <c r="O225" s="69" t="s">
        <v>2827</v>
      </c>
      <c r="P225" s="69">
        <v>2</v>
      </c>
      <c r="Q225" s="69">
        <v>2</v>
      </c>
      <c r="R225" s="69">
        <v>48</v>
      </c>
      <c r="S225" s="69">
        <v>101</v>
      </c>
      <c r="T225" s="73" t="str">
        <f t="shared" si="14"/>
        <v>DA_bd_ro_m_d_c_077</v>
      </c>
      <c r="U225" s="73" t="str">
        <f t="shared" si="15"/>
        <v>/Game/DungeonSiege/Items/Armor/Body/DA_bd_ro_m_d_c_077</v>
      </c>
      <c r="V225" s="73" t="str">
        <f t="shared" si="13"/>
        <v>Texture2D'/Game/DungeonSiege/art/bitmaps/gui/in_game/inventory/armor/body_armor/b_gui_ig_i_a_pos_a7_026.b_gui_ig_i_a_pos_a7_026'</v>
      </c>
      <c r="W225" s="73" t="s">
        <v>3063</v>
      </c>
    </row>
    <row r="226" spans="1:23" ht="15.75" thickBot="1" x14ac:dyDescent="0.3">
      <c r="A226" s="69">
        <v>224</v>
      </c>
      <c r="B226" s="69">
        <v>44</v>
      </c>
      <c r="C226" s="69">
        <f>HEX2DEC(B226+Items!$A$3)</f>
        <v>16842820</v>
      </c>
      <c r="D226" s="65" t="s">
        <v>2486</v>
      </c>
      <c r="E226" s="71">
        <v>1</v>
      </c>
      <c r="F226" s="69"/>
      <c r="G226" s="69"/>
      <c r="H226" s="69">
        <v>1</v>
      </c>
      <c r="I226" s="69">
        <v>0</v>
      </c>
      <c r="J226" s="69">
        <v>0</v>
      </c>
      <c r="K226" s="69">
        <v>0</v>
      </c>
      <c r="L226" s="66" t="s">
        <v>2742</v>
      </c>
      <c r="M226" s="65" t="str">
        <f t="shared" si="16"/>
        <v>b_gui_ig_i_a_pos_a7_030</v>
      </c>
      <c r="N226" s="70" t="s">
        <v>2792</v>
      </c>
      <c r="O226" s="69" t="s">
        <v>2827</v>
      </c>
      <c r="P226" s="69">
        <v>2</v>
      </c>
      <c r="Q226" s="69">
        <v>2</v>
      </c>
      <c r="R226" s="69"/>
      <c r="S226" s="69"/>
      <c r="T226" s="73" t="str">
        <f t="shared" si="14"/>
        <v>DA_bd_ro_m_g_c_001</v>
      </c>
      <c r="U226" s="73" t="str">
        <f t="shared" si="15"/>
        <v>/Game/DungeonSiege/Items/Armor/Body/DA_bd_ro_m_g_c_001</v>
      </c>
      <c r="V226" s="73" t="str">
        <f t="shared" si="13"/>
        <v>Texture2D'/Game/DungeonSiege/art/bitmaps/gui/in_game/inventory/armor/body_armor/b_gui_ig_i_a_pos_a7_030.b_gui_ig_i_a_pos_a7_030'</v>
      </c>
      <c r="W226" s="73" t="s">
        <v>3063</v>
      </c>
    </row>
    <row r="227" spans="1:23" ht="15.75" thickBot="1" x14ac:dyDescent="0.3">
      <c r="A227" s="69">
        <v>225</v>
      </c>
      <c r="B227" s="69">
        <v>45</v>
      </c>
      <c r="C227" s="69">
        <f>HEX2DEC(B227+Items!$A$3)</f>
        <v>16842821</v>
      </c>
      <c r="D227" s="65" t="s">
        <v>2487</v>
      </c>
      <c r="E227" s="71">
        <v>2</v>
      </c>
      <c r="F227" s="69"/>
      <c r="G227" s="69"/>
      <c r="H227" s="69">
        <v>1</v>
      </c>
      <c r="I227" s="69">
        <v>0</v>
      </c>
      <c r="J227" s="69">
        <v>0</v>
      </c>
      <c r="K227" s="69">
        <v>0</v>
      </c>
      <c r="L227" s="66" t="s">
        <v>2743</v>
      </c>
      <c r="M227" s="65" t="str">
        <f t="shared" si="16"/>
        <v>b_gui_ig_i_a_pos_a7_011</v>
      </c>
      <c r="N227" s="70" t="s">
        <v>2513</v>
      </c>
      <c r="O227" s="69" t="s">
        <v>2827</v>
      </c>
      <c r="P227" s="69">
        <v>2</v>
      </c>
      <c r="Q227" s="69">
        <v>2</v>
      </c>
      <c r="R227" s="69"/>
      <c r="S227" s="69"/>
      <c r="T227" s="73" t="str">
        <f t="shared" si="14"/>
        <v>DA_bd_ro_m_g_c_002</v>
      </c>
      <c r="U227" s="73" t="str">
        <f t="shared" si="15"/>
        <v>/Game/DungeonSiege/Items/Armor/Body/DA_bd_ro_m_g_c_002</v>
      </c>
      <c r="V227" s="73" t="str">
        <f t="shared" si="13"/>
        <v>Texture2D'/Game/DungeonSiege/art/bitmaps/gui/in_game/inventory/armor/body_armor/b_gui_ig_i_a_pos_a7_011.b_gui_ig_i_a_pos_a7_011'</v>
      </c>
      <c r="W227" s="73" t="s">
        <v>3063</v>
      </c>
    </row>
    <row r="228" spans="1:23" ht="15.75" thickBot="1" x14ac:dyDescent="0.3">
      <c r="A228" s="69">
        <v>226</v>
      </c>
      <c r="B228" s="69">
        <v>46</v>
      </c>
      <c r="C228" s="69">
        <f>HEX2DEC(B228+Items!$A$3)</f>
        <v>16842822</v>
      </c>
      <c r="D228" s="65" t="s">
        <v>2488</v>
      </c>
      <c r="E228" s="71">
        <v>6</v>
      </c>
      <c r="F228" s="72" t="s">
        <v>2470</v>
      </c>
      <c r="G228" s="69">
        <v>13</v>
      </c>
      <c r="H228" s="69">
        <v>1</v>
      </c>
      <c r="I228" s="69">
        <v>1</v>
      </c>
      <c r="J228" s="69">
        <v>0</v>
      </c>
      <c r="K228" s="69">
        <v>0</v>
      </c>
      <c r="L228" s="66" t="s">
        <v>2744</v>
      </c>
      <c r="M228" s="65" t="str">
        <f t="shared" si="16"/>
        <v>b_gui_ig_i_a_pos_a7_009</v>
      </c>
      <c r="N228" s="70" t="s">
        <v>2503</v>
      </c>
      <c r="O228" s="69" t="s">
        <v>2827</v>
      </c>
      <c r="P228" s="69">
        <v>2</v>
      </c>
      <c r="Q228" s="69">
        <v>2</v>
      </c>
      <c r="R228" s="69">
        <v>0</v>
      </c>
      <c r="S228" s="69">
        <v>8</v>
      </c>
      <c r="T228" s="73" t="str">
        <f t="shared" si="14"/>
        <v>DA_bd_ro_m_g_c_005</v>
      </c>
      <c r="U228" s="73" t="str">
        <f t="shared" si="15"/>
        <v>/Game/DungeonSiege/Items/Armor/Body/DA_bd_ro_m_g_c_005</v>
      </c>
      <c r="V228" s="73" t="str">
        <f t="shared" si="13"/>
        <v>Texture2D'/Game/DungeonSiege/art/bitmaps/gui/in_game/inventory/armor/body_armor/b_gui_ig_i_a_pos_a7_009.b_gui_ig_i_a_pos_a7_009'</v>
      </c>
      <c r="W228" s="73" t="s">
        <v>3063</v>
      </c>
    </row>
    <row r="229" spans="1:23" ht="15.75" thickBot="1" x14ac:dyDescent="0.3">
      <c r="A229" s="69">
        <v>227</v>
      </c>
      <c r="B229" s="69">
        <v>47</v>
      </c>
      <c r="C229" s="69">
        <f>HEX2DEC(B229+Items!$A$3)</f>
        <v>16842823</v>
      </c>
      <c r="D229" s="65" t="s">
        <v>2489</v>
      </c>
      <c r="E229" s="71">
        <v>6</v>
      </c>
      <c r="F229" s="72" t="s">
        <v>2470</v>
      </c>
      <c r="G229" s="69">
        <v>13</v>
      </c>
      <c r="H229" s="69">
        <v>1</v>
      </c>
      <c r="I229" s="69">
        <v>1</v>
      </c>
      <c r="J229" s="69">
        <v>0</v>
      </c>
      <c r="K229" s="69">
        <v>0</v>
      </c>
      <c r="L229" s="66" t="s">
        <v>2745</v>
      </c>
      <c r="M229" s="65" t="str">
        <f t="shared" si="16"/>
        <v>b_gui_ig_i_a_pos_a7_031</v>
      </c>
      <c r="N229" s="70" t="s">
        <v>2793</v>
      </c>
      <c r="O229" s="69" t="s">
        <v>2827</v>
      </c>
      <c r="P229" s="69">
        <v>2</v>
      </c>
      <c r="Q229" s="69">
        <v>2</v>
      </c>
      <c r="R229" s="69">
        <v>0</v>
      </c>
      <c r="S229" s="69">
        <v>8</v>
      </c>
      <c r="T229" s="73" t="str">
        <f t="shared" si="14"/>
        <v>DA_bd_ro_m_g_c_005a</v>
      </c>
      <c r="U229" s="73" t="str">
        <f t="shared" si="15"/>
        <v>/Game/DungeonSiege/Items/Armor/Body/DA_bd_ro_m_g_c_005a</v>
      </c>
      <c r="V229" s="73" t="str">
        <f t="shared" si="13"/>
        <v>Texture2D'/Game/DungeonSiege/art/bitmaps/gui/in_game/inventory/armor/body_armor/b_gui_ig_i_a_pos_a7_031.b_gui_ig_i_a_pos_a7_031'</v>
      </c>
      <c r="W229" s="73" t="s">
        <v>3063</v>
      </c>
    </row>
    <row r="230" spans="1:23" ht="15.75" thickBot="1" x14ac:dyDescent="0.3">
      <c r="A230" s="69">
        <v>228</v>
      </c>
      <c r="B230" s="69">
        <v>48</v>
      </c>
      <c r="C230" s="69">
        <f>HEX2DEC(B230+Items!$A$3)</f>
        <v>16842824</v>
      </c>
      <c r="D230" s="65" t="s">
        <v>2483</v>
      </c>
      <c r="E230" s="71">
        <v>11</v>
      </c>
      <c r="F230" s="72" t="s">
        <v>2470</v>
      </c>
      <c r="G230" s="69">
        <v>15</v>
      </c>
      <c r="H230" s="69">
        <v>1</v>
      </c>
      <c r="I230" s="69">
        <v>1</v>
      </c>
      <c r="J230" s="69">
        <v>0</v>
      </c>
      <c r="K230" s="69">
        <v>0</v>
      </c>
      <c r="L230" s="66" t="s">
        <v>2746</v>
      </c>
      <c r="M230" s="65" t="str">
        <f t="shared" si="16"/>
        <v>b_gui_ig_i_a_pos_a7_032</v>
      </c>
      <c r="N230" s="70" t="s">
        <v>2806</v>
      </c>
      <c r="O230" s="69" t="s">
        <v>2827</v>
      </c>
      <c r="P230" s="69">
        <v>2</v>
      </c>
      <c r="Q230" s="69">
        <v>2</v>
      </c>
      <c r="R230" s="69">
        <v>0</v>
      </c>
      <c r="S230" s="69">
        <v>12</v>
      </c>
      <c r="T230" s="73" t="str">
        <f t="shared" si="14"/>
        <v>DA_bd_ro_m_g_c_008</v>
      </c>
      <c r="U230" s="73" t="str">
        <f t="shared" si="15"/>
        <v>/Game/DungeonSiege/Items/Armor/Body/DA_bd_ro_m_g_c_008</v>
      </c>
      <c r="V230" s="73" t="str">
        <f t="shared" si="13"/>
        <v>Texture2D'/Game/DungeonSiege/art/bitmaps/gui/in_game/inventory/armor/body_armor/b_gui_ig_i_a_pos_a7_032.b_gui_ig_i_a_pos_a7_032'</v>
      </c>
      <c r="W230" s="73" t="s">
        <v>3063</v>
      </c>
    </row>
    <row r="231" spans="1:23" ht="15.75" thickBot="1" x14ac:dyDescent="0.3">
      <c r="A231" s="69">
        <v>229</v>
      </c>
      <c r="B231" s="69">
        <v>49</v>
      </c>
      <c r="C231" s="69">
        <f>HEX2DEC(B231+Items!$A$3)</f>
        <v>16842825</v>
      </c>
      <c r="D231" s="65" t="s">
        <v>2483</v>
      </c>
      <c r="E231" s="71">
        <v>15</v>
      </c>
      <c r="F231" s="72" t="s">
        <v>2470</v>
      </c>
      <c r="G231" s="69">
        <v>18</v>
      </c>
      <c r="H231" s="69">
        <v>0</v>
      </c>
      <c r="I231" s="69">
        <v>1</v>
      </c>
      <c r="J231" s="69">
        <v>0</v>
      </c>
      <c r="K231" s="69">
        <v>0</v>
      </c>
      <c r="L231" s="66" t="s">
        <v>2747</v>
      </c>
      <c r="M231" s="65" t="str">
        <f t="shared" si="16"/>
        <v>b_gui_ig_i_a_pos_a7_023</v>
      </c>
      <c r="N231" s="70" t="s">
        <v>2786</v>
      </c>
      <c r="O231" s="69" t="s">
        <v>2827</v>
      </c>
      <c r="P231" s="69">
        <v>2</v>
      </c>
      <c r="Q231" s="69">
        <v>2</v>
      </c>
      <c r="R231" s="69">
        <v>3</v>
      </c>
      <c r="S231" s="69">
        <v>19</v>
      </c>
      <c r="T231" s="73" t="str">
        <f t="shared" si="14"/>
        <v>DA_bd_ro_m_g_c_012</v>
      </c>
      <c r="U231" s="73" t="str">
        <f t="shared" si="15"/>
        <v>/Game/DungeonSiege/Items/Armor/Body/DA_bd_ro_m_g_c_012</v>
      </c>
      <c r="V231" s="73" t="str">
        <f t="shared" si="13"/>
        <v>Texture2D'/Game/DungeonSiege/art/bitmaps/gui/in_game/inventory/armor/body_armor/b_gui_ig_i_a_pos_a7_023.b_gui_ig_i_a_pos_a7_023'</v>
      </c>
      <c r="W231" s="73" t="s">
        <v>3063</v>
      </c>
    </row>
    <row r="232" spans="1:23" ht="15.75" thickBot="1" x14ac:dyDescent="0.3">
      <c r="A232" s="69">
        <v>230</v>
      </c>
      <c r="B232" s="69">
        <v>50</v>
      </c>
      <c r="C232" s="69">
        <f>HEX2DEC(B232+Items!$A$3)</f>
        <v>16842832</v>
      </c>
      <c r="D232" s="65" t="s">
        <v>2483</v>
      </c>
      <c r="E232" s="71">
        <v>18</v>
      </c>
      <c r="F232" s="72" t="s">
        <v>2470</v>
      </c>
      <c r="G232" s="69">
        <v>20</v>
      </c>
      <c r="H232" s="69">
        <v>0</v>
      </c>
      <c r="I232" s="69">
        <v>1</v>
      </c>
      <c r="J232" s="69">
        <v>0</v>
      </c>
      <c r="K232" s="69">
        <v>0</v>
      </c>
      <c r="L232" s="66" t="s">
        <v>2748</v>
      </c>
      <c r="M232" s="65" t="str">
        <f t="shared" si="16"/>
        <v>b_gui_ig_i_a_pos_a7_033</v>
      </c>
      <c r="N232" s="70" t="s">
        <v>2800</v>
      </c>
      <c r="O232" s="69" t="s">
        <v>2827</v>
      </c>
      <c r="P232" s="69">
        <v>2</v>
      </c>
      <c r="Q232" s="69">
        <v>2</v>
      </c>
      <c r="R232" s="69">
        <v>5</v>
      </c>
      <c r="S232" s="69">
        <v>22</v>
      </c>
      <c r="T232" s="73" t="str">
        <f t="shared" si="14"/>
        <v>DA_bd_ro_m_g_c_014</v>
      </c>
      <c r="U232" s="73" t="str">
        <f t="shared" si="15"/>
        <v>/Game/DungeonSiege/Items/Armor/Body/DA_bd_ro_m_g_c_014</v>
      </c>
      <c r="V232" s="73" t="str">
        <f t="shared" si="13"/>
        <v>Texture2D'/Game/DungeonSiege/art/bitmaps/gui/in_game/inventory/armor/body_armor/b_gui_ig_i_a_pos_a7_033.b_gui_ig_i_a_pos_a7_033'</v>
      </c>
      <c r="W232" s="73" t="s">
        <v>3063</v>
      </c>
    </row>
    <row r="233" spans="1:23" ht="15.75" thickBot="1" x14ac:dyDescent="0.3">
      <c r="A233" s="69">
        <v>231</v>
      </c>
      <c r="B233" s="69">
        <v>51</v>
      </c>
      <c r="C233" s="69">
        <f>HEX2DEC(B233+Items!$A$3)</f>
        <v>16842833</v>
      </c>
      <c r="D233" s="65" t="s">
        <v>2483</v>
      </c>
      <c r="E233" s="71">
        <v>19</v>
      </c>
      <c r="F233" s="72" t="s">
        <v>2470</v>
      </c>
      <c r="G233" s="69">
        <v>20</v>
      </c>
      <c r="H233" s="69">
        <v>0</v>
      </c>
      <c r="I233" s="69">
        <v>1</v>
      </c>
      <c r="J233" s="69">
        <v>0</v>
      </c>
      <c r="K233" s="69">
        <v>0</v>
      </c>
      <c r="L233" s="66" t="s">
        <v>2749</v>
      </c>
      <c r="M233" s="65" t="str">
        <f t="shared" si="16"/>
        <v>b_gui_ig_i_a_pos_a7_001</v>
      </c>
      <c r="N233" s="70" t="s">
        <v>2499</v>
      </c>
      <c r="O233" s="69" t="s">
        <v>2827</v>
      </c>
      <c r="P233" s="69">
        <v>2</v>
      </c>
      <c r="Q233" s="69">
        <v>2</v>
      </c>
      <c r="R233" s="69">
        <v>7</v>
      </c>
      <c r="S233" s="69">
        <v>25</v>
      </c>
      <c r="T233" s="73" t="str">
        <f t="shared" si="14"/>
        <v>DA_bd_ro_m_g_c_015</v>
      </c>
      <c r="U233" s="73" t="str">
        <f t="shared" si="15"/>
        <v>/Game/DungeonSiege/Items/Armor/Body/DA_bd_ro_m_g_c_015</v>
      </c>
      <c r="V233" s="73" t="str">
        <f t="shared" si="13"/>
        <v>Texture2D'/Game/DungeonSiege/art/bitmaps/gui/in_game/inventory/armor/body_armor/b_gui_ig_i_a_pos_a7_001.b_gui_ig_i_a_pos_a7_001'</v>
      </c>
      <c r="W233" s="73" t="s">
        <v>3063</v>
      </c>
    </row>
    <row r="234" spans="1:23" ht="15.75" thickBot="1" x14ac:dyDescent="0.3">
      <c r="A234" s="69">
        <v>232</v>
      </c>
      <c r="B234" s="69">
        <v>52</v>
      </c>
      <c r="C234" s="69">
        <f>HEX2DEC(B234+Items!$A$3)</f>
        <v>16842834</v>
      </c>
      <c r="D234" s="65" t="s">
        <v>2490</v>
      </c>
      <c r="E234" s="71">
        <v>23</v>
      </c>
      <c r="F234" s="72" t="s">
        <v>2470</v>
      </c>
      <c r="G234" s="69">
        <v>23</v>
      </c>
      <c r="H234" s="69">
        <v>1</v>
      </c>
      <c r="I234" s="69">
        <v>1</v>
      </c>
      <c r="J234" s="69">
        <v>0</v>
      </c>
      <c r="K234" s="69">
        <v>0</v>
      </c>
      <c r="L234" s="66" t="s">
        <v>2750</v>
      </c>
      <c r="M234" s="65" t="str">
        <f t="shared" si="16"/>
        <v>b_gui_ig_i_a_pos_a7_034</v>
      </c>
      <c r="N234" s="70" t="s">
        <v>2801</v>
      </c>
      <c r="O234" s="69" t="s">
        <v>2827</v>
      </c>
      <c r="P234" s="69">
        <v>2</v>
      </c>
      <c r="Q234" s="69">
        <v>2</v>
      </c>
      <c r="R234" s="69">
        <v>0</v>
      </c>
      <c r="S234" s="69">
        <v>25</v>
      </c>
      <c r="T234" s="73" t="str">
        <f t="shared" si="14"/>
        <v>DA_bd_ro_m_g_c_018</v>
      </c>
      <c r="U234" s="73" t="str">
        <f t="shared" si="15"/>
        <v>/Game/DungeonSiege/Items/Armor/Body/DA_bd_ro_m_g_c_018</v>
      </c>
      <c r="V234" s="73" t="str">
        <f t="shared" si="13"/>
        <v>Texture2D'/Game/DungeonSiege/art/bitmaps/gui/in_game/inventory/armor/body_armor/b_gui_ig_i_a_pos_a7_034.b_gui_ig_i_a_pos_a7_034'</v>
      </c>
      <c r="W234" s="73" t="s">
        <v>3063</v>
      </c>
    </row>
    <row r="235" spans="1:23" ht="15.75" thickBot="1" x14ac:dyDescent="0.3">
      <c r="A235" s="69">
        <v>233</v>
      </c>
      <c r="B235" s="69">
        <v>53</v>
      </c>
      <c r="C235" s="69">
        <f>HEX2DEC(B235+Items!$A$3)</f>
        <v>16842835</v>
      </c>
      <c r="D235" s="65" t="s">
        <v>2490</v>
      </c>
      <c r="E235" s="71">
        <v>26</v>
      </c>
      <c r="F235" s="72" t="s">
        <v>2470</v>
      </c>
      <c r="G235" s="69">
        <v>24</v>
      </c>
      <c r="H235" s="69">
        <v>0</v>
      </c>
      <c r="I235" s="69">
        <v>1</v>
      </c>
      <c r="J235" s="69">
        <v>0</v>
      </c>
      <c r="K235" s="69">
        <v>0</v>
      </c>
      <c r="L235" s="66" t="s">
        <v>2751</v>
      </c>
      <c r="M235" s="65" t="str">
        <f t="shared" si="16"/>
        <v>b_gui_ig_i_a_pos_a7_016</v>
      </c>
      <c r="N235" s="70" t="s">
        <v>2517</v>
      </c>
      <c r="O235" s="69" t="s">
        <v>2827</v>
      </c>
      <c r="P235" s="69">
        <v>2</v>
      </c>
      <c r="Q235" s="69">
        <v>2</v>
      </c>
      <c r="R235" s="69">
        <v>3</v>
      </c>
      <c r="S235" s="69">
        <v>28</v>
      </c>
      <c r="T235" s="73" t="str">
        <f t="shared" si="14"/>
        <v>DA_bd_ro_m_g_c_020</v>
      </c>
      <c r="U235" s="73" t="str">
        <f t="shared" si="15"/>
        <v>/Game/DungeonSiege/Items/Armor/Body/DA_bd_ro_m_g_c_020</v>
      </c>
      <c r="V235" s="73" t="str">
        <f t="shared" si="13"/>
        <v>Texture2D'/Game/DungeonSiege/art/bitmaps/gui/in_game/inventory/armor/body_armor/b_gui_ig_i_a_pos_a7_016.b_gui_ig_i_a_pos_a7_016'</v>
      </c>
      <c r="W235" s="73" t="s">
        <v>3063</v>
      </c>
    </row>
    <row r="236" spans="1:23" ht="15.75" thickBot="1" x14ac:dyDescent="0.3">
      <c r="A236" s="69">
        <v>234</v>
      </c>
      <c r="B236" s="69">
        <v>54</v>
      </c>
      <c r="C236" s="69">
        <f>HEX2DEC(B236+Items!$A$3)</f>
        <v>16842836</v>
      </c>
      <c r="D236" s="65" t="s">
        <v>2490</v>
      </c>
      <c r="E236" s="71">
        <v>27</v>
      </c>
      <c r="F236" s="72" t="s">
        <v>2470</v>
      </c>
      <c r="G236" s="69">
        <v>25</v>
      </c>
      <c r="H236" s="69">
        <v>0</v>
      </c>
      <c r="I236" s="69">
        <v>1</v>
      </c>
      <c r="J236" s="69">
        <v>0</v>
      </c>
      <c r="K236" s="69">
        <v>0</v>
      </c>
      <c r="L236" s="66" t="s">
        <v>2752</v>
      </c>
      <c r="M236" s="65" t="str">
        <f t="shared" si="16"/>
        <v>b_gui_ig_i_a_pos_a7_035</v>
      </c>
      <c r="N236" s="70" t="s">
        <v>2784</v>
      </c>
      <c r="O236" s="69" t="s">
        <v>2827</v>
      </c>
      <c r="P236" s="69">
        <v>2</v>
      </c>
      <c r="Q236" s="69">
        <v>2</v>
      </c>
      <c r="R236" s="69">
        <v>6</v>
      </c>
      <c r="S236" s="69">
        <v>31</v>
      </c>
      <c r="T236" s="73" t="str">
        <f t="shared" si="14"/>
        <v>DA_bd_ro_m_g_c_021</v>
      </c>
      <c r="U236" s="73" t="str">
        <f t="shared" si="15"/>
        <v>/Game/DungeonSiege/Items/Armor/Body/DA_bd_ro_m_g_c_021</v>
      </c>
      <c r="V236" s="73" t="str">
        <f t="shared" si="13"/>
        <v>Texture2D'/Game/DungeonSiege/art/bitmaps/gui/in_game/inventory/armor/body_armor/b_gui_ig_i_a_pos_a7_035.b_gui_ig_i_a_pos_a7_035'</v>
      </c>
      <c r="W236" s="73" t="s">
        <v>3063</v>
      </c>
    </row>
    <row r="237" spans="1:23" ht="15.75" thickBot="1" x14ac:dyDescent="0.3">
      <c r="A237" s="69">
        <v>235</v>
      </c>
      <c r="B237" s="69">
        <v>55</v>
      </c>
      <c r="C237" s="69">
        <f>HEX2DEC(B237+Items!$A$3)</f>
        <v>16842837</v>
      </c>
      <c r="D237" s="65" t="s">
        <v>2490</v>
      </c>
      <c r="E237" s="71">
        <v>28</v>
      </c>
      <c r="F237" s="72" t="s">
        <v>2470</v>
      </c>
      <c r="G237" s="69">
        <v>26</v>
      </c>
      <c r="H237" s="69">
        <v>0</v>
      </c>
      <c r="I237" s="69">
        <v>1</v>
      </c>
      <c r="J237" s="69">
        <v>0</v>
      </c>
      <c r="K237" s="69">
        <v>0</v>
      </c>
      <c r="L237" s="66" t="s">
        <v>2753</v>
      </c>
      <c r="M237" s="65" t="str">
        <f t="shared" si="16"/>
        <v>b_gui_ig_i_a_pos_a7_042</v>
      </c>
      <c r="N237" s="70" t="s">
        <v>2813</v>
      </c>
      <c r="O237" s="69" t="s">
        <v>2827</v>
      </c>
      <c r="P237" s="69">
        <v>2</v>
      </c>
      <c r="Q237" s="69">
        <v>2</v>
      </c>
      <c r="R237" s="69">
        <v>8</v>
      </c>
      <c r="S237" s="69">
        <v>32</v>
      </c>
      <c r="T237" s="73" t="str">
        <f t="shared" si="14"/>
        <v>DA_bd_ro_m_g_c_022</v>
      </c>
      <c r="U237" s="73" t="str">
        <f t="shared" si="15"/>
        <v>/Game/DungeonSiege/Items/Armor/Body/DA_bd_ro_m_g_c_022</v>
      </c>
      <c r="V237" s="73" t="str">
        <f t="shared" si="13"/>
        <v>Texture2D'/Game/DungeonSiege/art/bitmaps/gui/in_game/inventory/armor/body_armor/b_gui_ig_i_a_pos_a7_042.b_gui_ig_i_a_pos_a7_042'</v>
      </c>
      <c r="W237" s="73" t="s">
        <v>3063</v>
      </c>
    </row>
    <row r="238" spans="1:23" ht="15.75" thickBot="1" x14ac:dyDescent="0.3">
      <c r="A238" s="69">
        <v>236</v>
      </c>
      <c r="B238" s="69">
        <v>56</v>
      </c>
      <c r="C238" s="69">
        <f>HEX2DEC(B238+Items!$A$3)</f>
        <v>16842838</v>
      </c>
      <c r="D238" s="65" t="s">
        <v>2490</v>
      </c>
      <c r="E238" s="71">
        <v>30</v>
      </c>
      <c r="F238" s="72" t="s">
        <v>2470</v>
      </c>
      <c r="G238" s="69">
        <v>26</v>
      </c>
      <c r="H238" s="69">
        <v>0</v>
      </c>
      <c r="I238" s="69">
        <v>1</v>
      </c>
      <c r="J238" s="69">
        <v>0</v>
      </c>
      <c r="K238" s="69">
        <v>0</v>
      </c>
      <c r="L238" s="66" t="s">
        <v>2754</v>
      </c>
      <c r="M238" s="65" t="str">
        <f t="shared" si="16"/>
        <v>b_gui_ig_i_a_pos_a7_015</v>
      </c>
      <c r="N238" s="70" t="s">
        <v>2506</v>
      </c>
      <c r="O238" s="69" t="s">
        <v>2827</v>
      </c>
      <c r="P238" s="69">
        <v>2</v>
      </c>
      <c r="Q238" s="69">
        <v>2</v>
      </c>
      <c r="R238" s="69">
        <v>11</v>
      </c>
      <c r="S238" s="69">
        <v>35</v>
      </c>
      <c r="T238" s="73" t="str">
        <f t="shared" si="14"/>
        <v>DA_bd_ro_m_g_c_023</v>
      </c>
      <c r="U238" s="73" t="str">
        <f t="shared" si="15"/>
        <v>/Game/DungeonSiege/Items/Armor/Body/DA_bd_ro_m_g_c_023</v>
      </c>
      <c r="V238" s="73" t="str">
        <f t="shared" si="13"/>
        <v>Texture2D'/Game/DungeonSiege/art/bitmaps/gui/in_game/inventory/armor/body_armor/b_gui_ig_i_a_pos_a7_015.b_gui_ig_i_a_pos_a7_015'</v>
      </c>
      <c r="W238" s="73" t="s">
        <v>3063</v>
      </c>
    </row>
    <row r="239" spans="1:23" ht="15.75" thickBot="1" x14ac:dyDescent="0.3">
      <c r="A239" s="69">
        <v>237</v>
      </c>
      <c r="B239" s="69">
        <v>57</v>
      </c>
      <c r="C239" s="69">
        <f>HEX2DEC(B239+Items!$A$3)</f>
        <v>16842839</v>
      </c>
      <c r="D239" s="65" t="s">
        <v>2490</v>
      </c>
      <c r="E239" s="71">
        <v>31</v>
      </c>
      <c r="F239" s="72" t="s">
        <v>2470</v>
      </c>
      <c r="G239" s="69">
        <v>27</v>
      </c>
      <c r="H239" s="69">
        <v>0</v>
      </c>
      <c r="I239" s="69">
        <v>1</v>
      </c>
      <c r="J239" s="69">
        <v>0</v>
      </c>
      <c r="K239" s="69">
        <v>0</v>
      </c>
      <c r="L239" s="66" t="s">
        <v>2755</v>
      </c>
      <c r="M239" s="65" t="str">
        <f t="shared" si="16"/>
        <v>b_gui_ig_i_a_pos_a7_036</v>
      </c>
      <c r="N239" s="70" t="s">
        <v>2802</v>
      </c>
      <c r="O239" s="69" t="s">
        <v>2827</v>
      </c>
      <c r="P239" s="69">
        <v>2</v>
      </c>
      <c r="Q239" s="69">
        <v>2</v>
      </c>
      <c r="R239" s="69">
        <v>14</v>
      </c>
      <c r="S239" s="69">
        <v>37</v>
      </c>
      <c r="T239" s="73" t="str">
        <f t="shared" si="14"/>
        <v>DA_bd_ro_m_g_c_024</v>
      </c>
      <c r="U239" s="73" t="str">
        <f t="shared" si="15"/>
        <v>/Game/DungeonSiege/Items/Armor/Body/DA_bd_ro_m_g_c_024</v>
      </c>
      <c r="V239" s="73" t="str">
        <f t="shared" si="13"/>
        <v>Texture2D'/Game/DungeonSiege/art/bitmaps/gui/in_game/inventory/armor/body_armor/b_gui_ig_i_a_pos_a7_036.b_gui_ig_i_a_pos_a7_036'</v>
      </c>
      <c r="W239" s="73" t="s">
        <v>3063</v>
      </c>
    </row>
    <row r="240" spans="1:23" ht="15.75" thickBot="1" x14ac:dyDescent="0.3">
      <c r="A240" s="69">
        <v>238</v>
      </c>
      <c r="B240" s="69">
        <v>58</v>
      </c>
      <c r="C240" s="69">
        <f>HEX2DEC(B240+Items!$A$3)</f>
        <v>16842840</v>
      </c>
      <c r="D240" s="65" t="s">
        <v>2490</v>
      </c>
      <c r="E240" s="71">
        <v>34</v>
      </c>
      <c r="F240" s="72" t="s">
        <v>2470</v>
      </c>
      <c r="G240" s="69">
        <v>28</v>
      </c>
      <c r="H240" s="69">
        <v>0</v>
      </c>
      <c r="I240" s="69">
        <v>1</v>
      </c>
      <c r="J240" s="69">
        <v>0</v>
      </c>
      <c r="K240" s="69">
        <v>0</v>
      </c>
      <c r="L240" s="66" t="s">
        <v>2756</v>
      </c>
      <c r="M240" s="65" t="str">
        <f t="shared" si="16"/>
        <v>b_gui_ig_i_a_pos_a7_013</v>
      </c>
      <c r="N240" s="70" t="s">
        <v>2515</v>
      </c>
      <c r="O240" s="69" t="s">
        <v>2827</v>
      </c>
      <c r="P240" s="69">
        <v>2</v>
      </c>
      <c r="Q240" s="69">
        <v>2</v>
      </c>
      <c r="R240" s="69">
        <v>18</v>
      </c>
      <c r="S240" s="69">
        <v>42</v>
      </c>
      <c r="T240" s="73" t="str">
        <f t="shared" si="14"/>
        <v>DA_bd_ro_m_g_c_026</v>
      </c>
      <c r="U240" s="73" t="str">
        <f t="shared" si="15"/>
        <v>/Game/DungeonSiege/Items/Armor/Body/DA_bd_ro_m_g_c_026</v>
      </c>
      <c r="V240" s="73" t="str">
        <f t="shared" si="13"/>
        <v>Texture2D'/Game/DungeonSiege/art/bitmaps/gui/in_game/inventory/armor/body_armor/b_gui_ig_i_a_pos_a7_013.b_gui_ig_i_a_pos_a7_013'</v>
      </c>
      <c r="W240" s="73" t="s">
        <v>3063</v>
      </c>
    </row>
    <row r="241" spans="1:23" ht="15.75" thickBot="1" x14ac:dyDescent="0.3">
      <c r="A241" s="69">
        <v>239</v>
      </c>
      <c r="B241" s="69">
        <v>59</v>
      </c>
      <c r="C241" s="69">
        <f>HEX2DEC(B241+Items!$A$3)</f>
        <v>16842841</v>
      </c>
      <c r="D241" s="65" t="s">
        <v>2490</v>
      </c>
      <c r="E241" s="71">
        <v>38</v>
      </c>
      <c r="F241" s="72" t="s">
        <v>2470</v>
      </c>
      <c r="G241" s="69">
        <v>31</v>
      </c>
      <c r="H241" s="69">
        <v>0</v>
      </c>
      <c r="I241" s="69">
        <v>1</v>
      </c>
      <c r="J241" s="69">
        <v>0</v>
      </c>
      <c r="K241" s="69">
        <v>0</v>
      </c>
      <c r="L241" s="66" t="s">
        <v>2757</v>
      </c>
      <c r="M241" s="65" t="str">
        <f t="shared" si="16"/>
        <v>b_gui_ig_i_a_pos_a7_037</v>
      </c>
      <c r="N241" s="70" t="s">
        <v>2803</v>
      </c>
      <c r="O241" s="69" t="s">
        <v>2827</v>
      </c>
      <c r="P241" s="69">
        <v>2</v>
      </c>
      <c r="Q241" s="69">
        <v>2</v>
      </c>
      <c r="R241" s="69">
        <v>23</v>
      </c>
      <c r="S241" s="69">
        <v>49</v>
      </c>
      <c r="T241" s="73" t="str">
        <f t="shared" si="14"/>
        <v>DA_bd_ro_m_g_c_029</v>
      </c>
      <c r="U241" s="73" t="str">
        <f t="shared" si="15"/>
        <v>/Game/DungeonSiege/Items/Armor/Body/DA_bd_ro_m_g_c_029</v>
      </c>
      <c r="V241" s="73" t="str">
        <f t="shared" si="13"/>
        <v>Texture2D'/Game/DungeonSiege/art/bitmaps/gui/in_game/inventory/armor/body_armor/b_gui_ig_i_a_pos_a7_037.b_gui_ig_i_a_pos_a7_037'</v>
      </c>
      <c r="W241" s="73" t="s">
        <v>3063</v>
      </c>
    </row>
    <row r="242" spans="1:23" ht="15.75" thickBot="1" x14ac:dyDescent="0.3">
      <c r="A242" s="69">
        <v>240</v>
      </c>
      <c r="B242" s="69">
        <v>60</v>
      </c>
      <c r="C242" s="69">
        <f>HEX2DEC(B242+Items!$A$3)</f>
        <v>16842848</v>
      </c>
      <c r="D242" s="65" t="s">
        <v>2484</v>
      </c>
      <c r="E242" s="71">
        <v>40</v>
      </c>
      <c r="F242" s="72" t="s">
        <v>2470</v>
      </c>
      <c r="G242" s="69">
        <v>32</v>
      </c>
      <c r="H242" s="69">
        <v>1</v>
      </c>
      <c r="I242" s="69">
        <v>1</v>
      </c>
      <c r="J242" s="69">
        <v>0</v>
      </c>
      <c r="K242" s="69">
        <v>0</v>
      </c>
      <c r="L242" s="66" t="s">
        <v>2758</v>
      </c>
      <c r="M242" s="65" t="str">
        <f t="shared" si="16"/>
        <v>b_gui_ig_i_a_pos_a7_021</v>
      </c>
      <c r="N242" s="70" t="s">
        <v>2796</v>
      </c>
      <c r="O242" s="69" t="s">
        <v>2827</v>
      </c>
      <c r="P242" s="69">
        <v>2</v>
      </c>
      <c r="Q242" s="69">
        <v>2</v>
      </c>
      <c r="R242" s="69">
        <v>0</v>
      </c>
      <c r="S242" s="69">
        <v>44</v>
      </c>
      <c r="T242" s="73" t="str">
        <f t="shared" si="14"/>
        <v>DA_bd_ro_m_g_c_031</v>
      </c>
      <c r="U242" s="73" t="str">
        <f t="shared" si="15"/>
        <v>/Game/DungeonSiege/Items/Armor/Body/DA_bd_ro_m_g_c_031</v>
      </c>
      <c r="V242" s="73" t="str">
        <f t="shared" si="13"/>
        <v>Texture2D'/Game/DungeonSiege/art/bitmaps/gui/in_game/inventory/armor/body_armor/b_gui_ig_i_a_pos_a7_021.b_gui_ig_i_a_pos_a7_021'</v>
      </c>
      <c r="W242" s="73" t="s">
        <v>3063</v>
      </c>
    </row>
    <row r="243" spans="1:23" ht="15.75" thickBot="1" x14ac:dyDescent="0.3">
      <c r="A243" s="69">
        <v>241</v>
      </c>
      <c r="B243" s="69">
        <v>61</v>
      </c>
      <c r="C243" s="69">
        <f>HEX2DEC(B243+Items!$A$3)</f>
        <v>16842849</v>
      </c>
      <c r="D243" s="65" t="s">
        <v>2484</v>
      </c>
      <c r="E243" s="71">
        <v>44</v>
      </c>
      <c r="F243" s="72" t="s">
        <v>2470</v>
      </c>
      <c r="G243" s="69">
        <v>34</v>
      </c>
      <c r="H243" s="69">
        <v>0</v>
      </c>
      <c r="I243" s="69">
        <v>1</v>
      </c>
      <c r="J243" s="69">
        <v>0</v>
      </c>
      <c r="K243" s="69">
        <v>0</v>
      </c>
      <c r="L243" s="66" t="s">
        <v>2759</v>
      </c>
      <c r="M243" s="65" t="str">
        <f t="shared" si="16"/>
        <v>b_gui_ig_i_a_pos_a7_038</v>
      </c>
      <c r="N243" s="70" t="s">
        <v>2805</v>
      </c>
      <c r="O243" s="69" t="s">
        <v>2827</v>
      </c>
      <c r="P243" s="69">
        <v>2</v>
      </c>
      <c r="Q243" s="69">
        <v>2</v>
      </c>
      <c r="R243" s="69">
        <v>5</v>
      </c>
      <c r="S243" s="69">
        <v>48</v>
      </c>
      <c r="T243" s="73" t="str">
        <f t="shared" si="14"/>
        <v>DA_bd_ro_m_g_c_034</v>
      </c>
      <c r="U243" s="73" t="str">
        <f t="shared" si="15"/>
        <v>/Game/DungeonSiege/Items/Armor/Body/DA_bd_ro_m_g_c_034</v>
      </c>
      <c r="V243" s="73" t="str">
        <f t="shared" si="13"/>
        <v>Texture2D'/Game/DungeonSiege/art/bitmaps/gui/in_game/inventory/armor/body_armor/b_gui_ig_i_a_pos_a7_038.b_gui_ig_i_a_pos_a7_038'</v>
      </c>
      <c r="W243" s="73" t="s">
        <v>3063</v>
      </c>
    </row>
    <row r="244" spans="1:23" ht="15.75" thickBot="1" x14ac:dyDescent="0.3">
      <c r="A244" s="69">
        <v>242</v>
      </c>
      <c r="B244" s="69">
        <v>62</v>
      </c>
      <c r="C244" s="69">
        <f>HEX2DEC(B244+Items!$A$3)</f>
        <v>16842850</v>
      </c>
      <c r="D244" s="65" t="s">
        <v>2484</v>
      </c>
      <c r="E244" s="71">
        <v>48</v>
      </c>
      <c r="F244" s="72" t="s">
        <v>2470</v>
      </c>
      <c r="G244" s="69">
        <v>37</v>
      </c>
      <c r="H244" s="69">
        <v>0</v>
      </c>
      <c r="I244" s="69">
        <v>1</v>
      </c>
      <c r="J244" s="69">
        <v>0</v>
      </c>
      <c r="K244" s="69">
        <v>0</v>
      </c>
      <c r="L244" s="66" t="s">
        <v>2760</v>
      </c>
      <c r="M244" s="65" t="str">
        <f t="shared" si="16"/>
        <v>b_gui_ig_i_a_pos_a7_025</v>
      </c>
      <c r="N244" s="70" t="s">
        <v>2788</v>
      </c>
      <c r="O244" s="69" t="s">
        <v>2827</v>
      </c>
      <c r="P244" s="69">
        <v>2</v>
      </c>
      <c r="Q244" s="69">
        <v>2</v>
      </c>
      <c r="R244" s="69">
        <v>10</v>
      </c>
      <c r="S244" s="69">
        <v>55</v>
      </c>
      <c r="T244" s="73" t="str">
        <f t="shared" si="14"/>
        <v>DA_bd_ro_m_g_c_037</v>
      </c>
      <c r="U244" s="73" t="str">
        <f t="shared" si="15"/>
        <v>/Game/DungeonSiege/Items/Armor/Body/DA_bd_ro_m_g_c_037</v>
      </c>
      <c r="V244" s="73" t="str">
        <f t="shared" si="13"/>
        <v>Texture2D'/Game/DungeonSiege/art/bitmaps/gui/in_game/inventory/armor/body_armor/b_gui_ig_i_a_pos_a7_025.b_gui_ig_i_a_pos_a7_025'</v>
      </c>
      <c r="W244" s="73" t="s">
        <v>3063</v>
      </c>
    </row>
    <row r="245" spans="1:23" ht="15.75" thickBot="1" x14ac:dyDescent="0.3">
      <c r="A245" s="69">
        <v>243</v>
      </c>
      <c r="B245" s="69">
        <v>63</v>
      </c>
      <c r="C245" s="69">
        <f>HEX2DEC(B245+Items!$A$3)</f>
        <v>16842851</v>
      </c>
      <c r="D245" s="65" t="s">
        <v>2484</v>
      </c>
      <c r="E245" s="71">
        <v>51</v>
      </c>
      <c r="F245" s="72" t="s">
        <v>2470</v>
      </c>
      <c r="G245" s="69">
        <v>38</v>
      </c>
      <c r="H245" s="69">
        <v>0</v>
      </c>
      <c r="I245" s="69">
        <v>1</v>
      </c>
      <c r="J245" s="69">
        <v>0</v>
      </c>
      <c r="K245" s="69">
        <v>0</v>
      </c>
      <c r="L245" s="66" t="s">
        <v>2761</v>
      </c>
      <c r="M245" s="65" t="str">
        <f t="shared" si="16"/>
        <v>b_gui_ig_i_a_pos_a7_039</v>
      </c>
      <c r="N245" s="70" t="s">
        <v>2823</v>
      </c>
      <c r="O245" s="69" t="s">
        <v>2827</v>
      </c>
      <c r="P245" s="69">
        <v>2</v>
      </c>
      <c r="Q245" s="69">
        <v>2</v>
      </c>
      <c r="R245" s="69">
        <v>15</v>
      </c>
      <c r="S245" s="69">
        <v>58</v>
      </c>
      <c r="T245" s="73" t="str">
        <f t="shared" si="14"/>
        <v>DA_bd_ro_m_g_c_039</v>
      </c>
      <c r="U245" s="73" t="str">
        <f t="shared" si="15"/>
        <v>/Game/DungeonSiege/Items/Armor/Body/DA_bd_ro_m_g_c_039</v>
      </c>
      <c r="V245" s="73" t="str">
        <f t="shared" si="13"/>
        <v>Texture2D'/Game/DungeonSiege/art/bitmaps/gui/in_game/inventory/armor/body_armor/b_gui_ig_i_a_pos_a7_039.b_gui_ig_i_a_pos_a7_039'</v>
      </c>
      <c r="W245" s="73" t="s">
        <v>3063</v>
      </c>
    </row>
    <row r="246" spans="1:23" ht="15.75" thickBot="1" x14ac:dyDescent="0.3">
      <c r="A246" s="69">
        <v>244</v>
      </c>
      <c r="B246" s="69">
        <v>64</v>
      </c>
      <c r="C246" s="69">
        <f>HEX2DEC(B246+Items!$A$3)</f>
        <v>16842852</v>
      </c>
      <c r="D246" s="65" t="s">
        <v>2484</v>
      </c>
      <c r="E246" s="71">
        <v>55</v>
      </c>
      <c r="F246" s="72" t="s">
        <v>2470</v>
      </c>
      <c r="G246" s="69">
        <v>40</v>
      </c>
      <c r="H246" s="69">
        <v>0</v>
      </c>
      <c r="I246" s="69">
        <v>1</v>
      </c>
      <c r="J246" s="69">
        <v>0</v>
      </c>
      <c r="K246" s="69">
        <v>0</v>
      </c>
      <c r="L246" s="66" t="s">
        <v>2762</v>
      </c>
      <c r="M246" s="65" t="str">
        <f t="shared" si="16"/>
        <v>b_gui_ig_i_a_pos_a7_040</v>
      </c>
      <c r="N246" s="70" t="s">
        <v>2821</v>
      </c>
      <c r="O246" s="69" t="s">
        <v>2827</v>
      </c>
      <c r="P246" s="69">
        <v>2</v>
      </c>
      <c r="Q246" s="69">
        <v>2</v>
      </c>
      <c r="R246" s="69">
        <v>25</v>
      </c>
      <c r="S246" s="69">
        <v>65</v>
      </c>
      <c r="T246" s="73" t="str">
        <f t="shared" si="14"/>
        <v>DA_bd_ro_m_g_c_042</v>
      </c>
      <c r="U246" s="73" t="str">
        <f t="shared" si="15"/>
        <v>/Game/DungeonSiege/Items/Armor/Body/DA_bd_ro_m_g_c_042</v>
      </c>
      <c r="V246" s="73" t="str">
        <f t="shared" si="13"/>
        <v>Texture2D'/Game/DungeonSiege/art/bitmaps/gui/in_game/inventory/armor/body_armor/b_gui_ig_i_a_pos_a7_040.b_gui_ig_i_a_pos_a7_040'</v>
      </c>
      <c r="W246" s="73" t="s">
        <v>3063</v>
      </c>
    </row>
    <row r="247" spans="1:23" ht="15.75" thickBot="1" x14ac:dyDescent="0.3">
      <c r="A247" s="69">
        <v>245</v>
      </c>
      <c r="B247" s="69">
        <v>65</v>
      </c>
      <c r="C247" s="69">
        <f>HEX2DEC(B247+Items!$A$3)</f>
        <v>16842853</v>
      </c>
      <c r="D247" s="65" t="s">
        <v>2484</v>
      </c>
      <c r="E247" s="71">
        <v>57</v>
      </c>
      <c r="F247" s="69"/>
      <c r="G247" s="69"/>
      <c r="H247" s="69">
        <v>0</v>
      </c>
      <c r="I247" s="69">
        <v>1</v>
      </c>
      <c r="J247" s="69">
        <v>0</v>
      </c>
      <c r="K247" s="69">
        <v>0</v>
      </c>
      <c r="L247" s="66" t="s">
        <v>2763</v>
      </c>
      <c r="M247" s="65" t="str">
        <f t="shared" si="16"/>
        <v>b_gui_ig_i_a_pos_a7_044</v>
      </c>
      <c r="N247" s="70" t="s">
        <v>2818</v>
      </c>
      <c r="O247" s="69" t="s">
        <v>2827</v>
      </c>
      <c r="P247" s="69">
        <v>2</v>
      </c>
      <c r="Q247" s="69">
        <v>2</v>
      </c>
      <c r="R247" s="69">
        <v>1</v>
      </c>
      <c r="S247" s="69">
        <v>15</v>
      </c>
      <c r="T247" s="73" t="str">
        <f t="shared" si="14"/>
        <v>DA_bd_ro_m_g_c_044</v>
      </c>
      <c r="U247" s="73" t="str">
        <f t="shared" si="15"/>
        <v>/Game/DungeonSiege/Items/Armor/Body/DA_bd_ro_m_g_c_044</v>
      </c>
      <c r="V247" s="73" t="str">
        <f t="shared" si="13"/>
        <v>Texture2D'/Game/DungeonSiege/art/bitmaps/gui/in_game/inventory/armor/body_armor/b_gui_ig_i_a_pos_a7_044.b_gui_ig_i_a_pos_a7_044'</v>
      </c>
      <c r="W247" s="73" t="s">
        <v>3063</v>
      </c>
    </row>
    <row r="248" spans="1:23" ht="15.75" thickBot="1" x14ac:dyDescent="0.3">
      <c r="A248" s="69">
        <v>246</v>
      </c>
      <c r="B248" s="69">
        <v>66</v>
      </c>
      <c r="C248" s="69">
        <f>HEX2DEC(B248+Items!$A$3)</f>
        <v>16842854</v>
      </c>
      <c r="D248" s="65" t="s">
        <v>2485</v>
      </c>
      <c r="E248" s="71">
        <v>58</v>
      </c>
      <c r="F248" s="72" t="s">
        <v>2470</v>
      </c>
      <c r="G248" s="69">
        <v>42</v>
      </c>
      <c r="H248" s="69">
        <v>1</v>
      </c>
      <c r="I248" s="69">
        <v>1</v>
      </c>
      <c r="J248" s="69">
        <v>0</v>
      </c>
      <c r="K248" s="69">
        <v>0</v>
      </c>
      <c r="L248" s="66" t="s">
        <v>2764</v>
      </c>
      <c r="M248" s="65" t="str">
        <f t="shared" si="16"/>
        <v>b_gui_ig_i_a_pos_a7_041</v>
      </c>
      <c r="N248" s="70" t="s">
        <v>2822</v>
      </c>
      <c r="O248" s="69" t="s">
        <v>2827</v>
      </c>
      <c r="P248" s="69">
        <v>2</v>
      </c>
      <c r="Q248" s="69">
        <v>2</v>
      </c>
      <c r="R248" s="69">
        <v>0</v>
      </c>
      <c r="S248" s="69">
        <v>64</v>
      </c>
      <c r="T248" s="73" t="str">
        <f t="shared" si="14"/>
        <v>DA_bd_ro_m_g_c_045</v>
      </c>
      <c r="U248" s="73" t="str">
        <f t="shared" si="15"/>
        <v>/Game/DungeonSiege/Items/Armor/Body/DA_bd_ro_m_g_c_045</v>
      </c>
      <c r="V248" s="73" t="str">
        <f t="shared" si="13"/>
        <v>Texture2D'/Game/DungeonSiege/art/bitmaps/gui/in_game/inventory/armor/body_armor/b_gui_ig_i_a_pos_a7_041.b_gui_ig_i_a_pos_a7_041'</v>
      </c>
      <c r="W248" s="73" t="s">
        <v>3063</v>
      </c>
    </row>
    <row r="249" spans="1:23" ht="15.75" thickBot="1" x14ac:dyDescent="0.3">
      <c r="A249" s="69">
        <v>247</v>
      </c>
      <c r="B249" s="69">
        <v>67</v>
      </c>
      <c r="C249" s="69">
        <f>HEX2DEC(B249+Items!$A$3)</f>
        <v>16842855</v>
      </c>
      <c r="D249" s="65" t="s">
        <v>2485</v>
      </c>
      <c r="E249" s="71">
        <v>60</v>
      </c>
      <c r="F249" s="72" t="s">
        <v>2470</v>
      </c>
      <c r="G249" s="69">
        <v>43</v>
      </c>
      <c r="H249" s="69">
        <v>0</v>
      </c>
      <c r="I249" s="69">
        <v>1</v>
      </c>
      <c r="J249" s="69">
        <v>0</v>
      </c>
      <c r="K249" s="69">
        <v>0</v>
      </c>
      <c r="L249" s="66" t="s">
        <v>2765</v>
      </c>
      <c r="M249" s="65" t="str">
        <f t="shared" si="16"/>
        <v>b_gui_ig_i_a_pos_a7_002</v>
      </c>
      <c r="N249" s="70" t="s">
        <v>2504</v>
      </c>
      <c r="O249" s="69" t="s">
        <v>2827</v>
      </c>
      <c r="P249" s="69">
        <v>2</v>
      </c>
      <c r="Q249" s="69">
        <v>2</v>
      </c>
      <c r="R249" s="69">
        <v>7</v>
      </c>
      <c r="S249" s="69">
        <v>66</v>
      </c>
      <c r="T249" s="73" t="str">
        <f t="shared" si="14"/>
        <v>DA_bd_ro_m_g_c_046</v>
      </c>
      <c r="U249" s="73" t="str">
        <f t="shared" si="15"/>
        <v>/Game/DungeonSiege/Items/Armor/Body/DA_bd_ro_m_g_c_046</v>
      </c>
      <c r="V249" s="73" t="str">
        <f t="shared" si="13"/>
        <v>Texture2D'/Game/DungeonSiege/art/bitmaps/gui/in_game/inventory/armor/body_armor/b_gui_ig_i_a_pos_a7_002.b_gui_ig_i_a_pos_a7_002'</v>
      </c>
      <c r="W249" s="73" t="s">
        <v>3063</v>
      </c>
    </row>
    <row r="250" spans="1:23" ht="15.75" thickBot="1" x14ac:dyDescent="0.3">
      <c r="A250" s="69">
        <v>248</v>
      </c>
      <c r="B250" s="69">
        <v>68</v>
      </c>
      <c r="C250" s="69">
        <f>HEX2DEC(B250+Items!$A$3)</f>
        <v>16842856</v>
      </c>
      <c r="D250" s="65" t="s">
        <v>2485</v>
      </c>
      <c r="E250" s="71">
        <v>62</v>
      </c>
      <c r="F250" s="72" t="s">
        <v>2470</v>
      </c>
      <c r="G250" s="69">
        <v>45</v>
      </c>
      <c r="H250" s="69">
        <v>0</v>
      </c>
      <c r="I250" s="69">
        <v>1</v>
      </c>
      <c r="J250" s="69">
        <v>0</v>
      </c>
      <c r="K250" s="69">
        <v>0</v>
      </c>
      <c r="L250" s="66" t="s">
        <v>2766</v>
      </c>
      <c r="M250" s="65" t="str">
        <f t="shared" si="16"/>
        <v>b_gui_ig_i_a_pos_a7_022</v>
      </c>
      <c r="N250" s="70" t="s">
        <v>2783</v>
      </c>
      <c r="O250" s="69" t="s">
        <v>2827</v>
      </c>
      <c r="P250" s="69">
        <v>2</v>
      </c>
      <c r="Q250" s="69">
        <v>2</v>
      </c>
      <c r="R250" s="69">
        <v>18</v>
      </c>
      <c r="S250" s="69">
        <v>71</v>
      </c>
      <c r="T250" s="73" t="str">
        <f t="shared" si="14"/>
        <v>DA_bd_ro_m_g_c_053</v>
      </c>
      <c r="U250" s="73" t="str">
        <f t="shared" si="15"/>
        <v>/Game/DungeonSiege/Items/Armor/Body/DA_bd_ro_m_g_c_053</v>
      </c>
      <c r="V250" s="73" t="str">
        <f t="shared" si="13"/>
        <v>Texture2D'/Game/DungeonSiege/art/bitmaps/gui/in_game/inventory/armor/body_armor/b_gui_ig_i_a_pos_a7_022.b_gui_ig_i_a_pos_a7_022'</v>
      </c>
      <c r="W250" s="73" t="s">
        <v>3063</v>
      </c>
    </row>
    <row r="251" spans="1:23" ht="15.75" thickBot="1" x14ac:dyDescent="0.3">
      <c r="A251" s="69">
        <v>249</v>
      </c>
      <c r="B251" s="69">
        <v>69</v>
      </c>
      <c r="C251" s="69">
        <f>HEX2DEC(B251+Items!$A$3)</f>
        <v>16842857</v>
      </c>
      <c r="D251" s="65" t="s">
        <v>2485</v>
      </c>
      <c r="E251" s="71">
        <v>66</v>
      </c>
      <c r="F251" s="72" t="s">
        <v>2470</v>
      </c>
      <c r="G251" s="69">
        <v>47</v>
      </c>
      <c r="H251" s="69">
        <v>0</v>
      </c>
      <c r="I251" s="69">
        <v>1</v>
      </c>
      <c r="J251" s="69">
        <v>0</v>
      </c>
      <c r="K251" s="69">
        <v>0</v>
      </c>
      <c r="L251" s="66" t="s">
        <v>2767</v>
      </c>
      <c r="M251" s="65" t="str">
        <f t="shared" si="16"/>
        <v>b_gui_ig_i_a_pos_a7_024</v>
      </c>
      <c r="N251" s="70" t="s">
        <v>2787</v>
      </c>
      <c r="O251" s="69" t="s">
        <v>2827</v>
      </c>
      <c r="P251" s="69">
        <v>2</v>
      </c>
      <c r="Q251" s="69">
        <v>2</v>
      </c>
      <c r="R251" s="69">
        <v>25</v>
      </c>
      <c r="S251" s="69">
        <v>79</v>
      </c>
      <c r="T251" s="73" t="str">
        <f t="shared" si="14"/>
        <v>DA_bd_ro_m_g_c_059</v>
      </c>
      <c r="U251" s="73" t="str">
        <f t="shared" si="15"/>
        <v>/Game/DungeonSiege/Items/Armor/Body/DA_bd_ro_m_g_c_059</v>
      </c>
      <c r="V251" s="73" t="str">
        <f t="shared" si="13"/>
        <v>Texture2D'/Game/DungeonSiege/art/bitmaps/gui/in_game/inventory/armor/body_armor/b_gui_ig_i_a_pos_a7_024.b_gui_ig_i_a_pos_a7_024'</v>
      </c>
      <c r="W251" s="73" t="s">
        <v>3063</v>
      </c>
    </row>
    <row r="252" spans="1:23" ht="15.75" thickBot="1" x14ac:dyDescent="0.3">
      <c r="A252" s="69">
        <v>250</v>
      </c>
      <c r="B252" s="69">
        <v>70</v>
      </c>
      <c r="C252" s="69">
        <f>HEX2DEC(B252+Items!$A$3)</f>
        <v>16842864</v>
      </c>
      <c r="D252" s="65" t="s">
        <v>2485</v>
      </c>
      <c r="E252" s="71">
        <v>69</v>
      </c>
      <c r="F252" s="72" t="s">
        <v>2470</v>
      </c>
      <c r="G252" s="69">
        <v>48</v>
      </c>
      <c r="H252" s="69">
        <v>0</v>
      </c>
      <c r="I252" s="69">
        <v>1</v>
      </c>
      <c r="J252" s="69">
        <v>0</v>
      </c>
      <c r="K252" s="69">
        <v>0</v>
      </c>
      <c r="L252" s="66" t="s">
        <v>2768</v>
      </c>
      <c r="M252" s="65" t="str">
        <f t="shared" si="16"/>
        <v>b_gui_ig_i_a_pos_a7_045</v>
      </c>
      <c r="N252" s="70" t="s">
        <v>2817</v>
      </c>
      <c r="O252" s="69" t="s">
        <v>2827</v>
      </c>
      <c r="P252" s="69">
        <v>2</v>
      </c>
      <c r="Q252" s="69">
        <v>2</v>
      </c>
      <c r="R252" s="69">
        <v>31</v>
      </c>
      <c r="S252" s="69">
        <v>82</v>
      </c>
      <c r="T252" s="73" t="str">
        <f t="shared" si="14"/>
        <v>DA_bd_ro_m_g_c_063</v>
      </c>
      <c r="U252" s="73" t="str">
        <f t="shared" si="15"/>
        <v>/Game/DungeonSiege/Items/Armor/Body/DA_bd_ro_m_g_c_063</v>
      </c>
      <c r="V252" s="73" t="str">
        <f t="shared" si="13"/>
        <v>Texture2D'/Game/DungeonSiege/art/bitmaps/gui/in_game/inventory/armor/body_armor/b_gui_ig_i_a_pos_a7_045.b_gui_ig_i_a_pos_a7_045'</v>
      </c>
      <c r="W252" s="73" t="s">
        <v>3063</v>
      </c>
    </row>
    <row r="253" spans="1:23" ht="15.75" thickBot="1" x14ac:dyDescent="0.3">
      <c r="A253" s="69">
        <v>251</v>
      </c>
      <c r="B253" s="69">
        <v>71</v>
      </c>
      <c r="C253" s="69">
        <f>HEX2DEC(B253+Items!$A$3)</f>
        <v>16842865</v>
      </c>
      <c r="D253" s="65" t="s">
        <v>2485</v>
      </c>
      <c r="E253" s="71">
        <v>70</v>
      </c>
      <c r="F253" s="72" t="s">
        <v>2470</v>
      </c>
      <c r="G253" s="69">
        <v>49</v>
      </c>
      <c r="H253" s="69">
        <v>0</v>
      </c>
      <c r="I253" s="69">
        <v>1</v>
      </c>
      <c r="J253" s="69">
        <v>0</v>
      </c>
      <c r="K253" s="69">
        <v>0</v>
      </c>
      <c r="L253" s="66" t="s">
        <v>2769</v>
      </c>
      <c r="M253" s="65" t="str">
        <f t="shared" si="16"/>
        <v>b_gui_ig_i_a_pos_a7_028</v>
      </c>
      <c r="N253" s="70" t="s">
        <v>2790</v>
      </c>
      <c r="O253" s="69" t="s">
        <v>2827</v>
      </c>
      <c r="P253" s="69">
        <v>2</v>
      </c>
      <c r="Q253" s="69">
        <v>2</v>
      </c>
      <c r="R253" s="69">
        <v>32</v>
      </c>
      <c r="S253" s="69">
        <v>84</v>
      </c>
      <c r="T253" s="73" t="str">
        <f t="shared" si="14"/>
        <v>DA_bd_ro_m_g_c_065</v>
      </c>
      <c r="U253" s="73" t="str">
        <f t="shared" si="15"/>
        <v>/Game/DungeonSiege/Items/Armor/Body/DA_bd_ro_m_g_c_065</v>
      </c>
      <c r="V253" s="73" t="str">
        <f t="shared" si="13"/>
        <v>Texture2D'/Game/DungeonSiege/art/bitmaps/gui/in_game/inventory/armor/body_armor/b_gui_ig_i_a_pos_a7_028.b_gui_ig_i_a_pos_a7_028'</v>
      </c>
      <c r="W253" s="73" t="s">
        <v>3063</v>
      </c>
    </row>
    <row r="254" spans="1:23" ht="15.75" thickBot="1" x14ac:dyDescent="0.3">
      <c r="A254" s="69">
        <v>252</v>
      </c>
      <c r="B254" s="69">
        <v>72</v>
      </c>
      <c r="C254" s="69">
        <f>HEX2DEC(B254+Items!$A$3)</f>
        <v>16842866</v>
      </c>
      <c r="D254" s="65" t="s">
        <v>2485</v>
      </c>
      <c r="E254" s="71">
        <v>72</v>
      </c>
      <c r="F254" s="72" t="s">
        <v>2470</v>
      </c>
      <c r="G254" s="69">
        <v>50</v>
      </c>
      <c r="H254" s="69">
        <v>0</v>
      </c>
      <c r="I254" s="69">
        <v>1</v>
      </c>
      <c r="J254" s="69">
        <v>0</v>
      </c>
      <c r="K254" s="69">
        <v>0</v>
      </c>
      <c r="L254" s="66" t="s">
        <v>2770</v>
      </c>
      <c r="M254" s="65" t="str">
        <f t="shared" si="16"/>
        <v>b_gui_ig_i_a_pos_a7_043</v>
      </c>
      <c r="N254" s="70" t="s">
        <v>2814</v>
      </c>
      <c r="O254" s="69" t="s">
        <v>2827</v>
      </c>
      <c r="P254" s="69">
        <v>2</v>
      </c>
      <c r="Q254" s="69">
        <v>2</v>
      </c>
      <c r="R254" s="69">
        <v>38</v>
      </c>
      <c r="S254" s="69">
        <v>89</v>
      </c>
      <c r="T254" s="73" t="str">
        <f t="shared" si="14"/>
        <v>DA_bd_ro_m_g_c_067</v>
      </c>
      <c r="U254" s="73" t="str">
        <f t="shared" si="15"/>
        <v>/Game/DungeonSiege/Items/Armor/Body/DA_bd_ro_m_g_c_067</v>
      </c>
      <c r="V254" s="73" t="str">
        <f t="shared" si="13"/>
        <v>Texture2D'/Game/DungeonSiege/art/bitmaps/gui/in_game/inventory/armor/body_armor/b_gui_ig_i_a_pos_a7_043.b_gui_ig_i_a_pos_a7_043'</v>
      </c>
      <c r="W254" s="73" t="s">
        <v>3063</v>
      </c>
    </row>
    <row r="255" spans="1:23" ht="15.75" thickBot="1" x14ac:dyDescent="0.3">
      <c r="A255" s="69">
        <v>253</v>
      </c>
      <c r="B255" s="69">
        <v>73</v>
      </c>
      <c r="C255" s="69">
        <f>HEX2DEC(B255+Items!$A$3)</f>
        <v>16842867</v>
      </c>
      <c r="D255" s="65" t="s">
        <v>2485</v>
      </c>
      <c r="E255" s="71">
        <v>74</v>
      </c>
      <c r="F255" s="72" t="s">
        <v>2470</v>
      </c>
      <c r="G255" s="69">
        <v>51</v>
      </c>
      <c r="H255" s="69">
        <v>0</v>
      </c>
      <c r="I255" s="69">
        <v>1</v>
      </c>
      <c r="J255" s="69">
        <v>0</v>
      </c>
      <c r="K255" s="69">
        <v>0</v>
      </c>
      <c r="L255" s="66" t="s">
        <v>2771</v>
      </c>
      <c r="M255" s="65" t="str">
        <f t="shared" si="16"/>
        <v>b_gui_ig_i_a_pos_a7_029</v>
      </c>
      <c r="N255" s="70" t="s">
        <v>2791</v>
      </c>
      <c r="O255" s="69" t="s">
        <v>2827</v>
      </c>
      <c r="P255" s="69">
        <v>2</v>
      </c>
      <c r="Q255" s="69">
        <v>2</v>
      </c>
      <c r="R255" s="69">
        <v>40</v>
      </c>
      <c r="S255" s="69">
        <v>96</v>
      </c>
      <c r="T255" s="73" t="str">
        <f t="shared" si="14"/>
        <v>DA_bd_ro_m_g_c_071</v>
      </c>
      <c r="U255" s="73" t="str">
        <f t="shared" si="15"/>
        <v>/Game/DungeonSiege/Items/Armor/Body/DA_bd_ro_m_g_c_071</v>
      </c>
      <c r="V255" s="73" t="str">
        <f t="shared" si="13"/>
        <v>Texture2D'/Game/DungeonSiege/art/bitmaps/gui/in_game/inventory/armor/body_armor/b_gui_ig_i_a_pos_a7_029.b_gui_ig_i_a_pos_a7_029'</v>
      </c>
      <c r="W255" s="73" t="s">
        <v>3063</v>
      </c>
    </row>
    <row r="256" spans="1:23" ht="15.75" thickBot="1" x14ac:dyDescent="0.3">
      <c r="A256" s="69">
        <v>254</v>
      </c>
      <c r="B256" s="69">
        <v>74</v>
      </c>
      <c r="C256" s="69">
        <f>HEX2DEC(B256+Items!$A$3)</f>
        <v>16842868</v>
      </c>
      <c r="D256" s="65" t="s">
        <v>2491</v>
      </c>
      <c r="E256" s="71">
        <v>82</v>
      </c>
      <c r="F256" s="72" t="s">
        <v>2470</v>
      </c>
      <c r="G256" s="69">
        <v>55</v>
      </c>
      <c r="H256" s="69">
        <v>1</v>
      </c>
      <c r="I256" s="69">
        <v>1</v>
      </c>
      <c r="J256" s="69">
        <v>0</v>
      </c>
      <c r="K256" s="69">
        <v>0</v>
      </c>
      <c r="L256" s="66" t="s">
        <v>2772</v>
      </c>
      <c r="M256" s="65" t="str">
        <f t="shared" si="16"/>
        <v>b_gui_ig_i_a_pos_a7_014</v>
      </c>
      <c r="N256" s="70" t="s">
        <v>2516</v>
      </c>
      <c r="O256" s="69" t="s">
        <v>2827</v>
      </c>
      <c r="P256" s="69">
        <v>2</v>
      </c>
      <c r="Q256" s="69">
        <v>2</v>
      </c>
      <c r="R256" s="69">
        <v>0</v>
      </c>
      <c r="S256" s="69">
        <v>98</v>
      </c>
      <c r="T256" s="73" t="str">
        <f t="shared" si="14"/>
        <v>DA_bd_ro_m_g_c_084</v>
      </c>
      <c r="U256" s="73" t="str">
        <f t="shared" si="15"/>
        <v>/Game/DungeonSiege/Items/Armor/Body/DA_bd_ro_m_g_c_084</v>
      </c>
      <c r="V256" s="73" t="str">
        <f t="shared" si="13"/>
        <v>Texture2D'/Game/DungeonSiege/art/bitmaps/gui/in_game/inventory/armor/body_armor/b_gui_ig_i_a_pos_a7_014.b_gui_ig_i_a_pos_a7_014'</v>
      </c>
      <c r="W256" s="73" t="s">
        <v>3063</v>
      </c>
    </row>
    <row r="257" spans="1:23" ht="15.75" thickBot="1" x14ac:dyDescent="0.3">
      <c r="A257" s="69">
        <v>255</v>
      </c>
      <c r="B257" s="69">
        <v>75</v>
      </c>
      <c r="C257" s="69">
        <f>HEX2DEC(B257+Items!$A$3)</f>
        <v>16842869</v>
      </c>
      <c r="D257" s="65" t="s">
        <v>2491</v>
      </c>
      <c r="E257" s="71">
        <v>87</v>
      </c>
      <c r="F257" s="72" t="s">
        <v>2470</v>
      </c>
      <c r="G257" s="69">
        <v>58</v>
      </c>
      <c r="H257" s="69">
        <v>0</v>
      </c>
      <c r="I257" s="69">
        <v>1</v>
      </c>
      <c r="J257" s="69">
        <v>0</v>
      </c>
      <c r="K257" s="69">
        <v>0</v>
      </c>
      <c r="L257" s="66" t="s">
        <v>2773</v>
      </c>
      <c r="M257" s="65" t="str">
        <f t="shared" si="16"/>
        <v>b_gui_ig_i_a_pos_a7_006</v>
      </c>
      <c r="N257" s="70" t="s">
        <v>2509</v>
      </c>
      <c r="O257" s="69" t="s">
        <v>2827</v>
      </c>
      <c r="P257" s="69">
        <v>2</v>
      </c>
      <c r="Q257" s="69">
        <v>2</v>
      </c>
      <c r="R257" s="69">
        <v>1</v>
      </c>
      <c r="S257" s="69">
        <v>109</v>
      </c>
      <c r="T257" s="73" t="str">
        <f t="shared" si="14"/>
        <v>DA_bd_ro_m_g_c_089</v>
      </c>
      <c r="U257" s="73" t="str">
        <f t="shared" si="15"/>
        <v>/Game/DungeonSiege/Items/Armor/Body/DA_bd_ro_m_g_c_089</v>
      </c>
      <c r="V257" s="73" t="str">
        <f t="shared" si="13"/>
        <v>Texture2D'/Game/DungeonSiege/art/bitmaps/gui/in_game/inventory/armor/body_armor/b_gui_ig_i_a_pos_a7_006.b_gui_ig_i_a_pos_a7_006'</v>
      </c>
      <c r="W257" s="73" t="s">
        <v>3063</v>
      </c>
    </row>
    <row r="258" spans="1:23" ht="15.75" thickBot="1" x14ac:dyDescent="0.3">
      <c r="A258" s="69">
        <v>256</v>
      </c>
      <c r="B258" s="69">
        <v>76</v>
      </c>
      <c r="C258" s="69">
        <f>HEX2DEC(B258+Items!$A$3)</f>
        <v>16842870</v>
      </c>
      <c r="D258" s="65" t="s">
        <v>2491</v>
      </c>
      <c r="E258" s="71">
        <v>91</v>
      </c>
      <c r="F258" s="72" t="s">
        <v>2470</v>
      </c>
      <c r="G258" s="69">
        <v>61</v>
      </c>
      <c r="H258" s="69">
        <v>0</v>
      </c>
      <c r="I258" s="69">
        <v>1</v>
      </c>
      <c r="J258" s="69">
        <v>0</v>
      </c>
      <c r="K258" s="69">
        <v>0</v>
      </c>
      <c r="L258" s="66" t="s">
        <v>2774</v>
      </c>
      <c r="M258" s="65" t="str">
        <f t="shared" si="16"/>
        <v>b_gui_ig_i_a_pos_a7_008</v>
      </c>
      <c r="N258" s="70" t="s">
        <v>2511</v>
      </c>
      <c r="O258" s="69" t="s">
        <v>2827</v>
      </c>
      <c r="P258" s="69">
        <v>2</v>
      </c>
      <c r="Q258" s="69">
        <v>2</v>
      </c>
      <c r="R258" s="69">
        <v>3</v>
      </c>
      <c r="S258" s="69">
        <v>118</v>
      </c>
      <c r="T258" s="73" t="str">
        <f t="shared" si="14"/>
        <v>DA_bd_ro_m_g_c_094</v>
      </c>
      <c r="U258" s="73" t="str">
        <f t="shared" si="15"/>
        <v>/Game/DungeonSiege/Items/Armor/Body/DA_bd_ro_m_g_c_094</v>
      </c>
      <c r="V258" s="73" t="str">
        <f t="shared" si="13"/>
        <v>Texture2D'/Game/DungeonSiege/art/bitmaps/gui/in_game/inventory/armor/body_armor/b_gui_ig_i_a_pos_a7_008.b_gui_ig_i_a_pos_a7_008'</v>
      </c>
      <c r="W258" s="73" t="s">
        <v>3063</v>
      </c>
    </row>
    <row r="259" spans="1:23" ht="15.75" thickBot="1" x14ac:dyDescent="0.3">
      <c r="A259" s="69">
        <v>257</v>
      </c>
      <c r="B259" s="69">
        <v>77</v>
      </c>
      <c r="C259" s="69">
        <f>HEX2DEC(B259+Items!$A$3)</f>
        <v>16842871</v>
      </c>
      <c r="D259" s="65" t="s">
        <v>2492</v>
      </c>
      <c r="E259" s="71">
        <v>95</v>
      </c>
      <c r="F259" s="72" t="s">
        <v>2470</v>
      </c>
      <c r="G259" s="69">
        <v>63</v>
      </c>
      <c r="H259" s="69">
        <v>1</v>
      </c>
      <c r="I259" s="69">
        <v>1</v>
      </c>
      <c r="J259" s="69">
        <v>0</v>
      </c>
      <c r="K259" s="69">
        <v>0</v>
      </c>
      <c r="L259" s="66" t="s">
        <v>2775</v>
      </c>
      <c r="M259" s="65" t="str">
        <f t="shared" si="16"/>
        <v>b_gui_ig_i_a_pos_a7_027</v>
      </c>
      <c r="N259" s="70" t="s">
        <v>2789</v>
      </c>
      <c r="O259" s="69" t="s">
        <v>2827</v>
      </c>
      <c r="P259" s="69">
        <v>2</v>
      </c>
      <c r="Q259" s="69">
        <v>2</v>
      </c>
      <c r="R259" s="69">
        <v>0</v>
      </c>
      <c r="S259" s="69">
        <v>114</v>
      </c>
      <c r="T259" s="73" t="str">
        <f t="shared" ref="T259:T262" si="17" xml:space="preserve"> CONCATENATE("DA_",SUBSTITUTE(L259,":","_"))</f>
        <v>DA_bd_ro_m_g_c_100</v>
      </c>
      <c r="U259" s="73" t="str">
        <f t="shared" ref="U259:U262" si="18">"/Game/DungeonSiege/Items/Armor/Body/" &amp; T259</f>
        <v>/Game/DungeonSiege/Items/Armor/Body/DA_bd_ro_m_g_c_100</v>
      </c>
      <c r="V259" s="73" t="str">
        <f t="shared" si="13"/>
        <v>Texture2D'/Game/DungeonSiege/art/bitmaps/gui/in_game/inventory/armor/body_armor/b_gui_ig_i_a_pos_a7_027.b_gui_ig_i_a_pos_a7_027'</v>
      </c>
      <c r="W259" s="73" t="s">
        <v>3063</v>
      </c>
    </row>
    <row r="260" spans="1:23" ht="15.75" thickBot="1" x14ac:dyDescent="0.3">
      <c r="A260" s="69">
        <v>258</v>
      </c>
      <c r="B260" s="69">
        <v>78</v>
      </c>
      <c r="C260" s="69">
        <f>HEX2DEC(B260+Items!$A$3)</f>
        <v>16842872</v>
      </c>
      <c r="D260" s="65" t="s">
        <v>2492</v>
      </c>
      <c r="E260" s="71">
        <v>102</v>
      </c>
      <c r="F260" s="72" t="s">
        <v>2470</v>
      </c>
      <c r="G260" s="69">
        <v>66</v>
      </c>
      <c r="H260" s="69">
        <v>0</v>
      </c>
      <c r="I260" s="69">
        <v>1</v>
      </c>
      <c r="J260" s="69">
        <v>0</v>
      </c>
      <c r="K260" s="69">
        <v>0</v>
      </c>
      <c r="L260" s="66" t="s">
        <v>2776</v>
      </c>
      <c r="M260" s="65" t="str">
        <f t="shared" si="16"/>
        <v>b_gui_ig_i_a_pos_a7_017</v>
      </c>
      <c r="N260" s="70" t="s">
        <v>2794</v>
      </c>
      <c r="O260" s="69" t="s">
        <v>2827</v>
      </c>
      <c r="P260" s="69">
        <v>2</v>
      </c>
      <c r="Q260" s="69">
        <v>2</v>
      </c>
      <c r="R260" s="69">
        <v>20</v>
      </c>
      <c r="S260" s="69">
        <v>132</v>
      </c>
      <c r="T260" s="73" t="str">
        <f t="shared" si="17"/>
        <v>DA_bd_ro_m_g_c_105</v>
      </c>
      <c r="U260" s="73" t="str">
        <f t="shared" si="18"/>
        <v>/Game/DungeonSiege/Items/Armor/Body/DA_bd_ro_m_g_c_105</v>
      </c>
      <c r="V260" s="73" t="str">
        <f t="shared" si="13"/>
        <v>Texture2D'/Game/DungeonSiege/art/bitmaps/gui/in_game/inventory/armor/body_armor/b_gui_ig_i_a_pos_a7_017.b_gui_ig_i_a_pos_a7_017'</v>
      </c>
      <c r="W260" s="73" t="s">
        <v>3063</v>
      </c>
    </row>
    <row r="261" spans="1:23" ht="15.75" thickBot="1" x14ac:dyDescent="0.3">
      <c r="A261" s="69">
        <v>259</v>
      </c>
      <c r="B261" s="69">
        <v>79</v>
      </c>
      <c r="C261" s="69">
        <f>HEX2DEC(B261+Items!$A$3)</f>
        <v>16842873</v>
      </c>
      <c r="D261" s="65" t="s">
        <v>2493</v>
      </c>
      <c r="E261" s="71">
        <v>108</v>
      </c>
      <c r="F261" s="72" t="s">
        <v>2470</v>
      </c>
      <c r="G261" s="69">
        <v>70</v>
      </c>
      <c r="H261" s="69">
        <v>1</v>
      </c>
      <c r="I261" s="69">
        <v>1</v>
      </c>
      <c r="J261" s="69">
        <v>0</v>
      </c>
      <c r="K261" s="69">
        <v>0</v>
      </c>
      <c r="L261" s="66" t="s">
        <v>2777</v>
      </c>
      <c r="M261" s="65" t="str">
        <f t="shared" si="16"/>
        <v>b_gui_ig_i_a_pos_a7_003</v>
      </c>
      <c r="N261" s="70" t="s">
        <v>2795</v>
      </c>
      <c r="O261" s="69" t="s">
        <v>2827</v>
      </c>
      <c r="P261" s="69">
        <v>2</v>
      </c>
      <c r="Q261" s="69">
        <v>2</v>
      </c>
      <c r="R261" s="69">
        <v>0</v>
      </c>
      <c r="S261" s="69">
        <v>15</v>
      </c>
      <c r="T261" s="73" t="str">
        <f t="shared" si="17"/>
        <v>DA_bd_ro_m_g_c_110</v>
      </c>
      <c r="U261" s="73" t="str">
        <f t="shared" si="18"/>
        <v>/Game/DungeonSiege/Items/Armor/Body/DA_bd_ro_m_g_c_110</v>
      </c>
      <c r="V261" s="73" t="str">
        <f t="shared" si="13"/>
        <v>Texture2D'/Game/DungeonSiege/art/bitmaps/gui/in_game/inventory/armor/body_armor/b_gui_ig_i_a_pos_a7_003.b_gui_ig_i_a_pos_a7_003'</v>
      </c>
      <c r="W261" s="73" t="s">
        <v>3063</v>
      </c>
    </row>
    <row r="262" spans="1:23" ht="15.75" thickBot="1" x14ac:dyDescent="0.3">
      <c r="A262" s="69">
        <v>260</v>
      </c>
      <c r="B262" s="69">
        <v>80</v>
      </c>
      <c r="C262" s="69">
        <f>HEX2DEC(B262+Items!$A$3)</f>
        <v>16842880</v>
      </c>
      <c r="D262" s="65" t="s">
        <v>2494</v>
      </c>
      <c r="E262" s="71">
        <v>20</v>
      </c>
      <c r="F262" s="72" t="s">
        <v>2470</v>
      </c>
      <c r="G262" s="69">
        <v>19</v>
      </c>
      <c r="H262" s="69">
        <v>1</v>
      </c>
      <c r="I262" s="69">
        <v>0</v>
      </c>
      <c r="J262" s="69">
        <v>0</v>
      </c>
      <c r="K262" s="69">
        <v>0</v>
      </c>
      <c r="L262" s="66" t="s">
        <v>2778</v>
      </c>
      <c r="M262" s="65" t="str">
        <f t="shared" si="16"/>
        <v>b_gui_ig_i_a_pos_a7_050</v>
      </c>
      <c r="N262" s="70" t="s">
        <v>2804</v>
      </c>
      <c r="O262" s="69" t="s">
        <v>2827</v>
      </c>
      <c r="P262" s="69">
        <v>2</v>
      </c>
      <c r="Q262" s="69">
        <v>2</v>
      </c>
      <c r="R262" s="69"/>
      <c r="S262" s="69"/>
      <c r="T262" s="73" t="str">
        <f t="shared" si="17"/>
        <v>DA_bd_ro_un_merik</v>
      </c>
      <c r="U262" s="73" t="str">
        <f t="shared" si="18"/>
        <v>/Game/DungeonSiege/Items/Armor/Body/DA_bd_ro_un_merik</v>
      </c>
      <c r="V262" s="73" t="str">
        <f t="shared" si="13"/>
        <v>Texture2D'/Game/DungeonSiege/art/bitmaps/gui/in_game/inventory/armor/body_armor/b_gui_ig_i_a_pos_a7_050.b_gui_ig_i_a_pos_a7_050'</v>
      </c>
      <c r="W262" s="73" t="s">
        <v>3063</v>
      </c>
    </row>
    <row r="263" spans="1:23" x14ac:dyDescent="0.25">
      <c r="L263"/>
      <c r="M263"/>
    </row>
    <row r="264" spans="1:23" x14ac:dyDescent="0.25">
      <c r="L264"/>
      <c r="M264"/>
    </row>
    <row r="265" spans="1:23" x14ac:dyDescent="0.25">
      <c r="L265"/>
      <c r="M265"/>
    </row>
    <row r="266" spans="1:23" x14ac:dyDescent="0.25">
      <c r="L266"/>
      <c r="M266"/>
    </row>
    <row r="267" spans="1:23" x14ac:dyDescent="0.25">
      <c r="L267"/>
      <c r="M267"/>
    </row>
    <row r="268" spans="1:23" x14ac:dyDescent="0.25">
      <c r="L268"/>
      <c r="M268"/>
    </row>
    <row r="269" spans="1:23" x14ac:dyDescent="0.25">
      <c r="L269"/>
      <c r="M269"/>
    </row>
    <row r="270" spans="1:23" x14ac:dyDescent="0.25">
      <c r="L270"/>
      <c r="M270"/>
    </row>
    <row r="271" spans="1:23" x14ac:dyDescent="0.25">
      <c r="L271"/>
      <c r="M271"/>
    </row>
    <row r="272" spans="1:23" x14ac:dyDescent="0.25">
      <c r="L272"/>
      <c r="M272"/>
    </row>
    <row r="273" spans="12:13" x14ac:dyDescent="0.25">
      <c r="L273"/>
      <c r="M273"/>
    </row>
    <row r="274" spans="12:13" x14ac:dyDescent="0.25">
      <c r="L274"/>
      <c r="M274"/>
    </row>
    <row r="275" spans="12:13" x14ac:dyDescent="0.25">
      <c r="L275"/>
      <c r="M275"/>
    </row>
    <row r="276" spans="12:13" x14ac:dyDescent="0.25">
      <c r="L276"/>
      <c r="M276"/>
    </row>
    <row r="277" spans="12:13" x14ac:dyDescent="0.25">
      <c r="L277"/>
      <c r="M277"/>
    </row>
    <row r="278" spans="12:13" x14ac:dyDescent="0.25">
      <c r="L278"/>
      <c r="M278"/>
    </row>
    <row r="279" spans="12:13" x14ac:dyDescent="0.25">
      <c r="L279"/>
      <c r="M279"/>
    </row>
    <row r="280" spans="12:13" x14ac:dyDescent="0.25">
      <c r="L280"/>
      <c r="M280"/>
    </row>
    <row r="281" spans="12:13" x14ac:dyDescent="0.25">
      <c r="L281"/>
      <c r="M281"/>
    </row>
    <row r="282" spans="12:13" x14ac:dyDescent="0.25">
      <c r="L282"/>
      <c r="M282"/>
    </row>
    <row r="283" spans="12:13" x14ac:dyDescent="0.25">
      <c r="L283"/>
      <c r="M283"/>
    </row>
    <row r="284" spans="12:13" x14ac:dyDescent="0.25">
      <c r="L284"/>
      <c r="M284"/>
    </row>
    <row r="285" spans="12:13" x14ac:dyDescent="0.25">
      <c r="L285"/>
      <c r="M285"/>
    </row>
    <row r="286" spans="12:13" x14ac:dyDescent="0.25">
      <c r="L286"/>
      <c r="M286"/>
    </row>
    <row r="287" spans="12:13" x14ac:dyDescent="0.25">
      <c r="L287"/>
      <c r="M287"/>
    </row>
    <row r="288" spans="12:13" x14ac:dyDescent="0.25">
      <c r="L288"/>
      <c r="M288"/>
    </row>
    <row r="289" spans="12:13" x14ac:dyDescent="0.25">
      <c r="L289"/>
      <c r="M289"/>
    </row>
    <row r="290" spans="12:13" x14ac:dyDescent="0.25">
      <c r="L290"/>
      <c r="M290"/>
    </row>
    <row r="291" spans="12:13" x14ac:dyDescent="0.25">
      <c r="L291"/>
      <c r="M291"/>
    </row>
    <row r="292" spans="12:13" x14ac:dyDescent="0.25">
      <c r="L292"/>
      <c r="M292"/>
    </row>
    <row r="293" spans="12:13" x14ac:dyDescent="0.25">
      <c r="L293"/>
      <c r="M293"/>
    </row>
    <row r="294" spans="12:13" x14ac:dyDescent="0.25">
      <c r="L294"/>
      <c r="M294"/>
    </row>
    <row r="295" spans="12:13" x14ac:dyDescent="0.25">
      <c r="L295"/>
      <c r="M295"/>
    </row>
    <row r="296" spans="12:13" x14ac:dyDescent="0.25">
      <c r="L296"/>
      <c r="M296"/>
    </row>
    <row r="297" spans="12:13" x14ac:dyDescent="0.25">
      <c r="L297"/>
      <c r="M297"/>
    </row>
    <row r="298" spans="12:13" x14ac:dyDescent="0.25">
      <c r="L298"/>
      <c r="M298"/>
    </row>
    <row r="299" spans="12:13" x14ac:dyDescent="0.25">
      <c r="L299"/>
      <c r="M299"/>
    </row>
    <row r="300" spans="12:13" x14ac:dyDescent="0.25">
      <c r="L300"/>
      <c r="M300"/>
    </row>
    <row r="301" spans="12:13" x14ac:dyDescent="0.25">
      <c r="L301"/>
      <c r="M301"/>
    </row>
    <row r="302" spans="12:13" x14ac:dyDescent="0.25">
      <c r="L302"/>
      <c r="M302"/>
    </row>
    <row r="303" spans="12:13" x14ac:dyDescent="0.25">
      <c r="L303"/>
      <c r="M303"/>
    </row>
    <row r="304" spans="12:13" x14ac:dyDescent="0.25">
      <c r="L304"/>
      <c r="M304"/>
    </row>
    <row r="305" spans="12:13" x14ac:dyDescent="0.25">
      <c r="L305"/>
      <c r="M305"/>
    </row>
    <row r="306" spans="12:13" x14ac:dyDescent="0.25">
      <c r="L306"/>
      <c r="M306"/>
    </row>
    <row r="307" spans="12:13" x14ac:dyDescent="0.25">
      <c r="L307"/>
      <c r="M307"/>
    </row>
    <row r="308" spans="12:13" x14ac:dyDescent="0.25">
      <c r="L308"/>
      <c r="M308"/>
    </row>
    <row r="309" spans="12:13" x14ac:dyDescent="0.25">
      <c r="L309"/>
      <c r="M309"/>
    </row>
    <row r="310" spans="12:13" x14ac:dyDescent="0.25">
      <c r="L310"/>
      <c r="M310"/>
    </row>
    <row r="311" spans="12:13" x14ac:dyDescent="0.25">
      <c r="L311"/>
      <c r="M311"/>
    </row>
    <row r="312" spans="12:13" x14ac:dyDescent="0.25">
      <c r="L312"/>
      <c r="M312"/>
    </row>
    <row r="313" spans="12:13" x14ac:dyDescent="0.25">
      <c r="L313"/>
      <c r="M313"/>
    </row>
    <row r="314" spans="12:13" x14ac:dyDescent="0.25">
      <c r="L314"/>
      <c r="M314"/>
    </row>
    <row r="315" spans="12:13" x14ac:dyDescent="0.25">
      <c r="L315"/>
      <c r="M315"/>
    </row>
    <row r="316" spans="12:13" x14ac:dyDescent="0.25">
      <c r="L316"/>
      <c r="M316"/>
    </row>
    <row r="317" spans="12:13" x14ac:dyDescent="0.25">
      <c r="L317"/>
      <c r="M317"/>
    </row>
    <row r="318" spans="12:13" x14ac:dyDescent="0.25">
      <c r="L318"/>
      <c r="M318"/>
    </row>
    <row r="319" spans="12:13" x14ac:dyDescent="0.25">
      <c r="L319"/>
      <c r="M319"/>
    </row>
    <row r="320" spans="12:13" x14ac:dyDescent="0.25">
      <c r="L320"/>
      <c r="M320"/>
    </row>
    <row r="321" spans="12:13" x14ac:dyDescent="0.25">
      <c r="L321"/>
      <c r="M321"/>
    </row>
    <row r="322" spans="12:13" x14ac:dyDescent="0.25">
      <c r="L322"/>
      <c r="M322"/>
    </row>
    <row r="323" spans="12:13" x14ac:dyDescent="0.25">
      <c r="L323"/>
      <c r="M323"/>
    </row>
    <row r="324" spans="12:13" x14ac:dyDescent="0.25">
      <c r="L324"/>
      <c r="M324"/>
    </row>
    <row r="325" spans="12:13" x14ac:dyDescent="0.25">
      <c r="L325"/>
      <c r="M325"/>
    </row>
    <row r="326" spans="12:13" x14ac:dyDescent="0.25">
      <c r="L326"/>
      <c r="M326"/>
    </row>
    <row r="327" spans="12:13" x14ac:dyDescent="0.25">
      <c r="L327"/>
      <c r="M327"/>
    </row>
    <row r="328" spans="12:13" x14ac:dyDescent="0.25">
      <c r="L328"/>
      <c r="M328"/>
    </row>
    <row r="329" spans="12:13" x14ac:dyDescent="0.25">
      <c r="L329"/>
      <c r="M329"/>
    </row>
    <row r="330" spans="12:13" x14ac:dyDescent="0.25">
      <c r="L330"/>
      <c r="M330"/>
    </row>
    <row r="331" spans="12:13" x14ac:dyDescent="0.25">
      <c r="L331"/>
      <c r="M331"/>
    </row>
    <row r="332" spans="12:13" x14ac:dyDescent="0.25">
      <c r="L332"/>
      <c r="M332"/>
    </row>
    <row r="333" spans="12:13" x14ac:dyDescent="0.25">
      <c r="L333"/>
      <c r="M333"/>
    </row>
    <row r="334" spans="12:13" x14ac:dyDescent="0.25">
      <c r="L334"/>
      <c r="M334"/>
    </row>
    <row r="335" spans="12:13" x14ac:dyDescent="0.25">
      <c r="L335"/>
      <c r="M335"/>
    </row>
    <row r="336" spans="12:13" x14ac:dyDescent="0.25">
      <c r="L336"/>
      <c r="M336"/>
    </row>
    <row r="337" spans="12:13" x14ac:dyDescent="0.25">
      <c r="L337"/>
      <c r="M337"/>
    </row>
    <row r="338" spans="12:13" x14ac:dyDescent="0.25">
      <c r="L338"/>
      <c r="M338"/>
    </row>
    <row r="339" spans="12:13" x14ac:dyDescent="0.25">
      <c r="L339"/>
      <c r="M339"/>
    </row>
    <row r="340" spans="12:13" x14ac:dyDescent="0.25">
      <c r="L340"/>
      <c r="M340"/>
    </row>
    <row r="341" spans="12:13" x14ac:dyDescent="0.25">
      <c r="L341"/>
      <c r="M341"/>
    </row>
    <row r="342" spans="12:13" x14ac:dyDescent="0.25">
      <c r="L342"/>
      <c r="M342"/>
    </row>
    <row r="343" spans="12:13" x14ac:dyDescent="0.25">
      <c r="L343"/>
      <c r="M343"/>
    </row>
    <row r="344" spans="12:13" x14ac:dyDescent="0.25">
      <c r="L344"/>
      <c r="M344"/>
    </row>
    <row r="345" spans="12:13" x14ac:dyDescent="0.25">
      <c r="L345"/>
      <c r="M345"/>
    </row>
    <row r="346" spans="12:13" x14ac:dyDescent="0.25">
      <c r="L346"/>
      <c r="M346"/>
    </row>
    <row r="347" spans="12:13" x14ac:dyDescent="0.25">
      <c r="L347"/>
      <c r="M347"/>
    </row>
    <row r="348" spans="12:13" x14ac:dyDescent="0.25">
      <c r="L348"/>
      <c r="M348"/>
    </row>
    <row r="349" spans="12:13" x14ac:dyDescent="0.25">
      <c r="L349"/>
      <c r="M349"/>
    </row>
    <row r="350" spans="12:13" x14ac:dyDescent="0.25">
      <c r="L350"/>
      <c r="M350"/>
    </row>
    <row r="351" spans="12:13" x14ac:dyDescent="0.25">
      <c r="L351"/>
      <c r="M351"/>
    </row>
    <row r="352" spans="12:13" x14ac:dyDescent="0.25">
      <c r="L352"/>
      <c r="M352"/>
    </row>
    <row r="353" spans="12:13" x14ac:dyDescent="0.25">
      <c r="L353"/>
      <c r="M353"/>
    </row>
    <row r="354" spans="12:13" x14ac:dyDescent="0.25">
      <c r="L354"/>
      <c r="M354"/>
    </row>
    <row r="355" spans="12:13" x14ac:dyDescent="0.25">
      <c r="L355"/>
      <c r="M355"/>
    </row>
    <row r="356" spans="12:13" x14ac:dyDescent="0.25">
      <c r="L356"/>
      <c r="M356"/>
    </row>
    <row r="357" spans="12:13" x14ac:dyDescent="0.25">
      <c r="L357"/>
      <c r="M357"/>
    </row>
    <row r="358" spans="12:13" x14ac:dyDescent="0.25">
      <c r="L358"/>
      <c r="M358"/>
    </row>
    <row r="359" spans="12:13" x14ac:dyDescent="0.25">
      <c r="L359"/>
      <c r="M359"/>
    </row>
    <row r="360" spans="12:13" x14ac:dyDescent="0.25">
      <c r="L360"/>
      <c r="M360"/>
    </row>
    <row r="361" spans="12:13" x14ac:dyDescent="0.25">
      <c r="L361"/>
      <c r="M361"/>
    </row>
    <row r="362" spans="12:13" x14ac:dyDescent="0.25">
      <c r="L362"/>
      <c r="M362"/>
    </row>
    <row r="363" spans="12:13" x14ac:dyDescent="0.25">
      <c r="L363"/>
      <c r="M363"/>
    </row>
    <row r="364" spans="12:13" x14ac:dyDescent="0.25">
      <c r="L364"/>
      <c r="M364"/>
    </row>
    <row r="365" spans="12:13" x14ac:dyDescent="0.25">
      <c r="L365"/>
      <c r="M365"/>
    </row>
    <row r="366" spans="12:13" x14ac:dyDescent="0.25">
      <c r="L366"/>
      <c r="M366"/>
    </row>
    <row r="367" spans="12:13" x14ac:dyDescent="0.25">
      <c r="L367"/>
      <c r="M367"/>
    </row>
    <row r="368" spans="12:13" x14ac:dyDescent="0.25">
      <c r="L368"/>
      <c r="M368"/>
    </row>
    <row r="369" spans="12:13" x14ac:dyDescent="0.25">
      <c r="L369"/>
      <c r="M369"/>
    </row>
    <row r="370" spans="12:13" x14ac:dyDescent="0.25">
      <c r="L370"/>
      <c r="M370"/>
    </row>
    <row r="371" spans="12:13" x14ac:dyDescent="0.25">
      <c r="L371"/>
      <c r="M371"/>
    </row>
    <row r="372" spans="12:13" x14ac:dyDescent="0.25">
      <c r="L372"/>
      <c r="M372"/>
    </row>
    <row r="373" spans="12:13" x14ac:dyDescent="0.25">
      <c r="L373"/>
      <c r="M373"/>
    </row>
    <row r="374" spans="12:13" x14ac:dyDescent="0.25">
      <c r="L374"/>
      <c r="M374"/>
    </row>
    <row r="375" spans="12:13" x14ac:dyDescent="0.25">
      <c r="L375"/>
      <c r="M375"/>
    </row>
    <row r="376" spans="12:13" x14ac:dyDescent="0.25">
      <c r="L376"/>
      <c r="M376"/>
    </row>
    <row r="377" spans="12:13" x14ac:dyDescent="0.25">
      <c r="L377"/>
      <c r="M377"/>
    </row>
    <row r="378" spans="12:13" x14ac:dyDescent="0.25">
      <c r="L378"/>
      <c r="M378"/>
    </row>
    <row r="379" spans="12:13" x14ac:dyDescent="0.25">
      <c r="L379"/>
      <c r="M379"/>
    </row>
    <row r="380" spans="12:13" x14ac:dyDescent="0.25">
      <c r="L380"/>
      <c r="M380"/>
    </row>
    <row r="381" spans="12:13" x14ac:dyDescent="0.25">
      <c r="L381"/>
      <c r="M381"/>
    </row>
    <row r="382" spans="12:13" x14ac:dyDescent="0.25">
      <c r="L382"/>
      <c r="M382"/>
    </row>
    <row r="383" spans="12:13" x14ac:dyDescent="0.25">
      <c r="L383"/>
      <c r="M383"/>
    </row>
    <row r="384" spans="12:13" x14ac:dyDescent="0.25">
      <c r="L384"/>
      <c r="M384"/>
    </row>
    <row r="385" spans="12:13" x14ac:dyDescent="0.25">
      <c r="L385"/>
      <c r="M385"/>
    </row>
    <row r="386" spans="12:13" x14ac:dyDescent="0.25">
      <c r="L386"/>
      <c r="M386"/>
    </row>
    <row r="387" spans="12:13" x14ac:dyDescent="0.25">
      <c r="L387"/>
      <c r="M387"/>
    </row>
    <row r="388" spans="12:13" x14ac:dyDescent="0.25">
      <c r="L388"/>
      <c r="M388"/>
    </row>
    <row r="389" spans="12:13" x14ac:dyDescent="0.25">
      <c r="L389"/>
      <c r="M389"/>
    </row>
    <row r="390" spans="12:13" x14ac:dyDescent="0.25">
      <c r="L390"/>
      <c r="M390"/>
    </row>
    <row r="391" spans="12:13" x14ac:dyDescent="0.25">
      <c r="L391"/>
      <c r="M391"/>
    </row>
    <row r="392" spans="12:13" x14ac:dyDescent="0.25">
      <c r="L392"/>
      <c r="M392"/>
    </row>
    <row r="393" spans="12:13" x14ac:dyDescent="0.25">
      <c r="L393"/>
      <c r="M393"/>
    </row>
    <row r="394" spans="12:13" x14ac:dyDescent="0.25">
      <c r="L394"/>
      <c r="M394"/>
    </row>
    <row r="395" spans="12:13" x14ac:dyDescent="0.25">
      <c r="L395"/>
      <c r="M395"/>
    </row>
    <row r="396" spans="12:13" x14ac:dyDescent="0.25">
      <c r="L396"/>
      <c r="M396"/>
    </row>
    <row r="397" spans="12:13" x14ac:dyDescent="0.25">
      <c r="L397"/>
      <c r="M397"/>
    </row>
    <row r="398" spans="12:13" x14ac:dyDescent="0.25">
      <c r="L398"/>
      <c r="M398"/>
    </row>
    <row r="399" spans="12:13" x14ac:dyDescent="0.25">
      <c r="L399"/>
      <c r="M399"/>
    </row>
    <row r="400" spans="12:13" x14ac:dyDescent="0.25">
      <c r="L400"/>
      <c r="M400"/>
    </row>
    <row r="401" spans="12:13" x14ac:dyDescent="0.25">
      <c r="L401"/>
      <c r="M401"/>
    </row>
    <row r="402" spans="12:13" x14ac:dyDescent="0.25">
      <c r="L402"/>
      <c r="M402"/>
    </row>
    <row r="403" spans="12:13" x14ac:dyDescent="0.25">
      <c r="L403"/>
      <c r="M403"/>
    </row>
    <row r="404" spans="12:13" x14ac:dyDescent="0.25">
      <c r="L404"/>
      <c r="M404"/>
    </row>
    <row r="405" spans="12:13" x14ac:dyDescent="0.25">
      <c r="L405"/>
      <c r="M405"/>
    </row>
    <row r="406" spans="12:13" x14ac:dyDescent="0.25">
      <c r="L406"/>
      <c r="M406"/>
    </row>
    <row r="407" spans="12:13" x14ac:dyDescent="0.25">
      <c r="L407"/>
      <c r="M407"/>
    </row>
    <row r="408" spans="12:13" x14ac:dyDescent="0.25">
      <c r="L408"/>
      <c r="M408"/>
    </row>
    <row r="409" spans="12:13" x14ac:dyDescent="0.25">
      <c r="L409"/>
      <c r="M409"/>
    </row>
    <row r="410" spans="12:13" x14ac:dyDescent="0.25">
      <c r="L410"/>
      <c r="M410"/>
    </row>
    <row r="411" spans="12:13" x14ac:dyDescent="0.25">
      <c r="L411"/>
      <c r="M411"/>
    </row>
    <row r="412" spans="12:13" x14ac:dyDescent="0.25">
      <c r="L412"/>
      <c r="M412"/>
    </row>
    <row r="413" spans="12:13" x14ac:dyDescent="0.25">
      <c r="L413"/>
      <c r="M413"/>
    </row>
    <row r="414" spans="12:13" x14ac:dyDescent="0.25">
      <c r="L414"/>
      <c r="M414"/>
    </row>
    <row r="415" spans="12:13" x14ac:dyDescent="0.25">
      <c r="L415"/>
      <c r="M415"/>
    </row>
  </sheetData>
  <phoneticPr fontId="2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ExportBodyArmor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0</xdr:col>
                    <xdr:colOff>1085850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690A2-F045-4743-9E38-5041CFED17E3}">
  <sheetPr codeName="Sheet16"/>
  <dimension ref="A1:V129"/>
  <sheetViews>
    <sheetView zoomScale="170" zoomScaleNormal="170" workbookViewId="0">
      <selection activeCell="C6" sqref="C6"/>
    </sheetView>
  </sheetViews>
  <sheetFormatPr defaultRowHeight="15" x14ac:dyDescent="0.25"/>
  <cols>
    <col min="3" max="3" width="13.28515625" bestFit="1" customWidth="1"/>
    <col min="13" max="13" width="27.5703125" bestFit="1" customWidth="1"/>
    <col min="14" max="14" width="14.7109375" bestFit="1" customWidth="1"/>
    <col min="15" max="15" width="6.140625" bestFit="1" customWidth="1"/>
    <col min="19" max="19" width="21.7109375" bestFit="1" customWidth="1"/>
    <col min="20" max="20" width="47.7109375" bestFit="1" customWidth="1"/>
    <col min="21" max="21" width="78.5703125" bestFit="1" customWidth="1"/>
    <col min="22" max="22" width="98.140625" bestFit="1" customWidth="1"/>
  </cols>
  <sheetData>
    <row r="1" spans="1:22" ht="34.5" thickBot="1" x14ac:dyDescent="0.3">
      <c r="A1" s="69"/>
      <c r="B1" s="30" t="s">
        <v>28</v>
      </c>
      <c r="C1" s="30" t="s">
        <v>2912</v>
      </c>
      <c r="D1" s="30" t="s">
        <v>2916</v>
      </c>
      <c r="E1" s="30" t="s">
        <v>2906</v>
      </c>
      <c r="F1" s="30" t="s">
        <v>2907</v>
      </c>
      <c r="G1" s="30" t="s">
        <v>2908</v>
      </c>
      <c r="H1" s="30" t="s">
        <v>2909</v>
      </c>
      <c r="I1" s="30" t="s">
        <v>2910</v>
      </c>
      <c r="J1" s="30" t="s">
        <v>2911</v>
      </c>
      <c r="K1" s="67" t="s">
        <v>2502</v>
      </c>
      <c r="L1" s="67" t="s">
        <v>2501</v>
      </c>
      <c r="M1" s="30" t="s">
        <v>2495</v>
      </c>
      <c r="N1" s="30" t="s">
        <v>2496</v>
      </c>
      <c r="O1" s="68" t="s">
        <v>2497</v>
      </c>
      <c r="P1" s="30" t="s">
        <v>2498</v>
      </c>
      <c r="Q1" s="67" t="s">
        <v>2913</v>
      </c>
      <c r="R1" s="67" t="s">
        <v>2914</v>
      </c>
      <c r="S1" s="67" t="s">
        <v>335</v>
      </c>
      <c r="T1" s="67" t="s">
        <v>334</v>
      </c>
      <c r="U1" s="67" t="s">
        <v>671</v>
      </c>
      <c r="V1" s="67" t="s">
        <v>3059</v>
      </c>
    </row>
    <row r="2" spans="1:22" ht="15.75" thickBot="1" x14ac:dyDescent="0.3">
      <c r="A2" s="65">
        <v>0</v>
      </c>
      <c r="B2" s="65">
        <f>HEX2DEC(A2+Items!$A$8)</f>
        <v>19922944</v>
      </c>
      <c r="C2" s="65" t="s">
        <v>4874</v>
      </c>
      <c r="D2" s="65" t="s">
        <v>4971</v>
      </c>
      <c r="E2" s="65"/>
      <c r="F2" s="65"/>
      <c r="G2" s="65">
        <v>1</v>
      </c>
      <c r="H2" s="65">
        <v>0</v>
      </c>
      <c r="I2" s="65">
        <v>0</v>
      </c>
      <c r="J2" s="65">
        <v>0</v>
      </c>
      <c r="K2" s="65">
        <v>2</v>
      </c>
      <c r="L2" s="65">
        <v>2</v>
      </c>
      <c r="M2" s="65" t="s">
        <v>4746</v>
      </c>
      <c r="N2" s="88" t="s">
        <v>5025</v>
      </c>
      <c r="O2" s="88" t="s">
        <v>5022</v>
      </c>
      <c r="P2" s="88" t="s">
        <v>2509</v>
      </c>
      <c r="Q2" s="65"/>
      <c r="R2" s="65"/>
      <c r="S2" s="65" t="str">
        <f xml:space="preserve"> CONCATENATE("DA_",SUBSTITUTE(M2,":","_"))</f>
        <v>DA_he_ca_le_avg</v>
      </c>
      <c r="T2" s="65" t="str">
        <f>"/Game/DungeonSiege/Items/Armor/Helm/" &amp; S2</f>
        <v>/Game/DungeonSiege/Items/Armor/Helm/DA_he_ca_le_avg</v>
      </c>
      <c r="U2" s="65" t="str">
        <f>CONCATENATE("Texture2D'/Game/DungeonSiege/art/bitmaps/gui/in_game/inventory/armor/helmet/",N2,".",N2,"'")</f>
        <v>Texture2D'/Game/DungeonSiege/art/bitmaps/gui/in_game/inventory/armor/helmet/b_gui_ig_i_a_hlmt_006.b_gui_ig_i_a_hlmt_006'</v>
      </c>
      <c r="V2" s="65" t="s">
        <v>5194</v>
      </c>
    </row>
    <row r="3" spans="1:22" ht="15.75" thickBot="1" x14ac:dyDescent="0.3">
      <c r="A3" s="65">
        <v>1</v>
      </c>
      <c r="B3" s="65">
        <f>HEX2DEC(A3+Items!$A$8)</f>
        <v>19922945</v>
      </c>
      <c r="C3" s="65" t="s">
        <v>4875</v>
      </c>
      <c r="D3" s="65" t="s">
        <v>4972</v>
      </c>
      <c r="E3" s="65" t="s">
        <v>2384</v>
      </c>
      <c r="F3" s="65" t="s">
        <v>4973</v>
      </c>
      <c r="G3" s="65">
        <v>1</v>
      </c>
      <c r="H3" s="65">
        <v>0</v>
      </c>
      <c r="I3" s="65">
        <v>0</v>
      </c>
      <c r="J3" s="65">
        <v>0</v>
      </c>
      <c r="K3" s="65">
        <v>2</v>
      </c>
      <c r="L3" s="65">
        <v>2</v>
      </c>
      <c r="M3" s="65" t="s">
        <v>4747</v>
      </c>
      <c r="N3" s="88" t="s">
        <v>5027</v>
      </c>
      <c r="O3" s="88" t="s">
        <v>5023</v>
      </c>
      <c r="P3" s="88" t="s">
        <v>2507</v>
      </c>
      <c r="Q3" s="65"/>
      <c r="R3" s="65"/>
      <c r="S3" s="65" t="str">
        <f t="shared" ref="S3:S66" si="0" xml:space="preserve"> CONCATENATE("DA_",SUBSTITUTE(M3,":","_"))</f>
        <v>DA_he_ca_pl_avg</v>
      </c>
      <c r="T3" s="65" t="str">
        <f t="shared" ref="T3:T66" si="1">"/Game/DungeonSiege/Items/Armor/Helm/" &amp; S3</f>
        <v>/Game/DungeonSiege/Items/Armor/Helm/DA_he_ca_pl_avg</v>
      </c>
      <c r="U3" s="65" t="str">
        <f t="shared" ref="U3:U66" si="2">CONCATENATE("Texture2D'/Game/DungeonSiege/art/bitmaps/gui/in_game/inventory/armor/helmet/",N3,".",N3,"'")</f>
        <v>Texture2D'/Game/DungeonSiege/art/bitmaps/gui/in_game/inventory/armor/helmet/b_gui_ig_i_a_hlmt_004.b_gui_ig_i_a_hlmt_004'</v>
      </c>
      <c r="V3" s="65" t="s">
        <v>5194</v>
      </c>
    </row>
    <row r="4" spans="1:22" ht="15.75" thickBot="1" x14ac:dyDescent="0.3">
      <c r="A4" s="65">
        <v>2</v>
      </c>
      <c r="B4" s="65">
        <f>HEX2DEC(A4+Items!$A$8)</f>
        <v>19922946</v>
      </c>
      <c r="C4" s="65" t="s">
        <v>4876</v>
      </c>
      <c r="D4" s="65" t="s">
        <v>4974</v>
      </c>
      <c r="E4" s="65" t="s">
        <v>2384</v>
      </c>
      <c r="F4" s="65" t="s">
        <v>4975</v>
      </c>
      <c r="G4" s="65">
        <v>0</v>
      </c>
      <c r="H4" s="65">
        <v>1</v>
      </c>
      <c r="I4" s="65">
        <v>0</v>
      </c>
      <c r="J4" s="65">
        <v>0</v>
      </c>
      <c r="K4" s="65">
        <v>2</v>
      </c>
      <c r="L4" s="65">
        <v>2</v>
      </c>
      <c r="M4" s="65" t="s">
        <v>4748</v>
      </c>
      <c r="N4" s="88" t="s">
        <v>5028</v>
      </c>
      <c r="O4" s="88" t="s">
        <v>5024</v>
      </c>
      <c r="P4" s="88" t="s">
        <v>2516</v>
      </c>
      <c r="Q4" s="65">
        <v>1</v>
      </c>
      <c r="R4" s="65">
        <v>3</v>
      </c>
      <c r="S4" s="65" t="str">
        <f t="shared" si="0"/>
        <v>DA_he_ca_pl_blue</v>
      </c>
      <c r="T4" s="65" t="str">
        <f t="shared" si="1"/>
        <v>/Game/DungeonSiege/Items/Armor/Helm/DA_he_ca_pl_blue</v>
      </c>
      <c r="U4" s="65" t="str">
        <f t="shared" si="2"/>
        <v>Texture2D'/Game/DungeonSiege/art/bitmaps/gui/in_game/inventory/armor/helmet/b_gui_ig_i_a_hlmt_014.b_gui_ig_i_a_hlmt_014'</v>
      </c>
      <c r="V4" s="65" t="s">
        <v>5194</v>
      </c>
    </row>
    <row r="5" spans="1:22" ht="15.75" thickBot="1" x14ac:dyDescent="0.3">
      <c r="A5" s="65">
        <v>3</v>
      </c>
      <c r="B5" s="65">
        <f>HEX2DEC(A5+Items!$A$8)</f>
        <v>19922947</v>
      </c>
      <c r="C5" s="65" t="s">
        <v>4877</v>
      </c>
      <c r="D5" s="65" t="s">
        <v>4973</v>
      </c>
      <c r="E5" s="65" t="s">
        <v>2384</v>
      </c>
      <c r="F5" s="65" t="s">
        <v>4976</v>
      </c>
      <c r="G5" s="65">
        <v>0</v>
      </c>
      <c r="H5" s="65">
        <v>1</v>
      </c>
      <c r="I5" s="65">
        <v>0</v>
      </c>
      <c r="J5" s="65">
        <v>0</v>
      </c>
      <c r="K5" s="65">
        <v>2</v>
      </c>
      <c r="L5" s="65">
        <v>2</v>
      </c>
      <c r="M5" s="65" t="s">
        <v>4749</v>
      </c>
      <c r="N5" s="88" t="s">
        <v>5029</v>
      </c>
      <c r="O5" s="88" t="s">
        <v>5024</v>
      </c>
      <c r="P5" s="88" t="s">
        <v>4483</v>
      </c>
      <c r="Q5" s="65">
        <v>4</v>
      </c>
      <c r="R5" s="65">
        <v>6</v>
      </c>
      <c r="S5" s="65" t="str">
        <f t="shared" si="0"/>
        <v>DA_he_ca_pl_blue_02</v>
      </c>
      <c r="T5" s="65" t="str">
        <f t="shared" si="1"/>
        <v>/Game/DungeonSiege/Items/Armor/Helm/DA_he_ca_pl_blue_02</v>
      </c>
      <c r="U5" s="65" t="str">
        <f t="shared" si="2"/>
        <v>Texture2D'/Game/DungeonSiege/art/bitmaps/gui/in_game/inventory/armor/helmet/b_gui_ig_i_a_hlmt_089.b_gui_ig_i_a_hlmt_089'</v>
      </c>
      <c r="V5" s="65" t="s">
        <v>5194</v>
      </c>
    </row>
    <row r="6" spans="1:22" ht="15.75" thickBot="1" x14ac:dyDescent="0.3">
      <c r="A6" s="65">
        <v>4</v>
      </c>
      <c r="B6" s="65">
        <f>HEX2DEC(A6+Items!$A$8)</f>
        <v>19922948</v>
      </c>
      <c r="C6" s="65" t="s">
        <v>4878</v>
      </c>
      <c r="D6" s="65" t="s">
        <v>4977</v>
      </c>
      <c r="E6" s="65" t="s">
        <v>2384</v>
      </c>
      <c r="F6" s="65" t="s">
        <v>4978</v>
      </c>
      <c r="G6" s="65">
        <v>1</v>
      </c>
      <c r="H6" s="65">
        <v>0</v>
      </c>
      <c r="I6" s="65">
        <v>0</v>
      </c>
      <c r="J6" s="65">
        <v>0</v>
      </c>
      <c r="K6" s="65">
        <v>2</v>
      </c>
      <c r="L6" s="65">
        <v>2</v>
      </c>
      <c r="M6" s="65" t="s">
        <v>4750</v>
      </c>
      <c r="N6" s="88" t="s">
        <v>5030</v>
      </c>
      <c r="O6" s="88" t="s">
        <v>5031</v>
      </c>
      <c r="P6" s="88" t="s">
        <v>2790</v>
      </c>
      <c r="Q6" s="65"/>
      <c r="R6" s="65"/>
      <c r="S6" s="65" t="str">
        <f t="shared" si="0"/>
        <v>DA_he_ca_pl_cap</v>
      </c>
      <c r="T6" s="65" t="str">
        <f t="shared" si="1"/>
        <v>/Game/DungeonSiege/Items/Armor/Helm/DA_he_ca_pl_cap</v>
      </c>
      <c r="U6" s="65" t="str">
        <f t="shared" si="2"/>
        <v>Texture2D'/Game/DungeonSiege/art/bitmaps/gui/in_game/inventory/armor/helmet/b_gui_ig_i_a_hlmt_028.b_gui_ig_i_a_hlmt_028'</v>
      </c>
      <c r="V6" s="65" t="s">
        <v>5194</v>
      </c>
    </row>
    <row r="7" spans="1:22" ht="15.75" thickBot="1" x14ac:dyDescent="0.3">
      <c r="A7" s="65">
        <v>5</v>
      </c>
      <c r="B7" s="65">
        <f>HEX2DEC(A7+Items!$A$8)</f>
        <v>19922949</v>
      </c>
      <c r="C7" s="65" t="s">
        <v>4879</v>
      </c>
      <c r="D7" s="65" t="s">
        <v>4979</v>
      </c>
      <c r="E7" s="65" t="s">
        <v>2384</v>
      </c>
      <c r="F7" s="65" t="s">
        <v>4980</v>
      </c>
      <c r="G7" s="65">
        <v>1</v>
      </c>
      <c r="H7" s="65">
        <v>0</v>
      </c>
      <c r="I7" s="65">
        <v>0</v>
      </c>
      <c r="J7" s="65">
        <v>0</v>
      </c>
      <c r="K7" s="65">
        <v>2</v>
      </c>
      <c r="L7" s="65">
        <v>2</v>
      </c>
      <c r="M7" s="65" t="s">
        <v>4751</v>
      </c>
      <c r="N7" s="88" t="s">
        <v>5032</v>
      </c>
      <c r="O7" s="88" t="s">
        <v>5031</v>
      </c>
      <c r="P7" s="88" t="s">
        <v>2817</v>
      </c>
      <c r="Q7" s="65"/>
      <c r="R7" s="65"/>
      <c r="S7" s="65" t="str">
        <f t="shared" si="0"/>
        <v>DA_he_ca_pl_cap_brown</v>
      </c>
      <c r="T7" s="65" t="str">
        <f t="shared" si="1"/>
        <v>/Game/DungeonSiege/Items/Armor/Helm/DA_he_ca_pl_cap_brown</v>
      </c>
      <c r="U7" s="65" t="str">
        <f t="shared" si="2"/>
        <v>Texture2D'/Game/DungeonSiege/art/bitmaps/gui/in_game/inventory/armor/helmet/b_gui_ig_i_a_hlmt_045.b_gui_ig_i_a_hlmt_045'</v>
      </c>
      <c r="V7" s="65" t="s">
        <v>5194</v>
      </c>
    </row>
    <row r="8" spans="1:22" ht="15.75" thickBot="1" x14ac:dyDescent="0.3">
      <c r="A8" s="65">
        <v>6</v>
      </c>
      <c r="B8" s="65">
        <f>HEX2DEC(A8+Items!$A$8)</f>
        <v>19922950</v>
      </c>
      <c r="C8" s="65" t="s">
        <v>4880</v>
      </c>
      <c r="D8" s="65" t="s">
        <v>4981</v>
      </c>
      <c r="E8" s="65" t="s">
        <v>2384</v>
      </c>
      <c r="F8" s="65" t="s">
        <v>4982</v>
      </c>
      <c r="G8" s="65">
        <v>1</v>
      </c>
      <c r="H8" s="65">
        <v>1</v>
      </c>
      <c r="I8" s="65">
        <v>0</v>
      </c>
      <c r="J8" s="65">
        <v>0</v>
      </c>
      <c r="K8" s="65">
        <v>2</v>
      </c>
      <c r="L8" s="65">
        <v>2</v>
      </c>
      <c r="M8" s="65" t="s">
        <v>4752</v>
      </c>
      <c r="N8" s="88" t="s">
        <v>5034</v>
      </c>
      <c r="O8" s="88" t="s">
        <v>5033</v>
      </c>
      <c r="P8" s="88" t="s">
        <v>2779</v>
      </c>
      <c r="Q8" s="65">
        <v>0</v>
      </c>
      <c r="R8" s="65">
        <v>1</v>
      </c>
      <c r="S8" s="65" t="str">
        <f t="shared" si="0"/>
        <v>DA_he_ca_pl_dome</v>
      </c>
      <c r="T8" s="65" t="str">
        <f t="shared" si="1"/>
        <v>/Game/DungeonSiege/Items/Armor/Helm/DA_he_ca_pl_dome</v>
      </c>
      <c r="U8" s="65" t="str">
        <f t="shared" si="2"/>
        <v>Texture2D'/Game/DungeonSiege/art/bitmaps/gui/in_game/inventory/armor/helmet/b_gui_ig_i_a_hlmt_019.b_gui_ig_i_a_hlmt_019'</v>
      </c>
      <c r="V8" s="65" t="s">
        <v>5194</v>
      </c>
    </row>
    <row r="9" spans="1:22" ht="15.75" thickBot="1" x14ac:dyDescent="0.3">
      <c r="A9" s="65">
        <v>7</v>
      </c>
      <c r="B9" s="65">
        <f>HEX2DEC(A9+Items!$A$8)</f>
        <v>19922951</v>
      </c>
      <c r="C9" s="65" t="s">
        <v>4881</v>
      </c>
      <c r="D9" s="65" t="s">
        <v>4982</v>
      </c>
      <c r="E9" s="65" t="s">
        <v>2384</v>
      </c>
      <c r="F9" s="65" t="s">
        <v>4983</v>
      </c>
      <c r="G9" s="65">
        <v>0</v>
      </c>
      <c r="H9" s="65">
        <v>1</v>
      </c>
      <c r="I9" s="65">
        <v>0</v>
      </c>
      <c r="J9" s="65">
        <v>0</v>
      </c>
      <c r="K9" s="65">
        <v>2</v>
      </c>
      <c r="L9" s="65">
        <v>2</v>
      </c>
      <c r="M9" s="65" t="s">
        <v>4753</v>
      </c>
      <c r="N9" s="88" t="s">
        <v>5035</v>
      </c>
      <c r="O9" s="88" t="s">
        <v>5036</v>
      </c>
      <c r="P9" s="88" t="s">
        <v>2515</v>
      </c>
      <c r="Q9" s="65">
        <v>2</v>
      </c>
      <c r="R9" s="65">
        <v>4</v>
      </c>
      <c r="S9" s="65" t="str">
        <f t="shared" si="0"/>
        <v>DA_he_ca_pl_fin</v>
      </c>
      <c r="T9" s="65" t="str">
        <f t="shared" si="1"/>
        <v>/Game/DungeonSiege/Items/Armor/Helm/DA_he_ca_pl_fin</v>
      </c>
      <c r="U9" s="65" t="str">
        <f t="shared" si="2"/>
        <v>Texture2D'/Game/DungeonSiege/art/bitmaps/gui/in_game/inventory/armor/helmet/b_gui_ig_i_a_hlmt_013.b_gui_ig_i_a_hlmt_013'</v>
      </c>
      <c r="V9" s="65" t="s">
        <v>5194</v>
      </c>
    </row>
    <row r="10" spans="1:22" ht="15.75" thickBot="1" x14ac:dyDescent="0.3">
      <c r="A10" s="65">
        <v>8</v>
      </c>
      <c r="B10" s="65">
        <f>HEX2DEC(A10+Items!$A$8)</f>
        <v>19922952</v>
      </c>
      <c r="C10" s="65" t="s">
        <v>4882</v>
      </c>
      <c r="D10" s="65" t="s">
        <v>4984</v>
      </c>
      <c r="E10" s="65" t="s">
        <v>2384</v>
      </c>
      <c r="F10" s="65" t="s">
        <v>4985</v>
      </c>
      <c r="G10" s="65">
        <v>0</v>
      </c>
      <c r="H10" s="65">
        <v>1</v>
      </c>
      <c r="I10" s="65">
        <v>0</v>
      </c>
      <c r="J10" s="65">
        <v>0</v>
      </c>
      <c r="K10" s="65">
        <v>2</v>
      </c>
      <c r="L10" s="65">
        <v>2</v>
      </c>
      <c r="M10" s="65" t="s">
        <v>4754</v>
      </c>
      <c r="N10" s="88" t="s">
        <v>5037</v>
      </c>
      <c r="O10" s="88" t="s">
        <v>5038</v>
      </c>
      <c r="P10" s="88" t="s">
        <v>2503</v>
      </c>
      <c r="Q10" s="65">
        <v>2</v>
      </c>
      <c r="R10" s="65">
        <v>5</v>
      </c>
      <c r="S10" s="65" t="str">
        <f t="shared" si="0"/>
        <v>DA_he_ca_pl_mag</v>
      </c>
      <c r="T10" s="65" t="str">
        <f t="shared" si="1"/>
        <v>/Game/DungeonSiege/Items/Armor/Helm/DA_he_ca_pl_mag</v>
      </c>
      <c r="U10" s="65" t="str">
        <f t="shared" si="2"/>
        <v>Texture2D'/Game/DungeonSiege/art/bitmaps/gui/in_game/inventory/armor/helmet/b_gui_ig_i_a_hlmt_009.b_gui_ig_i_a_hlmt_009'</v>
      </c>
      <c r="V10" s="65" t="s">
        <v>5194</v>
      </c>
    </row>
    <row r="11" spans="1:22" ht="15.75" thickBot="1" x14ac:dyDescent="0.3">
      <c r="A11" s="65">
        <v>9</v>
      </c>
      <c r="B11" s="65">
        <f>HEX2DEC(A11+Items!$A$8)</f>
        <v>19922953</v>
      </c>
      <c r="C11" s="65" t="s">
        <v>4883</v>
      </c>
      <c r="D11" s="65" t="s">
        <v>4974</v>
      </c>
      <c r="E11" s="65" t="s">
        <v>2384</v>
      </c>
      <c r="F11" s="65" t="s">
        <v>4975</v>
      </c>
      <c r="G11" s="65">
        <v>0</v>
      </c>
      <c r="H11" s="65">
        <v>1</v>
      </c>
      <c r="I11" s="65">
        <v>0</v>
      </c>
      <c r="J11" s="65">
        <v>0</v>
      </c>
      <c r="K11" s="65">
        <v>2</v>
      </c>
      <c r="L11" s="65">
        <v>2</v>
      </c>
      <c r="M11" s="65" t="s">
        <v>4755</v>
      </c>
      <c r="N11" s="88" t="s">
        <v>5039</v>
      </c>
      <c r="O11" s="88" t="s">
        <v>5040</v>
      </c>
      <c r="P11" s="88" t="s">
        <v>2514</v>
      </c>
      <c r="Q11" s="65">
        <v>2</v>
      </c>
      <c r="R11" s="65">
        <v>3</v>
      </c>
      <c r="S11" s="65" t="str">
        <f t="shared" si="0"/>
        <v>DA_he_ca_pl_ornage</v>
      </c>
      <c r="T11" s="65" t="str">
        <f t="shared" si="1"/>
        <v>/Game/DungeonSiege/Items/Armor/Helm/DA_he_ca_pl_ornage</v>
      </c>
      <c r="U11" s="65" t="str">
        <f t="shared" si="2"/>
        <v>Texture2D'/Game/DungeonSiege/art/bitmaps/gui/in_game/inventory/armor/helmet/b_gui_ig_i_a_hlmt_012.b_gui_ig_i_a_hlmt_012'</v>
      </c>
      <c r="V11" s="65" t="s">
        <v>5194</v>
      </c>
    </row>
    <row r="12" spans="1:22" ht="15.75" thickBot="1" x14ac:dyDescent="0.3">
      <c r="A12" s="65">
        <v>10</v>
      </c>
      <c r="B12" s="65">
        <f>HEX2DEC(A12+Items!$A$8)</f>
        <v>19922960</v>
      </c>
      <c r="C12" s="65" t="s">
        <v>4884</v>
      </c>
      <c r="D12" s="65" t="s">
        <v>4986</v>
      </c>
      <c r="E12" s="65"/>
      <c r="F12" s="65"/>
      <c r="G12" s="65">
        <v>0</v>
      </c>
      <c r="H12" s="65">
        <v>1</v>
      </c>
      <c r="I12" s="65">
        <v>0</v>
      </c>
      <c r="J12" s="65">
        <v>0</v>
      </c>
      <c r="K12" s="65">
        <v>2</v>
      </c>
      <c r="L12" s="65">
        <v>2</v>
      </c>
      <c r="M12" s="65" t="s">
        <v>4756</v>
      </c>
      <c r="N12" s="88" t="s">
        <v>5041</v>
      </c>
      <c r="O12" s="88" t="s">
        <v>5042</v>
      </c>
      <c r="P12" s="88" t="s">
        <v>2805</v>
      </c>
      <c r="Q12" s="65">
        <v>1</v>
      </c>
      <c r="R12" s="65">
        <v>2</v>
      </c>
      <c r="S12" s="65" t="str">
        <f t="shared" si="0"/>
        <v>DA_he_ca_ro_felt_01</v>
      </c>
      <c r="T12" s="65" t="str">
        <f t="shared" si="1"/>
        <v>/Game/DungeonSiege/Items/Armor/Helm/DA_he_ca_ro_felt_01</v>
      </c>
      <c r="U12" s="65" t="str">
        <f t="shared" si="2"/>
        <v>Texture2D'/Game/DungeonSiege/art/bitmaps/gui/in_game/inventory/armor/helmet/b_gui_ig_i_a_hlmt_038.b_gui_ig_i_a_hlmt_038'</v>
      </c>
      <c r="V12" s="65" t="s">
        <v>5194</v>
      </c>
    </row>
    <row r="13" spans="1:22" ht="15.75" thickBot="1" x14ac:dyDescent="0.3">
      <c r="A13" s="65">
        <v>11</v>
      </c>
      <c r="B13" s="65">
        <f>HEX2DEC(A13+Items!$A$8)</f>
        <v>19922961</v>
      </c>
      <c r="C13" s="65" t="s">
        <v>4884</v>
      </c>
      <c r="D13" s="65" t="s">
        <v>4971</v>
      </c>
      <c r="E13" s="65"/>
      <c r="F13" s="65"/>
      <c r="G13" s="65">
        <v>0</v>
      </c>
      <c r="H13" s="65">
        <v>1</v>
      </c>
      <c r="I13" s="65">
        <v>0</v>
      </c>
      <c r="J13" s="65">
        <v>0</v>
      </c>
      <c r="K13" s="65">
        <v>2</v>
      </c>
      <c r="L13" s="65">
        <v>2</v>
      </c>
      <c r="M13" s="65" t="s">
        <v>4757</v>
      </c>
      <c r="N13" s="88" t="s">
        <v>5043</v>
      </c>
      <c r="O13" s="88" t="s">
        <v>5042</v>
      </c>
      <c r="P13" s="88" t="s">
        <v>4506</v>
      </c>
      <c r="Q13" s="65">
        <v>1</v>
      </c>
      <c r="R13" s="65">
        <v>2</v>
      </c>
      <c r="S13" s="65" t="str">
        <f t="shared" si="0"/>
        <v>DA_he_ca_ro_felt_02</v>
      </c>
      <c r="T13" s="65" t="str">
        <f t="shared" si="1"/>
        <v>/Game/DungeonSiege/Items/Armor/Helm/DA_he_ca_ro_felt_02</v>
      </c>
      <c r="U13" s="65" t="str">
        <f t="shared" si="2"/>
        <v>Texture2D'/Game/DungeonSiege/art/bitmaps/gui/in_game/inventory/armor/helmet/b_gui_ig_i_a_hlmt_075.b_gui_ig_i_a_hlmt_075'</v>
      </c>
      <c r="V13" s="65" t="s">
        <v>5194</v>
      </c>
    </row>
    <row r="14" spans="1:22" ht="15.75" thickBot="1" x14ac:dyDescent="0.3">
      <c r="A14" s="65">
        <v>12</v>
      </c>
      <c r="B14" s="65">
        <f>HEX2DEC(A14+Items!$A$8)</f>
        <v>19922962</v>
      </c>
      <c r="C14" s="65" t="s">
        <v>4884</v>
      </c>
      <c r="D14" s="65" t="s">
        <v>4987</v>
      </c>
      <c r="E14" s="65"/>
      <c r="F14" s="65"/>
      <c r="G14" s="65">
        <v>1</v>
      </c>
      <c r="H14" s="65">
        <v>1</v>
      </c>
      <c r="I14" s="65">
        <v>0</v>
      </c>
      <c r="J14" s="65">
        <v>0</v>
      </c>
      <c r="K14" s="65">
        <v>2</v>
      </c>
      <c r="L14" s="65">
        <v>2</v>
      </c>
      <c r="M14" s="65" t="s">
        <v>4758</v>
      </c>
      <c r="N14" s="88" t="s">
        <v>5044</v>
      </c>
      <c r="O14" s="88" t="s">
        <v>5042</v>
      </c>
      <c r="P14" s="88" t="s">
        <v>2816</v>
      </c>
      <c r="Q14" s="65">
        <v>0</v>
      </c>
      <c r="R14" s="65">
        <v>1</v>
      </c>
      <c r="S14" s="65" t="str">
        <f t="shared" si="0"/>
        <v>DA_he_ca_ro_felt_03</v>
      </c>
      <c r="T14" s="65" t="str">
        <f t="shared" si="1"/>
        <v>/Game/DungeonSiege/Items/Armor/Helm/DA_he_ca_ro_felt_03</v>
      </c>
      <c r="U14" s="65" t="str">
        <f t="shared" si="2"/>
        <v>Texture2D'/Game/DungeonSiege/art/bitmaps/gui/in_game/inventory/armor/helmet/b_gui_ig_i_a_hlmt_076.b_gui_ig_i_a_hlmt_076'</v>
      </c>
      <c r="V14" s="65" t="s">
        <v>5194</v>
      </c>
    </row>
    <row r="15" spans="1:22" ht="15.75" thickBot="1" x14ac:dyDescent="0.3">
      <c r="A15" s="65">
        <v>13</v>
      </c>
      <c r="B15" s="65">
        <f>HEX2DEC(A15+Items!$A$8)</f>
        <v>19922963</v>
      </c>
      <c r="C15" s="65" t="s">
        <v>4884</v>
      </c>
      <c r="D15" s="65" t="s">
        <v>4988</v>
      </c>
      <c r="E15" s="65" t="s">
        <v>2470</v>
      </c>
      <c r="F15" s="65" t="s">
        <v>4989</v>
      </c>
      <c r="G15" s="65">
        <v>0</v>
      </c>
      <c r="H15" s="65">
        <v>1</v>
      </c>
      <c r="I15" s="65">
        <v>0</v>
      </c>
      <c r="J15" s="65">
        <v>0</v>
      </c>
      <c r="K15" s="65">
        <v>2</v>
      </c>
      <c r="L15" s="65">
        <v>2</v>
      </c>
      <c r="M15" s="65" t="s">
        <v>4759</v>
      </c>
      <c r="N15" s="88" t="s">
        <v>5045</v>
      </c>
      <c r="O15" s="88" t="s">
        <v>5042</v>
      </c>
      <c r="P15" s="88" t="s">
        <v>2815</v>
      </c>
      <c r="Q15" s="65">
        <v>2</v>
      </c>
      <c r="R15" s="65">
        <v>3</v>
      </c>
      <c r="S15" s="65" t="str">
        <f t="shared" si="0"/>
        <v>DA_he_ca_ro_felt_04</v>
      </c>
      <c r="T15" s="65" t="str">
        <f t="shared" si="1"/>
        <v>/Game/DungeonSiege/Items/Armor/Helm/DA_he_ca_ro_felt_04</v>
      </c>
      <c r="U15" s="65" t="str">
        <f t="shared" si="2"/>
        <v>Texture2D'/Game/DungeonSiege/art/bitmaps/gui/in_game/inventory/armor/helmet/b_gui_ig_i_a_hlmt_077.b_gui_ig_i_a_hlmt_077'</v>
      </c>
      <c r="V15" s="65" t="s">
        <v>5194</v>
      </c>
    </row>
    <row r="16" spans="1:22" ht="15.75" thickBot="1" x14ac:dyDescent="0.3">
      <c r="A16" s="65">
        <v>14</v>
      </c>
      <c r="B16" s="65">
        <f>HEX2DEC(A16+Items!$A$8)</f>
        <v>19922964</v>
      </c>
      <c r="C16" s="65" t="s">
        <v>4885</v>
      </c>
      <c r="D16" s="65" t="s">
        <v>4974</v>
      </c>
      <c r="E16" s="65" t="s">
        <v>2470</v>
      </c>
      <c r="F16" s="65" t="s">
        <v>4973</v>
      </c>
      <c r="G16" s="65">
        <v>0</v>
      </c>
      <c r="H16" s="65">
        <v>1</v>
      </c>
      <c r="I16" s="65">
        <v>0</v>
      </c>
      <c r="J16" s="65">
        <v>0</v>
      </c>
      <c r="K16" s="65">
        <v>2</v>
      </c>
      <c r="L16" s="65">
        <v>2</v>
      </c>
      <c r="M16" s="65" t="s">
        <v>4760</v>
      </c>
      <c r="N16" s="88" t="s">
        <v>5046</v>
      </c>
      <c r="O16" s="88" t="s">
        <v>5047</v>
      </c>
      <c r="P16" s="88" t="s">
        <v>2517</v>
      </c>
      <c r="Q16" s="65">
        <v>1</v>
      </c>
      <c r="R16" s="65">
        <v>5</v>
      </c>
      <c r="S16" s="65" t="str">
        <f t="shared" si="0"/>
        <v>DA_he_ca_ro_flat_01</v>
      </c>
      <c r="T16" s="65" t="str">
        <f t="shared" si="1"/>
        <v>/Game/DungeonSiege/Items/Armor/Helm/DA_he_ca_ro_flat_01</v>
      </c>
      <c r="U16" s="65" t="str">
        <f t="shared" si="2"/>
        <v>Texture2D'/Game/DungeonSiege/art/bitmaps/gui/in_game/inventory/armor/helmet/b_gui_ig_i_a_hlmt_016.b_gui_ig_i_a_hlmt_016'</v>
      </c>
      <c r="V16" s="65" t="s">
        <v>5194</v>
      </c>
    </row>
    <row r="17" spans="1:22" ht="15.75" thickBot="1" x14ac:dyDescent="0.3">
      <c r="A17" s="65">
        <v>15</v>
      </c>
      <c r="B17" s="65">
        <f>HEX2DEC(A17+Items!$A$8)</f>
        <v>19922965</v>
      </c>
      <c r="C17" s="65" t="s">
        <v>4885</v>
      </c>
      <c r="D17" s="65" t="s">
        <v>4989</v>
      </c>
      <c r="E17" s="65" t="s">
        <v>2470</v>
      </c>
      <c r="F17" s="65" t="s">
        <v>4983</v>
      </c>
      <c r="G17" s="65">
        <v>0</v>
      </c>
      <c r="H17" s="65">
        <v>1</v>
      </c>
      <c r="I17" s="65">
        <v>0</v>
      </c>
      <c r="J17" s="65">
        <v>0</v>
      </c>
      <c r="K17" s="65">
        <v>2</v>
      </c>
      <c r="L17" s="65">
        <v>2</v>
      </c>
      <c r="M17" s="65" t="s">
        <v>4761</v>
      </c>
      <c r="N17" s="88" t="s">
        <v>5048</v>
      </c>
      <c r="O17" s="88" t="s">
        <v>5047</v>
      </c>
      <c r="P17" s="88" t="s">
        <v>4498</v>
      </c>
      <c r="Q17" s="65">
        <v>3</v>
      </c>
      <c r="R17" s="65">
        <v>9</v>
      </c>
      <c r="S17" s="65" t="str">
        <f t="shared" si="0"/>
        <v>DA_he_ca_ro_flat_02</v>
      </c>
      <c r="T17" s="65" t="str">
        <f t="shared" si="1"/>
        <v>/Game/DungeonSiege/Items/Armor/Helm/DA_he_ca_ro_flat_02</v>
      </c>
      <c r="U17" s="65" t="str">
        <f t="shared" si="2"/>
        <v>Texture2D'/Game/DungeonSiege/art/bitmaps/gui/in_game/inventory/armor/helmet/b_gui_ig_i_a_hlmt_066.b_gui_ig_i_a_hlmt_066'</v>
      </c>
      <c r="V17" s="65" t="s">
        <v>5194</v>
      </c>
    </row>
    <row r="18" spans="1:22" ht="15.75" thickBot="1" x14ac:dyDescent="0.3">
      <c r="A18" s="65">
        <v>16</v>
      </c>
      <c r="B18" s="65">
        <f>HEX2DEC(A18+Items!$A$8)</f>
        <v>19922966</v>
      </c>
      <c r="C18" s="65" t="s">
        <v>4885</v>
      </c>
      <c r="D18" s="65" t="s">
        <v>4978</v>
      </c>
      <c r="E18" s="65" t="s">
        <v>2470</v>
      </c>
      <c r="F18" s="65" t="s">
        <v>4990</v>
      </c>
      <c r="G18" s="65">
        <v>0</v>
      </c>
      <c r="H18" s="65">
        <v>1</v>
      </c>
      <c r="I18" s="65">
        <v>0</v>
      </c>
      <c r="J18" s="65">
        <v>0</v>
      </c>
      <c r="K18" s="65">
        <v>2</v>
      </c>
      <c r="L18" s="65">
        <v>2</v>
      </c>
      <c r="M18" s="65" t="s">
        <v>4762</v>
      </c>
      <c r="N18" s="88" t="s">
        <v>5049</v>
      </c>
      <c r="O18" s="88" t="s">
        <v>5047</v>
      </c>
      <c r="P18" s="88" t="s">
        <v>4497</v>
      </c>
      <c r="Q18" s="65">
        <v>5</v>
      </c>
      <c r="R18" s="65">
        <v>12</v>
      </c>
      <c r="S18" s="65" t="str">
        <f t="shared" si="0"/>
        <v>DA_he_ca_ro_flat_03</v>
      </c>
      <c r="T18" s="65" t="str">
        <f t="shared" si="1"/>
        <v>/Game/DungeonSiege/Items/Armor/Helm/DA_he_ca_ro_flat_03</v>
      </c>
      <c r="U18" s="65" t="str">
        <f t="shared" si="2"/>
        <v>Texture2D'/Game/DungeonSiege/art/bitmaps/gui/in_game/inventory/armor/helmet/b_gui_ig_i_a_hlmt_067.b_gui_ig_i_a_hlmt_067'</v>
      </c>
      <c r="V18" s="65" t="s">
        <v>5194</v>
      </c>
    </row>
    <row r="19" spans="1:22" ht="15.75" thickBot="1" x14ac:dyDescent="0.3">
      <c r="A19" s="65">
        <v>17</v>
      </c>
      <c r="B19" s="65">
        <f>HEX2DEC(A19+Items!$A$8)</f>
        <v>19922967</v>
      </c>
      <c r="C19" s="65" t="s">
        <v>4885</v>
      </c>
      <c r="D19" s="65" t="s">
        <v>4991</v>
      </c>
      <c r="E19" s="65" t="s">
        <v>2470</v>
      </c>
      <c r="F19" s="65" t="s">
        <v>4992</v>
      </c>
      <c r="G19" s="65">
        <v>0</v>
      </c>
      <c r="H19" s="65">
        <v>1</v>
      </c>
      <c r="I19" s="65">
        <v>0</v>
      </c>
      <c r="J19" s="65">
        <v>0</v>
      </c>
      <c r="K19" s="65">
        <v>2</v>
      </c>
      <c r="L19" s="65">
        <v>2</v>
      </c>
      <c r="M19" s="65" t="s">
        <v>4763</v>
      </c>
      <c r="N19" s="88" t="s">
        <v>5050</v>
      </c>
      <c r="O19" s="88" t="s">
        <v>5047</v>
      </c>
      <c r="P19" s="88" t="s">
        <v>4499</v>
      </c>
      <c r="Q19" s="65">
        <v>8</v>
      </c>
      <c r="R19" s="65">
        <v>14</v>
      </c>
      <c r="S19" s="65" t="str">
        <f t="shared" si="0"/>
        <v>DA_he_ca_ro_flat_04</v>
      </c>
      <c r="T19" s="65" t="str">
        <f t="shared" si="1"/>
        <v>/Game/DungeonSiege/Items/Armor/Helm/DA_he_ca_ro_flat_04</v>
      </c>
      <c r="U19" s="65" t="str">
        <f t="shared" si="2"/>
        <v>Texture2D'/Game/DungeonSiege/art/bitmaps/gui/in_game/inventory/armor/helmet/b_gui_ig_i_a_hlmt_068.b_gui_ig_i_a_hlmt_068'</v>
      </c>
      <c r="V19" s="65" t="s">
        <v>5194</v>
      </c>
    </row>
    <row r="20" spans="1:22" ht="15.75" thickBot="1" x14ac:dyDescent="0.3">
      <c r="A20" s="65">
        <v>18</v>
      </c>
      <c r="B20" s="65">
        <f>HEX2DEC(A20+Items!$A$8)</f>
        <v>19922968</v>
      </c>
      <c r="C20" s="65" t="s">
        <v>4886</v>
      </c>
      <c r="D20" s="65" t="s">
        <v>4987</v>
      </c>
      <c r="E20" s="65"/>
      <c r="F20" s="65"/>
      <c r="G20" s="65">
        <v>0</v>
      </c>
      <c r="H20" s="65">
        <v>1</v>
      </c>
      <c r="I20" s="65">
        <v>0</v>
      </c>
      <c r="J20" s="65">
        <v>0</v>
      </c>
      <c r="K20" s="65">
        <v>2</v>
      </c>
      <c r="L20" s="65">
        <v>2</v>
      </c>
      <c r="M20" s="65" t="s">
        <v>4764</v>
      </c>
      <c r="N20" s="88" t="s">
        <v>5051</v>
      </c>
      <c r="O20" s="88" t="s">
        <v>5052</v>
      </c>
      <c r="P20" s="88" t="s">
        <v>2803</v>
      </c>
      <c r="Q20" s="65">
        <v>2</v>
      </c>
      <c r="R20" s="65">
        <v>6</v>
      </c>
      <c r="S20" s="65" t="str">
        <f t="shared" si="0"/>
        <v>DA_he_ca_ro_gemblue</v>
      </c>
      <c r="T20" s="65" t="str">
        <f t="shared" si="1"/>
        <v>/Game/DungeonSiege/Items/Armor/Helm/DA_he_ca_ro_gemblue</v>
      </c>
      <c r="U20" s="65" t="str">
        <f t="shared" si="2"/>
        <v>Texture2D'/Game/DungeonSiege/art/bitmaps/gui/in_game/inventory/armor/helmet/b_gui_ig_i_a_hlmt_037.b_gui_ig_i_a_hlmt_037'</v>
      </c>
      <c r="V20" s="65" t="s">
        <v>5194</v>
      </c>
    </row>
    <row r="21" spans="1:22" ht="15.75" thickBot="1" x14ac:dyDescent="0.3">
      <c r="A21" s="65">
        <v>19</v>
      </c>
      <c r="B21" s="65">
        <f>HEX2DEC(A21+Items!$A$8)</f>
        <v>19922969</v>
      </c>
      <c r="C21" s="65" t="s">
        <v>4887</v>
      </c>
      <c r="D21" s="65" t="s">
        <v>4987</v>
      </c>
      <c r="E21" s="65"/>
      <c r="F21" s="65"/>
      <c r="G21" s="65">
        <v>0</v>
      </c>
      <c r="H21" s="65">
        <v>1</v>
      </c>
      <c r="I21" s="65">
        <v>0</v>
      </c>
      <c r="J21" s="65">
        <v>0</v>
      </c>
      <c r="K21" s="65">
        <v>2</v>
      </c>
      <c r="L21" s="65">
        <v>2</v>
      </c>
      <c r="M21" s="65" t="s">
        <v>4765</v>
      </c>
      <c r="N21" s="88" t="s">
        <v>5041</v>
      </c>
      <c r="O21" s="88" t="s">
        <v>5042</v>
      </c>
      <c r="P21" s="88" t="s">
        <v>2805</v>
      </c>
      <c r="Q21" s="65">
        <v>2</v>
      </c>
      <c r="R21" s="65">
        <v>6</v>
      </c>
      <c r="S21" s="65" t="str">
        <f t="shared" si="0"/>
        <v>DA_he_ca_ro_green</v>
      </c>
      <c r="T21" s="65" t="str">
        <f t="shared" si="1"/>
        <v>/Game/DungeonSiege/Items/Armor/Helm/DA_he_ca_ro_green</v>
      </c>
      <c r="U21" s="65" t="str">
        <f t="shared" si="2"/>
        <v>Texture2D'/Game/DungeonSiege/art/bitmaps/gui/in_game/inventory/armor/helmet/b_gui_ig_i_a_hlmt_038.b_gui_ig_i_a_hlmt_038'</v>
      </c>
      <c r="V21" s="65" t="s">
        <v>5194</v>
      </c>
    </row>
    <row r="22" spans="1:22" ht="15.75" thickBot="1" x14ac:dyDescent="0.3">
      <c r="A22" s="65">
        <v>20</v>
      </c>
      <c r="B22" s="65">
        <f>HEX2DEC(A22+Items!$A$8)</f>
        <v>19922976</v>
      </c>
      <c r="C22" s="65" t="s">
        <v>4888</v>
      </c>
      <c r="D22" s="65" t="s">
        <v>4986</v>
      </c>
      <c r="E22" s="65"/>
      <c r="F22" s="65"/>
      <c r="G22" s="65">
        <v>0</v>
      </c>
      <c r="H22" s="65">
        <v>1</v>
      </c>
      <c r="I22" s="65">
        <v>0</v>
      </c>
      <c r="J22" s="65">
        <v>0</v>
      </c>
      <c r="K22" s="65">
        <v>2</v>
      </c>
      <c r="L22" s="65">
        <v>2</v>
      </c>
      <c r="M22" s="65" t="s">
        <v>4766</v>
      </c>
      <c r="N22" s="88" t="s">
        <v>5053</v>
      </c>
      <c r="O22" s="88" t="s">
        <v>5054</v>
      </c>
      <c r="P22" s="88" t="s">
        <v>2784</v>
      </c>
      <c r="Q22" s="65">
        <v>1</v>
      </c>
      <c r="R22" s="65">
        <v>2</v>
      </c>
      <c r="S22" s="65" t="str">
        <f t="shared" si="0"/>
        <v>DA_he_ca_ro_slope_01</v>
      </c>
      <c r="T22" s="65" t="str">
        <f t="shared" si="1"/>
        <v>/Game/DungeonSiege/Items/Armor/Helm/DA_he_ca_ro_slope_01</v>
      </c>
      <c r="U22" s="65" t="str">
        <f t="shared" si="2"/>
        <v>Texture2D'/Game/DungeonSiege/art/bitmaps/gui/in_game/inventory/armor/helmet/b_gui_ig_i_a_hlmt_035.b_gui_ig_i_a_hlmt_035'</v>
      </c>
      <c r="V22" s="65" t="s">
        <v>5194</v>
      </c>
    </row>
    <row r="23" spans="1:22" ht="15.75" thickBot="1" x14ac:dyDescent="0.3">
      <c r="A23" s="65">
        <v>21</v>
      </c>
      <c r="B23" s="65">
        <f>HEX2DEC(A23+Items!$A$8)</f>
        <v>19922977</v>
      </c>
      <c r="C23" s="65" t="s">
        <v>4888</v>
      </c>
      <c r="D23" s="65" t="s">
        <v>4971</v>
      </c>
      <c r="E23" s="65"/>
      <c r="F23" s="65"/>
      <c r="G23" s="65">
        <v>1</v>
      </c>
      <c r="H23" s="65">
        <v>1</v>
      </c>
      <c r="I23" s="65">
        <v>0</v>
      </c>
      <c r="J23" s="65">
        <v>0</v>
      </c>
      <c r="K23" s="65">
        <v>2</v>
      </c>
      <c r="L23" s="65">
        <v>2</v>
      </c>
      <c r="M23" s="65" t="s">
        <v>4767</v>
      </c>
      <c r="N23" s="88" t="s">
        <v>5055</v>
      </c>
      <c r="O23" s="88" t="s">
        <v>5054</v>
      </c>
      <c r="P23" s="88" t="s">
        <v>2826</v>
      </c>
      <c r="Q23" s="65">
        <v>0</v>
      </c>
      <c r="R23" s="65">
        <v>1</v>
      </c>
      <c r="S23" s="65" t="str">
        <f t="shared" si="0"/>
        <v>DA_he_ca_ro_slope_02</v>
      </c>
      <c r="T23" s="65" t="str">
        <f t="shared" si="1"/>
        <v>/Game/DungeonSiege/Items/Armor/Helm/DA_he_ca_ro_slope_02</v>
      </c>
      <c r="U23" s="65" t="str">
        <f t="shared" si="2"/>
        <v>Texture2D'/Game/DungeonSiege/art/bitmaps/gui/in_game/inventory/armor/helmet/b_gui_ig_i_a_hlmt_078.b_gui_ig_i_a_hlmt_078'</v>
      </c>
      <c r="V23" s="65" t="s">
        <v>5194</v>
      </c>
    </row>
    <row r="24" spans="1:22" ht="15.75" thickBot="1" x14ac:dyDescent="0.3">
      <c r="A24" s="65">
        <v>22</v>
      </c>
      <c r="B24" s="65">
        <f>HEX2DEC(A24+Items!$A$8)</f>
        <v>19922978</v>
      </c>
      <c r="C24" s="65" t="s">
        <v>4888</v>
      </c>
      <c r="D24" s="65" t="s">
        <v>4987</v>
      </c>
      <c r="E24" s="65"/>
      <c r="F24" s="65"/>
      <c r="G24" s="65">
        <v>1</v>
      </c>
      <c r="H24" s="65">
        <v>0</v>
      </c>
      <c r="I24" s="65">
        <v>0</v>
      </c>
      <c r="J24" s="65">
        <v>0</v>
      </c>
      <c r="K24" s="65">
        <v>2</v>
      </c>
      <c r="L24" s="65">
        <v>2</v>
      </c>
      <c r="M24" s="65" t="s">
        <v>4768</v>
      </c>
      <c r="N24" s="88" t="s">
        <v>5056</v>
      </c>
      <c r="O24" s="88" t="s">
        <v>5054</v>
      </c>
      <c r="P24" s="88" t="s">
        <v>4488</v>
      </c>
      <c r="Q24" s="65"/>
      <c r="R24" s="65"/>
      <c r="S24" s="65" t="str">
        <f t="shared" si="0"/>
        <v>DA_he_ca_ro_slope_03</v>
      </c>
      <c r="T24" s="65" t="str">
        <f t="shared" si="1"/>
        <v>/Game/DungeonSiege/Items/Armor/Helm/DA_he_ca_ro_slope_03</v>
      </c>
      <c r="U24" s="65" t="str">
        <f t="shared" si="2"/>
        <v>Texture2D'/Game/DungeonSiege/art/bitmaps/gui/in_game/inventory/armor/helmet/b_gui_ig_i_a_hlmt_079.b_gui_ig_i_a_hlmt_079'</v>
      </c>
      <c r="V24" s="65" t="s">
        <v>5194</v>
      </c>
    </row>
    <row r="25" spans="1:22" ht="15.75" thickBot="1" x14ac:dyDescent="0.3">
      <c r="A25" s="65">
        <v>23</v>
      </c>
      <c r="B25" s="65">
        <f>HEX2DEC(A25+Items!$A$8)</f>
        <v>19922979</v>
      </c>
      <c r="C25" s="65" t="s">
        <v>4888</v>
      </c>
      <c r="D25" s="65" t="s">
        <v>4988</v>
      </c>
      <c r="E25" s="65" t="s">
        <v>2470</v>
      </c>
      <c r="F25" s="65" t="s">
        <v>4989</v>
      </c>
      <c r="G25" s="65">
        <v>0</v>
      </c>
      <c r="H25" s="65">
        <v>1</v>
      </c>
      <c r="I25" s="65">
        <v>0</v>
      </c>
      <c r="J25" s="65">
        <v>0</v>
      </c>
      <c r="K25" s="65">
        <v>2</v>
      </c>
      <c r="L25" s="65">
        <v>2</v>
      </c>
      <c r="M25" s="65" t="s">
        <v>4769</v>
      </c>
      <c r="N25" s="88" t="s">
        <v>5057</v>
      </c>
      <c r="O25" s="88" t="s">
        <v>5054</v>
      </c>
      <c r="P25" s="88" t="s">
        <v>4490</v>
      </c>
      <c r="Q25" s="65">
        <v>1</v>
      </c>
      <c r="R25" s="65">
        <v>3</v>
      </c>
      <c r="S25" s="65" t="str">
        <f t="shared" si="0"/>
        <v>DA_he_ca_ro_slope_04</v>
      </c>
      <c r="T25" s="65" t="str">
        <f t="shared" si="1"/>
        <v>/Game/DungeonSiege/Items/Armor/Helm/DA_he_ca_ro_slope_04</v>
      </c>
      <c r="U25" s="65" t="str">
        <f t="shared" si="2"/>
        <v>Texture2D'/Game/DungeonSiege/art/bitmaps/gui/in_game/inventory/armor/helmet/b_gui_ig_i_a_hlmt_080.b_gui_ig_i_a_hlmt_080'</v>
      </c>
      <c r="V25" s="65" t="s">
        <v>5194</v>
      </c>
    </row>
    <row r="26" spans="1:22" ht="15.75" thickBot="1" x14ac:dyDescent="0.3">
      <c r="A26" s="65">
        <v>24</v>
      </c>
      <c r="B26" s="65">
        <f>HEX2DEC(A26+Items!$A$8)</f>
        <v>19922980</v>
      </c>
      <c r="C26" s="65" t="s">
        <v>4889</v>
      </c>
      <c r="D26" s="65" t="s">
        <v>4988</v>
      </c>
      <c r="E26" s="65" t="s">
        <v>2470</v>
      </c>
      <c r="F26" s="65" t="s">
        <v>4982</v>
      </c>
      <c r="G26" s="65">
        <v>0</v>
      </c>
      <c r="H26" s="65">
        <v>1</v>
      </c>
      <c r="I26" s="65">
        <v>0</v>
      </c>
      <c r="J26" s="65">
        <v>0</v>
      </c>
      <c r="K26" s="65">
        <v>2</v>
      </c>
      <c r="L26" s="65">
        <v>2</v>
      </c>
      <c r="M26" s="65" t="s">
        <v>4770</v>
      </c>
      <c r="N26" s="88" t="s">
        <v>5058</v>
      </c>
      <c r="O26" s="88" t="s">
        <v>5059</v>
      </c>
      <c r="P26" s="88" t="s">
        <v>2511</v>
      </c>
      <c r="Q26" s="65">
        <v>2</v>
      </c>
      <c r="R26" s="65">
        <v>5</v>
      </c>
      <c r="S26" s="65" t="str">
        <f t="shared" si="0"/>
        <v>DA_he_ca_ro_thin_01</v>
      </c>
      <c r="T26" s="65" t="str">
        <f t="shared" si="1"/>
        <v>/Game/DungeonSiege/Items/Armor/Helm/DA_he_ca_ro_thin_01</v>
      </c>
      <c r="U26" s="65" t="str">
        <f t="shared" si="2"/>
        <v>Texture2D'/Game/DungeonSiege/art/bitmaps/gui/in_game/inventory/armor/helmet/b_gui_ig_i_a_hlmt_008.b_gui_ig_i_a_hlmt_008'</v>
      </c>
      <c r="V26" s="65" t="s">
        <v>5194</v>
      </c>
    </row>
    <row r="27" spans="1:22" ht="15.75" thickBot="1" x14ac:dyDescent="0.3">
      <c r="A27" s="65">
        <v>25</v>
      </c>
      <c r="B27" s="65">
        <f>HEX2DEC(A27+Items!$A$8)</f>
        <v>19922981</v>
      </c>
      <c r="C27" s="65" t="s">
        <v>4889</v>
      </c>
      <c r="D27" s="65" t="s">
        <v>4971</v>
      </c>
      <c r="E27" s="65"/>
      <c r="F27" s="65"/>
      <c r="G27" s="65">
        <v>1</v>
      </c>
      <c r="H27" s="65">
        <v>1</v>
      </c>
      <c r="I27" s="65">
        <v>0</v>
      </c>
      <c r="J27" s="65">
        <v>0</v>
      </c>
      <c r="K27" s="65">
        <v>2</v>
      </c>
      <c r="L27" s="65">
        <v>2</v>
      </c>
      <c r="M27" s="65" t="s">
        <v>4771</v>
      </c>
      <c r="N27" s="88" t="s">
        <v>5060</v>
      </c>
      <c r="O27" s="88" t="s">
        <v>5059</v>
      </c>
      <c r="P27" s="88" t="s">
        <v>4508</v>
      </c>
      <c r="Q27" s="65">
        <v>0</v>
      </c>
      <c r="R27" s="65">
        <v>1</v>
      </c>
      <c r="S27" s="65" t="str">
        <f t="shared" si="0"/>
        <v>DA_he_ca_ro_thin_02</v>
      </c>
      <c r="T27" s="65" t="str">
        <f t="shared" si="1"/>
        <v>/Game/DungeonSiege/Items/Armor/Helm/DA_he_ca_ro_thin_02</v>
      </c>
      <c r="U27" s="65" t="str">
        <f t="shared" si="2"/>
        <v>Texture2D'/Game/DungeonSiege/art/bitmaps/gui/in_game/inventory/armor/helmet/b_gui_ig_i_a_hlmt_060.b_gui_ig_i_a_hlmt_060'</v>
      </c>
      <c r="V27" s="65" t="s">
        <v>5194</v>
      </c>
    </row>
    <row r="28" spans="1:22" ht="15.75" thickBot="1" x14ac:dyDescent="0.3">
      <c r="A28" s="65">
        <v>26</v>
      </c>
      <c r="B28" s="65">
        <f>HEX2DEC(A28+Items!$A$8)</f>
        <v>19922982</v>
      </c>
      <c r="C28" s="65" t="s">
        <v>4889</v>
      </c>
      <c r="D28" s="65" t="s">
        <v>4986</v>
      </c>
      <c r="E28" s="65"/>
      <c r="F28" s="65"/>
      <c r="G28" s="65">
        <v>0</v>
      </c>
      <c r="H28" s="65">
        <v>1</v>
      </c>
      <c r="I28" s="65">
        <v>0</v>
      </c>
      <c r="J28" s="65">
        <v>0</v>
      </c>
      <c r="K28" s="65">
        <v>2</v>
      </c>
      <c r="L28" s="65">
        <v>2</v>
      </c>
      <c r="M28" s="65" t="s">
        <v>4772</v>
      </c>
      <c r="N28" s="88" t="s">
        <v>5061</v>
      </c>
      <c r="O28" s="88" t="s">
        <v>5059</v>
      </c>
      <c r="P28" s="88" t="s">
        <v>4510</v>
      </c>
      <c r="Q28" s="65">
        <v>1</v>
      </c>
      <c r="R28" s="65">
        <v>2</v>
      </c>
      <c r="S28" s="65" t="str">
        <f t="shared" si="0"/>
        <v>DA_he_ca_ro_thin_03</v>
      </c>
      <c r="T28" s="65" t="str">
        <f t="shared" si="1"/>
        <v>/Game/DungeonSiege/Items/Armor/Helm/DA_he_ca_ro_thin_03</v>
      </c>
      <c r="U28" s="65" t="str">
        <f t="shared" si="2"/>
        <v>Texture2D'/Game/DungeonSiege/art/bitmaps/gui/in_game/inventory/armor/helmet/b_gui_ig_i_a_hlmt_061.b_gui_ig_i_a_hlmt_061'</v>
      </c>
      <c r="V28" s="65" t="s">
        <v>5194</v>
      </c>
    </row>
    <row r="29" spans="1:22" ht="15.75" thickBot="1" x14ac:dyDescent="0.3">
      <c r="A29" s="65">
        <v>27</v>
      </c>
      <c r="B29" s="65">
        <f>HEX2DEC(A29+Items!$A$8)</f>
        <v>19922983</v>
      </c>
      <c r="C29" s="65" t="s">
        <v>4889</v>
      </c>
      <c r="D29" s="65" t="s">
        <v>4987</v>
      </c>
      <c r="E29" s="65"/>
      <c r="F29" s="65"/>
      <c r="G29" s="65">
        <v>1</v>
      </c>
      <c r="H29" s="65">
        <v>0</v>
      </c>
      <c r="I29" s="65">
        <v>0</v>
      </c>
      <c r="J29" s="65">
        <v>0</v>
      </c>
      <c r="K29" s="65">
        <v>2</v>
      </c>
      <c r="L29" s="65">
        <v>2</v>
      </c>
      <c r="M29" s="65" t="s">
        <v>4773</v>
      </c>
      <c r="N29" s="88" t="s">
        <v>5062</v>
      </c>
      <c r="O29" s="88" t="s">
        <v>5059</v>
      </c>
      <c r="P29" s="88" t="s">
        <v>4511</v>
      </c>
      <c r="Q29" s="65"/>
      <c r="R29" s="65"/>
      <c r="S29" s="65" t="str">
        <f t="shared" si="0"/>
        <v>DA_he_ca_ro_thin_04</v>
      </c>
      <c r="T29" s="65" t="str">
        <f t="shared" si="1"/>
        <v>/Game/DungeonSiege/Items/Armor/Helm/DA_he_ca_ro_thin_04</v>
      </c>
      <c r="U29" s="65" t="str">
        <f t="shared" si="2"/>
        <v>Texture2D'/Game/DungeonSiege/art/bitmaps/gui/in_game/inventory/armor/helmet/b_gui_ig_i_a_hlmt_062.b_gui_ig_i_a_hlmt_062'</v>
      </c>
      <c r="V29" s="65" t="s">
        <v>5194</v>
      </c>
    </row>
    <row r="30" spans="1:22" ht="15.75" thickBot="1" x14ac:dyDescent="0.3">
      <c r="A30" s="65">
        <v>28</v>
      </c>
      <c r="B30" s="65">
        <f>HEX2DEC(A30+Items!$A$8)</f>
        <v>19922984</v>
      </c>
      <c r="C30" s="65" t="s">
        <v>4890</v>
      </c>
      <c r="D30" s="65" t="s">
        <v>4988</v>
      </c>
      <c r="E30" s="65" t="s">
        <v>2470</v>
      </c>
      <c r="F30" s="65" t="s">
        <v>4982</v>
      </c>
      <c r="G30" s="65">
        <v>1</v>
      </c>
      <c r="H30" s="65">
        <v>1</v>
      </c>
      <c r="I30" s="65">
        <v>0</v>
      </c>
      <c r="J30" s="65">
        <v>0</v>
      </c>
      <c r="K30" s="65">
        <v>2</v>
      </c>
      <c r="L30" s="65">
        <v>2</v>
      </c>
      <c r="M30" s="65" t="s">
        <v>4774</v>
      </c>
      <c r="N30" s="88" t="s">
        <v>5051</v>
      </c>
      <c r="O30" s="88" t="s">
        <v>5052</v>
      </c>
      <c r="P30" s="88" t="s">
        <v>2803</v>
      </c>
      <c r="Q30" s="65">
        <v>0</v>
      </c>
      <c r="R30" s="65">
        <v>3</v>
      </c>
      <c r="S30" s="65" t="str">
        <f t="shared" si="0"/>
        <v>DA_he_ca_ro_turban_01</v>
      </c>
      <c r="T30" s="65" t="str">
        <f t="shared" si="1"/>
        <v>/Game/DungeonSiege/Items/Armor/Helm/DA_he_ca_ro_turban_01</v>
      </c>
      <c r="U30" s="65" t="str">
        <f t="shared" si="2"/>
        <v>Texture2D'/Game/DungeonSiege/art/bitmaps/gui/in_game/inventory/armor/helmet/b_gui_ig_i_a_hlmt_037.b_gui_ig_i_a_hlmt_037'</v>
      </c>
      <c r="V30" s="65" t="s">
        <v>5194</v>
      </c>
    </row>
    <row r="31" spans="1:22" ht="15.75" thickBot="1" x14ac:dyDescent="0.3">
      <c r="A31" s="65">
        <v>29</v>
      </c>
      <c r="B31" s="65">
        <f>HEX2DEC(A31+Items!$A$8)</f>
        <v>19922985</v>
      </c>
      <c r="C31" s="65" t="s">
        <v>4890</v>
      </c>
      <c r="D31" s="65" t="s">
        <v>4981</v>
      </c>
      <c r="E31" s="65" t="s">
        <v>2470</v>
      </c>
      <c r="F31" s="65" t="s">
        <v>4978</v>
      </c>
      <c r="G31" s="65">
        <v>0</v>
      </c>
      <c r="H31" s="65">
        <v>1</v>
      </c>
      <c r="I31" s="65">
        <v>0</v>
      </c>
      <c r="J31" s="65">
        <v>0</v>
      </c>
      <c r="K31" s="65">
        <v>2</v>
      </c>
      <c r="L31" s="65">
        <v>2</v>
      </c>
      <c r="M31" s="65" t="s">
        <v>4775</v>
      </c>
      <c r="N31" s="88" t="s">
        <v>5063</v>
      </c>
      <c r="O31" s="88" t="s">
        <v>5052</v>
      </c>
      <c r="P31" s="88" t="s">
        <v>4513</v>
      </c>
      <c r="Q31" s="65">
        <v>1</v>
      </c>
      <c r="R31" s="65">
        <v>4</v>
      </c>
      <c r="S31" s="65" t="str">
        <f t="shared" si="0"/>
        <v>DA_he_ca_ro_turban_02</v>
      </c>
      <c r="T31" s="65" t="str">
        <f t="shared" si="1"/>
        <v>/Game/DungeonSiege/Items/Armor/Helm/DA_he_ca_ro_turban_02</v>
      </c>
      <c r="U31" s="65" t="str">
        <f t="shared" si="2"/>
        <v>Texture2D'/Game/DungeonSiege/art/bitmaps/gui/in_game/inventory/armor/helmet/b_gui_ig_i_a_hlmt_063.b_gui_ig_i_a_hlmt_063'</v>
      </c>
      <c r="V31" s="65" t="s">
        <v>5194</v>
      </c>
    </row>
    <row r="32" spans="1:22" ht="15.75" thickBot="1" x14ac:dyDescent="0.3">
      <c r="A32" s="65">
        <v>30</v>
      </c>
      <c r="B32" s="65">
        <f>HEX2DEC(A32+Items!$A$8)</f>
        <v>19922992</v>
      </c>
      <c r="C32" s="65" t="s">
        <v>4890</v>
      </c>
      <c r="D32" s="65" t="s">
        <v>4993</v>
      </c>
      <c r="E32" s="65" t="s">
        <v>2470</v>
      </c>
      <c r="F32" s="65" t="s">
        <v>4978</v>
      </c>
      <c r="G32" s="65">
        <v>0</v>
      </c>
      <c r="H32" s="65">
        <v>1</v>
      </c>
      <c r="I32" s="65">
        <v>0</v>
      </c>
      <c r="J32" s="65">
        <v>0</v>
      </c>
      <c r="K32" s="65">
        <v>2</v>
      </c>
      <c r="L32" s="65">
        <v>2</v>
      </c>
      <c r="M32" s="65" t="s">
        <v>4776</v>
      </c>
      <c r="N32" s="88" t="s">
        <v>5064</v>
      </c>
      <c r="O32" s="88" t="s">
        <v>5052</v>
      </c>
      <c r="P32" s="88" t="s">
        <v>4512</v>
      </c>
      <c r="Q32" s="65">
        <v>2</v>
      </c>
      <c r="R32" s="65">
        <v>5</v>
      </c>
      <c r="S32" s="65" t="str">
        <f t="shared" si="0"/>
        <v>DA_he_ca_ro_turban_03</v>
      </c>
      <c r="T32" s="65" t="str">
        <f t="shared" si="1"/>
        <v>/Game/DungeonSiege/Items/Armor/Helm/DA_he_ca_ro_turban_03</v>
      </c>
      <c r="U32" s="65" t="str">
        <f t="shared" si="2"/>
        <v>Texture2D'/Game/DungeonSiege/art/bitmaps/gui/in_game/inventory/armor/helmet/b_gui_ig_i_a_hlmt_064.b_gui_ig_i_a_hlmt_064'</v>
      </c>
      <c r="V32" s="65" t="s">
        <v>5194</v>
      </c>
    </row>
    <row r="33" spans="1:22" ht="15.75" thickBot="1" x14ac:dyDescent="0.3">
      <c r="A33" s="65">
        <v>31</v>
      </c>
      <c r="B33" s="65">
        <f>HEX2DEC(A33+Items!$A$8)</f>
        <v>19922993</v>
      </c>
      <c r="C33" s="65" t="s">
        <v>4890</v>
      </c>
      <c r="D33" s="65" t="s">
        <v>4977</v>
      </c>
      <c r="E33" s="65" t="s">
        <v>2470</v>
      </c>
      <c r="F33" s="65" t="s">
        <v>4991</v>
      </c>
      <c r="G33" s="65">
        <v>0</v>
      </c>
      <c r="H33" s="65">
        <v>1</v>
      </c>
      <c r="I33" s="65">
        <v>0</v>
      </c>
      <c r="J33" s="65">
        <v>0</v>
      </c>
      <c r="K33" s="65">
        <v>2</v>
      </c>
      <c r="L33" s="65">
        <v>2</v>
      </c>
      <c r="M33" s="65" t="s">
        <v>4777</v>
      </c>
      <c r="N33" s="88" t="s">
        <v>5065</v>
      </c>
      <c r="O33" s="88" t="s">
        <v>5052</v>
      </c>
      <c r="P33" s="88" t="s">
        <v>4496</v>
      </c>
      <c r="Q33" s="65">
        <v>3</v>
      </c>
      <c r="R33" s="65">
        <v>6</v>
      </c>
      <c r="S33" s="65" t="str">
        <f t="shared" si="0"/>
        <v>DA_he_ca_ro_turban_04</v>
      </c>
      <c r="T33" s="65" t="str">
        <f t="shared" si="1"/>
        <v>/Game/DungeonSiege/Items/Armor/Helm/DA_he_ca_ro_turban_04</v>
      </c>
      <c r="U33" s="65" t="str">
        <f t="shared" si="2"/>
        <v>Texture2D'/Game/DungeonSiege/art/bitmaps/gui/in_game/inventory/armor/helmet/b_gui_ig_i_a_hlmt_065.b_gui_ig_i_a_hlmt_065'</v>
      </c>
      <c r="V33" s="65" t="s">
        <v>5194</v>
      </c>
    </row>
    <row r="34" spans="1:22" ht="15.75" thickBot="1" x14ac:dyDescent="0.3">
      <c r="A34" s="65">
        <v>32</v>
      </c>
      <c r="B34" s="65">
        <f>HEX2DEC(A34+Items!$A$8)</f>
        <v>19922994</v>
      </c>
      <c r="C34" s="65" t="s">
        <v>4891</v>
      </c>
      <c r="D34" s="65" t="s">
        <v>4988</v>
      </c>
      <c r="E34" s="65" t="s">
        <v>2470</v>
      </c>
      <c r="F34" s="65" t="s">
        <v>4989</v>
      </c>
      <c r="G34" s="65">
        <v>1</v>
      </c>
      <c r="H34" s="65">
        <v>1</v>
      </c>
      <c r="I34" s="65">
        <v>0</v>
      </c>
      <c r="J34" s="65">
        <v>0</v>
      </c>
      <c r="K34" s="65">
        <v>2</v>
      </c>
      <c r="L34" s="65">
        <v>2</v>
      </c>
      <c r="M34" s="65" t="s">
        <v>4778</v>
      </c>
      <c r="N34" s="88" t="s">
        <v>5066</v>
      </c>
      <c r="O34" s="88" t="s">
        <v>5067</v>
      </c>
      <c r="P34" s="88" t="s">
        <v>2512</v>
      </c>
      <c r="Q34" s="65">
        <v>0</v>
      </c>
      <c r="R34" s="65">
        <v>1</v>
      </c>
      <c r="S34" s="65" t="str">
        <f t="shared" si="0"/>
        <v>DA_he_ca_ro_wizard_01</v>
      </c>
      <c r="T34" s="65" t="str">
        <f t="shared" si="1"/>
        <v>/Game/DungeonSiege/Items/Armor/Helm/DA_he_ca_ro_wizard_01</v>
      </c>
      <c r="U34" s="65" t="str">
        <f t="shared" si="2"/>
        <v>Texture2D'/Game/DungeonSiege/art/bitmaps/gui/in_game/inventory/armor/helmet/b_gui_ig_i_a_hlmt_010.b_gui_ig_i_a_hlmt_010'</v>
      </c>
      <c r="V34" s="65" t="s">
        <v>5194</v>
      </c>
    </row>
    <row r="35" spans="1:22" ht="15.75" thickBot="1" x14ac:dyDescent="0.3">
      <c r="A35" s="65">
        <v>33</v>
      </c>
      <c r="B35" s="65">
        <f>HEX2DEC(A35+Items!$A$8)</f>
        <v>19922995</v>
      </c>
      <c r="C35" s="65" t="s">
        <v>4891</v>
      </c>
      <c r="D35" s="65" t="s">
        <v>4981</v>
      </c>
      <c r="E35" s="65" t="s">
        <v>2470</v>
      </c>
      <c r="F35" s="65" t="s">
        <v>4978</v>
      </c>
      <c r="G35" s="65">
        <v>1</v>
      </c>
      <c r="H35" s="65">
        <v>1</v>
      </c>
      <c r="I35" s="65">
        <v>0</v>
      </c>
      <c r="J35" s="65">
        <v>0</v>
      </c>
      <c r="K35" s="65">
        <v>2</v>
      </c>
      <c r="L35" s="65">
        <v>2</v>
      </c>
      <c r="M35" s="65" t="s">
        <v>4779</v>
      </c>
      <c r="N35" s="88" t="s">
        <v>5068</v>
      </c>
      <c r="O35" s="88" t="s">
        <v>5067</v>
      </c>
      <c r="P35" s="88" t="s">
        <v>2811</v>
      </c>
      <c r="Q35" s="65">
        <v>0</v>
      </c>
      <c r="R35" s="65">
        <v>3</v>
      </c>
      <c r="S35" s="65" t="str">
        <f t="shared" si="0"/>
        <v>DA_he_ca_ro_wizard_02</v>
      </c>
      <c r="T35" s="65" t="str">
        <f t="shared" si="1"/>
        <v>/Game/DungeonSiege/Items/Armor/Helm/DA_he_ca_ro_wizard_02</v>
      </c>
      <c r="U35" s="65" t="str">
        <f t="shared" si="2"/>
        <v>Texture2D'/Game/DungeonSiege/art/bitmaps/gui/in_game/inventory/armor/helmet/b_gui_ig_i_a_hlmt_055.b_gui_ig_i_a_hlmt_055'</v>
      </c>
      <c r="V35" s="65" t="s">
        <v>5194</v>
      </c>
    </row>
    <row r="36" spans="1:22" ht="15.75" thickBot="1" x14ac:dyDescent="0.3">
      <c r="A36" s="65">
        <v>34</v>
      </c>
      <c r="B36" s="65">
        <f>HEX2DEC(A36+Items!$A$8)</f>
        <v>19922996</v>
      </c>
      <c r="C36" s="65" t="s">
        <v>4891</v>
      </c>
      <c r="D36" s="65" t="s">
        <v>4993</v>
      </c>
      <c r="E36" s="65" t="s">
        <v>2470</v>
      </c>
      <c r="F36" s="65" t="s">
        <v>4978</v>
      </c>
      <c r="G36" s="65">
        <v>0</v>
      </c>
      <c r="H36" s="65">
        <v>1</v>
      </c>
      <c r="I36" s="65">
        <v>0</v>
      </c>
      <c r="J36" s="65">
        <v>0</v>
      </c>
      <c r="K36" s="65">
        <v>2</v>
      </c>
      <c r="L36" s="65">
        <v>2</v>
      </c>
      <c r="M36" s="65" t="s">
        <v>4780</v>
      </c>
      <c r="N36" s="88" t="s">
        <v>5069</v>
      </c>
      <c r="O36" s="88" t="s">
        <v>5067</v>
      </c>
      <c r="P36" s="88" t="s">
        <v>2824</v>
      </c>
      <c r="Q36" s="65">
        <v>2</v>
      </c>
      <c r="R36" s="65">
        <v>4</v>
      </c>
      <c r="S36" s="65" t="str">
        <f t="shared" si="0"/>
        <v>DA_he_ca_ro_wizard_03</v>
      </c>
      <c r="T36" s="65" t="str">
        <f t="shared" si="1"/>
        <v>/Game/DungeonSiege/Items/Armor/Helm/DA_he_ca_ro_wizard_03</v>
      </c>
      <c r="U36" s="65" t="str">
        <f t="shared" si="2"/>
        <v>Texture2D'/Game/DungeonSiege/art/bitmaps/gui/in_game/inventory/armor/helmet/b_gui_ig_i_a_hlmt_056.b_gui_ig_i_a_hlmt_056'</v>
      </c>
      <c r="V36" s="65" t="s">
        <v>5194</v>
      </c>
    </row>
    <row r="37" spans="1:22" ht="15.75" thickBot="1" x14ac:dyDescent="0.3">
      <c r="A37" s="65">
        <v>35</v>
      </c>
      <c r="B37" s="65">
        <f>HEX2DEC(A37+Items!$A$8)</f>
        <v>19922997</v>
      </c>
      <c r="C37" s="65" t="s">
        <v>4891</v>
      </c>
      <c r="D37" s="65" t="s">
        <v>4977</v>
      </c>
      <c r="E37" s="65" t="s">
        <v>2470</v>
      </c>
      <c r="F37" s="65" t="s">
        <v>4984</v>
      </c>
      <c r="G37" s="65">
        <v>0</v>
      </c>
      <c r="H37" s="65">
        <v>1</v>
      </c>
      <c r="I37" s="65">
        <v>0</v>
      </c>
      <c r="J37" s="65">
        <v>0</v>
      </c>
      <c r="K37" s="65">
        <v>2</v>
      </c>
      <c r="L37" s="65">
        <v>2</v>
      </c>
      <c r="M37" s="65" t="s">
        <v>4781</v>
      </c>
      <c r="N37" s="88" t="s">
        <v>5070</v>
      </c>
      <c r="O37" s="88" t="s">
        <v>5067</v>
      </c>
      <c r="P37" s="88" t="s">
        <v>4495</v>
      </c>
      <c r="Q37" s="65">
        <v>3</v>
      </c>
      <c r="R37" s="65">
        <v>6</v>
      </c>
      <c r="S37" s="65" t="str">
        <f t="shared" si="0"/>
        <v>DA_he_ca_ro_wizard_04</v>
      </c>
      <c r="T37" s="65" t="str">
        <f t="shared" si="1"/>
        <v>/Game/DungeonSiege/Items/Armor/Helm/DA_he_ca_ro_wizard_04</v>
      </c>
      <c r="U37" s="65" t="str">
        <f t="shared" si="2"/>
        <v>Texture2D'/Game/DungeonSiege/art/bitmaps/gui/in_game/inventory/armor/helmet/b_gui_ig_i_a_hlmt_057.b_gui_ig_i_a_hlmt_057'</v>
      </c>
      <c r="V37" s="65" t="s">
        <v>5194</v>
      </c>
    </row>
    <row r="38" spans="1:22" ht="15.75" thickBot="1" x14ac:dyDescent="0.3">
      <c r="A38" s="65">
        <v>36</v>
      </c>
      <c r="B38" s="65">
        <f>HEX2DEC(A38+Items!$A$8)</f>
        <v>19922998</v>
      </c>
      <c r="C38" s="65" t="s">
        <v>4891</v>
      </c>
      <c r="D38" s="65" t="s">
        <v>4994</v>
      </c>
      <c r="E38" s="65" t="s">
        <v>2470</v>
      </c>
      <c r="F38" s="65" t="s">
        <v>4980</v>
      </c>
      <c r="G38" s="65">
        <v>0</v>
      </c>
      <c r="H38" s="65">
        <v>1</v>
      </c>
      <c r="I38" s="65">
        <v>0</v>
      </c>
      <c r="J38" s="65">
        <v>0</v>
      </c>
      <c r="K38" s="65">
        <v>2</v>
      </c>
      <c r="L38" s="65">
        <v>2</v>
      </c>
      <c r="M38" s="65" t="s">
        <v>4782</v>
      </c>
      <c r="N38" s="88" t="s">
        <v>5071</v>
      </c>
      <c r="O38" s="88" t="s">
        <v>5067</v>
      </c>
      <c r="P38" s="88" t="s">
        <v>4507</v>
      </c>
      <c r="Q38" s="65">
        <v>4</v>
      </c>
      <c r="R38" s="65">
        <v>7</v>
      </c>
      <c r="S38" s="65" t="str">
        <f t="shared" si="0"/>
        <v>DA_he_ca_ro_wizard_05</v>
      </c>
      <c r="T38" s="65" t="str">
        <f t="shared" si="1"/>
        <v>/Game/DungeonSiege/Items/Armor/Helm/DA_he_ca_ro_wizard_05</v>
      </c>
      <c r="U38" s="65" t="str">
        <f t="shared" si="2"/>
        <v>Texture2D'/Game/DungeonSiege/art/bitmaps/gui/in_game/inventory/armor/helmet/b_gui_ig_i_a_hlmt_058.b_gui_ig_i_a_hlmt_058'</v>
      </c>
      <c r="V38" s="65" t="s">
        <v>5194</v>
      </c>
    </row>
    <row r="39" spans="1:22" ht="15.75" thickBot="1" x14ac:dyDescent="0.3">
      <c r="A39" s="65">
        <v>37</v>
      </c>
      <c r="B39" s="65">
        <f>HEX2DEC(A39+Items!$A$8)</f>
        <v>19922999</v>
      </c>
      <c r="C39" s="65" t="s">
        <v>4891</v>
      </c>
      <c r="D39" s="65" t="s">
        <v>4995</v>
      </c>
      <c r="E39" s="65" t="s">
        <v>2470</v>
      </c>
      <c r="F39" s="65" t="s">
        <v>4980</v>
      </c>
      <c r="G39" s="65">
        <v>0</v>
      </c>
      <c r="H39" s="65">
        <v>1</v>
      </c>
      <c r="I39" s="65">
        <v>0</v>
      </c>
      <c r="J39" s="65">
        <v>0</v>
      </c>
      <c r="K39" s="65">
        <v>2</v>
      </c>
      <c r="L39" s="65">
        <v>2</v>
      </c>
      <c r="M39" s="65" t="s">
        <v>4783</v>
      </c>
      <c r="N39" s="88" t="s">
        <v>5072</v>
      </c>
      <c r="O39" s="88" t="s">
        <v>5067</v>
      </c>
      <c r="P39" s="88" t="s">
        <v>4649</v>
      </c>
      <c r="Q39" s="65">
        <v>5</v>
      </c>
      <c r="R39" s="65">
        <v>8</v>
      </c>
      <c r="S39" s="65" t="str">
        <f t="shared" si="0"/>
        <v>DA_he_ca_ro_wizard_06</v>
      </c>
      <c r="T39" s="65" t="str">
        <f t="shared" si="1"/>
        <v>/Game/DungeonSiege/Items/Armor/Helm/DA_he_ca_ro_wizard_06</v>
      </c>
      <c r="U39" s="65" t="str">
        <f t="shared" si="2"/>
        <v>Texture2D'/Game/DungeonSiege/art/bitmaps/gui/in_game/inventory/armor/helmet/b_gui_ig_i_a_hlmt_059.b_gui_ig_i_a_hlmt_059'</v>
      </c>
      <c r="V39" s="65" t="s">
        <v>5194</v>
      </c>
    </row>
    <row r="40" spans="1:22" ht="15.75" thickBot="1" x14ac:dyDescent="0.3">
      <c r="A40" s="65">
        <v>38</v>
      </c>
      <c r="B40" s="65">
        <f>HEX2DEC(A40+Items!$A$8)</f>
        <v>19923000</v>
      </c>
      <c r="C40" s="65" t="s">
        <v>4891</v>
      </c>
      <c r="D40" s="65" t="s">
        <v>4979</v>
      </c>
      <c r="E40" s="65" t="s">
        <v>2470</v>
      </c>
      <c r="F40" s="65" t="s">
        <v>4975</v>
      </c>
      <c r="G40" s="65">
        <v>0</v>
      </c>
      <c r="H40" s="65">
        <v>1</v>
      </c>
      <c r="I40" s="65">
        <v>0</v>
      </c>
      <c r="J40" s="65">
        <v>0</v>
      </c>
      <c r="K40" s="65">
        <v>2</v>
      </c>
      <c r="L40" s="65">
        <v>2</v>
      </c>
      <c r="M40" s="65" t="s">
        <v>4784</v>
      </c>
      <c r="N40" s="88" t="s">
        <v>5073</v>
      </c>
      <c r="O40" s="88" t="s">
        <v>5067</v>
      </c>
      <c r="P40" s="88" t="s">
        <v>4516</v>
      </c>
      <c r="Q40" s="65">
        <v>6</v>
      </c>
      <c r="R40" s="65">
        <v>9</v>
      </c>
      <c r="S40" s="65" t="str">
        <f t="shared" si="0"/>
        <v>DA_he_ca_ro_wizard_07</v>
      </c>
      <c r="T40" s="65" t="str">
        <f t="shared" si="1"/>
        <v>/Game/DungeonSiege/Items/Armor/Helm/DA_he_ca_ro_wizard_07</v>
      </c>
      <c r="U40" s="65" t="str">
        <f t="shared" si="2"/>
        <v>Texture2D'/Game/DungeonSiege/art/bitmaps/gui/in_game/inventory/armor/helmet/b_gui_ig_i_a_hlmt_095.b_gui_ig_i_a_hlmt_095'</v>
      </c>
      <c r="V40" s="65" t="s">
        <v>5194</v>
      </c>
    </row>
    <row r="41" spans="1:22" ht="15.75" thickBot="1" x14ac:dyDescent="0.3">
      <c r="A41" s="65">
        <v>39</v>
      </c>
      <c r="B41" s="65">
        <f>HEX2DEC(A41+Items!$A$8)</f>
        <v>19923001</v>
      </c>
      <c r="C41" s="65" t="s">
        <v>4892</v>
      </c>
      <c r="D41" s="65" t="s">
        <v>4971</v>
      </c>
      <c r="E41" s="65"/>
      <c r="F41" s="65"/>
      <c r="G41" s="65">
        <v>1</v>
      </c>
      <c r="H41" s="65">
        <v>0</v>
      </c>
      <c r="I41" s="65">
        <v>0</v>
      </c>
      <c r="J41" s="65">
        <v>0</v>
      </c>
      <c r="K41" s="65">
        <v>2</v>
      </c>
      <c r="L41" s="65">
        <v>2</v>
      </c>
      <c r="M41" s="65" t="s">
        <v>4785</v>
      </c>
      <c r="N41" s="88" t="s">
        <v>5074</v>
      </c>
      <c r="O41" s="88" t="s">
        <v>5075</v>
      </c>
      <c r="P41" s="88" t="s">
        <v>2802</v>
      </c>
      <c r="Q41" s="65"/>
      <c r="R41" s="65"/>
      <c r="S41" s="65" t="str">
        <f t="shared" si="0"/>
        <v>DA_he_ca_ro_wooly_01</v>
      </c>
      <c r="T41" s="65" t="str">
        <f t="shared" si="1"/>
        <v>/Game/DungeonSiege/Items/Armor/Helm/DA_he_ca_ro_wooly_01</v>
      </c>
      <c r="U41" s="65" t="str">
        <f t="shared" si="2"/>
        <v>Texture2D'/Game/DungeonSiege/art/bitmaps/gui/in_game/inventory/armor/helmet/b_gui_ig_i_a_hlmt_036.b_gui_ig_i_a_hlmt_036'</v>
      </c>
      <c r="V41" s="65" t="s">
        <v>5194</v>
      </c>
    </row>
    <row r="42" spans="1:22" ht="15.75" thickBot="1" x14ac:dyDescent="0.3">
      <c r="A42" s="65">
        <v>40</v>
      </c>
      <c r="B42" s="65">
        <f>HEX2DEC(A42+Items!$A$8)</f>
        <v>19923008</v>
      </c>
      <c r="C42" s="65" t="s">
        <v>4892</v>
      </c>
      <c r="D42" s="65" t="s">
        <v>4986</v>
      </c>
      <c r="E42" s="65"/>
      <c r="F42" s="65"/>
      <c r="G42" s="65">
        <v>1</v>
      </c>
      <c r="H42" s="65">
        <v>1</v>
      </c>
      <c r="I42" s="65">
        <v>0</v>
      </c>
      <c r="J42" s="65">
        <v>0</v>
      </c>
      <c r="K42" s="65">
        <v>2</v>
      </c>
      <c r="L42" s="65">
        <v>2</v>
      </c>
      <c r="M42" s="65" t="s">
        <v>4786</v>
      </c>
      <c r="N42" s="88" t="s">
        <v>5076</v>
      </c>
      <c r="O42" s="88" t="s">
        <v>5075</v>
      </c>
      <c r="P42" s="88" t="s">
        <v>4503</v>
      </c>
      <c r="Q42" s="65">
        <v>0</v>
      </c>
      <c r="R42" s="65">
        <v>1</v>
      </c>
      <c r="S42" s="65" t="str">
        <f t="shared" si="0"/>
        <v>DA_he_ca_ro_wooly_02</v>
      </c>
      <c r="T42" s="65" t="str">
        <f t="shared" si="1"/>
        <v>/Game/DungeonSiege/Items/Armor/Helm/DA_he_ca_ro_wooly_02</v>
      </c>
      <c r="U42" s="65" t="str">
        <f t="shared" si="2"/>
        <v>Texture2D'/Game/DungeonSiege/art/bitmaps/gui/in_game/inventory/armor/helmet/b_gui_ig_i_a_hlmt_072.b_gui_ig_i_a_hlmt_072'</v>
      </c>
      <c r="V42" s="65" t="s">
        <v>5194</v>
      </c>
    </row>
    <row r="43" spans="1:22" ht="15.75" thickBot="1" x14ac:dyDescent="0.3">
      <c r="A43" s="65">
        <v>41</v>
      </c>
      <c r="B43" s="65">
        <f>HEX2DEC(A43+Items!$A$8)</f>
        <v>19923009</v>
      </c>
      <c r="C43" s="65" t="s">
        <v>4892</v>
      </c>
      <c r="D43" s="65" t="s">
        <v>4988</v>
      </c>
      <c r="E43" s="65" t="s">
        <v>2470</v>
      </c>
      <c r="F43" s="65" t="s">
        <v>4989</v>
      </c>
      <c r="G43" s="65">
        <v>0</v>
      </c>
      <c r="H43" s="65">
        <v>1</v>
      </c>
      <c r="I43" s="65">
        <v>0</v>
      </c>
      <c r="J43" s="65">
        <v>0</v>
      </c>
      <c r="K43" s="65">
        <v>2</v>
      </c>
      <c r="L43" s="65">
        <v>2</v>
      </c>
      <c r="M43" s="65" t="s">
        <v>4787</v>
      </c>
      <c r="N43" s="88" t="s">
        <v>5077</v>
      </c>
      <c r="O43" s="88" t="s">
        <v>5075</v>
      </c>
      <c r="P43" s="88" t="s">
        <v>4505</v>
      </c>
      <c r="Q43" s="65">
        <v>1</v>
      </c>
      <c r="R43" s="65">
        <v>3</v>
      </c>
      <c r="S43" s="65" t="str">
        <f t="shared" si="0"/>
        <v>DA_he_ca_ro_wooly_03</v>
      </c>
      <c r="T43" s="65" t="str">
        <f t="shared" si="1"/>
        <v>/Game/DungeonSiege/Items/Armor/Helm/DA_he_ca_ro_wooly_03</v>
      </c>
      <c r="U43" s="65" t="str">
        <f t="shared" si="2"/>
        <v>Texture2D'/Game/DungeonSiege/art/bitmaps/gui/in_game/inventory/armor/helmet/b_gui_ig_i_a_hlmt_073.b_gui_ig_i_a_hlmt_073'</v>
      </c>
      <c r="V43" s="65" t="s">
        <v>5194</v>
      </c>
    </row>
    <row r="44" spans="1:22" ht="15.75" thickBot="1" x14ac:dyDescent="0.3">
      <c r="A44" s="65">
        <v>42</v>
      </c>
      <c r="B44" s="65">
        <f>HEX2DEC(A44+Items!$A$8)</f>
        <v>19923010</v>
      </c>
      <c r="C44" s="65" t="s">
        <v>4892</v>
      </c>
      <c r="D44" s="65" t="s">
        <v>4981</v>
      </c>
      <c r="E44" s="65" t="s">
        <v>2470</v>
      </c>
      <c r="F44" s="65" t="s">
        <v>4978</v>
      </c>
      <c r="G44" s="65">
        <v>0</v>
      </c>
      <c r="H44" s="65">
        <v>1</v>
      </c>
      <c r="I44" s="65">
        <v>0</v>
      </c>
      <c r="J44" s="65">
        <v>0</v>
      </c>
      <c r="K44" s="65">
        <v>2</v>
      </c>
      <c r="L44" s="65">
        <v>2</v>
      </c>
      <c r="M44" s="65" t="s">
        <v>4788</v>
      </c>
      <c r="N44" s="88" t="s">
        <v>5078</v>
      </c>
      <c r="O44" s="88" t="s">
        <v>5075</v>
      </c>
      <c r="P44" s="88" t="s">
        <v>4504</v>
      </c>
      <c r="Q44" s="65">
        <v>2</v>
      </c>
      <c r="R44" s="65">
        <v>5</v>
      </c>
      <c r="S44" s="65" t="str">
        <f t="shared" si="0"/>
        <v>DA_he_ca_ro_wooly_04</v>
      </c>
      <c r="T44" s="65" t="str">
        <f t="shared" si="1"/>
        <v>/Game/DungeonSiege/Items/Armor/Helm/DA_he_ca_ro_wooly_04</v>
      </c>
      <c r="U44" s="65" t="str">
        <f t="shared" si="2"/>
        <v>Texture2D'/Game/DungeonSiege/art/bitmaps/gui/in_game/inventory/armor/helmet/b_gui_ig_i_a_hlmt_074.b_gui_ig_i_a_hlmt_074'</v>
      </c>
      <c r="V44" s="65" t="s">
        <v>5194</v>
      </c>
    </row>
    <row r="45" spans="1:22" ht="15.75" thickBot="1" x14ac:dyDescent="0.3">
      <c r="A45" s="65">
        <v>43</v>
      </c>
      <c r="B45" s="65">
        <f>HEX2DEC(A45+Items!$A$8)</f>
        <v>19923011</v>
      </c>
      <c r="C45" s="65" t="s">
        <v>4893</v>
      </c>
      <c r="D45" s="65" t="s">
        <v>4981</v>
      </c>
      <c r="E45" s="65" t="s">
        <v>2470</v>
      </c>
      <c r="F45" s="65" t="s">
        <v>4978</v>
      </c>
      <c r="G45" s="65">
        <v>1</v>
      </c>
      <c r="H45" s="65">
        <v>1</v>
      </c>
      <c r="I45" s="65">
        <v>0</v>
      </c>
      <c r="J45" s="65">
        <v>0</v>
      </c>
      <c r="K45" s="65">
        <v>2</v>
      </c>
      <c r="L45" s="65">
        <v>2</v>
      </c>
      <c r="M45" s="65" t="s">
        <v>4789</v>
      </c>
      <c r="N45" s="88" t="s">
        <v>5079</v>
      </c>
      <c r="O45" s="88" t="s">
        <v>5080</v>
      </c>
      <c r="P45" s="88" t="s">
        <v>2506</v>
      </c>
      <c r="Q45" s="65">
        <v>0</v>
      </c>
      <c r="R45" s="65">
        <v>3</v>
      </c>
      <c r="S45" s="65" t="str">
        <f t="shared" si="0"/>
        <v>DA_he_ca_ro_woven_01</v>
      </c>
      <c r="T45" s="65" t="str">
        <f t="shared" si="1"/>
        <v>/Game/DungeonSiege/Items/Armor/Helm/DA_he_ca_ro_woven_01</v>
      </c>
      <c r="U45" s="65" t="str">
        <f t="shared" si="2"/>
        <v>Texture2D'/Game/DungeonSiege/art/bitmaps/gui/in_game/inventory/armor/helmet/b_gui_ig_i_a_hlmt_015.b_gui_ig_i_a_hlmt_015'</v>
      </c>
      <c r="V45" s="65" t="s">
        <v>5194</v>
      </c>
    </row>
    <row r="46" spans="1:22" ht="15.75" thickBot="1" x14ac:dyDescent="0.3">
      <c r="A46" s="65">
        <v>44</v>
      </c>
      <c r="B46" s="65">
        <f>HEX2DEC(A46+Items!$A$8)</f>
        <v>19923012</v>
      </c>
      <c r="C46" s="65" t="s">
        <v>4894</v>
      </c>
      <c r="D46" s="65" t="s">
        <v>4988</v>
      </c>
      <c r="E46" s="65" t="s">
        <v>2470</v>
      </c>
      <c r="F46" s="65" t="s">
        <v>4989</v>
      </c>
      <c r="G46" s="65">
        <v>1</v>
      </c>
      <c r="H46" s="65">
        <v>1</v>
      </c>
      <c r="I46" s="65">
        <v>0</v>
      </c>
      <c r="J46" s="65">
        <v>0</v>
      </c>
      <c r="K46" s="65">
        <v>2</v>
      </c>
      <c r="L46" s="65">
        <v>2</v>
      </c>
      <c r="M46" s="65" t="s">
        <v>4790</v>
      </c>
      <c r="N46" s="88" t="s">
        <v>5081</v>
      </c>
      <c r="O46" s="88" t="s">
        <v>5080</v>
      </c>
      <c r="P46" s="88" t="s">
        <v>4500</v>
      </c>
      <c r="Q46" s="65">
        <v>0</v>
      </c>
      <c r="R46" s="65">
        <v>1</v>
      </c>
      <c r="S46" s="65" t="str">
        <f t="shared" si="0"/>
        <v>DA_he_ca_ro_woven_02</v>
      </c>
      <c r="T46" s="65" t="str">
        <f t="shared" si="1"/>
        <v>/Game/DungeonSiege/Items/Armor/Helm/DA_he_ca_ro_woven_02</v>
      </c>
      <c r="U46" s="65" t="str">
        <f t="shared" si="2"/>
        <v>Texture2D'/Game/DungeonSiege/art/bitmaps/gui/in_game/inventory/armor/helmet/b_gui_ig_i_a_hlmt_069.b_gui_ig_i_a_hlmt_069'</v>
      </c>
      <c r="V46" s="65" t="s">
        <v>5194</v>
      </c>
    </row>
    <row r="47" spans="1:22" ht="15.75" thickBot="1" x14ac:dyDescent="0.3">
      <c r="A47" s="65">
        <v>45</v>
      </c>
      <c r="B47" s="65">
        <f>HEX2DEC(A47+Items!$A$8)</f>
        <v>19923013</v>
      </c>
      <c r="C47" s="65" t="s">
        <v>4894</v>
      </c>
      <c r="D47" s="65" t="s">
        <v>4993</v>
      </c>
      <c r="E47" s="65" t="s">
        <v>2470</v>
      </c>
      <c r="F47" s="65" t="s">
        <v>4978</v>
      </c>
      <c r="G47" s="65">
        <v>0</v>
      </c>
      <c r="H47" s="65">
        <v>1</v>
      </c>
      <c r="I47" s="65">
        <v>0</v>
      </c>
      <c r="J47" s="65">
        <v>0</v>
      </c>
      <c r="K47" s="65">
        <v>2</v>
      </c>
      <c r="L47" s="65">
        <v>2</v>
      </c>
      <c r="M47" s="65" t="s">
        <v>4791</v>
      </c>
      <c r="N47" s="88" t="s">
        <v>5082</v>
      </c>
      <c r="O47" s="88" t="s">
        <v>5080</v>
      </c>
      <c r="P47" s="88" t="s">
        <v>4502</v>
      </c>
      <c r="Q47" s="65">
        <v>2</v>
      </c>
      <c r="R47" s="65">
        <v>4</v>
      </c>
      <c r="S47" s="65" t="str">
        <f t="shared" si="0"/>
        <v>DA_he_ca_ro_woven_03</v>
      </c>
      <c r="T47" s="65" t="str">
        <f t="shared" si="1"/>
        <v>/Game/DungeonSiege/Items/Armor/Helm/DA_he_ca_ro_woven_03</v>
      </c>
      <c r="U47" s="65" t="str">
        <f t="shared" si="2"/>
        <v>Texture2D'/Game/DungeonSiege/art/bitmaps/gui/in_game/inventory/armor/helmet/b_gui_ig_i_a_hlmt_070.b_gui_ig_i_a_hlmt_070'</v>
      </c>
      <c r="V47" s="65" t="s">
        <v>5194</v>
      </c>
    </row>
    <row r="48" spans="1:22" ht="15.75" thickBot="1" x14ac:dyDescent="0.3">
      <c r="A48" s="65">
        <v>46</v>
      </c>
      <c r="B48" s="65">
        <f>HEX2DEC(A48+Items!$A$8)</f>
        <v>19923014</v>
      </c>
      <c r="C48" s="65" t="s">
        <v>4894</v>
      </c>
      <c r="D48" s="65" t="s">
        <v>4977</v>
      </c>
      <c r="E48" s="65" t="s">
        <v>2470</v>
      </c>
      <c r="F48" s="65" t="s">
        <v>4991</v>
      </c>
      <c r="G48" s="65">
        <v>0</v>
      </c>
      <c r="H48" s="65">
        <v>1</v>
      </c>
      <c r="I48" s="65">
        <v>0</v>
      </c>
      <c r="J48" s="65">
        <v>0</v>
      </c>
      <c r="K48" s="65">
        <v>2</v>
      </c>
      <c r="L48" s="65">
        <v>2</v>
      </c>
      <c r="M48" s="65" t="s">
        <v>4792</v>
      </c>
      <c r="N48" s="88" t="s">
        <v>5083</v>
      </c>
      <c r="O48" s="88" t="s">
        <v>5080</v>
      </c>
      <c r="P48" s="88" t="s">
        <v>4501</v>
      </c>
      <c r="Q48" s="65">
        <v>2</v>
      </c>
      <c r="R48" s="65">
        <v>35</v>
      </c>
      <c r="S48" s="65" t="str">
        <f t="shared" si="0"/>
        <v>DA_he_ca_ro_woven_04</v>
      </c>
      <c r="T48" s="65" t="str">
        <f t="shared" si="1"/>
        <v>/Game/DungeonSiege/Items/Armor/Helm/DA_he_ca_ro_woven_04</v>
      </c>
      <c r="U48" s="65" t="str">
        <f t="shared" si="2"/>
        <v>Texture2D'/Game/DungeonSiege/art/bitmaps/gui/in_game/inventory/armor/helmet/b_gui_ig_i_a_hlmt_071.b_gui_ig_i_a_hlmt_071'</v>
      </c>
      <c r="V48" s="65" t="s">
        <v>5194</v>
      </c>
    </row>
    <row r="49" spans="1:22" ht="15.75" thickBot="1" x14ac:dyDescent="0.3">
      <c r="A49" s="65">
        <v>47</v>
      </c>
      <c r="B49" s="65">
        <f>HEX2DEC(A49+Items!$A$8)</f>
        <v>19923015</v>
      </c>
      <c r="C49" s="65" t="s">
        <v>4895</v>
      </c>
      <c r="D49" s="65" t="s">
        <v>4988</v>
      </c>
      <c r="E49" s="65" t="s">
        <v>2384</v>
      </c>
      <c r="F49" s="65" t="s">
        <v>4989</v>
      </c>
      <c r="G49" s="65">
        <v>1</v>
      </c>
      <c r="H49" s="65">
        <v>0</v>
      </c>
      <c r="I49" s="65">
        <v>0</v>
      </c>
      <c r="J49" s="65">
        <v>0</v>
      </c>
      <c r="K49" s="65">
        <v>2</v>
      </c>
      <c r="L49" s="65">
        <v>2</v>
      </c>
      <c r="M49" s="65" t="s">
        <v>4793</v>
      </c>
      <c r="N49" s="88" t="s">
        <v>5084</v>
      </c>
      <c r="O49" s="88" t="s">
        <v>5023</v>
      </c>
      <c r="P49" s="88" t="s">
        <v>2513</v>
      </c>
      <c r="Q49" s="65"/>
      <c r="R49" s="65"/>
      <c r="S49" s="65" t="str">
        <f t="shared" si="0"/>
        <v>DA_he_ca_sl_avg</v>
      </c>
      <c r="T49" s="65" t="str">
        <f t="shared" si="1"/>
        <v>/Game/DungeonSiege/Items/Armor/Helm/DA_he_ca_sl_avg</v>
      </c>
      <c r="U49" s="65" t="str">
        <f t="shared" si="2"/>
        <v>Texture2D'/Game/DungeonSiege/art/bitmaps/gui/in_game/inventory/armor/helmet/b_gui_ig_i_a_hlmt_011.b_gui_ig_i_a_hlmt_011'</v>
      </c>
      <c r="V49" s="65" t="s">
        <v>5194</v>
      </c>
    </row>
    <row r="50" spans="1:22" ht="15.75" thickBot="1" x14ac:dyDescent="0.3">
      <c r="A50" s="65">
        <v>48</v>
      </c>
      <c r="B50" s="65">
        <f>HEX2DEC(A50+Items!$A$8)</f>
        <v>19923016</v>
      </c>
      <c r="C50" s="65" t="s">
        <v>4896</v>
      </c>
      <c r="D50" s="65" t="s">
        <v>4996</v>
      </c>
      <c r="E50" s="65" t="s">
        <v>2384</v>
      </c>
      <c r="F50" s="65" t="s">
        <v>4997</v>
      </c>
      <c r="G50" s="65">
        <v>1</v>
      </c>
      <c r="H50" s="65">
        <v>1</v>
      </c>
      <c r="I50" s="65">
        <v>0</v>
      </c>
      <c r="J50" s="65">
        <v>0</v>
      </c>
      <c r="K50" s="65">
        <v>2</v>
      </c>
      <c r="L50" s="65">
        <v>2</v>
      </c>
      <c r="M50" s="65" t="s">
        <v>4794</v>
      </c>
      <c r="N50" s="88" t="s">
        <v>5085</v>
      </c>
      <c r="O50" s="88" t="s">
        <v>5086</v>
      </c>
      <c r="P50" s="88" t="s">
        <v>2787</v>
      </c>
      <c r="Q50" s="65">
        <v>0</v>
      </c>
      <c r="R50" s="65">
        <v>8</v>
      </c>
      <c r="S50" s="65" t="str">
        <f t="shared" si="0"/>
        <v>DA_he_fu_bronze</v>
      </c>
      <c r="T50" s="65" t="str">
        <f t="shared" si="1"/>
        <v>/Game/DungeonSiege/Items/Armor/Helm/DA_he_fu_bronze</v>
      </c>
      <c r="U50" s="65" t="str">
        <f t="shared" si="2"/>
        <v>Texture2D'/Game/DungeonSiege/art/bitmaps/gui/in_game/inventory/armor/helmet/b_gui_ig_i_a_hlmt_024.b_gui_ig_i_a_hlmt_024'</v>
      </c>
      <c r="V50" s="65" t="s">
        <v>5194</v>
      </c>
    </row>
    <row r="51" spans="1:22" ht="15.75" thickBot="1" x14ac:dyDescent="0.3">
      <c r="A51" s="65">
        <v>49</v>
      </c>
      <c r="B51" s="65">
        <f>HEX2DEC(A51+Items!$A$8)</f>
        <v>19923017</v>
      </c>
      <c r="C51" s="65" t="s">
        <v>4897</v>
      </c>
      <c r="D51" s="65" t="s">
        <v>4998</v>
      </c>
      <c r="E51" s="65" t="s">
        <v>2384</v>
      </c>
      <c r="F51" s="65" t="s">
        <v>4999</v>
      </c>
      <c r="G51" s="65">
        <v>1</v>
      </c>
      <c r="H51" s="65">
        <v>1</v>
      </c>
      <c r="I51" s="65">
        <v>0</v>
      </c>
      <c r="J51" s="65">
        <v>0</v>
      </c>
      <c r="K51" s="65">
        <v>2</v>
      </c>
      <c r="L51" s="65">
        <v>2</v>
      </c>
      <c r="M51" s="65" t="s">
        <v>4795</v>
      </c>
      <c r="N51" s="88" t="s">
        <v>5087</v>
      </c>
      <c r="O51" s="88" t="s">
        <v>5086</v>
      </c>
      <c r="P51" s="88" t="s">
        <v>4486</v>
      </c>
      <c r="Q51" s="65">
        <v>0</v>
      </c>
      <c r="R51" s="65">
        <v>7</v>
      </c>
      <c r="S51" s="65" t="str">
        <f t="shared" si="0"/>
        <v>DA_he_fu_bronze_02</v>
      </c>
      <c r="T51" s="65" t="str">
        <f t="shared" si="1"/>
        <v>/Game/DungeonSiege/Items/Armor/Helm/DA_he_fu_bronze_02</v>
      </c>
      <c r="U51" s="65" t="str">
        <f t="shared" si="2"/>
        <v>Texture2D'/Game/DungeonSiege/art/bitmaps/gui/in_game/inventory/armor/helmet/b_gui_ig_i_a_hlmt_091.b_gui_ig_i_a_hlmt_091'</v>
      </c>
      <c r="V51" s="65" t="s">
        <v>5194</v>
      </c>
    </row>
    <row r="52" spans="1:22" ht="15.75" thickBot="1" x14ac:dyDescent="0.3">
      <c r="A52" s="65">
        <v>50</v>
      </c>
      <c r="B52" s="65">
        <f>HEX2DEC(A52+Items!$A$8)</f>
        <v>19923024</v>
      </c>
      <c r="C52" s="65" t="s">
        <v>4898</v>
      </c>
      <c r="D52" s="65" t="s">
        <v>4996</v>
      </c>
      <c r="E52" s="65" t="s">
        <v>2384</v>
      </c>
      <c r="F52" s="65" t="s">
        <v>4997</v>
      </c>
      <c r="G52" s="65">
        <v>1</v>
      </c>
      <c r="H52" s="65">
        <v>1</v>
      </c>
      <c r="I52" s="65">
        <v>0</v>
      </c>
      <c r="J52" s="65">
        <v>0</v>
      </c>
      <c r="K52" s="65">
        <v>2</v>
      </c>
      <c r="L52" s="65">
        <v>2</v>
      </c>
      <c r="M52" s="65" t="s">
        <v>4796</v>
      </c>
      <c r="N52" s="88" t="s">
        <v>5088</v>
      </c>
      <c r="O52" s="88" t="s">
        <v>5089</v>
      </c>
      <c r="P52" s="88" t="s">
        <v>2788</v>
      </c>
      <c r="Q52" s="65">
        <v>0</v>
      </c>
      <c r="R52" s="65">
        <v>6</v>
      </c>
      <c r="S52" s="65" t="str">
        <f t="shared" si="0"/>
        <v>DA_he_fu_pl_desert</v>
      </c>
      <c r="T52" s="65" t="str">
        <f t="shared" si="1"/>
        <v>/Game/DungeonSiege/Items/Armor/Helm/DA_he_fu_pl_desert</v>
      </c>
      <c r="U52" s="65" t="str">
        <f t="shared" si="2"/>
        <v>Texture2D'/Game/DungeonSiege/art/bitmaps/gui/in_game/inventory/armor/helmet/b_gui_ig_i_a_hlmt_025.b_gui_ig_i_a_hlmt_025'</v>
      </c>
      <c r="V52" s="65" t="s">
        <v>5194</v>
      </c>
    </row>
    <row r="53" spans="1:22" ht="15.75" thickBot="1" x14ac:dyDescent="0.3">
      <c r="A53" s="65">
        <v>51</v>
      </c>
      <c r="B53" s="65">
        <f>HEX2DEC(A53+Items!$A$8)</f>
        <v>19923025</v>
      </c>
      <c r="C53" s="65" t="s">
        <v>4899</v>
      </c>
      <c r="D53" s="65" t="s">
        <v>5000</v>
      </c>
      <c r="E53" s="65" t="s">
        <v>2384</v>
      </c>
      <c r="F53" s="65" t="s">
        <v>4998</v>
      </c>
      <c r="G53" s="65">
        <v>0</v>
      </c>
      <c r="H53" s="65">
        <v>1</v>
      </c>
      <c r="I53" s="65">
        <v>0</v>
      </c>
      <c r="J53" s="65">
        <v>0</v>
      </c>
      <c r="K53" s="65">
        <v>2</v>
      </c>
      <c r="L53" s="65">
        <v>2</v>
      </c>
      <c r="M53" s="65" t="s">
        <v>4797</v>
      </c>
      <c r="N53" s="88" t="s">
        <v>5090</v>
      </c>
      <c r="O53" s="88" t="s">
        <v>5091</v>
      </c>
      <c r="P53" s="88" t="s">
        <v>2823</v>
      </c>
      <c r="Q53" s="65">
        <v>7</v>
      </c>
      <c r="R53" s="65">
        <v>10</v>
      </c>
      <c r="S53" s="65" t="str">
        <f t="shared" si="0"/>
        <v>DA_he_fu_pl_grate</v>
      </c>
      <c r="T53" s="65" t="str">
        <f t="shared" si="1"/>
        <v>/Game/DungeonSiege/Items/Armor/Helm/DA_he_fu_pl_grate</v>
      </c>
      <c r="U53" s="65" t="str">
        <f t="shared" si="2"/>
        <v>Texture2D'/Game/DungeonSiege/art/bitmaps/gui/in_game/inventory/armor/helmet/b_gui_ig_i_a_hlmt_039.b_gui_ig_i_a_hlmt_039'</v>
      </c>
      <c r="V53" s="65" t="s">
        <v>5194</v>
      </c>
    </row>
    <row r="54" spans="1:22" ht="15.75" thickBot="1" x14ac:dyDescent="0.3">
      <c r="A54" s="65">
        <v>52</v>
      </c>
      <c r="B54" s="65">
        <f>HEX2DEC(A54+Items!$A$8)</f>
        <v>19923026</v>
      </c>
      <c r="C54" s="65" t="s">
        <v>4900</v>
      </c>
      <c r="D54" s="65" t="s">
        <v>5001</v>
      </c>
      <c r="E54" s="65" t="s">
        <v>2384</v>
      </c>
      <c r="F54" s="65" t="s">
        <v>4999</v>
      </c>
      <c r="G54" s="65">
        <v>1</v>
      </c>
      <c r="H54" s="65">
        <v>1</v>
      </c>
      <c r="I54" s="65">
        <v>0</v>
      </c>
      <c r="J54" s="65">
        <v>0</v>
      </c>
      <c r="K54" s="65">
        <v>2</v>
      </c>
      <c r="L54" s="65">
        <v>2</v>
      </c>
      <c r="M54" s="65" t="s">
        <v>4798</v>
      </c>
      <c r="N54" s="88" t="s">
        <v>5092</v>
      </c>
      <c r="O54" s="88" t="s">
        <v>5093</v>
      </c>
      <c r="P54" s="88" t="s">
        <v>2508</v>
      </c>
      <c r="Q54" s="65">
        <v>0</v>
      </c>
      <c r="R54" s="65">
        <v>10</v>
      </c>
      <c r="S54" s="65" t="str">
        <f t="shared" si="0"/>
        <v>DA_he_fu_pl_horn_avg</v>
      </c>
      <c r="T54" s="65" t="str">
        <f t="shared" si="1"/>
        <v>/Game/DungeonSiege/Items/Armor/Helm/DA_he_fu_pl_horn_avg</v>
      </c>
      <c r="U54" s="65" t="str">
        <f t="shared" si="2"/>
        <v>Texture2D'/Game/DungeonSiege/art/bitmaps/gui/in_game/inventory/armor/helmet/b_gui_ig_i_a_hlmt_005.b_gui_ig_i_a_hlmt_005'</v>
      </c>
      <c r="V54" s="65" t="s">
        <v>5194</v>
      </c>
    </row>
    <row r="55" spans="1:22" ht="15.75" thickBot="1" x14ac:dyDescent="0.3">
      <c r="A55" s="65">
        <v>53</v>
      </c>
      <c r="B55" s="65">
        <f>HEX2DEC(A55+Items!$A$8)</f>
        <v>19923027</v>
      </c>
      <c r="C55" s="65" t="s">
        <v>4901</v>
      </c>
      <c r="D55" s="65" t="s">
        <v>5002</v>
      </c>
      <c r="E55" s="65" t="s">
        <v>2384</v>
      </c>
      <c r="F55" s="65" t="s">
        <v>5003</v>
      </c>
      <c r="G55" s="65">
        <v>0</v>
      </c>
      <c r="H55" s="65">
        <v>1</v>
      </c>
      <c r="I55" s="65">
        <v>0</v>
      </c>
      <c r="J55" s="65">
        <v>0</v>
      </c>
      <c r="K55" s="65">
        <v>2</v>
      </c>
      <c r="L55" s="65">
        <v>2</v>
      </c>
      <c r="M55" s="65" t="s">
        <v>4799</v>
      </c>
      <c r="N55" s="88" t="s">
        <v>5094</v>
      </c>
      <c r="O55" s="88" t="s">
        <v>5095</v>
      </c>
      <c r="P55" s="88" t="s">
        <v>2821</v>
      </c>
      <c r="Q55" s="65">
        <v>5</v>
      </c>
      <c r="R55" s="65">
        <v>11</v>
      </c>
      <c r="S55" s="65" t="str">
        <f t="shared" si="0"/>
        <v>DA_he_fu_pl_horn_fin</v>
      </c>
      <c r="T55" s="65" t="str">
        <f t="shared" si="1"/>
        <v>/Game/DungeonSiege/Items/Armor/Helm/DA_he_fu_pl_horn_fin</v>
      </c>
      <c r="U55" s="65" t="str">
        <f t="shared" si="2"/>
        <v>Texture2D'/Game/DungeonSiege/art/bitmaps/gui/in_game/inventory/armor/helmet/b_gui_ig_i_a_hlmt_040.b_gui_ig_i_a_hlmt_040'</v>
      </c>
      <c r="V55" s="65" t="s">
        <v>5194</v>
      </c>
    </row>
    <row r="56" spans="1:22" ht="15.75" thickBot="1" x14ac:dyDescent="0.3">
      <c r="A56" s="65">
        <v>54</v>
      </c>
      <c r="B56" s="65">
        <f>HEX2DEC(A56+Items!$A$8)</f>
        <v>19923028</v>
      </c>
      <c r="C56" s="65" t="s">
        <v>4902</v>
      </c>
      <c r="D56" s="65" t="s">
        <v>5004</v>
      </c>
      <c r="E56" s="65" t="s">
        <v>2384</v>
      </c>
      <c r="F56" s="65" t="s">
        <v>5005</v>
      </c>
      <c r="G56" s="65">
        <v>0</v>
      </c>
      <c r="H56" s="65">
        <v>1</v>
      </c>
      <c r="I56" s="65">
        <v>0</v>
      </c>
      <c r="J56" s="65">
        <v>0</v>
      </c>
      <c r="K56" s="65">
        <v>2</v>
      </c>
      <c r="L56" s="65">
        <v>2</v>
      </c>
      <c r="M56" s="65" t="s">
        <v>4800</v>
      </c>
      <c r="N56" s="88" t="s">
        <v>5096</v>
      </c>
      <c r="O56" s="88" t="s">
        <v>5095</v>
      </c>
      <c r="P56" s="88" t="s">
        <v>4494</v>
      </c>
      <c r="Q56" s="65">
        <v>9</v>
      </c>
      <c r="R56" s="65">
        <v>13</v>
      </c>
      <c r="S56" s="65" t="str">
        <f t="shared" si="0"/>
        <v>DA_he_fu_pl_horn_fin_02</v>
      </c>
      <c r="T56" s="65" t="str">
        <f t="shared" si="1"/>
        <v>/Game/DungeonSiege/Items/Armor/Helm/DA_he_fu_pl_horn_fin_02</v>
      </c>
      <c r="U56" s="65" t="str">
        <f t="shared" si="2"/>
        <v>Texture2D'/Game/DungeonSiege/art/bitmaps/gui/in_game/inventory/armor/helmet/b_gui_ig_i_a_hlmt_084.b_gui_ig_i_a_hlmt_084'</v>
      </c>
      <c r="V56" s="65" t="s">
        <v>5194</v>
      </c>
    </row>
    <row r="57" spans="1:22" ht="15.75" thickBot="1" x14ac:dyDescent="0.3">
      <c r="A57" s="65">
        <v>55</v>
      </c>
      <c r="B57" s="65">
        <f>HEX2DEC(A57+Items!$A$8)</f>
        <v>19923029</v>
      </c>
      <c r="C57" s="65" t="s">
        <v>4903</v>
      </c>
      <c r="D57" s="65" t="s">
        <v>5006</v>
      </c>
      <c r="E57" s="65" t="s">
        <v>2384</v>
      </c>
      <c r="F57" s="65" t="s">
        <v>5007</v>
      </c>
      <c r="G57" s="65">
        <v>0</v>
      </c>
      <c r="H57" s="65">
        <v>1</v>
      </c>
      <c r="I57" s="65">
        <v>0</v>
      </c>
      <c r="J57" s="65">
        <v>0</v>
      </c>
      <c r="K57" s="65">
        <v>2</v>
      </c>
      <c r="L57" s="65">
        <v>2</v>
      </c>
      <c r="M57" s="65" t="s">
        <v>4801</v>
      </c>
      <c r="N57" s="88" t="s">
        <v>5097</v>
      </c>
      <c r="O57" s="88" t="s">
        <v>5095</v>
      </c>
      <c r="P57" s="88" t="s">
        <v>4493</v>
      </c>
      <c r="Q57" s="65">
        <v>10</v>
      </c>
      <c r="R57" s="65">
        <v>15</v>
      </c>
      <c r="S57" s="65" t="str">
        <f t="shared" si="0"/>
        <v>DA_he_fu_pl_horn_fin_03</v>
      </c>
      <c r="T57" s="65" t="str">
        <f t="shared" si="1"/>
        <v>/Game/DungeonSiege/Items/Armor/Helm/DA_he_fu_pl_horn_fin_03</v>
      </c>
      <c r="U57" s="65" t="str">
        <f t="shared" si="2"/>
        <v>Texture2D'/Game/DungeonSiege/art/bitmaps/gui/in_game/inventory/armor/helmet/b_gui_ig_i_a_hlmt_085.b_gui_ig_i_a_hlmt_085'</v>
      </c>
      <c r="V57" s="65" t="s">
        <v>5194</v>
      </c>
    </row>
    <row r="58" spans="1:22" ht="15.75" thickBot="1" x14ac:dyDescent="0.3">
      <c r="A58" s="65">
        <v>56</v>
      </c>
      <c r="B58" s="65">
        <f>HEX2DEC(A58+Items!$A$8)</f>
        <v>19923030</v>
      </c>
      <c r="C58" s="65" t="s">
        <v>4904</v>
      </c>
      <c r="D58" s="65" t="s">
        <v>5003</v>
      </c>
      <c r="E58" s="65" t="s">
        <v>2384</v>
      </c>
      <c r="F58" s="65" t="s">
        <v>5008</v>
      </c>
      <c r="G58" s="65">
        <v>0</v>
      </c>
      <c r="H58" s="65">
        <v>1</v>
      </c>
      <c r="I58" s="65">
        <v>0</v>
      </c>
      <c r="J58" s="65">
        <v>0</v>
      </c>
      <c r="K58" s="65">
        <v>2</v>
      </c>
      <c r="L58" s="65">
        <v>2</v>
      </c>
      <c r="M58" s="65" t="s">
        <v>4802</v>
      </c>
      <c r="N58" s="88" t="s">
        <v>5098</v>
      </c>
      <c r="O58" s="88" t="s">
        <v>5099</v>
      </c>
      <c r="P58" s="88" t="s">
        <v>2789</v>
      </c>
      <c r="Q58" s="65">
        <v>10</v>
      </c>
      <c r="R58" s="65">
        <v>14</v>
      </c>
      <c r="S58" s="65" t="str">
        <f t="shared" si="0"/>
        <v>DA_he_fu_pl_horn_mag</v>
      </c>
      <c r="T58" s="65" t="str">
        <f t="shared" si="1"/>
        <v>/Game/DungeonSiege/Items/Armor/Helm/DA_he_fu_pl_horn_mag</v>
      </c>
      <c r="U58" s="65" t="str">
        <f t="shared" si="2"/>
        <v>Texture2D'/Game/DungeonSiege/art/bitmaps/gui/in_game/inventory/armor/helmet/b_gui_ig_i_a_hlmt_027.b_gui_ig_i_a_hlmt_027'</v>
      </c>
      <c r="V58" s="65" t="s">
        <v>5194</v>
      </c>
    </row>
    <row r="59" spans="1:22" ht="15.75" thickBot="1" x14ac:dyDescent="0.3">
      <c r="A59" s="65">
        <v>57</v>
      </c>
      <c r="B59" s="65">
        <f>HEX2DEC(A59+Items!$A$8)</f>
        <v>19923031</v>
      </c>
      <c r="C59" s="65" t="s">
        <v>4905</v>
      </c>
      <c r="D59" s="65" t="s">
        <v>5009</v>
      </c>
      <c r="E59" s="65" t="s">
        <v>2384</v>
      </c>
      <c r="F59" s="65" t="s">
        <v>5010</v>
      </c>
      <c r="G59" s="65">
        <v>0</v>
      </c>
      <c r="H59" s="65">
        <v>1</v>
      </c>
      <c r="I59" s="65">
        <v>0</v>
      </c>
      <c r="J59" s="65">
        <v>0</v>
      </c>
      <c r="K59" s="65">
        <v>2</v>
      </c>
      <c r="L59" s="65">
        <v>2</v>
      </c>
      <c r="M59" s="65" t="s">
        <v>4803</v>
      </c>
      <c r="N59" s="88" t="s">
        <v>5100</v>
      </c>
      <c r="O59" s="88" t="s">
        <v>5099</v>
      </c>
      <c r="P59" s="88" t="s">
        <v>4481</v>
      </c>
      <c r="Q59" s="65">
        <v>11</v>
      </c>
      <c r="R59" s="65">
        <v>16</v>
      </c>
      <c r="S59" s="65" t="str">
        <f t="shared" si="0"/>
        <v>DA_he_fu_pl_horn_mag_02</v>
      </c>
      <c r="T59" s="65" t="str">
        <f t="shared" si="1"/>
        <v>/Game/DungeonSiege/Items/Armor/Helm/DA_he_fu_pl_horn_mag_02</v>
      </c>
      <c r="U59" s="65" t="str">
        <f t="shared" si="2"/>
        <v>Texture2D'/Game/DungeonSiege/art/bitmaps/gui/in_game/inventory/armor/helmet/b_gui_ig_i_a_hlmt_088.b_gui_ig_i_a_hlmt_088'</v>
      </c>
      <c r="V59" s="65" t="s">
        <v>5194</v>
      </c>
    </row>
    <row r="60" spans="1:22" ht="15.75" thickBot="1" x14ac:dyDescent="0.3">
      <c r="A60" s="65">
        <v>58</v>
      </c>
      <c r="B60" s="65">
        <f>HEX2DEC(A60+Items!$A$8)</f>
        <v>19923032</v>
      </c>
      <c r="C60" s="65" t="s">
        <v>4906</v>
      </c>
      <c r="D60" s="65" t="s">
        <v>5000</v>
      </c>
      <c r="E60" s="65" t="s">
        <v>2384</v>
      </c>
      <c r="F60" s="65" t="s">
        <v>4998</v>
      </c>
      <c r="G60" s="65">
        <v>1</v>
      </c>
      <c r="H60" s="65">
        <v>1</v>
      </c>
      <c r="I60" s="65">
        <v>0</v>
      </c>
      <c r="J60" s="65">
        <v>0</v>
      </c>
      <c r="K60" s="65">
        <v>2</v>
      </c>
      <c r="L60" s="65">
        <v>2</v>
      </c>
      <c r="M60" s="65" t="s">
        <v>4804</v>
      </c>
      <c r="N60" s="88" t="s">
        <v>5101</v>
      </c>
      <c r="O60" s="88" t="s">
        <v>5102</v>
      </c>
      <c r="P60" s="88" t="s">
        <v>2795</v>
      </c>
      <c r="Q60" s="65">
        <v>0</v>
      </c>
      <c r="R60" s="65">
        <v>9</v>
      </c>
      <c r="S60" s="65" t="str">
        <f t="shared" si="0"/>
        <v>DA_he_fu_pl_knight</v>
      </c>
      <c r="T60" s="65" t="str">
        <f t="shared" si="1"/>
        <v>/Game/DungeonSiege/Items/Armor/Helm/DA_he_fu_pl_knight</v>
      </c>
      <c r="U60" s="65" t="str">
        <f t="shared" si="2"/>
        <v>Texture2D'/Game/DungeonSiege/art/bitmaps/gui/in_game/inventory/armor/helmet/b_gui_ig_i_a_hlmt_003.b_gui_ig_i_a_hlmt_003'</v>
      </c>
      <c r="V60" s="65" t="s">
        <v>5194</v>
      </c>
    </row>
    <row r="61" spans="1:22" ht="15.75" thickBot="1" x14ac:dyDescent="0.3">
      <c r="A61" s="65">
        <v>59</v>
      </c>
      <c r="B61" s="65">
        <f>HEX2DEC(A61+Items!$A$8)</f>
        <v>19923033</v>
      </c>
      <c r="C61" s="65" t="s">
        <v>4907</v>
      </c>
      <c r="D61" s="65" t="s">
        <v>5011</v>
      </c>
      <c r="E61" s="65" t="s">
        <v>2384</v>
      </c>
      <c r="F61" s="65" t="s">
        <v>5012</v>
      </c>
      <c r="G61" s="65">
        <v>0</v>
      </c>
      <c r="H61" s="65">
        <v>1</v>
      </c>
      <c r="I61" s="65">
        <v>0</v>
      </c>
      <c r="J61" s="65">
        <v>0</v>
      </c>
      <c r="K61" s="65">
        <v>2</v>
      </c>
      <c r="L61" s="65">
        <v>2</v>
      </c>
      <c r="M61" s="65" t="s">
        <v>4805</v>
      </c>
      <c r="N61" s="88" t="s">
        <v>5103</v>
      </c>
      <c r="O61" s="88" t="s">
        <v>5102</v>
      </c>
      <c r="P61" s="88" t="s">
        <v>4517</v>
      </c>
      <c r="Q61" s="65">
        <v>4</v>
      </c>
      <c r="R61" s="65">
        <v>10</v>
      </c>
      <c r="S61" s="65" t="str">
        <f t="shared" si="0"/>
        <v>DA_he_fu_pl_knight_02</v>
      </c>
      <c r="T61" s="65" t="str">
        <f t="shared" si="1"/>
        <v>/Game/DungeonSiege/Items/Armor/Helm/DA_he_fu_pl_knight_02</v>
      </c>
      <c r="U61" s="65" t="str">
        <f t="shared" si="2"/>
        <v>Texture2D'/Game/DungeonSiege/art/bitmaps/gui/in_game/inventory/armor/helmet/b_gui_ig_i_a_hlmt_093.b_gui_ig_i_a_hlmt_093'</v>
      </c>
      <c r="V61" s="65" t="s">
        <v>5194</v>
      </c>
    </row>
    <row r="62" spans="1:22" ht="15.75" thickBot="1" x14ac:dyDescent="0.3">
      <c r="A62" s="65">
        <v>60</v>
      </c>
      <c r="B62" s="65">
        <f>HEX2DEC(A62+Items!$A$8)</f>
        <v>19923040</v>
      </c>
      <c r="C62" s="65" t="s">
        <v>4908</v>
      </c>
      <c r="D62" s="65" t="s">
        <v>5002</v>
      </c>
      <c r="E62" s="65" t="s">
        <v>2384</v>
      </c>
      <c r="F62" s="65" t="s">
        <v>5003</v>
      </c>
      <c r="G62" s="65">
        <v>0</v>
      </c>
      <c r="H62" s="65">
        <v>1</v>
      </c>
      <c r="I62" s="65">
        <v>0</v>
      </c>
      <c r="J62" s="65">
        <v>0</v>
      </c>
      <c r="K62" s="65">
        <v>2</v>
      </c>
      <c r="L62" s="65">
        <v>2</v>
      </c>
      <c r="M62" s="65" t="s">
        <v>4806</v>
      </c>
      <c r="N62" s="88" t="s">
        <v>5104</v>
      </c>
      <c r="O62" s="88" t="s">
        <v>5105</v>
      </c>
      <c r="P62" s="88" t="s">
        <v>2796</v>
      </c>
      <c r="Q62" s="65">
        <v>5</v>
      </c>
      <c r="R62" s="65">
        <v>13</v>
      </c>
      <c r="S62" s="65" t="str">
        <f t="shared" si="0"/>
        <v>DA_he_fu_pl_knight_fin</v>
      </c>
      <c r="T62" s="65" t="str">
        <f t="shared" si="1"/>
        <v>/Game/DungeonSiege/Items/Armor/Helm/DA_he_fu_pl_knight_fin</v>
      </c>
      <c r="U62" s="65" t="str">
        <f t="shared" si="2"/>
        <v>Texture2D'/Game/DungeonSiege/art/bitmaps/gui/in_game/inventory/armor/helmet/b_gui_ig_i_a_hlmt_021.b_gui_ig_i_a_hlmt_021'</v>
      </c>
      <c r="V62" s="65" t="s">
        <v>5194</v>
      </c>
    </row>
    <row r="63" spans="1:22" ht="15.75" thickBot="1" x14ac:dyDescent="0.3">
      <c r="A63" s="65">
        <v>61</v>
      </c>
      <c r="B63" s="65">
        <f>HEX2DEC(A63+Items!$A$8)</f>
        <v>19923041</v>
      </c>
      <c r="C63" s="65" t="s">
        <v>4909</v>
      </c>
      <c r="D63" s="65" t="s">
        <v>5008</v>
      </c>
      <c r="E63" s="65" t="s">
        <v>2384</v>
      </c>
      <c r="F63" s="65" t="s">
        <v>5013</v>
      </c>
      <c r="G63" s="65">
        <v>0</v>
      </c>
      <c r="H63" s="65">
        <v>1</v>
      </c>
      <c r="I63" s="65">
        <v>0</v>
      </c>
      <c r="J63" s="65">
        <v>0</v>
      </c>
      <c r="K63" s="65">
        <v>2</v>
      </c>
      <c r="L63" s="65">
        <v>2</v>
      </c>
      <c r="M63" s="65" t="s">
        <v>4807</v>
      </c>
      <c r="N63" s="88" t="s">
        <v>5106</v>
      </c>
      <c r="O63" s="88" t="s">
        <v>5105</v>
      </c>
      <c r="P63" s="88" t="s">
        <v>4489</v>
      </c>
      <c r="Q63" s="65">
        <v>12</v>
      </c>
      <c r="R63" s="65">
        <v>15</v>
      </c>
      <c r="S63" s="65" t="str">
        <f t="shared" si="0"/>
        <v>DA_he_fu_pl_knight_fin_02</v>
      </c>
      <c r="T63" s="65" t="str">
        <f t="shared" si="1"/>
        <v>/Game/DungeonSiege/Items/Armor/Helm/DA_he_fu_pl_knight_fin_02</v>
      </c>
      <c r="U63" s="65" t="str">
        <f t="shared" si="2"/>
        <v>Texture2D'/Game/DungeonSiege/art/bitmaps/gui/in_game/inventory/armor/helmet/b_gui_ig_i_a_hlmt_081.b_gui_ig_i_a_hlmt_081'</v>
      </c>
      <c r="V63" s="65" t="s">
        <v>5194</v>
      </c>
    </row>
    <row r="64" spans="1:22" ht="15.75" thickBot="1" x14ac:dyDescent="0.3">
      <c r="A64" s="65">
        <v>62</v>
      </c>
      <c r="B64" s="65">
        <f>HEX2DEC(A64+Items!$A$8)</f>
        <v>19923042</v>
      </c>
      <c r="C64" s="65" t="s">
        <v>4910</v>
      </c>
      <c r="D64" s="65" t="s">
        <v>4647</v>
      </c>
      <c r="E64" s="65" t="s">
        <v>2384</v>
      </c>
      <c r="F64" s="65" t="s">
        <v>4648</v>
      </c>
      <c r="G64" s="65">
        <v>0</v>
      </c>
      <c r="H64" s="65">
        <v>1</v>
      </c>
      <c r="I64" s="65">
        <v>0</v>
      </c>
      <c r="J64" s="65">
        <v>0</v>
      </c>
      <c r="K64" s="65">
        <v>2</v>
      </c>
      <c r="L64" s="65">
        <v>2</v>
      </c>
      <c r="M64" s="65" t="s">
        <v>4808</v>
      </c>
      <c r="N64" s="88" t="s">
        <v>5107</v>
      </c>
      <c r="O64" s="88" t="s">
        <v>5105</v>
      </c>
      <c r="P64" s="88" t="s">
        <v>4491</v>
      </c>
      <c r="Q64" s="65">
        <v>12</v>
      </c>
      <c r="R64" s="65">
        <v>17</v>
      </c>
      <c r="S64" s="65" t="str">
        <f t="shared" si="0"/>
        <v>DA_he_fu_pl_knight_fin_03</v>
      </c>
      <c r="T64" s="65" t="str">
        <f t="shared" si="1"/>
        <v>/Game/DungeonSiege/Items/Armor/Helm/DA_he_fu_pl_knight_fin_03</v>
      </c>
      <c r="U64" s="65" t="str">
        <f t="shared" si="2"/>
        <v>Texture2D'/Game/DungeonSiege/art/bitmaps/gui/in_game/inventory/armor/helmet/b_gui_ig_i_a_hlmt_082.b_gui_ig_i_a_hlmt_082'</v>
      </c>
      <c r="V64" s="65" t="s">
        <v>5194</v>
      </c>
    </row>
    <row r="65" spans="1:22" ht="15.75" thickBot="1" x14ac:dyDescent="0.3">
      <c r="A65" s="65">
        <v>63</v>
      </c>
      <c r="B65" s="65">
        <f>HEX2DEC(A65+Items!$A$8)</f>
        <v>19923043</v>
      </c>
      <c r="C65" s="65" t="s">
        <v>4911</v>
      </c>
      <c r="D65" s="65" t="s">
        <v>5014</v>
      </c>
      <c r="E65" s="65" t="s">
        <v>2384</v>
      </c>
      <c r="F65" s="65" t="s">
        <v>5004</v>
      </c>
      <c r="G65" s="65">
        <v>1</v>
      </c>
      <c r="H65" s="65">
        <v>1</v>
      </c>
      <c r="I65" s="65">
        <v>0</v>
      </c>
      <c r="J65" s="65">
        <v>0</v>
      </c>
      <c r="K65" s="65">
        <v>2</v>
      </c>
      <c r="L65" s="65">
        <v>2</v>
      </c>
      <c r="M65" s="65" t="s">
        <v>4809</v>
      </c>
      <c r="N65" s="88" t="s">
        <v>5108</v>
      </c>
      <c r="O65" s="88" t="s">
        <v>5109</v>
      </c>
      <c r="P65" s="88" t="s">
        <v>2807</v>
      </c>
      <c r="Q65" s="65">
        <v>0</v>
      </c>
      <c r="R65" s="65">
        <v>8</v>
      </c>
      <c r="S65" s="65" t="str">
        <f t="shared" si="0"/>
        <v>DA_he_fu_pl_knight_str</v>
      </c>
      <c r="T65" s="65" t="str">
        <f t="shared" si="1"/>
        <v>/Game/DungeonSiege/Items/Armor/Helm/DA_he_fu_pl_knight_str</v>
      </c>
      <c r="U65" s="65" t="str">
        <f t="shared" si="2"/>
        <v>Texture2D'/Game/DungeonSiege/art/bitmaps/gui/in_game/inventory/armor/helmet/b_gui_ig_i_a_hlmt_018.b_gui_ig_i_a_hlmt_018'</v>
      </c>
      <c r="V65" s="65" t="s">
        <v>5194</v>
      </c>
    </row>
    <row r="66" spans="1:22" ht="15.75" thickBot="1" x14ac:dyDescent="0.3">
      <c r="A66" s="65">
        <v>64</v>
      </c>
      <c r="B66" s="65">
        <f>HEX2DEC(A66+Items!$A$8)</f>
        <v>19923044</v>
      </c>
      <c r="C66" s="65" t="s">
        <v>4912</v>
      </c>
      <c r="D66" s="65" t="s">
        <v>5003</v>
      </c>
      <c r="E66" s="65" t="s">
        <v>2384</v>
      </c>
      <c r="F66" s="65" t="s">
        <v>5006</v>
      </c>
      <c r="G66" s="65">
        <v>0</v>
      </c>
      <c r="H66" s="65">
        <v>1</v>
      </c>
      <c r="I66" s="65">
        <v>0</v>
      </c>
      <c r="J66" s="65">
        <v>0</v>
      </c>
      <c r="K66" s="65">
        <v>2</v>
      </c>
      <c r="L66" s="65">
        <v>2</v>
      </c>
      <c r="M66" s="65" t="s">
        <v>4810</v>
      </c>
      <c r="N66" s="88" t="s">
        <v>5110</v>
      </c>
      <c r="O66" s="88" t="s">
        <v>5109</v>
      </c>
      <c r="P66" s="88" t="s">
        <v>4482</v>
      </c>
      <c r="Q66" s="65">
        <v>5</v>
      </c>
      <c r="R66" s="65">
        <v>12</v>
      </c>
      <c r="S66" s="65" t="str">
        <f t="shared" si="0"/>
        <v>DA_he_fu_pl_knight_str_02</v>
      </c>
      <c r="T66" s="65" t="str">
        <f t="shared" si="1"/>
        <v>/Game/DungeonSiege/Items/Armor/Helm/DA_he_fu_pl_knight_str_02</v>
      </c>
      <c r="U66" s="65" t="str">
        <f t="shared" si="2"/>
        <v>Texture2D'/Game/DungeonSiege/art/bitmaps/gui/in_game/inventory/armor/helmet/b_gui_ig_i_a_hlmt_087.b_gui_ig_i_a_hlmt_087'</v>
      </c>
      <c r="V66" s="65" t="s">
        <v>5194</v>
      </c>
    </row>
    <row r="67" spans="1:22" ht="15.75" thickBot="1" x14ac:dyDescent="0.3">
      <c r="A67" s="65">
        <v>65</v>
      </c>
      <c r="B67" s="65">
        <f>HEX2DEC(A67+Items!$A$8)</f>
        <v>19923045</v>
      </c>
      <c r="C67" s="65" t="s">
        <v>4913</v>
      </c>
      <c r="D67" s="65" t="s">
        <v>5015</v>
      </c>
      <c r="E67" s="65" t="s">
        <v>2384</v>
      </c>
      <c r="F67" s="65" t="s">
        <v>5014</v>
      </c>
      <c r="G67" s="65">
        <v>0</v>
      </c>
      <c r="H67" s="65">
        <v>1</v>
      </c>
      <c r="I67" s="65">
        <v>0</v>
      </c>
      <c r="J67" s="65">
        <v>0</v>
      </c>
      <c r="K67" s="65">
        <v>2</v>
      </c>
      <c r="L67" s="65">
        <v>2</v>
      </c>
      <c r="M67" s="65" t="s">
        <v>4811</v>
      </c>
      <c r="N67" s="88" t="s">
        <v>5111</v>
      </c>
      <c r="O67" s="88" t="s">
        <v>5112</v>
      </c>
      <c r="P67" s="88" t="s">
        <v>2800</v>
      </c>
      <c r="Q67" s="65">
        <v>8</v>
      </c>
      <c r="R67" s="65">
        <v>11</v>
      </c>
      <c r="S67" s="65" t="str">
        <f t="shared" ref="S67:S129" si="3" xml:space="preserve"> CONCATENATE("DA_",SUBSTITUTE(M67,":","_"))</f>
        <v>DA_he_fu_pl_smallwings</v>
      </c>
      <c r="T67" s="65" t="str">
        <f t="shared" ref="T67:T129" si="4">"/Game/DungeonSiege/Items/Armor/Helm/" &amp; S67</f>
        <v>/Game/DungeonSiege/Items/Armor/Helm/DA_he_fu_pl_smallwings</v>
      </c>
      <c r="U67" s="65" t="str">
        <f t="shared" ref="U67:U129" si="5">CONCATENATE("Texture2D'/Game/DungeonSiege/art/bitmaps/gui/in_game/inventory/armor/helmet/",N67,".",N67,"'")</f>
        <v>Texture2D'/Game/DungeonSiege/art/bitmaps/gui/in_game/inventory/armor/helmet/b_gui_ig_i_a_hlmt_033.b_gui_ig_i_a_hlmt_033'</v>
      </c>
      <c r="V67" s="65" t="s">
        <v>5194</v>
      </c>
    </row>
    <row r="68" spans="1:22" ht="15.75" thickBot="1" x14ac:dyDescent="0.3">
      <c r="A68" s="65">
        <v>66</v>
      </c>
      <c r="B68" s="65">
        <f>HEX2DEC(A68+Items!$A$8)</f>
        <v>19923046</v>
      </c>
      <c r="C68" s="65" t="s">
        <v>4914</v>
      </c>
      <c r="D68" s="65" t="s">
        <v>5014</v>
      </c>
      <c r="E68" s="65" t="s">
        <v>2384</v>
      </c>
      <c r="F68" s="65" t="s">
        <v>5004</v>
      </c>
      <c r="G68" s="65">
        <v>0</v>
      </c>
      <c r="H68" s="65">
        <v>1</v>
      </c>
      <c r="I68" s="65">
        <v>0</v>
      </c>
      <c r="J68" s="65">
        <v>0</v>
      </c>
      <c r="K68" s="65">
        <v>2</v>
      </c>
      <c r="L68" s="65">
        <v>2</v>
      </c>
      <c r="M68" s="65" t="s">
        <v>4812</v>
      </c>
      <c r="N68" s="88" t="s">
        <v>5113</v>
      </c>
      <c r="O68" s="88" t="s">
        <v>5112</v>
      </c>
      <c r="P68" s="88" t="s">
        <v>4515</v>
      </c>
      <c r="Q68" s="65">
        <v>9</v>
      </c>
      <c r="R68" s="65">
        <v>12</v>
      </c>
      <c r="S68" s="65" t="str">
        <f t="shared" si="3"/>
        <v>DA_he_fu_pl_smallwings_02</v>
      </c>
      <c r="T68" s="65" t="str">
        <f t="shared" si="4"/>
        <v>/Game/DungeonSiege/Items/Armor/Helm/DA_he_fu_pl_smallwings_02</v>
      </c>
      <c r="U68" s="65" t="str">
        <f t="shared" si="5"/>
        <v>Texture2D'/Game/DungeonSiege/art/bitmaps/gui/in_game/inventory/armor/helmet/b_gui_ig_i_a_hlmt_094.b_gui_ig_i_a_hlmt_094'</v>
      </c>
      <c r="V68" s="65" t="s">
        <v>5194</v>
      </c>
    </row>
    <row r="69" spans="1:22" ht="15.75" thickBot="1" x14ac:dyDescent="0.3">
      <c r="A69" s="65">
        <v>67</v>
      </c>
      <c r="B69" s="65">
        <f>HEX2DEC(A69+Items!$A$8)</f>
        <v>19923047</v>
      </c>
      <c r="C69" s="65" t="s">
        <v>4915</v>
      </c>
      <c r="D69" s="65" t="s">
        <v>5015</v>
      </c>
      <c r="E69" s="65" t="s">
        <v>2384</v>
      </c>
      <c r="F69" s="65" t="s">
        <v>5014</v>
      </c>
      <c r="G69" s="65">
        <v>1</v>
      </c>
      <c r="H69" s="65">
        <v>0</v>
      </c>
      <c r="I69" s="65">
        <v>0</v>
      </c>
      <c r="J69" s="65">
        <v>0</v>
      </c>
      <c r="K69" s="65">
        <v>2</v>
      </c>
      <c r="L69" s="65">
        <v>2</v>
      </c>
      <c r="M69" s="65" t="s">
        <v>4813</v>
      </c>
      <c r="N69" s="88" t="s">
        <v>5113</v>
      </c>
      <c r="O69" s="88" t="s">
        <v>5112</v>
      </c>
      <c r="P69" s="88" t="s">
        <v>4515</v>
      </c>
      <c r="Q69" s="65"/>
      <c r="R69" s="65"/>
      <c r="S69" s="65" t="str">
        <f t="shared" si="3"/>
        <v>DA_he_fu_pl_smallwings_kavaren</v>
      </c>
      <c r="T69" s="65" t="str">
        <f t="shared" si="4"/>
        <v>/Game/DungeonSiege/Items/Armor/Helm/DA_he_fu_pl_smallwings_kavaren</v>
      </c>
      <c r="U69" s="65" t="str">
        <f t="shared" si="5"/>
        <v>Texture2D'/Game/DungeonSiege/art/bitmaps/gui/in_game/inventory/armor/helmet/b_gui_ig_i_a_hlmt_094.b_gui_ig_i_a_hlmt_094'</v>
      </c>
      <c r="V69" s="65" t="s">
        <v>5194</v>
      </c>
    </row>
    <row r="70" spans="1:22" ht="15.75" thickBot="1" x14ac:dyDescent="0.3">
      <c r="A70" s="65">
        <v>68</v>
      </c>
      <c r="B70" s="65">
        <f>HEX2DEC(A70+Items!$A$8)</f>
        <v>19923048</v>
      </c>
      <c r="C70" s="65" t="s">
        <v>4916</v>
      </c>
      <c r="D70" s="65" t="s">
        <v>5015</v>
      </c>
      <c r="E70" s="65" t="s">
        <v>2384</v>
      </c>
      <c r="F70" s="65" t="s">
        <v>5014</v>
      </c>
      <c r="G70" s="65">
        <v>1</v>
      </c>
      <c r="H70" s="65">
        <v>1</v>
      </c>
      <c r="I70" s="65">
        <v>0</v>
      </c>
      <c r="J70" s="65">
        <v>0</v>
      </c>
      <c r="K70" s="65">
        <v>2</v>
      </c>
      <c r="L70" s="65">
        <v>2</v>
      </c>
      <c r="M70" s="65" t="s">
        <v>4814</v>
      </c>
      <c r="N70" s="88" t="s">
        <v>5114</v>
      </c>
      <c r="O70" s="88" t="s">
        <v>5086</v>
      </c>
      <c r="P70" s="88" t="s">
        <v>2818</v>
      </c>
      <c r="Q70" s="65">
        <v>0</v>
      </c>
      <c r="R70" s="65">
        <v>10</v>
      </c>
      <c r="S70" s="65" t="str">
        <f t="shared" si="3"/>
        <v>DA_he_fu_pl_spike</v>
      </c>
      <c r="T70" s="65" t="str">
        <f t="shared" si="4"/>
        <v>/Game/DungeonSiege/Items/Armor/Helm/DA_he_fu_pl_spike</v>
      </c>
      <c r="U70" s="65" t="str">
        <f t="shared" si="5"/>
        <v>Texture2D'/Game/DungeonSiege/art/bitmaps/gui/in_game/inventory/armor/helmet/b_gui_ig_i_a_hlmt_044.b_gui_ig_i_a_hlmt_044'</v>
      </c>
      <c r="V70" s="65" t="s">
        <v>5194</v>
      </c>
    </row>
    <row r="71" spans="1:22" ht="15.75" thickBot="1" x14ac:dyDescent="0.3">
      <c r="A71" s="65">
        <v>69</v>
      </c>
      <c r="B71" s="65">
        <f>HEX2DEC(A71+Items!$A$8)</f>
        <v>19923049</v>
      </c>
      <c r="C71" s="65" t="s">
        <v>4917</v>
      </c>
      <c r="D71" s="65" t="s">
        <v>5001</v>
      </c>
      <c r="E71" s="65" t="s">
        <v>2384</v>
      </c>
      <c r="F71" s="65" t="s">
        <v>4999</v>
      </c>
      <c r="G71" s="65">
        <v>1</v>
      </c>
      <c r="H71" s="65">
        <v>1</v>
      </c>
      <c r="I71" s="65">
        <v>0</v>
      </c>
      <c r="J71" s="65">
        <v>0</v>
      </c>
      <c r="K71" s="65">
        <v>2</v>
      </c>
      <c r="L71" s="65">
        <v>2</v>
      </c>
      <c r="M71" s="65" t="s">
        <v>4815</v>
      </c>
      <c r="N71" s="88" t="s">
        <v>5115</v>
      </c>
      <c r="O71" s="88" t="s">
        <v>4519</v>
      </c>
      <c r="P71" s="88" t="s">
        <v>2499</v>
      </c>
      <c r="Q71" s="65">
        <v>0</v>
      </c>
      <c r="R71" s="65">
        <v>8</v>
      </c>
      <c r="S71" s="65" t="str">
        <f t="shared" si="3"/>
        <v>DA_he_fu_pl_str</v>
      </c>
      <c r="T71" s="65" t="str">
        <f t="shared" si="4"/>
        <v>/Game/DungeonSiege/Items/Armor/Helm/DA_he_fu_pl_str</v>
      </c>
      <c r="U71" s="65" t="str">
        <f t="shared" si="5"/>
        <v>Texture2D'/Game/DungeonSiege/art/bitmaps/gui/in_game/inventory/armor/helmet/b_gui_ig_i_a_hlmt_001.b_gui_ig_i_a_hlmt_001'</v>
      </c>
      <c r="V71" s="65" t="s">
        <v>5194</v>
      </c>
    </row>
    <row r="72" spans="1:22" ht="15.75" thickBot="1" x14ac:dyDescent="0.3">
      <c r="A72" s="65">
        <v>70</v>
      </c>
      <c r="B72" s="65">
        <f>HEX2DEC(A72+Items!$A$8)</f>
        <v>19923056</v>
      </c>
      <c r="C72" s="65" t="s">
        <v>4918</v>
      </c>
      <c r="D72" s="65" t="s">
        <v>4975</v>
      </c>
      <c r="E72" s="65" t="s">
        <v>2384</v>
      </c>
      <c r="F72" s="65" t="s">
        <v>5016</v>
      </c>
      <c r="G72" s="65">
        <v>0</v>
      </c>
      <c r="H72" s="65">
        <v>1</v>
      </c>
      <c r="I72" s="65">
        <v>0</v>
      </c>
      <c r="J72" s="65">
        <v>0</v>
      </c>
      <c r="K72" s="65">
        <v>2</v>
      </c>
      <c r="L72" s="65">
        <v>2</v>
      </c>
      <c r="M72" s="65" t="s">
        <v>4816</v>
      </c>
      <c r="N72" s="88" t="s">
        <v>5116</v>
      </c>
      <c r="O72" s="88" t="s">
        <v>5117</v>
      </c>
      <c r="P72" s="88" t="s">
        <v>2814</v>
      </c>
      <c r="Q72" s="65">
        <v>4</v>
      </c>
      <c r="R72" s="65">
        <v>5</v>
      </c>
      <c r="S72" s="65" t="str">
        <f t="shared" si="3"/>
        <v>DA_he_op_bigwings</v>
      </c>
      <c r="T72" s="65" t="str">
        <f t="shared" si="4"/>
        <v>/Game/DungeonSiege/Items/Armor/Helm/DA_he_op_bigwings</v>
      </c>
      <c r="U72" s="65" t="str">
        <f t="shared" si="5"/>
        <v>Texture2D'/Game/DungeonSiege/art/bitmaps/gui/in_game/inventory/armor/helmet/b_gui_ig_i_a_hlmt_043.b_gui_ig_i_a_hlmt_043'</v>
      </c>
      <c r="V72" s="65" t="s">
        <v>5194</v>
      </c>
    </row>
    <row r="73" spans="1:22" ht="15.75" thickBot="1" x14ac:dyDescent="0.3">
      <c r="A73" s="65">
        <v>71</v>
      </c>
      <c r="B73" s="65">
        <f>HEX2DEC(A73+Items!$A$8)</f>
        <v>19923057</v>
      </c>
      <c r="C73" s="65" t="s">
        <v>4919</v>
      </c>
      <c r="D73" s="65" t="s">
        <v>4976</v>
      </c>
      <c r="E73" s="65" t="s">
        <v>2384</v>
      </c>
      <c r="F73" s="65" t="s">
        <v>5017</v>
      </c>
      <c r="G73" s="65">
        <v>0</v>
      </c>
      <c r="H73" s="65">
        <v>1</v>
      </c>
      <c r="I73" s="65">
        <v>0</v>
      </c>
      <c r="J73" s="65">
        <v>0</v>
      </c>
      <c r="K73" s="65">
        <v>2</v>
      </c>
      <c r="L73" s="65">
        <v>2</v>
      </c>
      <c r="M73" s="65" t="s">
        <v>4817</v>
      </c>
      <c r="N73" s="88" t="s">
        <v>5118</v>
      </c>
      <c r="O73" s="88" t="s">
        <v>5117</v>
      </c>
      <c r="P73" s="88" t="s">
        <v>4480</v>
      </c>
      <c r="Q73" s="65">
        <v>5</v>
      </c>
      <c r="R73" s="65">
        <v>8</v>
      </c>
      <c r="S73" s="65" t="str">
        <f t="shared" si="3"/>
        <v>DA_he_op_bigwings_02</v>
      </c>
      <c r="T73" s="65" t="str">
        <f t="shared" si="4"/>
        <v>/Game/DungeonSiege/Items/Armor/Helm/DA_he_op_bigwings_02</v>
      </c>
      <c r="U73" s="65" t="str">
        <f t="shared" si="5"/>
        <v>Texture2D'/Game/DungeonSiege/art/bitmaps/gui/in_game/inventory/armor/helmet/b_gui_ig_i_a_hlmt_086.b_gui_ig_i_a_hlmt_086'</v>
      </c>
      <c r="V73" s="65" t="s">
        <v>5194</v>
      </c>
    </row>
    <row r="74" spans="1:22" ht="15.75" thickBot="1" x14ac:dyDescent="0.3">
      <c r="A74" s="65">
        <v>72</v>
      </c>
      <c r="B74" s="65">
        <f>HEX2DEC(A74+Items!$A$8)</f>
        <v>19923058</v>
      </c>
      <c r="C74" s="65" t="s">
        <v>4920</v>
      </c>
      <c r="D74" s="65" t="s">
        <v>4979</v>
      </c>
      <c r="E74" s="65" t="s">
        <v>2384</v>
      </c>
      <c r="F74" s="65" t="s">
        <v>4980</v>
      </c>
      <c r="G74" s="65">
        <v>1</v>
      </c>
      <c r="H74" s="65">
        <v>0</v>
      </c>
      <c r="I74" s="65">
        <v>0</v>
      </c>
      <c r="J74" s="65">
        <v>0</v>
      </c>
      <c r="K74" s="65">
        <v>2</v>
      </c>
      <c r="L74" s="65">
        <v>2</v>
      </c>
      <c r="M74" s="65" t="s">
        <v>4818</v>
      </c>
      <c r="N74" s="88" t="s">
        <v>5119</v>
      </c>
      <c r="O74" s="88" t="s">
        <v>5120</v>
      </c>
      <c r="P74" s="88" t="s">
        <v>2504</v>
      </c>
      <c r="Q74" s="65"/>
      <c r="R74" s="65"/>
      <c r="S74" s="65" t="str">
        <f t="shared" si="3"/>
        <v>DA_he_op_pl_avg</v>
      </c>
      <c r="T74" s="65" t="str">
        <f t="shared" si="4"/>
        <v>/Game/DungeonSiege/Items/Armor/Helm/DA_he_op_pl_avg</v>
      </c>
      <c r="U74" s="65" t="str">
        <f t="shared" si="5"/>
        <v>Texture2D'/Game/DungeonSiege/art/bitmaps/gui/in_game/inventory/armor/helmet/b_gui_ig_i_a_hlmt_002.b_gui_ig_i_a_hlmt_002'</v>
      </c>
      <c r="V74" s="65" t="s">
        <v>5194</v>
      </c>
    </row>
    <row r="75" spans="1:22" ht="15.75" thickBot="1" x14ac:dyDescent="0.3">
      <c r="A75" s="65">
        <v>73</v>
      </c>
      <c r="B75" s="65">
        <f>HEX2DEC(A75+Items!$A$8)</f>
        <v>19923059</v>
      </c>
      <c r="C75" s="65" t="s">
        <v>4921</v>
      </c>
      <c r="D75" s="65" t="s">
        <v>4974</v>
      </c>
      <c r="E75" s="65" t="s">
        <v>2384</v>
      </c>
      <c r="F75" s="65" t="s">
        <v>4975</v>
      </c>
      <c r="G75" s="65">
        <v>0</v>
      </c>
      <c r="H75" s="65">
        <v>1</v>
      </c>
      <c r="I75" s="65">
        <v>0</v>
      </c>
      <c r="J75" s="65">
        <v>0</v>
      </c>
      <c r="K75" s="65">
        <v>2</v>
      </c>
      <c r="L75" s="65">
        <v>2</v>
      </c>
      <c r="M75" s="65" t="s">
        <v>4819</v>
      </c>
      <c r="N75" s="88" t="s">
        <v>5121</v>
      </c>
      <c r="O75" s="88" t="s">
        <v>5122</v>
      </c>
      <c r="P75" s="88" t="s">
        <v>2792</v>
      </c>
      <c r="Q75" s="65">
        <v>1</v>
      </c>
      <c r="R75" s="65">
        <v>2</v>
      </c>
      <c r="S75" s="65" t="str">
        <f t="shared" si="3"/>
        <v>DA_he_op_pl_cone</v>
      </c>
      <c r="T75" s="65" t="str">
        <f t="shared" si="4"/>
        <v>/Game/DungeonSiege/Items/Armor/Helm/DA_he_op_pl_cone</v>
      </c>
      <c r="U75" s="65" t="str">
        <f t="shared" si="5"/>
        <v>Texture2D'/Game/DungeonSiege/art/bitmaps/gui/in_game/inventory/armor/helmet/b_gui_ig_i_a_hlmt_030.b_gui_ig_i_a_hlmt_030'</v>
      </c>
      <c r="V75" s="65" t="s">
        <v>5194</v>
      </c>
    </row>
    <row r="76" spans="1:22" ht="15.75" thickBot="1" x14ac:dyDescent="0.3">
      <c r="A76" s="65">
        <v>74</v>
      </c>
      <c r="B76" s="65">
        <f>HEX2DEC(A76+Items!$A$8)</f>
        <v>19923060</v>
      </c>
      <c r="C76" s="65" t="s">
        <v>4922</v>
      </c>
      <c r="D76" s="65" t="s">
        <v>4989</v>
      </c>
      <c r="E76" s="65" t="s">
        <v>2384</v>
      </c>
      <c r="F76" s="65" t="s">
        <v>4973</v>
      </c>
      <c r="G76" s="65">
        <v>1</v>
      </c>
      <c r="H76" s="65">
        <v>1</v>
      </c>
      <c r="I76" s="65">
        <v>0</v>
      </c>
      <c r="J76" s="65">
        <v>0</v>
      </c>
      <c r="K76" s="65">
        <v>2</v>
      </c>
      <c r="L76" s="65">
        <v>2</v>
      </c>
      <c r="M76" s="65" t="s">
        <v>4820</v>
      </c>
      <c r="N76" s="88" t="s">
        <v>5123</v>
      </c>
      <c r="O76" s="88" t="s">
        <v>5124</v>
      </c>
      <c r="P76" s="88" t="s">
        <v>2780</v>
      </c>
      <c r="Q76" s="65">
        <v>0</v>
      </c>
      <c r="R76" s="65">
        <v>2</v>
      </c>
      <c r="S76" s="65" t="str">
        <f t="shared" si="3"/>
        <v>DA_he_op_pl_eyes</v>
      </c>
      <c r="T76" s="65" t="str">
        <f t="shared" si="4"/>
        <v>/Game/DungeonSiege/Items/Armor/Helm/DA_he_op_pl_eyes</v>
      </c>
      <c r="U76" s="65" t="str">
        <f t="shared" si="5"/>
        <v>Texture2D'/Game/DungeonSiege/art/bitmaps/gui/in_game/inventory/armor/helmet/b_gui_ig_i_a_hlmt_020.b_gui_ig_i_a_hlmt_020'</v>
      </c>
      <c r="V76" s="65" t="s">
        <v>5194</v>
      </c>
    </row>
    <row r="77" spans="1:22" ht="15.75" thickBot="1" x14ac:dyDescent="0.3">
      <c r="A77" s="65">
        <v>75</v>
      </c>
      <c r="B77" s="65">
        <f>HEX2DEC(A77+Items!$A$8)</f>
        <v>19923061</v>
      </c>
      <c r="C77" s="65" t="s">
        <v>4923</v>
      </c>
      <c r="D77" s="65" t="s">
        <v>4982</v>
      </c>
      <c r="E77" s="65" t="s">
        <v>2384</v>
      </c>
      <c r="F77" s="65" t="s">
        <v>4983</v>
      </c>
      <c r="G77" s="65">
        <v>1</v>
      </c>
      <c r="H77" s="65">
        <v>1</v>
      </c>
      <c r="I77" s="65">
        <v>0</v>
      </c>
      <c r="J77" s="65">
        <v>0</v>
      </c>
      <c r="K77" s="65">
        <v>2</v>
      </c>
      <c r="L77" s="65">
        <v>2</v>
      </c>
      <c r="M77" s="65" t="s">
        <v>4821</v>
      </c>
      <c r="N77" s="88" t="s">
        <v>5125</v>
      </c>
      <c r="O77" s="88" t="s">
        <v>5126</v>
      </c>
      <c r="P77" s="88" t="s">
        <v>2791</v>
      </c>
      <c r="Q77" s="65">
        <v>0</v>
      </c>
      <c r="R77" s="65">
        <v>4</v>
      </c>
      <c r="S77" s="65" t="str">
        <f t="shared" si="3"/>
        <v>DA_he_op_pl_roman</v>
      </c>
      <c r="T77" s="65" t="str">
        <f t="shared" si="4"/>
        <v>/Game/DungeonSiege/Items/Armor/Helm/DA_he_op_pl_roman</v>
      </c>
      <c r="U77" s="65" t="str">
        <f t="shared" si="5"/>
        <v>Texture2D'/Game/DungeonSiege/art/bitmaps/gui/in_game/inventory/armor/helmet/b_gui_ig_i_a_hlmt_029.b_gui_ig_i_a_hlmt_029'</v>
      </c>
      <c r="V77" s="65" t="s">
        <v>5194</v>
      </c>
    </row>
    <row r="78" spans="1:22" ht="15.75" thickBot="1" x14ac:dyDescent="0.3">
      <c r="A78" s="65">
        <v>76</v>
      </c>
      <c r="B78" s="65">
        <f>HEX2DEC(A78+Items!$A$8)</f>
        <v>19923062</v>
      </c>
      <c r="C78" s="65" t="s">
        <v>4924</v>
      </c>
      <c r="D78" s="65" t="s">
        <v>4983</v>
      </c>
      <c r="E78" s="65" t="s">
        <v>2384</v>
      </c>
      <c r="F78" s="65" t="s">
        <v>5018</v>
      </c>
      <c r="G78" s="65">
        <v>0</v>
      </c>
      <c r="H78" s="65">
        <v>1</v>
      </c>
      <c r="I78" s="65">
        <v>0</v>
      </c>
      <c r="J78" s="65">
        <v>0</v>
      </c>
      <c r="K78" s="65">
        <v>2</v>
      </c>
      <c r="L78" s="65">
        <v>2</v>
      </c>
      <c r="M78" s="65" t="s">
        <v>4822</v>
      </c>
      <c r="N78" s="88" t="s">
        <v>5127</v>
      </c>
      <c r="O78" s="88" t="s">
        <v>5126</v>
      </c>
      <c r="P78" s="88" t="s">
        <v>4485</v>
      </c>
      <c r="Q78" s="65">
        <v>5</v>
      </c>
      <c r="R78" s="65">
        <v>6</v>
      </c>
      <c r="S78" s="65" t="str">
        <f t="shared" si="3"/>
        <v>DA_he_op_pl_roman_02</v>
      </c>
      <c r="T78" s="65" t="str">
        <f t="shared" si="4"/>
        <v>/Game/DungeonSiege/Items/Armor/Helm/DA_he_op_pl_roman_02</v>
      </c>
      <c r="U78" s="65" t="str">
        <f t="shared" si="5"/>
        <v>Texture2D'/Game/DungeonSiege/art/bitmaps/gui/in_game/inventory/armor/helmet/b_gui_ig_i_a_hlmt_92.b_gui_ig_i_a_hlmt_92'</v>
      </c>
      <c r="V78" s="65" t="s">
        <v>5194</v>
      </c>
    </row>
    <row r="79" spans="1:22" ht="15.75" thickBot="1" x14ac:dyDescent="0.3">
      <c r="A79" s="65">
        <v>77</v>
      </c>
      <c r="B79" s="65">
        <f>HEX2DEC(A79+Items!$A$8)</f>
        <v>19923063</v>
      </c>
      <c r="C79" s="65" t="s">
        <v>4925</v>
      </c>
      <c r="D79" s="65" t="s">
        <v>4991</v>
      </c>
      <c r="E79" s="65" t="s">
        <v>2384</v>
      </c>
      <c r="F79" s="65" t="s">
        <v>4985</v>
      </c>
      <c r="G79" s="65">
        <v>1</v>
      </c>
      <c r="H79" s="65">
        <v>1</v>
      </c>
      <c r="I79" s="65">
        <v>0</v>
      </c>
      <c r="J79" s="65">
        <v>0</v>
      </c>
      <c r="K79" s="65">
        <v>2</v>
      </c>
      <c r="L79" s="65">
        <v>2</v>
      </c>
      <c r="M79" s="65" t="s">
        <v>4823</v>
      </c>
      <c r="N79" s="88" t="s">
        <v>5129</v>
      </c>
      <c r="O79" s="88" t="s">
        <v>5130</v>
      </c>
      <c r="P79" s="88" t="s">
        <v>2801</v>
      </c>
      <c r="Q79" s="65">
        <v>0</v>
      </c>
      <c r="R79" s="65">
        <v>4</v>
      </c>
      <c r="S79" s="65" t="str">
        <f t="shared" si="3"/>
        <v>DA_he_op_pl_santa</v>
      </c>
      <c r="T79" s="65" t="str">
        <f t="shared" si="4"/>
        <v>/Game/DungeonSiege/Items/Armor/Helm/DA_he_op_pl_santa</v>
      </c>
      <c r="U79" s="65" t="str">
        <f t="shared" si="5"/>
        <v>Texture2D'/Game/DungeonSiege/art/bitmaps/gui/in_game/inventory/armor/helmet/b_gui_ig_i_a_hlmt_034.b_gui_ig_i_a_hlmt_034'</v>
      </c>
      <c r="V79" s="65" t="s">
        <v>5194</v>
      </c>
    </row>
    <row r="80" spans="1:22" ht="15.75" thickBot="1" x14ac:dyDescent="0.3">
      <c r="A80" s="65">
        <v>78</v>
      </c>
      <c r="B80" s="65">
        <f>HEX2DEC(A80+Items!$A$8)</f>
        <v>19923064</v>
      </c>
      <c r="C80" s="65" t="s">
        <v>4926</v>
      </c>
      <c r="D80" s="65" t="s">
        <v>4985</v>
      </c>
      <c r="E80" s="65" t="s">
        <v>2384</v>
      </c>
      <c r="F80" s="65" t="s">
        <v>5019</v>
      </c>
      <c r="G80" s="65">
        <v>0</v>
      </c>
      <c r="H80" s="65">
        <v>1</v>
      </c>
      <c r="I80" s="65">
        <v>0</v>
      </c>
      <c r="J80" s="65">
        <v>0</v>
      </c>
      <c r="K80" s="65">
        <v>2</v>
      </c>
      <c r="L80" s="65">
        <v>2</v>
      </c>
      <c r="M80" s="65" t="s">
        <v>4824</v>
      </c>
      <c r="N80" s="88" t="s">
        <v>5131</v>
      </c>
      <c r="O80" s="88" t="s">
        <v>5130</v>
      </c>
      <c r="P80" s="88" t="s">
        <v>4492</v>
      </c>
      <c r="Q80" s="65">
        <v>5</v>
      </c>
      <c r="R80" s="65">
        <v>7</v>
      </c>
      <c r="S80" s="65" t="str">
        <f t="shared" si="3"/>
        <v>DA_he_op_pl_santa_02</v>
      </c>
      <c r="T80" s="65" t="str">
        <f t="shared" si="4"/>
        <v>/Game/DungeonSiege/Items/Armor/Helm/DA_he_op_pl_santa_02</v>
      </c>
      <c r="U80" s="65" t="str">
        <f t="shared" si="5"/>
        <v>Texture2D'/Game/DungeonSiege/art/bitmaps/gui/in_game/inventory/armor/helmet/b_gui_ig_i_a_hlmt_083.b_gui_ig_i_a_hlmt_083'</v>
      </c>
      <c r="V80" s="65" t="s">
        <v>5194</v>
      </c>
    </row>
    <row r="81" spans="1:22" ht="15.75" thickBot="1" x14ac:dyDescent="0.3">
      <c r="A81" s="65">
        <v>79</v>
      </c>
      <c r="B81" s="65">
        <f>HEX2DEC(A81+Items!$A$8)</f>
        <v>19923065</v>
      </c>
      <c r="C81" s="65" t="s">
        <v>4927</v>
      </c>
      <c r="D81" s="65" t="s">
        <v>4988</v>
      </c>
      <c r="E81" s="65"/>
      <c r="F81" s="65"/>
      <c r="G81" s="65">
        <v>1</v>
      </c>
      <c r="H81" s="65">
        <v>0</v>
      </c>
      <c r="I81" s="65">
        <v>1</v>
      </c>
      <c r="J81" s="65">
        <v>1</v>
      </c>
      <c r="K81" s="65">
        <v>2</v>
      </c>
      <c r="L81" s="65">
        <v>2</v>
      </c>
      <c r="M81" s="65" t="s">
        <v>4825</v>
      </c>
      <c r="N81" s="88" t="s">
        <v>5132</v>
      </c>
      <c r="O81" s="88" t="s">
        <v>5022</v>
      </c>
      <c r="P81" s="88" t="s">
        <v>2509</v>
      </c>
      <c r="Q81" s="65">
        <v>0</v>
      </c>
      <c r="R81" s="65">
        <v>11</v>
      </c>
      <c r="S81" s="65" t="str">
        <f t="shared" si="3"/>
        <v>DA_he_ra_ca_le_avg</v>
      </c>
      <c r="T81" s="65" t="str">
        <f t="shared" si="4"/>
        <v>/Game/DungeonSiege/Items/Armor/Helm/DA_he_ra_ca_le_avg</v>
      </c>
      <c r="U81" s="65" t="str">
        <f t="shared" si="5"/>
        <v>Texture2D'/Game/DungeonSiege/art/bitmaps/gui/in_game/inventory/armor/helmet/b_gui_ig_i_a_hlmt_103.b_gui_ig_i_a_hlmt_103'</v>
      </c>
      <c r="V81" s="65" t="s">
        <v>5194</v>
      </c>
    </row>
    <row r="82" spans="1:22" ht="15.75" thickBot="1" x14ac:dyDescent="0.3">
      <c r="A82" s="65">
        <v>80</v>
      </c>
      <c r="B82" s="65">
        <f>HEX2DEC(A82+Items!$A$8)</f>
        <v>19923072</v>
      </c>
      <c r="C82" s="65" t="s">
        <v>4928</v>
      </c>
      <c r="D82" s="65" t="s">
        <v>4982</v>
      </c>
      <c r="E82" s="65" t="s">
        <v>2384</v>
      </c>
      <c r="F82" s="65" t="s">
        <v>4973</v>
      </c>
      <c r="G82" s="65">
        <v>0</v>
      </c>
      <c r="H82" s="65">
        <v>0</v>
      </c>
      <c r="I82" s="65">
        <v>1</v>
      </c>
      <c r="J82" s="65">
        <v>1</v>
      </c>
      <c r="K82" s="65">
        <v>2</v>
      </c>
      <c r="L82" s="65">
        <v>2</v>
      </c>
      <c r="M82" s="65" t="s">
        <v>4826</v>
      </c>
      <c r="N82" s="88" t="s">
        <v>5133</v>
      </c>
      <c r="O82" s="88" t="s">
        <v>5023</v>
      </c>
      <c r="P82" s="88" t="s">
        <v>2507</v>
      </c>
      <c r="Q82" s="65">
        <v>2</v>
      </c>
      <c r="R82" s="65">
        <v>23</v>
      </c>
      <c r="S82" s="65" t="str">
        <f t="shared" si="3"/>
        <v>DA_he_ra_ca_pl_avg</v>
      </c>
      <c r="T82" s="65" t="str">
        <f t="shared" si="4"/>
        <v>/Game/DungeonSiege/Items/Armor/Helm/DA_he_ra_ca_pl_avg</v>
      </c>
      <c r="U82" s="65" t="str">
        <f t="shared" si="5"/>
        <v>Texture2D'/Game/DungeonSiege/art/bitmaps/gui/in_game/inventory/armor/helmet/b_gui_ig_i_a_hlmt_107.b_gui_ig_i_a_hlmt_107'</v>
      </c>
      <c r="V82" s="65" t="s">
        <v>5194</v>
      </c>
    </row>
    <row r="83" spans="1:22" ht="15.75" thickBot="1" x14ac:dyDescent="0.3">
      <c r="A83" s="65">
        <v>81</v>
      </c>
      <c r="B83" s="65">
        <f>HEX2DEC(A83+Items!$A$8)</f>
        <v>19923073</v>
      </c>
      <c r="C83" s="65" t="s">
        <v>4929</v>
      </c>
      <c r="D83" s="65" t="s">
        <v>4995</v>
      </c>
      <c r="E83" s="65" t="s">
        <v>2384</v>
      </c>
      <c r="F83" s="65" t="s">
        <v>4991</v>
      </c>
      <c r="G83" s="65">
        <v>0</v>
      </c>
      <c r="H83" s="65">
        <v>0</v>
      </c>
      <c r="I83" s="65">
        <v>1</v>
      </c>
      <c r="J83" s="65">
        <v>1</v>
      </c>
      <c r="K83" s="65">
        <v>2</v>
      </c>
      <c r="L83" s="65">
        <v>2</v>
      </c>
      <c r="M83" s="65" t="s">
        <v>4827</v>
      </c>
      <c r="N83" s="88" t="s">
        <v>5134</v>
      </c>
      <c r="O83" s="88" t="s">
        <v>5031</v>
      </c>
      <c r="P83" s="88" t="s">
        <v>2790</v>
      </c>
      <c r="Q83" s="65">
        <v>1</v>
      </c>
      <c r="R83" s="65">
        <v>15</v>
      </c>
      <c r="S83" s="65" t="str">
        <f t="shared" si="3"/>
        <v>DA_he_ra_ca_pl_cap</v>
      </c>
      <c r="T83" s="65" t="str">
        <f t="shared" si="4"/>
        <v>/Game/DungeonSiege/Items/Armor/Helm/DA_he_ra_ca_pl_cap</v>
      </c>
      <c r="U83" s="65" t="str">
        <f t="shared" si="5"/>
        <v>Texture2D'/Game/DungeonSiege/art/bitmaps/gui/in_game/inventory/armor/helmet/b_gui_ig_i_a_hlmt_106.b_gui_ig_i_a_hlmt_106'</v>
      </c>
      <c r="V83" s="65" t="s">
        <v>5194</v>
      </c>
    </row>
    <row r="84" spans="1:22" ht="15.75" thickBot="1" x14ac:dyDescent="0.3">
      <c r="A84" s="65">
        <v>82</v>
      </c>
      <c r="B84" s="65">
        <f>HEX2DEC(A84+Items!$A$8)</f>
        <v>19923074</v>
      </c>
      <c r="C84" s="65" t="s">
        <v>4930</v>
      </c>
      <c r="D84" s="65" t="s">
        <v>4977</v>
      </c>
      <c r="E84" s="65" t="s">
        <v>2384</v>
      </c>
      <c r="F84" s="65" t="s">
        <v>4978</v>
      </c>
      <c r="G84" s="65">
        <v>0</v>
      </c>
      <c r="H84" s="65">
        <v>0</v>
      </c>
      <c r="I84" s="65">
        <v>1</v>
      </c>
      <c r="J84" s="65">
        <v>1</v>
      </c>
      <c r="K84" s="65">
        <v>2</v>
      </c>
      <c r="L84" s="65">
        <v>2</v>
      </c>
      <c r="M84" s="65" t="s">
        <v>4828</v>
      </c>
      <c r="N84" s="88" t="s">
        <v>5135</v>
      </c>
      <c r="O84" s="88" t="s">
        <v>5033</v>
      </c>
      <c r="P84" s="88" t="s">
        <v>2779</v>
      </c>
      <c r="Q84" s="65">
        <v>1</v>
      </c>
      <c r="R84" s="65">
        <v>12</v>
      </c>
      <c r="S84" s="65" t="str">
        <f t="shared" si="3"/>
        <v>DA_he_ra_ca_pl_dome</v>
      </c>
      <c r="T84" s="65" t="str">
        <f t="shared" si="4"/>
        <v>/Game/DungeonSiege/Items/Armor/Helm/DA_he_ra_ca_pl_dome</v>
      </c>
      <c r="U84" s="65" t="str">
        <f t="shared" si="5"/>
        <v>Texture2D'/Game/DungeonSiege/art/bitmaps/gui/in_game/inventory/armor/helmet/b_gui_ig_i_a_hlmt_105.b_gui_ig_i_a_hlmt_105'</v>
      </c>
      <c r="V84" s="65" t="s">
        <v>5194</v>
      </c>
    </row>
    <row r="85" spans="1:22" ht="15.75" thickBot="1" x14ac:dyDescent="0.3">
      <c r="A85" s="65">
        <v>83</v>
      </c>
      <c r="B85" s="65">
        <f>HEX2DEC(A85+Items!$A$8)</f>
        <v>19923075</v>
      </c>
      <c r="C85" s="65" t="s">
        <v>4931</v>
      </c>
      <c r="D85" s="65" t="s">
        <v>4988</v>
      </c>
      <c r="E85" s="65" t="s">
        <v>2470</v>
      </c>
      <c r="F85" s="65" t="s">
        <v>4989</v>
      </c>
      <c r="G85" s="65">
        <v>0</v>
      </c>
      <c r="H85" s="65">
        <v>0</v>
      </c>
      <c r="I85" s="65">
        <v>1</v>
      </c>
      <c r="J85" s="65">
        <v>1</v>
      </c>
      <c r="K85" s="65">
        <v>2</v>
      </c>
      <c r="L85" s="65">
        <v>2</v>
      </c>
      <c r="M85" s="65" t="s">
        <v>4829</v>
      </c>
      <c r="N85" s="88" t="s">
        <v>5136</v>
      </c>
      <c r="O85" s="88" t="s">
        <v>5042</v>
      </c>
      <c r="P85" s="88" t="s">
        <v>2805</v>
      </c>
      <c r="Q85" s="65">
        <v>1</v>
      </c>
      <c r="R85" s="65">
        <v>12</v>
      </c>
      <c r="S85" s="65" t="str">
        <f t="shared" si="3"/>
        <v>DA_he_ra_ca_ro_felt_01</v>
      </c>
      <c r="T85" s="65" t="str">
        <f t="shared" si="4"/>
        <v>/Game/DungeonSiege/Items/Armor/Helm/DA_he_ra_ca_ro_felt_01</v>
      </c>
      <c r="U85" s="65" t="str">
        <f t="shared" si="5"/>
        <v>Texture2D'/Game/DungeonSiege/art/bitmaps/gui/in_game/inventory/armor/helmet/b_gui_ig_i_a_hlmt_099.b_gui_ig_i_a_hlmt_099'</v>
      </c>
      <c r="V85" s="65" t="s">
        <v>5194</v>
      </c>
    </row>
    <row r="86" spans="1:22" ht="15.75" thickBot="1" x14ac:dyDescent="0.3">
      <c r="A86" s="65">
        <v>84</v>
      </c>
      <c r="B86" s="65">
        <f>HEX2DEC(A86+Items!$A$8)</f>
        <v>19923076</v>
      </c>
      <c r="C86" s="65" t="s">
        <v>4932</v>
      </c>
      <c r="D86" s="65" t="s">
        <v>4978</v>
      </c>
      <c r="E86" s="65" t="s">
        <v>2470</v>
      </c>
      <c r="F86" s="65" t="s">
        <v>4990</v>
      </c>
      <c r="G86" s="65">
        <v>0</v>
      </c>
      <c r="H86" s="65">
        <v>0</v>
      </c>
      <c r="I86" s="65">
        <v>1</v>
      </c>
      <c r="J86" s="65">
        <v>1</v>
      </c>
      <c r="K86" s="65">
        <v>2</v>
      </c>
      <c r="L86" s="65">
        <v>2</v>
      </c>
      <c r="M86" s="65" t="s">
        <v>4830</v>
      </c>
      <c r="N86" s="88" t="s">
        <v>5137</v>
      </c>
      <c r="O86" s="88" t="s">
        <v>5047</v>
      </c>
      <c r="P86" s="88" t="s">
        <v>4498</v>
      </c>
      <c r="Q86" s="65">
        <v>2</v>
      </c>
      <c r="R86" s="65">
        <v>24</v>
      </c>
      <c r="S86" s="65" t="str">
        <f t="shared" si="3"/>
        <v>DA_he_ra_ca_ro_flat_02</v>
      </c>
      <c r="T86" s="65" t="str">
        <f t="shared" si="4"/>
        <v>/Game/DungeonSiege/Items/Armor/Helm/DA_he_ra_ca_ro_flat_02</v>
      </c>
      <c r="U86" s="65" t="str">
        <f t="shared" si="5"/>
        <v>Texture2D'/Game/DungeonSiege/art/bitmaps/gui/in_game/inventory/armor/helmet/b_gui_ig_i_a_hlmt_123.b_gui_ig_i_a_hlmt_123'</v>
      </c>
      <c r="V86" s="65" t="s">
        <v>5194</v>
      </c>
    </row>
    <row r="87" spans="1:22" ht="15.75" thickBot="1" x14ac:dyDescent="0.3">
      <c r="A87" s="65">
        <v>85</v>
      </c>
      <c r="B87" s="65">
        <f>HEX2DEC(A87+Items!$A$8)</f>
        <v>19923077</v>
      </c>
      <c r="C87" s="65" t="s">
        <v>4933</v>
      </c>
      <c r="D87" s="65" t="s">
        <v>4981</v>
      </c>
      <c r="E87" s="65" t="s">
        <v>2470</v>
      </c>
      <c r="F87" s="65" t="s">
        <v>4989</v>
      </c>
      <c r="G87" s="65">
        <v>0</v>
      </c>
      <c r="H87" s="65">
        <v>0</v>
      </c>
      <c r="I87" s="65">
        <v>1</v>
      </c>
      <c r="J87" s="65">
        <v>1</v>
      </c>
      <c r="K87" s="65">
        <v>2</v>
      </c>
      <c r="L87" s="65">
        <v>2</v>
      </c>
      <c r="M87" s="65" t="s">
        <v>4831</v>
      </c>
      <c r="N87" s="88" t="s">
        <v>5138</v>
      </c>
      <c r="O87" s="88" t="s">
        <v>5054</v>
      </c>
      <c r="P87" s="88" t="s">
        <v>4490</v>
      </c>
      <c r="Q87" s="65">
        <v>1</v>
      </c>
      <c r="R87" s="65">
        <v>13</v>
      </c>
      <c r="S87" s="65" t="str">
        <f t="shared" si="3"/>
        <v>DA_he_ra_ca_ro_slope_04</v>
      </c>
      <c r="T87" s="65" t="str">
        <f t="shared" si="4"/>
        <v>/Game/DungeonSiege/Items/Armor/Helm/DA_he_ra_ca_ro_slope_04</v>
      </c>
      <c r="U87" s="65" t="str">
        <f t="shared" si="5"/>
        <v>Texture2D'/Game/DungeonSiege/art/bitmaps/gui/in_game/inventory/armor/helmet/b_gui_ig_i_a_hlmt_096.b_gui_ig_i_a_hlmt_096'</v>
      </c>
      <c r="V87" s="65" t="s">
        <v>5194</v>
      </c>
    </row>
    <row r="88" spans="1:22" ht="15.75" thickBot="1" x14ac:dyDescent="0.3">
      <c r="A88" s="65">
        <v>86</v>
      </c>
      <c r="B88" s="65">
        <f>HEX2DEC(A88+Items!$A$8)</f>
        <v>19923078</v>
      </c>
      <c r="C88" s="65" t="s">
        <v>4934</v>
      </c>
      <c r="D88" s="65" t="s">
        <v>4988</v>
      </c>
      <c r="E88" s="65"/>
      <c r="F88" s="65"/>
      <c r="G88" s="65">
        <v>1</v>
      </c>
      <c r="H88" s="65">
        <v>0</v>
      </c>
      <c r="I88" s="65">
        <v>1</v>
      </c>
      <c r="J88" s="65">
        <v>1</v>
      </c>
      <c r="K88" s="65">
        <v>2</v>
      </c>
      <c r="L88" s="65">
        <v>2</v>
      </c>
      <c r="M88" s="65" t="s">
        <v>4832</v>
      </c>
      <c r="N88" s="88" t="s">
        <v>5139</v>
      </c>
      <c r="O88" s="88" t="s">
        <v>5059</v>
      </c>
      <c r="P88" s="88" t="s">
        <v>4511</v>
      </c>
      <c r="Q88" s="65">
        <v>0</v>
      </c>
      <c r="R88" s="65">
        <v>9</v>
      </c>
      <c r="S88" s="65" t="str">
        <f t="shared" si="3"/>
        <v>DA_he_ra_ca_ro_thin_04</v>
      </c>
      <c r="T88" s="65" t="str">
        <f t="shared" si="4"/>
        <v>/Game/DungeonSiege/Items/Armor/Helm/DA_he_ra_ca_ro_thin_04</v>
      </c>
      <c r="U88" s="65" t="str">
        <f t="shared" si="5"/>
        <v>Texture2D'/Game/DungeonSiege/art/bitmaps/gui/in_game/inventory/armor/helmet/b_gui_ig_i_a_hlmt_102.b_gui_ig_i_a_hlmt_102'</v>
      </c>
      <c r="V88" s="65" t="s">
        <v>5194</v>
      </c>
    </row>
    <row r="89" spans="1:22" ht="15.75" thickBot="1" x14ac:dyDescent="0.3">
      <c r="A89" s="65">
        <v>87</v>
      </c>
      <c r="B89" s="65">
        <f>HEX2DEC(A89+Items!$A$8)</f>
        <v>19923079</v>
      </c>
      <c r="C89" s="65" t="s">
        <v>4935</v>
      </c>
      <c r="D89" s="65" t="s">
        <v>4994</v>
      </c>
      <c r="E89" s="65" t="s">
        <v>2470</v>
      </c>
      <c r="F89" s="65" t="s">
        <v>4991</v>
      </c>
      <c r="G89" s="65">
        <v>0</v>
      </c>
      <c r="H89" s="65">
        <v>0</v>
      </c>
      <c r="I89" s="65">
        <v>1</v>
      </c>
      <c r="J89" s="65">
        <v>1</v>
      </c>
      <c r="K89" s="65">
        <v>2</v>
      </c>
      <c r="L89" s="65">
        <v>2</v>
      </c>
      <c r="M89" s="65" t="s">
        <v>4833</v>
      </c>
      <c r="N89" s="88" t="s">
        <v>5140</v>
      </c>
      <c r="O89" s="88" t="s">
        <v>5067</v>
      </c>
      <c r="P89" s="88" t="s">
        <v>2824</v>
      </c>
      <c r="Q89" s="65">
        <v>1</v>
      </c>
      <c r="R89" s="65">
        <v>17</v>
      </c>
      <c r="S89" s="65" t="str">
        <f t="shared" si="3"/>
        <v>DA_he_ra_ca_ro_wizard_03</v>
      </c>
      <c r="T89" s="65" t="str">
        <f t="shared" si="4"/>
        <v>/Game/DungeonSiege/Items/Armor/Helm/DA_he_ra_ca_ro_wizard_03</v>
      </c>
      <c r="U89" s="65" t="str">
        <f t="shared" si="5"/>
        <v>Texture2D'/Game/DungeonSiege/art/bitmaps/gui/in_game/inventory/armor/helmet/b_gui_ig_i_a_hlmt_097.b_gui_ig_i_a_hlmt_097'</v>
      </c>
      <c r="V89" s="65" t="s">
        <v>5194</v>
      </c>
    </row>
    <row r="90" spans="1:22" ht="15.75" thickBot="1" x14ac:dyDescent="0.3">
      <c r="A90" s="65">
        <v>88</v>
      </c>
      <c r="B90" s="65">
        <f>HEX2DEC(A90+Items!$A$8)</f>
        <v>19923080</v>
      </c>
      <c r="C90" s="65" t="s">
        <v>4935</v>
      </c>
      <c r="D90" s="65" t="s">
        <v>4986</v>
      </c>
      <c r="E90" s="65"/>
      <c r="F90" s="65"/>
      <c r="G90" s="65">
        <v>0</v>
      </c>
      <c r="H90" s="65">
        <v>0</v>
      </c>
      <c r="I90" s="65">
        <v>1</v>
      </c>
      <c r="J90" s="65">
        <v>1</v>
      </c>
      <c r="K90" s="65">
        <v>2</v>
      </c>
      <c r="L90" s="65">
        <v>2</v>
      </c>
      <c r="M90" s="65" t="s">
        <v>4834</v>
      </c>
      <c r="N90" s="88" t="s">
        <v>5073</v>
      </c>
      <c r="O90" s="88" t="s">
        <v>5067</v>
      </c>
      <c r="P90" s="88" t="s">
        <v>2512</v>
      </c>
      <c r="Q90" s="65">
        <v>2</v>
      </c>
      <c r="R90" s="65">
        <v>6</v>
      </c>
      <c r="S90" s="65" t="str">
        <f t="shared" si="3"/>
        <v>DA_he_ra_ca_ro_wizard_04</v>
      </c>
      <c r="T90" s="65" t="str">
        <f t="shared" si="4"/>
        <v>/Game/DungeonSiege/Items/Armor/Helm/DA_he_ra_ca_ro_wizard_04</v>
      </c>
      <c r="U90" s="65" t="str">
        <f t="shared" si="5"/>
        <v>Texture2D'/Game/DungeonSiege/art/bitmaps/gui/in_game/inventory/armor/helmet/b_gui_ig_i_a_hlmt_095.b_gui_ig_i_a_hlmt_095'</v>
      </c>
      <c r="V90" s="65" t="s">
        <v>5194</v>
      </c>
    </row>
    <row r="91" spans="1:22" ht="15.75" thickBot="1" x14ac:dyDescent="0.3">
      <c r="A91" s="65">
        <v>89</v>
      </c>
      <c r="B91" s="65">
        <f>HEX2DEC(A91+Items!$A$8)</f>
        <v>19923081</v>
      </c>
      <c r="C91" s="65" t="s">
        <v>4935</v>
      </c>
      <c r="D91" s="65" t="s">
        <v>4974</v>
      </c>
      <c r="E91" s="65" t="s">
        <v>2470</v>
      </c>
      <c r="F91" s="65" t="s">
        <v>4975</v>
      </c>
      <c r="G91" s="65">
        <v>0</v>
      </c>
      <c r="H91" s="65">
        <v>0</v>
      </c>
      <c r="I91" s="65">
        <v>1</v>
      </c>
      <c r="J91" s="65">
        <v>1</v>
      </c>
      <c r="K91" s="65">
        <v>2</v>
      </c>
      <c r="L91" s="65">
        <v>2</v>
      </c>
      <c r="M91" s="65" t="s">
        <v>4835</v>
      </c>
      <c r="N91" s="88" t="s">
        <v>5141</v>
      </c>
      <c r="O91" s="88" t="s">
        <v>5067</v>
      </c>
      <c r="P91" s="88" t="s">
        <v>4649</v>
      </c>
      <c r="Q91" s="65">
        <v>1</v>
      </c>
      <c r="R91" s="65">
        <v>26</v>
      </c>
      <c r="S91" s="65" t="str">
        <f t="shared" si="3"/>
        <v>DA_he_ra_ca_ro_wizard_06</v>
      </c>
      <c r="T91" s="65" t="str">
        <f t="shared" si="4"/>
        <v>/Game/DungeonSiege/Items/Armor/Helm/DA_he_ra_ca_ro_wizard_06</v>
      </c>
      <c r="U91" s="65" t="str">
        <f t="shared" si="5"/>
        <v>Texture2D'/Game/DungeonSiege/art/bitmaps/gui/in_game/inventory/armor/helmet/b_gui_ig_i_a_hlmt_098.b_gui_ig_i_a_hlmt_098'</v>
      </c>
      <c r="V91" s="65" t="s">
        <v>5194</v>
      </c>
    </row>
    <row r="92" spans="1:22" ht="15.75" thickBot="1" x14ac:dyDescent="0.3">
      <c r="A92" s="65">
        <v>90</v>
      </c>
      <c r="B92" s="65">
        <f>HEX2DEC(A92+Items!$A$8)</f>
        <v>19923088</v>
      </c>
      <c r="C92" s="65" t="s">
        <v>4936</v>
      </c>
      <c r="D92" s="65" t="s">
        <v>4988</v>
      </c>
      <c r="E92" s="65" t="s">
        <v>2470</v>
      </c>
      <c r="F92" s="65" t="s">
        <v>4989</v>
      </c>
      <c r="G92" s="65">
        <v>0</v>
      </c>
      <c r="H92" s="65">
        <v>0</v>
      </c>
      <c r="I92" s="65">
        <v>1</v>
      </c>
      <c r="J92" s="65">
        <v>1</v>
      </c>
      <c r="K92" s="65">
        <v>2</v>
      </c>
      <c r="L92" s="65">
        <v>2</v>
      </c>
      <c r="M92" s="65" t="s">
        <v>4836</v>
      </c>
      <c r="N92" s="88" t="s">
        <v>5142</v>
      </c>
      <c r="O92" s="88" t="s">
        <v>5075</v>
      </c>
      <c r="P92" s="88" t="s">
        <v>4503</v>
      </c>
      <c r="Q92" s="65">
        <v>1</v>
      </c>
      <c r="R92" s="65">
        <v>11</v>
      </c>
      <c r="S92" s="65" t="str">
        <f t="shared" si="3"/>
        <v>DA_he_ra_ca_ro_wooly_02</v>
      </c>
      <c r="T92" s="65" t="str">
        <f t="shared" si="4"/>
        <v>/Game/DungeonSiege/Items/Armor/Helm/DA_he_ra_ca_ro_wooly_02</v>
      </c>
      <c r="U92" s="65" t="str">
        <f t="shared" si="5"/>
        <v>Texture2D'/Game/DungeonSiege/art/bitmaps/gui/in_game/inventory/armor/helmet/b_gui_ig_i_a_hlmt_100.b_gui_ig_i_a_hlmt_100'</v>
      </c>
      <c r="V92" s="65" t="s">
        <v>5194</v>
      </c>
    </row>
    <row r="93" spans="1:22" ht="15.75" thickBot="1" x14ac:dyDescent="0.3">
      <c r="A93" s="65">
        <v>91</v>
      </c>
      <c r="B93" s="65">
        <f>HEX2DEC(A93+Items!$A$8)</f>
        <v>19923089</v>
      </c>
      <c r="C93" s="65" t="s">
        <v>4936</v>
      </c>
      <c r="D93" s="65" t="s">
        <v>4977</v>
      </c>
      <c r="E93" s="65" t="s">
        <v>2470</v>
      </c>
      <c r="F93" s="65" t="s">
        <v>4978</v>
      </c>
      <c r="G93" s="65">
        <v>0</v>
      </c>
      <c r="H93" s="65">
        <v>0</v>
      </c>
      <c r="I93" s="65">
        <v>1</v>
      </c>
      <c r="J93" s="65">
        <v>1</v>
      </c>
      <c r="K93" s="65">
        <v>2</v>
      </c>
      <c r="L93" s="65">
        <v>2</v>
      </c>
      <c r="M93" s="65" t="s">
        <v>4837</v>
      </c>
      <c r="N93" s="88" t="s">
        <v>5143</v>
      </c>
      <c r="O93" s="88" t="s">
        <v>5075</v>
      </c>
      <c r="P93" s="88" t="s">
        <v>4504</v>
      </c>
      <c r="Q93" s="65">
        <v>1</v>
      </c>
      <c r="R93" s="65">
        <v>18</v>
      </c>
      <c r="S93" s="65" t="str">
        <f t="shared" si="3"/>
        <v>DA_he_ra_ca_ro_wooly_04</v>
      </c>
      <c r="T93" s="65" t="str">
        <f t="shared" si="4"/>
        <v>/Game/DungeonSiege/Items/Armor/Helm/DA_he_ra_ca_ro_wooly_04</v>
      </c>
      <c r="U93" s="65" t="str">
        <f t="shared" si="5"/>
        <v>Texture2D'/Game/DungeonSiege/art/bitmaps/gui/in_game/inventory/armor/helmet/b_gui_ig_i_a_hlmt_101.b_gui_ig_i_a_hlmt_101'</v>
      </c>
      <c r="V93" s="65" t="s">
        <v>5194</v>
      </c>
    </row>
    <row r="94" spans="1:22" ht="15.75" thickBot="1" x14ac:dyDescent="0.3">
      <c r="A94" s="65">
        <v>92</v>
      </c>
      <c r="B94" s="65">
        <f>HEX2DEC(A94+Items!$A$8)</f>
        <v>19923090</v>
      </c>
      <c r="C94" s="65" t="s">
        <v>4937</v>
      </c>
      <c r="D94" s="65" t="s">
        <v>4994</v>
      </c>
      <c r="E94" s="65" t="s">
        <v>2470</v>
      </c>
      <c r="F94" s="65" t="s">
        <v>4991</v>
      </c>
      <c r="G94" s="65">
        <v>0</v>
      </c>
      <c r="H94" s="65">
        <v>0</v>
      </c>
      <c r="I94" s="65">
        <v>1</v>
      </c>
      <c r="J94" s="65">
        <v>1</v>
      </c>
      <c r="K94" s="65">
        <v>2</v>
      </c>
      <c r="L94" s="65">
        <v>2</v>
      </c>
      <c r="M94" s="65" t="s">
        <v>4838</v>
      </c>
      <c r="N94" s="88" t="s">
        <v>5144</v>
      </c>
      <c r="O94" s="88" t="s">
        <v>5080</v>
      </c>
      <c r="P94" s="88" t="s">
        <v>4502</v>
      </c>
      <c r="Q94" s="65">
        <v>1</v>
      </c>
      <c r="R94" s="65">
        <v>13</v>
      </c>
      <c r="S94" s="65" t="str">
        <f t="shared" si="3"/>
        <v>DA_he_ra_ca_ro_woven_03</v>
      </c>
      <c r="T94" s="65" t="str">
        <f t="shared" si="4"/>
        <v>/Game/DungeonSiege/Items/Armor/Helm/DA_he_ra_ca_ro_woven_03</v>
      </c>
      <c r="U94" s="65" t="str">
        <f t="shared" si="5"/>
        <v>Texture2D'/Game/DungeonSiege/art/bitmaps/gui/in_game/inventory/armor/helmet/b_gui_ig_i_a_hlmt_122.b_gui_ig_i_a_hlmt_122'</v>
      </c>
      <c r="V94" s="65" t="s">
        <v>5194</v>
      </c>
    </row>
    <row r="95" spans="1:22" ht="15.75" thickBot="1" x14ac:dyDescent="0.3">
      <c r="A95" s="65">
        <v>93</v>
      </c>
      <c r="B95" s="65">
        <f>HEX2DEC(A95+Items!$A$8)</f>
        <v>19923091</v>
      </c>
      <c r="C95" s="65" t="s">
        <v>4938</v>
      </c>
      <c r="D95" s="65" t="s">
        <v>4981</v>
      </c>
      <c r="E95" s="65" t="s">
        <v>2384</v>
      </c>
      <c r="F95" s="65" t="s">
        <v>4989</v>
      </c>
      <c r="G95" s="65">
        <v>0</v>
      </c>
      <c r="H95" s="65">
        <v>0</v>
      </c>
      <c r="I95" s="65">
        <v>1</v>
      </c>
      <c r="J95" s="65">
        <v>1</v>
      </c>
      <c r="K95" s="65">
        <v>2</v>
      </c>
      <c r="L95" s="65">
        <v>2</v>
      </c>
      <c r="M95" s="65" t="s">
        <v>4839</v>
      </c>
      <c r="N95" s="88" t="s">
        <v>5145</v>
      </c>
      <c r="O95" s="88" t="s">
        <v>5023</v>
      </c>
      <c r="P95" s="88" t="s">
        <v>2513</v>
      </c>
      <c r="Q95" s="65">
        <v>1</v>
      </c>
      <c r="R95" s="65">
        <v>13</v>
      </c>
      <c r="S95" s="65" t="str">
        <f t="shared" si="3"/>
        <v>DA_he_ra_ca_sl_avg</v>
      </c>
      <c r="T95" s="65" t="str">
        <f t="shared" si="4"/>
        <v>/Game/DungeonSiege/Items/Armor/Helm/DA_he_ra_ca_sl_avg</v>
      </c>
      <c r="U95" s="65" t="str">
        <f t="shared" si="5"/>
        <v>Texture2D'/Game/DungeonSiege/art/bitmaps/gui/in_game/inventory/armor/helmet/b_gui_ig_i_a_hlmt_104.b_gui_ig_i_a_hlmt_104'</v>
      </c>
      <c r="V95" s="65" t="s">
        <v>5194</v>
      </c>
    </row>
    <row r="96" spans="1:22" ht="15.75" thickBot="1" x14ac:dyDescent="0.3">
      <c r="A96" s="65">
        <v>94</v>
      </c>
      <c r="B96" s="65">
        <f>HEX2DEC(A96+Items!$A$8)</f>
        <v>19923092</v>
      </c>
      <c r="C96" s="65" t="s">
        <v>4939</v>
      </c>
      <c r="D96" s="65" t="s">
        <v>5017</v>
      </c>
      <c r="E96" s="65" t="s">
        <v>2384</v>
      </c>
      <c r="F96" s="65" t="s">
        <v>4997</v>
      </c>
      <c r="G96" s="65">
        <v>0</v>
      </c>
      <c r="H96" s="65">
        <v>0</v>
      </c>
      <c r="I96" s="65">
        <v>1</v>
      </c>
      <c r="J96" s="65">
        <v>1</v>
      </c>
      <c r="K96" s="65">
        <v>2</v>
      </c>
      <c r="L96" s="65">
        <v>2</v>
      </c>
      <c r="M96" s="65" t="s">
        <v>4840</v>
      </c>
      <c r="N96" s="88" t="s">
        <v>5146</v>
      </c>
      <c r="O96" s="88" t="s">
        <v>5089</v>
      </c>
      <c r="P96" s="88" t="s">
        <v>2788</v>
      </c>
      <c r="Q96" s="65">
        <v>4</v>
      </c>
      <c r="R96" s="65">
        <v>53</v>
      </c>
      <c r="S96" s="65" t="str">
        <f t="shared" si="3"/>
        <v>DA_he_ra_fu_pl_desert</v>
      </c>
      <c r="T96" s="65" t="str">
        <f t="shared" si="4"/>
        <v>/Game/DungeonSiege/Items/Armor/Helm/DA_he_ra_fu_pl_desert</v>
      </c>
      <c r="U96" s="65" t="str">
        <f t="shared" si="5"/>
        <v>Texture2D'/Game/DungeonSiege/art/bitmaps/gui/in_game/inventory/armor/helmet/b_gui_ig_i_a_hlmt_113.b_gui_ig_i_a_hlmt_113'</v>
      </c>
      <c r="V96" s="65" t="s">
        <v>5194</v>
      </c>
    </row>
    <row r="97" spans="1:22" ht="15.75" thickBot="1" x14ac:dyDescent="0.3">
      <c r="A97" s="65">
        <v>95</v>
      </c>
      <c r="B97" s="65">
        <f>HEX2DEC(A97+Items!$A$8)</f>
        <v>19923093</v>
      </c>
      <c r="C97" s="65" t="s">
        <v>4940</v>
      </c>
      <c r="D97" s="65" t="s">
        <v>5020</v>
      </c>
      <c r="E97" s="65" t="s">
        <v>2384</v>
      </c>
      <c r="F97" s="65" t="s">
        <v>5003</v>
      </c>
      <c r="G97" s="65">
        <v>0</v>
      </c>
      <c r="H97" s="65">
        <v>0</v>
      </c>
      <c r="I97" s="65">
        <v>1</v>
      </c>
      <c r="J97" s="65">
        <v>1</v>
      </c>
      <c r="K97" s="65">
        <v>2</v>
      </c>
      <c r="L97" s="65">
        <v>2</v>
      </c>
      <c r="M97" s="65" t="s">
        <v>4841</v>
      </c>
      <c r="N97" s="88" t="s">
        <v>5147</v>
      </c>
      <c r="O97" s="88" t="s">
        <v>5095</v>
      </c>
      <c r="P97" s="88" t="s">
        <v>2821</v>
      </c>
      <c r="Q97" s="65">
        <v>5</v>
      </c>
      <c r="R97" s="65">
        <v>76</v>
      </c>
      <c r="S97" s="65" t="str">
        <f t="shared" si="3"/>
        <v>DA_he_ra_fu_pl_horn_fin</v>
      </c>
      <c r="T97" s="65" t="str">
        <f t="shared" si="4"/>
        <v>/Game/DungeonSiege/Items/Armor/Helm/DA_he_ra_fu_pl_horn_fin</v>
      </c>
      <c r="U97" s="65" t="str">
        <f t="shared" si="5"/>
        <v>Texture2D'/Game/DungeonSiege/art/bitmaps/gui/in_game/inventory/armor/helmet/b_gui_ig_i_a_hlmt_118.b_gui_ig_i_a_hlmt_118'</v>
      </c>
      <c r="V97" s="65" t="s">
        <v>5194</v>
      </c>
    </row>
    <row r="98" spans="1:22" ht="15.75" thickBot="1" x14ac:dyDescent="0.3">
      <c r="A98" s="65">
        <v>96</v>
      </c>
      <c r="B98" s="65">
        <f>HEX2DEC(A98+Items!$A$8)</f>
        <v>19923094</v>
      </c>
      <c r="C98" s="65" t="s">
        <v>4941</v>
      </c>
      <c r="D98" s="65" t="s">
        <v>5008</v>
      </c>
      <c r="E98" s="65" t="s">
        <v>2384</v>
      </c>
      <c r="F98" s="65" t="s">
        <v>5008</v>
      </c>
      <c r="G98" s="65">
        <v>0</v>
      </c>
      <c r="H98" s="65">
        <v>0</v>
      </c>
      <c r="I98" s="65">
        <v>1</v>
      </c>
      <c r="J98" s="65">
        <v>1</v>
      </c>
      <c r="K98" s="65">
        <v>2</v>
      </c>
      <c r="L98" s="65">
        <v>2</v>
      </c>
      <c r="M98" s="65" t="s">
        <v>4842</v>
      </c>
      <c r="N98" s="88" t="s">
        <v>5148</v>
      </c>
      <c r="O98" s="88" t="s">
        <v>5099</v>
      </c>
      <c r="P98" s="88" t="s">
        <v>2789</v>
      </c>
      <c r="Q98" s="65">
        <v>6</v>
      </c>
      <c r="R98" s="65">
        <v>82</v>
      </c>
      <c r="S98" s="65" t="str">
        <f t="shared" si="3"/>
        <v>DA_he_ra_fu_pl_horn_mag</v>
      </c>
      <c r="T98" s="65" t="str">
        <f t="shared" si="4"/>
        <v>/Game/DungeonSiege/Items/Armor/Helm/DA_he_ra_fu_pl_horn_mag</v>
      </c>
      <c r="U98" s="65" t="str">
        <f t="shared" si="5"/>
        <v>Texture2D'/Game/DungeonSiege/art/bitmaps/gui/in_game/inventory/armor/helmet/b_gui_ig_i_a_hlmt_121.b_gui_ig_i_a_hlmt_121'</v>
      </c>
      <c r="V98" s="65" t="s">
        <v>5194</v>
      </c>
    </row>
    <row r="99" spans="1:22" ht="15.75" thickBot="1" x14ac:dyDescent="0.3">
      <c r="A99" s="65">
        <v>97</v>
      </c>
      <c r="B99" s="65">
        <f>HEX2DEC(A99+Items!$A$8)</f>
        <v>19923095</v>
      </c>
      <c r="C99" s="65" t="s">
        <v>4942</v>
      </c>
      <c r="D99" s="65" t="s">
        <v>5015</v>
      </c>
      <c r="E99" s="65" t="s">
        <v>2384</v>
      </c>
      <c r="F99" s="65" t="s">
        <v>5001</v>
      </c>
      <c r="G99" s="65">
        <v>0</v>
      </c>
      <c r="H99" s="65">
        <v>0</v>
      </c>
      <c r="I99" s="65">
        <v>1</v>
      </c>
      <c r="J99" s="65">
        <v>1</v>
      </c>
      <c r="K99" s="65">
        <v>2</v>
      </c>
      <c r="L99" s="65">
        <v>2</v>
      </c>
      <c r="M99" s="65" t="s">
        <v>4843</v>
      </c>
      <c r="N99" s="88" t="s">
        <v>5149</v>
      </c>
      <c r="O99" s="88" t="s">
        <v>5105</v>
      </c>
      <c r="P99" s="88" t="s">
        <v>2795</v>
      </c>
      <c r="Q99" s="65">
        <v>4</v>
      </c>
      <c r="R99" s="65">
        <v>61</v>
      </c>
      <c r="S99" s="65" t="str">
        <f t="shared" si="3"/>
        <v>DA_he_ra_fu_pl_knight</v>
      </c>
      <c r="T99" s="65" t="str">
        <f t="shared" si="4"/>
        <v>/Game/DungeonSiege/Items/Armor/Helm/DA_he_ra_fu_pl_knight</v>
      </c>
      <c r="U99" s="65" t="str">
        <f t="shared" si="5"/>
        <v>Texture2D'/Game/DungeonSiege/art/bitmaps/gui/in_game/inventory/armor/helmet/b_gui_ig_i_a_hlmt_114.b_gui_ig_i_a_hlmt_114'</v>
      </c>
      <c r="V99" s="65" t="s">
        <v>5194</v>
      </c>
    </row>
    <row r="100" spans="1:22" ht="15.75" thickBot="1" x14ac:dyDescent="0.3">
      <c r="A100" s="65">
        <v>98</v>
      </c>
      <c r="B100" s="65">
        <f>HEX2DEC(A100+Items!$A$8)</f>
        <v>19923096</v>
      </c>
      <c r="C100" s="65" t="s">
        <v>4943</v>
      </c>
      <c r="D100" s="65" t="s">
        <v>5003</v>
      </c>
      <c r="E100" s="65" t="s">
        <v>2384</v>
      </c>
      <c r="F100" s="65" t="s">
        <v>5005</v>
      </c>
      <c r="G100" s="65">
        <v>0</v>
      </c>
      <c r="H100" s="65">
        <v>0</v>
      </c>
      <c r="I100" s="65">
        <v>1</v>
      </c>
      <c r="J100" s="65">
        <v>1</v>
      </c>
      <c r="K100" s="65">
        <v>2</v>
      </c>
      <c r="L100" s="65">
        <v>2</v>
      </c>
      <c r="M100" s="65" t="s">
        <v>4844</v>
      </c>
      <c r="N100" s="88" t="s">
        <v>5150</v>
      </c>
      <c r="O100" s="88" t="s">
        <v>5105</v>
      </c>
      <c r="P100" s="88" t="s">
        <v>2796</v>
      </c>
      <c r="Q100" s="65">
        <v>5</v>
      </c>
      <c r="R100" s="65">
        <v>77</v>
      </c>
      <c r="S100" s="65" t="str">
        <f t="shared" si="3"/>
        <v>DA_he_ra_fu_pl_knight_fin</v>
      </c>
      <c r="T100" s="65" t="str">
        <f t="shared" si="4"/>
        <v>/Game/DungeonSiege/Items/Armor/Helm/DA_he_ra_fu_pl_knight_fin</v>
      </c>
      <c r="U100" s="65" t="str">
        <f t="shared" si="5"/>
        <v>Texture2D'/Game/DungeonSiege/art/bitmaps/gui/in_game/inventory/armor/helmet/b_gui_ig_i_a_hlmt_119.b_gui_ig_i_a_hlmt_119'</v>
      </c>
      <c r="V100" s="65" t="s">
        <v>5194</v>
      </c>
    </row>
    <row r="101" spans="1:22" ht="15.75" thickBot="1" x14ac:dyDescent="0.3">
      <c r="A101" s="65">
        <v>99</v>
      </c>
      <c r="B101" s="65">
        <f>HEX2DEC(A101+Items!$A$8)</f>
        <v>19923097</v>
      </c>
      <c r="C101" s="65" t="s">
        <v>4943</v>
      </c>
      <c r="D101" s="65" t="s">
        <v>5021</v>
      </c>
      <c r="E101" s="65" t="s">
        <v>2384</v>
      </c>
      <c r="F101" s="65" t="s">
        <v>5021</v>
      </c>
      <c r="G101" s="65">
        <v>0</v>
      </c>
      <c r="H101" s="65">
        <v>0</v>
      </c>
      <c r="I101" s="65">
        <v>1</v>
      </c>
      <c r="J101" s="65">
        <v>1</v>
      </c>
      <c r="K101" s="65">
        <v>2</v>
      </c>
      <c r="L101" s="65">
        <v>2</v>
      </c>
      <c r="M101" s="65" t="s">
        <v>4845</v>
      </c>
      <c r="N101" s="88" t="s">
        <v>5151</v>
      </c>
      <c r="O101" s="88" t="s">
        <v>5105</v>
      </c>
      <c r="P101" s="88" t="s">
        <v>4489</v>
      </c>
      <c r="Q101" s="65">
        <v>6</v>
      </c>
      <c r="R101" s="65">
        <v>87</v>
      </c>
      <c r="S101" s="65" t="str">
        <f t="shared" si="3"/>
        <v>DA_he_ra_fu_pl_knight_fin_02</v>
      </c>
      <c r="T101" s="65" t="str">
        <f t="shared" si="4"/>
        <v>/Game/DungeonSiege/Items/Armor/Helm/DA_he_ra_fu_pl_knight_fin_02</v>
      </c>
      <c r="U101" s="65" t="str">
        <f t="shared" si="5"/>
        <v>Texture2D'/Game/DungeonSiege/art/bitmaps/gui/in_game/inventory/armor/helmet/b_gui_ig_i_a_hlmt_120.b_gui_ig_i_a_hlmt_120'</v>
      </c>
      <c r="V101" s="65" t="s">
        <v>5194</v>
      </c>
    </row>
    <row r="102" spans="1:22" ht="15.75" thickBot="1" x14ac:dyDescent="0.3">
      <c r="A102" s="65">
        <v>100</v>
      </c>
      <c r="B102" s="65">
        <f>HEX2DEC(A102+Items!$A$8)</f>
        <v>19923200</v>
      </c>
      <c r="C102" s="65" t="s">
        <v>4944</v>
      </c>
      <c r="D102" s="65">
        <v>44</v>
      </c>
      <c r="E102" s="65" t="s">
        <v>2384</v>
      </c>
      <c r="F102" s="65">
        <v>45</v>
      </c>
      <c r="G102" s="65">
        <v>0</v>
      </c>
      <c r="H102" s="65">
        <v>0</v>
      </c>
      <c r="I102" s="65">
        <v>1</v>
      </c>
      <c r="J102" s="65">
        <v>1</v>
      </c>
      <c r="K102" s="65">
        <v>2</v>
      </c>
      <c r="L102" s="65">
        <v>2</v>
      </c>
      <c r="M102" s="65" t="s">
        <v>4846</v>
      </c>
      <c r="N102" s="88" t="s">
        <v>5152</v>
      </c>
      <c r="O102" s="88" t="s">
        <v>5109</v>
      </c>
      <c r="P102" s="88" t="s">
        <v>2807</v>
      </c>
      <c r="Q102" s="65">
        <v>5</v>
      </c>
      <c r="R102" s="65">
        <v>72</v>
      </c>
      <c r="S102" s="65" t="str">
        <f t="shared" si="3"/>
        <v>DA_he_ra_fu_pl_knight_str</v>
      </c>
      <c r="T102" s="65" t="str">
        <f t="shared" si="4"/>
        <v>/Game/DungeonSiege/Items/Armor/Helm/DA_he_ra_fu_pl_knight_str</v>
      </c>
      <c r="U102" s="65" t="str">
        <f t="shared" si="5"/>
        <v>Texture2D'/Game/DungeonSiege/art/bitmaps/gui/in_game/inventory/armor/helmet/b_gui_ig_i_a_hlmt_117.b_gui_ig_i_a_hlmt_117'</v>
      </c>
      <c r="V102" s="65" t="s">
        <v>5194</v>
      </c>
    </row>
    <row r="103" spans="1:22" ht="15.75" thickBot="1" x14ac:dyDescent="0.3">
      <c r="A103" s="65">
        <v>101</v>
      </c>
      <c r="B103" s="65">
        <f>HEX2DEC(A103+Items!$A$8)</f>
        <v>19923201</v>
      </c>
      <c r="C103" s="65" t="s">
        <v>4945</v>
      </c>
      <c r="D103" s="65">
        <v>39</v>
      </c>
      <c r="E103" s="65" t="s">
        <v>2384</v>
      </c>
      <c r="F103" s="65">
        <v>42</v>
      </c>
      <c r="G103" s="65">
        <v>0</v>
      </c>
      <c r="H103" s="65">
        <v>0</v>
      </c>
      <c r="I103" s="65">
        <v>1</v>
      </c>
      <c r="J103" s="65">
        <v>1</v>
      </c>
      <c r="K103" s="65">
        <v>2</v>
      </c>
      <c r="L103" s="65">
        <v>2</v>
      </c>
      <c r="M103" s="65" t="s">
        <v>4847</v>
      </c>
      <c r="N103" s="88" t="s">
        <v>5153</v>
      </c>
      <c r="O103" s="88" t="s">
        <v>5086</v>
      </c>
      <c r="P103" s="88" t="s">
        <v>2818</v>
      </c>
      <c r="Q103" s="65">
        <v>5</v>
      </c>
      <c r="R103" s="65">
        <v>64</v>
      </c>
      <c r="S103" s="65" t="str">
        <f t="shared" si="3"/>
        <v>DA_he_ra_fu_pl_spike</v>
      </c>
      <c r="T103" s="65" t="str">
        <f t="shared" si="4"/>
        <v>/Game/DungeonSiege/Items/Armor/Helm/DA_he_ra_fu_pl_spike</v>
      </c>
      <c r="U103" s="65" t="str">
        <f t="shared" si="5"/>
        <v>Texture2D'/Game/DungeonSiege/art/bitmaps/gui/in_game/inventory/armor/helmet/b_gui_ig_i_a_hlmt_115.b_gui_ig_i_a_hlmt_115'</v>
      </c>
      <c r="V103" s="65" t="s">
        <v>5194</v>
      </c>
    </row>
    <row r="104" spans="1:22" ht="15.75" thickBot="1" x14ac:dyDescent="0.3">
      <c r="A104" s="65">
        <v>102</v>
      </c>
      <c r="B104" s="65">
        <f>HEX2DEC(A104+Items!$A$8)</f>
        <v>19923202</v>
      </c>
      <c r="C104" s="65" t="s">
        <v>4946</v>
      </c>
      <c r="D104" s="65">
        <v>42</v>
      </c>
      <c r="E104" s="65" t="s">
        <v>2384</v>
      </c>
      <c r="F104" s="65">
        <v>44</v>
      </c>
      <c r="G104" s="65">
        <v>0</v>
      </c>
      <c r="H104" s="65">
        <v>0</v>
      </c>
      <c r="I104" s="65">
        <v>1</v>
      </c>
      <c r="J104" s="65">
        <v>1</v>
      </c>
      <c r="K104" s="65">
        <v>2</v>
      </c>
      <c r="L104" s="65">
        <v>2</v>
      </c>
      <c r="M104" s="65" t="s">
        <v>4848</v>
      </c>
      <c r="N104" s="88" t="s">
        <v>5026</v>
      </c>
      <c r="O104" s="88" t="s">
        <v>4519</v>
      </c>
      <c r="P104" s="88" t="s">
        <v>2499</v>
      </c>
      <c r="Q104" s="65">
        <v>5</v>
      </c>
      <c r="R104" s="65">
        <v>69</v>
      </c>
      <c r="S104" s="65" t="str">
        <f t="shared" si="3"/>
        <v>DA_he_ra_fu_pl_str</v>
      </c>
      <c r="T104" s="65" t="str">
        <f t="shared" si="4"/>
        <v>/Game/DungeonSiege/Items/Armor/Helm/DA_he_ra_fu_pl_str</v>
      </c>
      <c r="U104" s="65" t="str">
        <f t="shared" si="5"/>
        <v>Texture2D'/Game/DungeonSiege/art/bitmaps/gui/in_game/inventory/armor/helmet/b_gui_ig_i_a_hlmt_116.b_gui_ig_i_a_hlmt_116'</v>
      </c>
      <c r="V104" s="65" t="s">
        <v>5194</v>
      </c>
    </row>
    <row r="105" spans="1:22" ht="15.75" thickBot="1" x14ac:dyDescent="0.3">
      <c r="A105" s="65">
        <v>103</v>
      </c>
      <c r="B105" s="65">
        <f>HEX2DEC(A105+Items!$A$8)</f>
        <v>19923203</v>
      </c>
      <c r="C105" s="65" t="s">
        <v>4947</v>
      </c>
      <c r="D105" s="65">
        <v>21</v>
      </c>
      <c r="E105" s="65" t="s">
        <v>2384</v>
      </c>
      <c r="F105" s="65">
        <v>26</v>
      </c>
      <c r="G105" s="65">
        <v>0</v>
      </c>
      <c r="H105" s="65">
        <v>0</v>
      </c>
      <c r="I105" s="65">
        <v>1</v>
      </c>
      <c r="J105" s="65">
        <v>1</v>
      </c>
      <c r="K105" s="65">
        <v>2</v>
      </c>
      <c r="L105" s="65">
        <v>2</v>
      </c>
      <c r="M105" s="65" t="s">
        <v>4849</v>
      </c>
      <c r="N105" s="88" t="s">
        <v>5154</v>
      </c>
      <c r="O105" s="88" t="s">
        <v>5117</v>
      </c>
      <c r="P105" s="88" t="s">
        <v>2814</v>
      </c>
      <c r="Q105" s="65">
        <v>2</v>
      </c>
      <c r="R105" s="65">
        <v>34</v>
      </c>
      <c r="S105" s="65" t="str">
        <f t="shared" si="3"/>
        <v>DA_he_ra_op_bigwings</v>
      </c>
      <c r="T105" s="65" t="str">
        <f t="shared" si="4"/>
        <v>/Game/DungeonSiege/Items/Armor/Helm/DA_he_ra_op_bigwings</v>
      </c>
      <c r="U105" s="65" t="str">
        <f t="shared" si="5"/>
        <v>Texture2D'/Game/DungeonSiege/art/bitmaps/gui/in_game/inventory/armor/helmet/b_gui_ig_i_a_hlmt_111.b_gui_ig_i_a_hlmt_111'</v>
      </c>
      <c r="V105" s="65" t="s">
        <v>5194</v>
      </c>
    </row>
    <row r="106" spans="1:22" ht="15.75" thickBot="1" x14ac:dyDescent="0.3">
      <c r="A106" s="65">
        <v>104</v>
      </c>
      <c r="B106" s="65">
        <f>HEX2DEC(A106+Items!$A$8)</f>
        <v>19923204</v>
      </c>
      <c r="C106" s="65" t="s">
        <v>4948</v>
      </c>
      <c r="D106" s="65">
        <v>11</v>
      </c>
      <c r="E106" s="65" t="s">
        <v>2384</v>
      </c>
      <c r="F106" s="65">
        <v>18</v>
      </c>
      <c r="G106" s="65">
        <v>0</v>
      </c>
      <c r="H106" s="65">
        <v>0</v>
      </c>
      <c r="I106" s="65">
        <v>1</v>
      </c>
      <c r="J106" s="65">
        <v>1</v>
      </c>
      <c r="K106" s="65">
        <v>2</v>
      </c>
      <c r="L106" s="65">
        <v>2</v>
      </c>
      <c r="M106" s="65" t="s">
        <v>4850</v>
      </c>
      <c r="N106" s="88" t="s">
        <v>5155</v>
      </c>
      <c r="O106" s="88" t="s">
        <v>5120</v>
      </c>
      <c r="P106" s="88" t="s">
        <v>2504</v>
      </c>
      <c r="Q106" s="65">
        <v>1</v>
      </c>
      <c r="R106" s="65">
        <v>18</v>
      </c>
      <c r="S106" s="65" t="str">
        <f t="shared" si="3"/>
        <v>DA_he_ra_op_pl_avg</v>
      </c>
      <c r="T106" s="65" t="str">
        <f t="shared" si="4"/>
        <v>/Game/DungeonSiege/Items/Armor/Helm/DA_he_ra_op_pl_avg</v>
      </c>
      <c r="U106" s="65" t="str">
        <f t="shared" si="5"/>
        <v>Texture2D'/Game/DungeonSiege/art/bitmaps/gui/in_game/inventory/armor/helmet/b_gui_ig_i_a_hlmt_108.b_gui_ig_i_a_hlmt_108'</v>
      </c>
      <c r="V106" s="65" t="s">
        <v>5194</v>
      </c>
    </row>
    <row r="107" spans="1:22" ht="15.75" thickBot="1" x14ac:dyDescent="0.3">
      <c r="A107" s="65">
        <v>105</v>
      </c>
      <c r="B107" s="65">
        <f>HEX2DEC(A107+Items!$A$8)</f>
        <v>19923205</v>
      </c>
      <c r="C107" s="65" t="s">
        <v>4949</v>
      </c>
      <c r="D107" s="65">
        <v>13</v>
      </c>
      <c r="E107" s="65" t="s">
        <v>2384</v>
      </c>
      <c r="F107" s="65">
        <v>20</v>
      </c>
      <c r="G107" s="65">
        <v>0</v>
      </c>
      <c r="H107" s="65">
        <v>0</v>
      </c>
      <c r="I107" s="65">
        <v>1</v>
      </c>
      <c r="J107" s="65">
        <v>1</v>
      </c>
      <c r="K107" s="65">
        <v>2</v>
      </c>
      <c r="L107" s="65">
        <v>2</v>
      </c>
      <c r="M107" s="65" t="s">
        <v>4851</v>
      </c>
      <c r="N107" s="88" t="s">
        <v>5156</v>
      </c>
      <c r="O107" s="88" t="s">
        <v>5122</v>
      </c>
      <c r="P107" s="88" t="s">
        <v>2792</v>
      </c>
      <c r="Q107" s="65">
        <v>2</v>
      </c>
      <c r="R107" s="65">
        <v>22</v>
      </c>
      <c r="S107" s="65" t="str">
        <f t="shared" si="3"/>
        <v>DA_he_ra_op_pl_cone</v>
      </c>
      <c r="T107" s="65" t="str">
        <f t="shared" si="4"/>
        <v>/Game/DungeonSiege/Items/Armor/Helm/DA_he_ra_op_pl_cone</v>
      </c>
      <c r="U107" s="65" t="str">
        <f t="shared" si="5"/>
        <v>Texture2D'/Game/DungeonSiege/art/bitmaps/gui/in_game/inventory/armor/helmet/b_gui_ig_i_a_hlmt_109.b_gui_ig_i_a_hlmt_109'</v>
      </c>
      <c r="V107" s="65" t="s">
        <v>5194</v>
      </c>
    </row>
    <row r="108" spans="1:22" ht="15.75" thickBot="1" x14ac:dyDescent="0.3">
      <c r="A108" s="65">
        <v>106</v>
      </c>
      <c r="B108" s="65">
        <f>HEX2DEC(A108+Items!$A$8)</f>
        <v>19923206</v>
      </c>
      <c r="C108" s="65" t="s">
        <v>4950</v>
      </c>
      <c r="D108" s="65">
        <v>16</v>
      </c>
      <c r="E108" s="65" t="s">
        <v>2384</v>
      </c>
      <c r="F108" s="65">
        <v>22</v>
      </c>
      <c r="G108" s="65">
        <v>0</v>
      </c>
      <c r="H108" s="65">
        <v>0</v>
      </c>
      <c r="I108" s="65">
        <v>1</v>
      </c>
      <c r="J108" s="65">
        <v>1</v>
      </c>
      <c r="K108" s="65">
        <v>2</v>
      </c>
      <c r="L108" s="65">
        <v>2</v>
      </c>
      <c r="M108" s="65" t="s">
        <v>4852</v>
      </c>
      <c r="N108" s="88" t="s">
        <v>5157</v>
      </c>
      <c r="O108" s="88" t="s">
        <v>5126</v>
      </c>
      <c r="P108" s="88" t="s">
        <v>2791</v>
      </c>
      <c r="Q108" s="65">
        <v>2</v>
      </c>
      <c r="R108" s="65">
        <v>26</v>
      </c>
      <c r="S108" s="65" t="str">
        <f t="shared" si="3"/>
        <v>DA_he_ra_op_pl_roman</v>
      </c>
      <c r="T108" s="65" t="str">
        <f t="shared" si="4"/>
        <v>/Game/DungeonSiege/Items/Armor/Helm/DA_he_ra_op_pl_roman</v>
      </c>
      <c r="U108" s="65" t="str">
        <f t="shared" si="5"/>
        <v>Texture2D'/Game/DungeonSiege/art/bitmaps/gui/in_game/inventory/armor/helmet/b_gui_ig_i_a_hlmt_110.b_gui_ig_i_a_hlmt_110'</v>
      </c>
      <c r="V108" s="65" t="s">
        <v>5194</v>
      </c>
    </row>
    <row r="109" spans="1:22" ht="15.75" thickBot="1" x14ac:dyDescent="0.3">
      <c r="A109" s="65">
        <v>107</v>
      </c>
      <c r="B109" s="65">
        <f>HEX2DEC(A109+Items!$A$8)</f>
        <v>19923207</v>
      </c>
      <c r="C109" s="65" t="s">
        <v>4951</v>
      </c>
      <c r="D109" s="65">
        <v>44</v>
      </c>
      <c r="E109" s="65" t="s">
        <v>2384</v>
      </c>
      <c r="F109" s="65">
        <v>45</v>
      </c>
      <c r="G109" s="65">
        <v>0</v>
      </c>
      <c r="H109" s="65">
        <v>0</v>
      </c>
      <c r="I109" s="65">
        <v>1</v>
      </c>
      <c r="J109" s="65">
        <v>1</v>
      </c>
      <c r="K109" s="65">
        <v>2</v>
      </c>
      <c r="L109" s="65">
        <v>2</v>
      </c>
      <c r="M109" s="65" t="s">
        <v>4853</v>
      </c>
      <c r="N109" s="88" t="s">
        <v>5158</v>
      </c>
      <c r="O109" s="88" t="s">
        <v>5159</v>
      </c>
      <c r="P109" s="88" t="s">
        <v>2783</v>
      </c>
      <c r="Q109" s="65">
        <v>5</v>
      </c>
      <c r="R109" s="65">
        <v>72</v>
      </c>
      <c r="S109" s="65" t="str">
        <f t="shared" si="3"/>
        <v>DA_he_ra_un_fu_pl_skull</v>
      </c>
      <c r="T109" s="65" t="str">
        <f t="shared" si="4"/>
        <v>/Game/DungeonSiege/Items/Armor/Helm/DA_he_ra_un_fu_pl_skull</v>
      </c>
      <c r="U109" s="65" t="str">
        <f t="shared" si="5"/>
        <v>Texture2D'/Game/DungeonSiege/art/bitmaps/gui/in_game/inventory/armor/helmet/b_gui_ig_i_a_hlmt_124.b_gui_ig_i_a_hlmt_124'</v>
      </c>
      <c r="V109" s="65" t="s">
        <v>5194</v>
      </c>
    </row>
    <row r="110" spans="1:22" ht="15.75" thickBot="1" x14ac:dyDescent="0.3">
      <c r="A110" s="65">
        <v>108</v>
      </c>
      <c r="B110" s="65">
        <f>HEX2DEC(A110+Items!$A$8)</f>
        <v>19923208</v>
      </c>
      <c r="C110" s="65" t="s">
        <v>4952</v>
      </c>
      <c r="D110" s="65">
        <v>26</v>
      </c>
      <c r="E110" s="65" t="s">
        <v>2384</v>
      </c>
      <c r="F110" s="65">
        <v>31</v>
      </c>
      <c r="G110" s="65">
        <v>0</v>
      </c>
      <c r="H110" s="65">
        <v>0</v>
      </c>
      <c r="I110" s="65">
        <v>1</v>
      </c>
      <c r="J110" s="65">
        <v>1</v>
      </c>
      <c r="K110" s="65">
        <v>2</v>
      </c>
      <c r="L110" s="65">
        <v>2</v>
      </c>
      <c r="M110" s="65" t="s">
        <v>4854</v>
      </c>
      <c r="N110" s="88" t="s">
        <v>5160</v>
      </c>
      <c r="O110" s="88" t="s">
        <v>5161</v>
      </c>
      <c r="P110" s="88" t="s">
        <v>2510</v>
      </c>
      <c r="Q110" s="65">
        <v>3</v>
      </c>
      <c r="R110" s="65">
        <v>43</v>
      </c>
      <c r="S110" s="65" t="str">
        <f t="shared" si="3"/>
        <v>DA_he_ra_vi_pl_knight</v>
      </c>
      <c r="T110" s="65" t="str">
        <f t="shared" si="4"/>
        <v>/Game/DungeonSiege/Items/Armor/Helm/DA_he_ra_vi_pl_knight</v>
      </c>
      <c r="U110" s="65" t="str">
        <f t="shared" si="5"/>
        <v>Texture2D'/Game/DungeonSiege/art/bitmaps/gui/in_game/inventory/armor/helmet/b_gui_ig_i_a_hlmt_112.b_gui_ig_i_a_hlmt_112'</v>
      </c>
      <c r="V110" s="65" t="s">
        <v>5194</v>
      </c>
    </row>
    <row r="111" spans="1:22" ht="15.75" thickBot="1" x14ac:dyDescent="0.3">
      <c r="A111" s="65">
        <v>109</v>
      </c>
      <c r="B111" s="65">
        <f>HEX2DEC(A111+Items!$A$8)</f>
        <v>19923209</v>
      </c>
      <c r="C111" s="65" t="s">
        <v>4953</v>
      </c>
      <c r="D111" s="65">
        <v>5</v>
      </c>
      <c r="E111" s="65" t="s">
        <v>2384</v>
      </c>
      <c r="F111" s="65">
        <v>14</v>
      </c>
      <c r="G111" s="65">
        <v>0</v>
      </c>
      <c r="H111" s="65">
        <v>1</v>
      </c>
      <c r="I111" s="65">
        <v>0</v>
      </c>
      <c r="J111" s="65">
        <v>0</v>
      </c>
      <c r="K111" s="65">
        <v>2</v>
      </c>
      <c r="L111" s="65">
        <v>2</v>
      </c>
      <c r="M111" s="65" t="s">
        <v>4855</v>
      </c>
      <c r="N111" s="88" t="s">
        <v>5162</v>
      </c>
      <c r="O111" s="88" t="s">
        <v>5163</v>
      </c>
      <c r="P111" s="88" t="s">
        <v>2820</v>
      </c>
      <c r="Q111" s="65">
        <v>1</v>
      </c>
      <c r="R111" s="65">
        <v>2</v>
      </c>
      <c r="S111" s="65" t="str">
        <f t="shared" si="3"/>
        <v>DA_he_un_ca_barbarian</v>
      </c>
      <c r="T111" s="65" t="str">
        <f t="shared" si="4"/>
        <v>/Game/DungeonSiege/Items/Armor/Helm/DA_he_un_ca_barbarian</v>
      </c>
      <c r="U111" s="65" t="str">
        <f t="shared" si="5"/>
        <v>Texture2D'/Game/DungeonSiege/art/bitmaps/gui/in_game/inventory/armor/helmet/b_gui_ig_i_a_hlmt_047.b_gui_ig_i_a_hlmt_047'</v>
      </c>
      <c r="V111" s="65" t="s">
        <v>5194</v>
      </c>
    </row>
    <row r="112" spans="1:22" ht="15.75" thickBot="1" x14ac:dyDescent="0.3">
      <c r="A112" s="65">
        <v>110</v>
      </c>
      <c r="B112" s="65">
        <f>HEX2DEC(A112+Items!$A$8)</f>
        <v>19923216</v>
      </c>
      <c r="C112" s="65" t="s">
        <v>4954</v>
      </c>
      <c r="D112" s="65">
        <v>16</v>
      </c>
      <c r="E112" s="65" t="s">
        <v>2384</v>
      </c>
      <c r="F112" s="65">
        <v>24</v>
      </c>
      <c r="G112" s="65">
        <v>1</v>
      </c>
      <c r="H112" s="65">
        <v>0</v>
      </c>
      <c r="I112" s="65">
        <v>1</v>
      </c>
      <c r="J112" s="65">
        <v>1</v>
      </c>
      <c r="K112" s="65">
        <v>2</v>
      </c>
      <c r="L112" s="65">
        <v>2</v>
      </c>
      <c r="M112" s="65" t="s">
        <v>4856</v>
      </c>
      <c r="N112" s="88" t="s">
        <v>5164</v>
      </c>
      <c r="O112" s="88" t="s">
        <v>5165</v>
      </c>
      <c r="P112" s="88" t="s">
        <v>2794</v>
      </c>
      <c r="Q112" s="65">
        <v>0</v>
      </c>
      <c r="R112" s="65">
        <v>5</v>
      </c>
      <c r="S112" s="65" t="str">
        <f t="shared" si="3"/>
        <v>DA_he_un_ca_cowskull</v>
      </c>
      <c r="T112" s="65" t="str">
        <f t="shared" si="4"/>
        <v>/Game/DungeonSiege/Items/Armor/Helm/DA_he_un_ca_cowskull</v>
      </c>
      <c r="U112" s="65" t="str">
        <f t="shared" si="5"/>
        <v>Texture2D'/Game/DungeonSiege/art/bitmaps/gui/in_game/inventory/armor/helmet/b_gui_ig_i_a_hlmt_017.b_gui_ig_i_a_hlmt_017'</v>
      </c>
      <c r="V112" s="65" t="s">
        <v>5194</v>
      </c>
    </row>
    <row r="113" spans="1:22" ht="15.75" thickBot="1" x14ac:dyDescent="0.3">
      <c r="A113" s="65">
        <v>111</v>
      </c>
      <c r="B113" s="65">
        <f>HEX2DEC(A113+Items!$A$8)</f>
        <v>19923217</v>
      </c>
      <c r="C113" s="65" t="s">
        <v>4955</v>
      </c>
      <c r="D113" s="65">
        <v>7</v>
      </c>
      <c r="E113" s="65" t="s">
        <v>2384</v>
      </c>
      <c r="F113" s="65">
        <v>15</v>
      </c>
      <c r="G113" s="65">
        <v>0</v>
      </c>
      <c r="H113" s="65">
        <v>0</v>
      </c>
      <c r="I113" s="65">
        <v>1</v>
      </c>
      <c r="J113" s="65">
        <v>1</v>
      </c>
      <c r="K113" s="65">
        <v>2</v>
      </c>
      <c r="L113" s="65">
        <v>2</v>
      </c>
      <c r="M113" s="65" t="s">
        <v>4857</v>
      </c>
      <c r="N113" s="88" t="s">
        <v>5166</v>
      </c>
      <c r="O113" s="88" t="s">
        <v>5167</v>
      </c>
      <c r="P113" s="88" t="s">
        <v>2806</v>
      </c>
      <c r="Q113" s="65">
        <v>1</v>
      </c>
      <c r="R113" s="65">
        <v>2</v>
      </c>
      <c r="S113" s="65" t="str">
        <f t="shared" si="3"/>
        <v>DA_he_un_ca_brim</v>
      </c>
      <c r="T113" s="65" t="str">
        <f t="shared" si="4"/>
        <v>/Game/DungeonSiege/Items/Armor/Helm/DA_he_un_ca_brim</v>
      </c>
      <c r="U113" s="65" t="str">
        <f t="shared" si="5"/>
        <v>Texture2D'/Game/DungeonSiege/art/bitmaps/gui/in_game/inventory/armor/helmet/b_gui_ig_i_a_hlmt_032.b_gui_ig_i_a_hlmt_032'</v>
      </c>
      <c r="V113" s="65" t="s">
        <v>5194</v>
      </c>
    </row>
    <row r="114" spans="1:22" ht="15.75" thickBot="1" x14ac:dyDescent="0.3">
      <c r="A114" s="65">
        <v>112</v>
      </c>
      <c r="B114" s="65">
        <f>HEX2DEC(A114+Items!$A$8)</f>
        <v>19923218</v>
      </c>
      <c r="C114" s="65" t="s">
        <v>4956</v>
      </c>
      <c r="D114" s="65">
        <v>18</v>
      </c>
      <c r="E114" s="65" t="s">
        <v>2384</v>
      </c>
      <c r="F114" s="65">
        <v>25</v>
      </c>
      <c r="G114" s="65">
        <v>0</v>
      </c>
      <c r="H114" s="65">
        <v>0</v>
      </c>
      <c r="I114" s="65">
        <v>1</v>
      </c>
      <c r="J114" s="65">
        <v>1</v>
      </c>
      <c r="K114" s="65">
        <v>2</v>
      </c>
      <c r="L114" s="65">
        <v>2</v>
      </c>
      <c r="M114" s="65" t="s">
        <v>4858</v>
      </c>
      <c r="N114" s="88" t="s">
        <v>5168</v>
      </c>
      <c r="O114" s="88" t="s">
        <v>5169</v>
      </c>
      <c r="P114" s="88" t="s">
        <v>2785</v>
      </c>
      <c r="Q114" s="65">
        <v>4</v>
      </c>
      <c r="R114" s="65">
        <v>5</v>
      </c>
      <c r="S114" s="65" t="str">
        <f t="shared" si="3"/>
        <v>DA_he_un_ca_moon</v>
      </c>
      <c r="T114" s="65" t="str">
        <f t="shared" si="4"/>
        <v>/Game/DungeonSiege/Items/Armor/Helm/DA_he_un_ca_moon</v>
      </c>
      <c r="U114" s="65" t="str">
        <f t="shared" si="5"/>
        <v>Texture2D'/Game/DungeonSiege/art/bitmaps/gui/in_game/inventory/armor/helmet/b_gui_ig_i_a_hlmt_026.b_gui_ig_i_a_hlmt_026'</v>
      </c>
      <c r="V114" s="65" t="s">
        <v>5194</v>
      </c>
    </row>
    <row r="115" spans="1:22" ht="15.75" thickBot="1" x14ac:dyDescent="0.3">
      <c r="A115" s="65">
        <v>113</v>
      </c>
      <c r="B115" s="65">
        <f>HEX2DEC(A115+Items!$A$8)</f>
        <v>19923219</v>
      </c>
      <c r="C115" s="65" t="s">
        <v>4957</v>
      </c>
      <c r="D115" s="65">
        <v>20</v>
      </c>
      <c r="E115" s="65" t="s">
        <v>2384</v>
      </c>
      <c r="F115" s="65">
        <v>25</v>
      </c>
      <c r="G115" s="65">
        <v>1</v>
      </c>
      <c r="H115" s="65">
        <v>0</v>
      </c>
      <c r="I115" s="65">
        <v>0</v>
      </c>
      <c r="J115" s="65">
        <v>0</v>
      </c>
      <c r="K115" s="65">
        <v>2</v>
      </c>
      <c r="L115" s="65">
        <v>2</v>
      </c>
      <c r="M115" s="65" t="s">
        <v>4859</v>
      </c>
      <c r="N115" s="88" t="s">
        <v>5170</v>
      </c>
      <c r="O115" s="88" t="s">
        <v>5033</v>
      </c>
      <c r="P115" s="88" t="s">
        <v>2808</v>
      </c>
      <c r="Q115" s="65"/>
      <c r="R115" s="65"/>
      <c r="S115" s="65" t="str">
        <f t="shared" si="3"/>
        <v>DA_he_un_ca_pl_guard_archer</v>
      </c>
      <c r="T115" s="65" t="str">
        <f t="shared" si="4"/>
        <v>/Game/DungeonSiege/Items/Armor/Helm/DA_he_un_ca_pl_guard_archer</v>
      </c>
      <c r="U115" s="65" t="str">
        <f t="shared" si="5"/>
        <v>Texture2D'/Game/DungeonSiege/art/bitmaps/gui/in_game/inventory/armor/helmet/b_gui_ig_i_a_hlmt_052.b_gui_ig_i_a_hlmt_052'</v>
      </c>
      <c r="V115" s="65" t="s">
        <v>5194</v>
      </c>
    </row>
    <row r="116" spans="1:22" ht="15.75" thickBot="1" x14ac:dyDescent="0.3">
      <c r="A116" s="65">
        <v>114</v>
      </c>
      <c r="B116" s="65">
        <f>HEX2DEC(A116+Items!$A$8)</f>
        <v>19923220</v>
      </c>
      <c r="C116" s="65" t="s">
        <v>4958</v>
      </c>
      <c r="D116" s="65">
        <v>8</v>
      </c>
      <c r="E116" s="65"/>
      <c r="F116" s="65"/>
      <c r="G116" s="65">
        <v>0</v>
      </c>
      <c r="H116" s="65">
        <v>1</v>
      </c>
      <c r="I116" s="65">
        <v>0</v>
      </c>
      <c r="J116" s="65">
        <v>0</v>
      </c>
      <c r="K116" s="65">
        <v>2</v>
      </c>
      <c r="L116" s="65">
        <v>2</v>
      </c>
      <c r="M116" s="65" t="s">
        <v>4860</v>
      </c>
      <c r="N116" s="88" t="s">
        <v>5171</v>
      </c>
      <c r="O116" s="88" t="s">
        <v>5172</v>
      </c>
      <c r="P116" s="88" t="s">
        <v>4514</v>
      </c>
      <c r="Q116" s="65">
        <v>2</v>
      </c>
      <c r="R116" s="65">
        <v>100</v>
      </c>
      <c r="S116" s="65" t="str">
        <f t="shared" si="3"/>
        <v>DA_he_un_ca_ro_warlock</v>
      </c>
      <c r="T116" s="65" t="str">
        <f t="shared" si="4"/>
        <v>/Game/DungeonSiege/Items/Armor/Helm/DA_he_un_ca_ro_warlock</v>
      </c>
      <c r="U116" s="65" t="str">
        <f t="shared" si="5"/>
        <v>Texture2D'/Game/DungeonSiege/art/bitmaps/gui/in_game/inventory/armor/helmet/b_gui_ig_i_a_hlmt_125.b_gui_ig_i_a_hlmt_125'</v>
      </c>
      <c r="V116" s="65" t="s">
        <v>5194</v>
      </c>
    </row>
    <row r="117" spans="1:22" ht="15.75" thickBot="1" x14ac:dyDescent="0.3">
      <c r="A117" s="65">
        <v>115</v>
      </c>
      <c r="B117" s="65">
        <f>HEX2DEC(A117+Items!$A$8)</f>
        <v>19923221</v>
      </c>
      <c r="C117" s="65" t="s">
        <v>4959</v>
      </c>
      <c r="D117" s="65">
        <v>28</v>
      </c>
      <c r="E117" s="65" t="s">
        <v>2384</v>
      </c>
      <c r="F117" s="65">
        <v>33</v>
      </c>
      <c r="G117" s="65">
        <v>0</v>
      </c>
      <c r="H117" s="65">
        <v>0</v>
      </c>
      <c r="I117" s="65">
        <v>1</v>
      </c>
      <c r="J117" s="65">
        <v>1</v>
      </c>
      <c r="K117" s="65">
        <v>2</v>
      </c>
      <c r="L117" s="65">
        <v>2</v>
      </c>
      <c r="M117" s="65" t="s">
        <v>4861</v>
      </c>
      <c r="N117" s="88" t="s">
        <v>5173</v>
      </c>
      <c r="O117" s="88" t="s">
        <v>5174</v>
      </c>
      <c r="P117" s="88" t="s">
        <v>2793</v>
      </c>
      <c r="Q117" s="65">
        <v>6</v>
      </c>
      <c r="R117" s="65">
        <v>8</v>
      </c>
      <c r="S117" s="65" t="str">
        <f t="shared" si="3"/>
        <v>DA_he_un_ca_tallcrown</v>
      </c>
      <c r="T117" s="65" t="str">
        <f t="shared" si="4"/>
        <v>/Game/DungeonSiege/Items/Armor/Helm/DA_he_un_ca_tallcrown</v>
      </c>
      <c r="U117" s="65" t="str">
        <f t="shared" si="5"/>
        <v>Texture2D'/Game/DungeonSiege/art/bitmaps/gui/in_game/inventory/armor/helmet/b_gui_ig_i_a_hlmt_031.b_gui_ig_i_a_hlmt_031'</v>
      </c>
      <c r="V117" s="65" t="s">
        <v>5194</v>
      </c>
    </row>
    <row r="118" spans="1:22" ht="15.75" thickBot="1" x14ac:dyDescent="0.3">
      <c r="A118" s="65">
        <v>116</v>
      </c>
      <c r="B118" s="65">
        <f>HEX2DEC(A118+Items!$A$8)</f>
        <v>19923222</v>
      </c>
      <c r="C118" s="65" t="s">
        <v>4960</v>
      </c>
      <c r="D118" s="65">
        <v>42</v>
      </c>
      <c r="E118" s="65" t="s">
        <v>2384</v>
      </c>
      <c r="F118" s="65">
        <v>45</v>
      </c>
      <c r="G118" s="65">
        <v>0</v>
      </c>
      <c r="H118" s="65">
        <v>0</v>
      </c>
      <c r="I118" s="65">
        <v>1</v>
      </c>
      <c r="J118" s="65">
        <v>1</v>
      </c>
      <c r="K118" s="65">
        <v>2</v>
      </c>
      <c r="L118" s="65">
        <v>2</v>
      </c>
      <c r="M118" s="65" t="s">
        <v>4862</v>
      </c>
      <c r="N118" s="88" t="s">
        <v>5175</v>
      </c>
      <c r="O118" s="88" t="s">
        <v>5176</v>
      </c>
      <c r="P118" s="88" t="s">
        <v>2809</v>
      </c>
      <c r="Q118" s="65">
        <v>5</v>
      </c>
      <c r="R118" s="65">
        <v>11</v>
      </c>
      <c r="S118" s="65" t="str">
        <f t="shared" si="3"/>
        <v>DA_he_un_fu_crystal</v>
      </c>
      <c r="T118" s="65" t="str">
        <f t="shared" si="4"/>
        <v>/Game/DungeonSiege/Items/Armor/Helm/DA_he_un_fu_crystal</v>
      </c>
      <c r="U118" s="65" t="str">
        <f t="shared" si="5"/>
        <v>Texture2D'/Game/DungeonSiege/art/bitmaps/gui/in_game/inventory/armor/helmet/b_gui_ig_i_a_hlmt_048.b_gui_ig_i_a_hlmt_048'</v>
      </c>
      <c r="V118" s="65" t="s">
        <v>5194</v>
      </c>
    </row>
    <row r="119" spans="1:22" ht="15.75" thickBot="1" x14ac:dyDescent="0.3">
      <c r="A119" s="65">
        <v>117</v>
      </c>
      <c r="B119" s="65">
        <f>HEX2DEC(A119+Items!$A$8)</f>
        <v>19923223</v>
      </c>
      <c r="C119" s="65" t="s">
        <v>4961</v>
      </c>
      <c r="D119" s="65">
        <v>21</v>
      </c>
      <c r="E119" s="65" t="s">
        <v>2384</v>
      </c>
      <c r="F119" s="65">
        <v>27</v>
      </c>
      <c r="G119" s="65">
        <v>0</v>
      </c>
      <c r="H119" s="65">
        <v>0</v>
      </c>
      <c r="I119" s="65">
        <v>1</v>
      </c>
      <c r="J119" s="65">
        <v>1</v>
      </c>
      <c r="K119" s="65">
        <v>2</v>
      </c>
      <c r="L119" s="65">
        <v>2</v>
      </c>
      <c r="M119" s="65" t="s">
        <v>4863</v>
      </c>
      <c r="N119" s="88" t="s">
        <v>5177</v>
      </c>
      <c r="O119" s="88" t="s">
        <v>5178</v>
      </c>
      <c r="P119" s="88" t="s">
        <v>2786</v>
      </c>
      <c r="Q119" s="65">
        <v>2</v>
      </c>
      <c r="R119" s="65">
        <v>6</v>
      </c>
      <c r="S119" s="65" t="str">
        <f t="shared" si="3"/>
        <v>DA_he_un_fu_eyebrows</v>
      </c>
      <c r="T119" s="65" t="str">
        <f t="shared" si="4"/>
        <v>/Game/DungeonSiege/Items/Armor/Helm/DA_he_un_fu_eyebrows</v>
      </c>
      <c r="U119" s="65" t="str">
        <f t="shared" si="5"/>
        <v>Texture2D'/Game/DungeonSiege/art/bitmaps/gui/in_game/inventory/armor/helmet/b_gui_ig_i_a_hlmt_023.b_gui_ig_i_a_hlmt_023'</v>
      </c>
      <c r="V119" s="65" t="s">
        <v>5194</v>
      </c>
    </row>
    <row r="120" spans="1:22" ht="15.75" thickBot="1" x14ac:dyDescent="0.3">
      <c r="A120" s="65">
        <v>118</v>
      </c>
      <c r="B120" s="65">
        <f>HEX2DEC(A120+Items!$A$8)</f>
        <v>19923224</v>
      </c>
      <c r="C120" s="65" t="s">
        <v>4962</v>
      </c>
      <c r="D120" s="65">
        <v>31</v>
      </c>
      <c r="E120" s="65" t="s">
        <v>2384</v>
      </c>
      <c r="F120" s="65">
        <v>36</v>
      </c>
      <c r="G120" s="65">
        <v>1</v>
      </c>
      <c r="H120" s="65">
        <v>0</v>
      </c>
      <c r="I120" s="65">
        <v>1</v>
      </c>
      <c r="J120" s="65">
        <v>1</v>
      </c>
      <c r="K120" s="65">
        <v>2</v>
      </c>
      <c r="L120" s="65">
        <v>2</v>
      </c>
      <c r="M120" s="65" t="s">
        <v>4864</v>
      </c>
      <c r="N120" s="88" t="s">
        <v>5179</v>
      </c>
      <c r="O120" s="88" t="s">
        <v>5180</v>
      </c>
      <c r="P120" s="88" t="s">
        <v>2813</v>
      </c>
      <c r="Q120" s="65">
        <v>0</v>
      </c>
      <c r="R120" s="65">
        <v>6</v>
      </c>
      <c r="S120" s="65" t="str">
        <f t="shared" si="3"/>
        <v>DA_he_un_fu_pl_fish</v>
      </c>
      <c r="T120" s="65" t="str">
        <f t="shared" si="4"/>
        <v>/Game/DungeonSiege/Items/Armor/Helm/DA_he_un_fu_pl_fish</v>
      </c>
      <c r="U120" s="65" t="str">
        <f t="shared" si="5"/>
        <v>Texture2D'/Game/DungeonSiege/art/bitmaps/gui/in_game/inventory/armor/helmet/b_gui_ig_i_a_hlmt_042.b_gui_ig_i_a_hlmt_042'</v>
      </c>
      <c r="V120" s="65" t="s">
        <v>5194</v>
      </c>
    </row>
    <row r="121" spans="1:22" ht="15.75" thickBot="1" x14ac:dyDescent="0.3">
      <c r="A121" s="65">
        <v>119</v>
      </c>
      <c r="B121" s="65">
        <f>HEX2DEC(A121+Items!$A$8)</f>
        <v>19923225</v>
      </c>
      <c r="C121" s="65" t="s">
        <v>4963</v>
      </c>
      <c r="D121" s="65">
        <v>35</v>
      </c>
      <c r="E121" s="65" t="s">
        <v>2384</v>
      </c>
      <c r="F121" s="65">
        <v>40</v>
      </c>
      <c r="G121" s="65">
        <v>0</v>
      </c>
      <c r="H121" s="65">
        <v>0</v>
      </c>
      <c r="I121" s="65">
        <v>1</v>
      </c>
      <c r="J121" s="65">
        <v>1</v>
      </c>
      <c r="K121" s="65">
        <v>2</v>
      </c>
      <c r="L121" s="65">
        <v>2</v>
      </c>
      <c r="M121" s="65" t="s">
        <v>4865</v>
      </c>
      <c r="N121" s="88" t="s">
        <v>5181</v>
      </c>
      <c r="O121" s="88" t="s">
        <v>5180</v>
      </c>
      <c r="P121" s="88" t="s">
        <v>4484</v>
      </c>
      <c r="Q121" s="65">
        <v>7</v>
      </c>
      <c r="R121" s="65">
        <v>10</v>
      </c>
      <c r="S121" s="65" t="str">
        <f t="shared" si="3"/>
        <v>DA_he_un_fu_pl_fish_02</v>
      </c>
      <c r="T121" s="65" t="str">
        <f t="shared" si="4"/>
        <v>/Game/DungeonSiege/Items/Armor/Helm/DA_he_un_fu_pl_fish_02</v>
      </c>
      <c r="U121" s="65" t="str">
        <f t="shared" si="5"/>
        <v>Texture2D'/Game/DungeonSiege/art/bitmaps/gui/in_game/inventory/armor/helmet/b_gui_ig_i_a_hlmt_090.b_gui_ig_i_a_hlmt_090'</v>
      </c>
      <c r="V121" s="65" t="s">
        <v>5194</v>
      </c>
    </row>
    <row r="122" spans="1:22" ht="15.75" thickBot="1" x14ac:dyDescent="0.3">
      <c r="A122" s="65">
        <v>120</v>
      </c>
      <c r="B122" s="65">
        <f>HEX2DEC(A122+Items!$A$8)</f>
        <v>19923232</v>
      </c>
      <c r="C122" s="65" t="s">
        <v>4964</v>
      </c>
      <c r="D122" s="65">
        <v>41</v>
      </c>
      <c r="E122" s="65" t="s">
        <v>2384</v>
      </c>
      <c r="F122" s="65">
        <v>45</v>
      </c>
      <c r="G122" s="65">
        <v>0</v>
      </c>
      <c r="H122" s="65">
        <v>0</v>
      </c>
      <c r="I122" s="65">
        <v>1</v>
      </c>
      <c r="J122" s="65">
        <v>1</v>
      </c>
      <c r="K122" s="65">
        <v>2</v>
      </c>
      <c r="L122" s="65">
        <v>2</v>
      </c>
      <c r="M122" s="65" t="s">
        <v>4866</v>
      </c>
      <c r="N122" s="88" t="s">
        <v>5182</v>
      </c>
      <c r="O122" s="88" t="s">
        <v>5159</v>
      </c>
      <c r="P122" s="88" t="s">
        <v>2783</v>
      </c>
      <c r="Q122" s="65">
        <v>9</v>
      </c>
      <c r="R122" s="65">
        <v>12</v>
      </c>
      <c r="S122" s="65" t="str">
        <f t="shared" si="3"/>
        <v>DA_he_un_fu_pl_skull</v>
      </c>
      <c r="T122" s="65" t="str">
        <f t="shared" si="4"/>
        <v>/Game/DungeonSiege/Items/Armor/Helm/DA_he_un_fu_pl_skull</v>
      </c>
      <c r="U122" s="65" t="str">
        <f t="shared" si="5"/>
        <v>Texture2D'/Game/DungeonSiege/art/bitmaps/gui/in_game/inventory/armor/helmet/b_gui_ig_i_a_hlmt_022.b_gui_ig_i_a_hlmt_022'</v>
      </c>
      <c r="V122" s="65" t="s">
        <v>5194</v>
      </c>
    </row>
    <row r="123" spans="1:22" ht="15.75" thickBot="1" x14ac:dyDescent="0.3">
      <c r="A123" s="65">
        <v>121</v>
      </c>
      <c r="B123" s="65">
        <f>HEX2DEC(A123+Items!$A$8)</f>
        <v>19923233</v>
      </c>
      <c r="C123" s="65" t="s">
        <v>4965</v>
      </c>
      <c r="D123" s="65">
        <v>33</v>
      </c>
      <c r="E123" s="65" t="s">
        <v>2384</v>
      </c>
      <c r="F123" s="65">
        <v>38</v>
      </c>
      <c r="G123" s="65">
        <v>1</v>
      </c>
      <c r="H123" s="65">
        <v>0</v>
      </c>
      <c r="I123" s="65">
        <v>1</v>
      </c>
      <c r="J123" s="65">
        <v>1</v>
      </c>
      <c r="K123" s="65">
        <v>2</v>
      </c>
      <c r="L123" s="65">
        <v>2</v>
      </c>
      <c r="M123" s="65" t="s">
        <v>4867</v>
      </c>
      <c r="N123" s="88" t="s">
        <v>5183</v>
      </c>
      <c r="O123" s="88" t="s">
        <v>5184</v>
      </c>
      <c r="P123" s="88" t="s">
        <v>2810</v>
      </c>
      <c r="Q123" s="65">
        <v>0</v>
      </c>
      <c r="R123" s="65">
        <v>6</v>
      </c>
      <c r="S123" s="65" t="str">
        <f t="shared" si="3"/>
        <v>DA_he_un_mask_bone</v>
      </c>
      <c r="T123" s="65" t="str">
        <f t="shared" si="4"/>
        <v>/Game/DungeonSiege/Items/Armor/Helm/DA_he_un_mask_bone</v>
      </c>
      <c r="U123" s="65" t="str">
        <f t="shared" si="5"/>
        <v>Texture2D'/Game/DungeonSiege/art/bitmaps/gui/in_game/inventory/armor/helmet/b_gui_ig_i_a_hlmt_049.b_gui_ig_i_a_hlmt_049'</v>
      </c>
      <c r="V123" s="65" t="s">
        <v>5194</v>
      </c>
    </row>
    <row r="124" spans="1:22" ht="15.75" thickBot="1" x14ac:dyDescent="0.3">
      <c r="A124" s="65">
        <v>122</v>
      </c>
      <c r="B124" s="65">
        <f>HEX2DEC(A124+Items!$A$8)</f>
        <v>19923234</v>
      </c>
      <c r="C124" s="65" t="s">
        <v>4966</v>
      </c>
      <c r="D124" s="65">
        <v>20</v>
      </c>
      <c r="E124" s="65" t="s">
        <v>2384</v>
      </c>
      <c r="F124" s="65">
        <v>25</v>
      </c>
      <c r="G124" s="65">
        <v>1</v>
      </c>
      <c r="H124" s="65">
        <v>0</v>
      </c>
      <c r="I124" s="65">
        <v>0</v>
      </c>
      <c r="J124" s="65">
        <v>0</v>
      </c>
      <c r="K124" s="65">
        <v>2</v>
      </c>
      <c r="L124" s="65">
        <v>2</v>
      </c>
      <c r="M124" s="65" t="s">
        <v>4868</v>
      </c>
      <c r="N124" s="88" t="s">
        <v>5185</v>
      </c>
      <c r="O124" s="88" t="s">
        <v>5126</v>
      </c>
      <c r="P124" s="88" t="s">
        <v>2812</v>
      </c>
      <c r="Q124" s="65"/>
      <c r="R124" s="65"/>
      <c r="S124" s="65" t="str">
        <f t="shared" si="3"/>
        <v>DA_he_un_op_pl_guard_captain</v>
      </c>
      <c r="T124" s="65" t="str">
        <f t="shared" si="4"/>
        <v>/Game/DungeonSiege/Items/Armor/Helm/DA_he_un_op_pl_guard_captain</v>
      </c>
      <c r="U124" s="65" t="str">
        <f t="shared" si="5"/>
        <v>Texture2D'/Game/DungeonSiege/art/bitmaps/gui/in_game/inventory/armor/helmet/b_gui_ig_i_a_hlmt_054.b_gui_ig_i_a_hlmt_054'</v>
      </c>
      <c r="V124" s="65" t="s">
        <v>5194</v>
      </c>
    </row>
    <row r="125" spans="1:22" ht="15.75" thickBot="1" x14ac:dyDescent="0.3">
      <c r="A125" s="65">
        <v>123</v>
      </c>
      <c r="B125" s="65">
        <f>HEX2DEC(A125+Items!$A$8)</f>
        <v>19923235</v>
      </c>
      <c r="C125" s="65" t="s">
        <v>4967</v>
      </c>
      <c r="D125" s="65">
        <v>20</v>
      </c>
      <c r="E125" s="65" t="s">
        <v>2384</v>
      </c>
      <c r="F125" s="65">
        <v>25</v>
      </c>
      <c r="G125" s="65">
        <v>1</v>
      </c>
      <c r="H125" s="65">
        <v>0</v>
      </c>
      <c r="I125" s="65">
        <v>0</v>
      </c>
      <c r="J125" s="65">
        <v>0</v>
      </c>
      <c r="K125" s="65">
        <v>2</v>
      </c>
      <c r="L125" s="65">
        <v>2</v>
      </c>
      <c r="M125" s="65" t="s">
        <v>4869</v>
      </c>
      <c r="N125" s="88" t="s">
        <v>5186</v>
      </c>
      <c r="O125" s="88" t="s">
        <v>5124</v>
      </c>
      <c r="P125" s="88" t="s">
        <v>2798</v>
      </c>
      <c r="Q125" s="65"/>
      <c r="R125" s="65"/>
      <c r="S125" s="65" t="str">
        <f t="shared" si="3"/>
        <v>DA_he_un_op_pl_guard_fighter</v>
      </c>
      <c r="T125" s="65" t="str">
        <f t="shared" si="4"/>
        <v>/Game/DungeonSiege/Items/Armor/Helm/DA_he_un_op_pl_guard_fighter</v>
      </c>
      <c r="U125" s="65" t="str">
        <f t="shared" si="5"/>
        <v>Texture2D'/Game/DungeonSiege/art/bitmaps/gui/in_game/inventory/armor/helmet/b_gui_ig_i_a_hlmt_053.b_gui_ig_i_a_hlmt_053'</v>
      </c>
      <c r="V125" s="65" t="s">
        <v>5194</v>
      </c>
    </row>
    <row r="126" spans="1:22" ht="15.75" thickBot="1" x14ac:dyDescent="0.3">
      <c r="A126" s="65">
        <v>124</v>
      </c>
      <c r="B126" s="65">
        <f>HEX2DEC(A126+Items!$A$8)</f>
        <v>19923236</v>
      </c>
      <c r="C126" s="65" t="s">
        <v>4968</v>
      </c>
      <c r="D126" s="65">
        <v>32</v>
      </c>
      <c r="E126" s="65" t="s">
        <v>2384</v>
      </c>
      <c r="F126" s="65">
        <v>37</v>
      </c>
      <c r="G126" s="65">
        <v>0</v>
      </c>
      <c r="H126" s="65">
        <v>0</v>
      </c>
      <c r="I126" s="65">
        <v>0</v>
      </c>
      <c r="J126" s="65">
        <v>1</v>
      </c>
      <c r="K126" s="65">
        <v>2</v>
      </c>
      <c r="L126" s="65">
        <v>2</v>
      </c>
      <c r="M126" s="65" t="s">
        <v>4870</v>
      </c>
      <c r="N126" s="88" t="s">
        <v>5187</v>
      </c>
      <c r="O126" s="88" t="s">
        <v>5188</v>
      </c>
      <c r="P126" s="88" t="s">
        <v>2804</v>
      </c>
      <c r="Q126" s="65">
        <v>4</v>
      </c>
      <c r="R126" s="65">
        <v>9</v>
      </c>
      <c r="S126" s="65" t="str">
        <f t="shared" si="3"/>
        <v>DA_he_un_spider</v>
      </c>
      <c r="T126" s="65" t="str">
        <f t="shared" si="4"/>
        <v>/Game/DungeonSiege/Items/Armor/Helm/DA_he_un_spider</v>
      </c>
      <c r="U126" s="65" t="str">
        <f t="shared" si="5"/>
        <v>Texture2D'/Game/DungeonSiege/art/bitmaps/gui/in_game/inventory/armor/helmet/b_gui_ig_i_a_hlmt_050.b_gui_ig_i_a_hlmt_050'</v>
      </c>
      <c r="V126" s="65" t="s">
        <v>5194</v>
      </c>
    </row>
    <row r="127" spans="1:22" ht="15.75" thickBot="1" x14ac:dyDescent="0.3">
      <c r="A127" s="65">
        <v>125</v>
      </c>
      <c r="B127" s="65">
        <f>HEX2DEC(A127+Items!$A$8)</f>
        <v>19923237</v>
      </c>
      <c r="C127" s="65" t="s">
        <v>4969</v>
      </c>
      <c r="D127" s="65">
        <v>57</v>
      </c>
      <c r="E127" s="65" t="s">
        <v>2384</v>
      </c>
      <c r="F127" s="65">
        <v>58</v>
      </c>
      <c r="G127" s="65">
        <v>0</v>
      </c>
      <c r="H127" s="65">
        <v>0</v>
      </c>
      <c r="I127" s="65">
        <v>0</v>
      </c>
      <c r="J127" s="65">
        <v>1</v>
      </c>
      <c r="K127" s="65">
        <v>2</v>
      </c>
      <c r="L127" s="65">
        <v>2</v>
      </c>
      <c r="M127" s="65" t="s">
        <v>4871</v>
      </c>
      <c r="N127" s="88" t="s">
        <v>5189</v>
      </c>
      <c r="O127" s="88" t="s">
        <v>5190</v>
      </c>
      <c r="P127" s="88" t="s">
        <v>2825</v>
      </c>
      <c r="Q127" s="65"/>
      <c r="R127" s="65"/>
      <c r="S127" s="65" t="str">
        <f t="shared" si="3"/>
        <v>DA_he_un_vi_dragon</v>
      </c>
      <c r="T127" s="65" t="str">
        <f t="shared" si="4"/>
        <v>/Game/DungeonSiege/Items/Armor/Helm/DA_he_un_vi_dragon</v>
      </c>
      <c r="U127" s="65" t="str">
        <f t="shared" si="5"/>
        <v>Texture2D'/Game/DungeonSiege/art/bitmaps/gui/in_game/inventory/armor/helmet/b_gui_ig_i_a_hlmt_051.b_gui_ig_i_a_hlmt_051'</v>
      </c>
      <c r="V127" s="65" t="s">
        <v>5194</v>
      </c>
    </row>
    <row r="128" spans="1:22" ht="15.75" thickBot="1" x14ac:dyDescent="0.3">
      <c r="A128" s="65">
        <v>126</v>
      </c>
      <c r="B128" s="65">
        <f>HEX2DEC(A128+Items!$A$8)</f>
        <v>19923238</v>
      </c>
      <c r="C128" s="65" t="s">
        <v>4970</v>
      </c>
      <c r="D128" s="65">
        <v>43</v>
      </c>
      <c r="E128" s="65" t="s">
        <v>2384</v>
      </c>
      <c r="F128" s="65">
        <v>46</v>
      </c>
      <c r="G128" s="65">
        <v>0</v>
      </c>
      <c r="H128" s="65">
        <v>0</v>
      </c>
      <c r="I128" s="65">
        <v>1</v>
      </c>
      <c r="J128" s="65">
        <v>1</v>
      </c>
      <c r="K128" s="65">
        <v>2</v>
      </c>
      <c r="L128" s="65">
        <v>2</v>
      </c>
      <c r="M128" s="65" t="s">
        <v>4872</v>
      </c>
      <c r="N128" s="88" t="s">
        <v>5191</v>
      </c>
      <c r="O128" s="88" t="s">
        <v>5192</v>
      </c>
      <c r="P128" s="88" t="s">
        <v>2822</v>
      </c>
      <c r="Q128" s="65"/>
      <c r="R128" s="65"/>
      <c r="S128" s="65" t="str">
        <f t="shared" si="3"/>
        <v>DA_he_un_vi_moto</v>
      </c>
      <c r="T128" s="65" t="str">
        <f t="shared" si="4"/>
        <v>/Game/DungeonSiege/Items/Armor/Helm/DA_he_un_vi_moto</v>
      </c>
      <c r="U128" s="65" t="str">
        <f t="shared" si="5"/>
        <v>Texture2D'/Game/DungeonSiege/art/bitmaps/gui/in_game/inventory/armor/helmet/b_gui_ig_i_a_hlmt_041.b_gui_ig_i_a_hlmt_041'</v>
      </c>
      <c r="V128" s="65" t="s">
        <v>5194</v>
      </c>
    </row>
    <row r="129" spans="1:22" ht="15.75" thickBot="1" x14ac:dyDescent="0.3">
      <c r="A129" s="65">
        <v>127</v>
      </c>
      <c r="B129" s="65">
        <f>HEX2DEC(A129+Items!$A$8)</f>
        <v>19923239</v>
      </c>
      <c r="C129" s="65" t="s">
        <v>4908</v>
      </c>
      <c r="D129" s="65">
        <v>24</v>
      </c>
      <c r="E129" s="65" t="s">
        <v>2384</v>
      </c>
      <c r="F129" s="65">
        <v>30</v>
      </c>
      <c r="G129" s="65">
        <v>1</v>
      </c>
      <c r="H129" s="65">
        <v>1</v>
      </c>
      <c r="I129" s="65">
        <v>0</v>
      </c>
      <c r="J129" s="65">
        <v>0</v>
      </c>
      <c r="K129" s="65">
        <v>2</v>
      </c>
      <c r="L129" s="65">
        <v>2</v>
      </c>
      <c r="M129" s="65" t="s">
        <v>4873</v>
      </c>
      <c r="N129" s="88" t="s">
        <v>5193</v>
      </c>
      <c r="O129" s="88" t="s">
        <v>5161</v>
      </c>
      <c r="P129" s="88" t="s">
        <v>2510</v>
      </c>
      <c r="Q129" s="65"/>
      <c r="R129" s="65"/>
      <c r="S129" s="65" t="str">
        <f t="shared" si="3"/>
        <v>DA_he_vi_pl_knight</v>
      </c>
      <c r="T129" s="65" t="str">
        <f t="shared" si="4"/>
        <v>/Game/DungeonSiege/Items/Armor/Helm/DA_he_vi_pl_knight</v>
      </c>
      <c r="U129" s="65" t="str">
        <f t="shared" si="5"/>
        <v>Texture2D'/Game/DungeonSiege/art/bitmaps/gui/in_game/inventory/armor/helmet/b_gui_ig_i_a_hlmt_007.b_gui_ig_i_a_hlmt_007'</v>
      </c>
      <c r="V129" s="65" t="s">
        <v>5194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ExportHelms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0</xdr:col>
                    <xdr:colOff>600075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5243A-55BD-4D81-8563-4D0EF4621409}">
  <sheetPr codeName="Sheet18"/>
  <dimension ref="A1:X116"/>
  <sheetViews>
    <sheetView zoomScale="170" zoomScaleNormal="170" workbookViewId="0">
      <pane xSplit="3" topLeftCell="N1" activePane="topRight" state="frozen"/>
      <selection pane="topRight" activeCell="P99" sqref="P99"/>
    </sheetView>
  </sheetViews>
  <sheetFormatPr defaultRowHeight="15" x14ac:dyDescent="0.25"/>
  <cols>
    <col min="3" max="3" width="14" bestFit="1" customWidth="1"/>
    <col min="13" max="13" width="19.7109375" bestFit="1" customWidth="1"/>
    <col min="14" max="14" width="14.5703125" bestFit="1" customWidth="1"/>
    <col min="15" max="16" width="9.28515625" style="23" customWidth="1"/>
    <col min="17" max="17" width="16.5703125" bestFit="1" customWidth="1"/>
    <col min="18" max="18" width="9.28515625" bestFit="1" customWidth="1"/>
    <col min="21" max="21" width="16.85546875" customWidth="1"/>
    <col min="22" max="22" width="41.85546875" bestFit="1" customWidth="1"/>
    <col min="23" max="23" width="51.42578125" bestFit="1" customWidth="1"/>
  </cols>
  <sheetData>
    <row r="1" spans="1:24" ht="34.5" thickBot="1" x14ac:dyDescent="0.3">
      <c r="A1" s="69"/>
      <c r="B1" s="30" t="s">
        <v>28</v>
      </c>
      <c r="C1" s="30" t="s">
        <v>2912</v>
      </c>
      <c r="D1" s="30" t="s">
        <v>2916</v>
      </c>
      <c r="E1" s="30" t="s">
        <v>2906</v>
      </c>
      <c r="F1" s="30" t="s">
        <v>2907</v>
      </c>
      <c r="G1" s="30" t="s">
        <v>2908</v>
      </c>
      <c r="H1" s="30" t="s">
        <v>2909</v>
      </c>
      <c r="I1" s="30" t="s">
        <v>2910</v>
      </c>
      <c r="J1" s="30" t="s">
        <v>2911</v>
      </c>
      <c r="K1" s="67" t="s">
        <v>2502</v>
      </c>
      <c r="L1" s="67" t="s">
        <v>2501</v>
      </c>
      <c r="M1" s="30" t="s">
        <v>2495</v>
      </c>
      <c r="N1" s="30" t="s">
        <v>2496</v>
      </c>
      <c r="O1" s="30" t="s">
        <v>5407</v>
      </c>
      <c r="P1" s="30" t="s">
        <v>3400</v>
      </c>
      <c r="Q1" s="68" t="s">
        <v>5405</v>
      </c>
      <c r="R1" s="30" t="s">
        <v>5406</v>
      </c>
      <c r="S1" s="67" t="s">
        <v>2913</v>
      </c>
      <c r="T1" s="67" t="s">
        <v>2914</v>
      </c>
      <c r="U1" s="67" t="s">
        <v>335</v>
      </c>
      <c r="V1" s="67" t="s">
        <v>334</v>
      </c>
      <c r="W1" s="67" t="s">
        <v>671</v>
      </c>
      <c r="X1" s="67" t="s">
        <v>3059</v>
      </c>
    </row>
    <row r="2" spans="1:24" ht="15.75" thickBot="1" x14ac:dyDescent="0.3">
      <c r="A2" s="65">
        <v>0</v>
      </c>
      <c r="B2" s="65">
        <f>HEX2DEC(A2+Items!$A$9)</f>
        <v>20971520</v>
      </c>
      <c r="C2" s="65" t="s">
        <v>5195</v>
      </c>
      <c r="D2" s="65" t="s">
        <v>4977</v>
      </c>
      <c r="E2" s="65" t="s">
        <v>2384</v>
      </c>
      <c r="F2" s="65" t="s">
        <v>4982</v>
      </c>
      <c r="G2" s="65">
        <v>1</v>
      </c>
      <c r="H2" s="65"/>
      <c r="I2" s="65"/>
      <c r="J2" s="65"/>
      <c r="K2" s="65">
        <v>2</v>
      </c>
      <c r="L2" s="65">
        <v>2</v>
      </c>
      <c r="M2" s="65" t="s">
        <v>5290</v>
      </c>
      <c r="N2" s="65" t="s">
        <v>5409</v>
      </c>
      <c r="O2" s="65" t="s">
        <v>5408</v>
      </c>
      <c r="P2" s="65" t="s">
        <v>5410</v>
      </c>
      <c r="Q2" s="65">
        <v>10</v>
      </c>
      <c r="R2" s="65">
        <v>5</v>
      </c>
      <c r="S2" s="65"/>
      <c r="T2" s="65"/>
      <c r="U2" s="65" t="str">
        <f xml:space="preserve"> CONCATENATE("DA_",SUBSTITUTE(M2,":","_"))</f>
        <v>DA_sh_m_g_c_r_s_avg</v>
      </c>
      <c r="V2" s="65" t="str">
        <f>"/Game/DungeonSiege/Items/Armor/Shield/" &amp; U2</f>
        <v>/Game/DungeonSiege/Items/Armor/Shield/DA_sh_m_g_c_r_s_avg</v>
      </c>
      <c r="W2" s="65" t="str">
        <f t="shared" ref="W2:W33" si="0">CONCATENATE("Texture2D'/Game/DungeonSiege/art/bitmaps/gui/in_game/inventory/armor/shield/",N2,".",N2,"'")</f>
        <v>Texture2D'/Game/DungeonSiege/art/bitmaps/gui/in_game/inventory/armor/shield/b_gui_ig_i_a_shd_078.b_gui_ig_i_a_shd_078'</v>
      </c>
      <c r="X2" s="65"/>
    </row>
    <row r="3" spans="1:24" ht="15.75" thickBot="1" x14ac:dyDescent="0.3">
      <c r="A3" s="65">
        <v>1</v>
      </c>
      <c r="B3" s="65">
        <f>HEX2DEC(A3+Items!$A$9)</f>
        <v>20971521</v>
      </c>
      <c r="C3" s="65" t="s">
        <v>5195</v>
      </c>
      <c r="D3" s="65" t="s">
        <v>5196</v>
      </c>
      <c r="E3" s="65" t="s">
        <v>2384</v>
      </c>
      <c r="F3" s="65" t="s">
        <v>5018</v>
      </c>
      <c r="G3" s="65">
        <v>1</v>
      </c>
      <c r="H3" s="65">
        <v>1</v>
      </c>
      <c r="I3" s="65"/>
      <c r="J3" s="65"/>
      <c r="K3" s="65">
        <v>2</v>
      </c>
      <c r="L3" s="65">
        <v>2</v>
      </c>
      <c r="M3" s="65" t="s">
        <v>5291</v>
      </c>
      <c r="N3" s="65" t="s">
        <v>5411</v>
      </c>
      <c r="O3" s="65" t="s">
        <v>5418</v>
      </c>
      <c r="P3" s="65" t="s">
        <v>5417</v>
      </c>
      <c r="Q3" s="65">
        <v>10</v>
      </c>
      <c r="R3" s="65">
        <v>5</v>
      </c>
      <c r="S3" s="65">
        <v>5</v>
      </c>
      <c r="T3" s="65">
        <v>7</v>
      </c>
      <c r="U3" s="65" t="str">
        <f t="shared" ref="U3:U66" si="1" xml:space="preserve"> CONCATENATE("DA_",SUBSTITUTE(M3,":","_"))</f>
        <v>DA_sh_m_g_c_r_s_avg_c_mag</v>
      </c>
      <c r="V3" s="65" t="str">
        <f t="shared" ref="V3:V66" si="2">"/Game/DungeonSiege/Items/Armor/Shield/" &amp; U3</f>
        <v>/Game/DungeonSiege/Items/Armor/Shield/DA_sh_m_g_c_r_s_avg_c_mag</v>
      </c>
      <c r="W3" s="65" t="str">
        <f t="shared" si="0"/>
        <v>Texture2D'/Game/DungeonSiege/art/bitmaps/gui/in_game/inventory/armor/shield/b_gui_ig_i_a_shd_122.b_gui_ig_i_a_shd_122'</v>
      </c>
      <c r="X3" s="65"/>
    </row>
    <row r="4" spans="1:24" ht="15.75" thickBot="1" x14ac:dyDescent="0.3">
      <c r="A4" s="65">
        <v>2</v>
      </c>
      <c r="B4" s="65">
        <f>HEX2DEC(A4+Items!$A$9)</f>
        <v>20971522</v>
      </c>
      <c r="C4" s="65" t="s">
        <v>5195</v>
      </c>
      <c r="D4" s="65" t="s">
        <v>5197</v>
      </c>
      <c r="E4" s="65" t="s">
        <v>2384</v>
      </c>
      <c r="F4" s="65" t="s">
        <v>4983</v>
      </c>
      <c r="G4" s="65">
        <v>1</v>
      </c>
      <c r="H4" s="65">
        <v>1</v>
      </c>
      <c r="I4" s="65"/>
      <c r="J4" s="65"/>
      <c r="K4" s="65">
        <v>2</v>
      </c>
      <c r="L4" s="65">
        <v>2</v>
      </c>
      <c r="M4" s="65" t="s">
        <v>5292</v>
      </c>
      <c r="N4" s="65" t="s">
        <v>5412</v>
      </c>
      <c r="O4" s="65" t="s">
        <v>5419</v>
      </c>
      <c r="P4" s="65" t="s">
        <v>5417</v>
      </c>
      <c r="Q4" s="65">
        <v>10</v>
      </c>
      <c r="R4" s="65">
        <v>5</v>
      </c>
      <c r="S4" s="65">
        <v>3</v>
      </c>
      <c r="T4" s="65">
        <v>5</v>
      </c>
      <c r="U4" s="65" t="str">
        <f t="shared" si="1"/>
        <v>DA_sh_m_g_c_r_s_avg_c_str</v>
      </c>
      <c r="V4" s="65" t="str">
        <f t="shared" si="2"/>
        <v>/Game/DungeonSiege/Items/Armor/Shield/DA_sh_m_g_c_r_s_avg_c_str</v>
      </c>
      <c r="W4" s="65" t="str">
        <f t="shared" si="0"/>
        <v>Texture2D'/Game/DungeonSiege/art/bitmaps/gui/in_game/inventory/armor/shield/b_gui_ig_i_a_shd_121.b_gui_ig_i_a_shd_121'</v>
      </c>
      <c r="X4" s="65"/>
    </row>
    <row r="5" spans="1:24" ht="15.75" thickBot="1" x14ac:dyDescent="0.3">
      <c r="A5" s="65">
        <v>3</v>
      </c>
      <c r="B5" s="65">
        <f>HEX2DEC(A5+Items!$A$9)</f>
        <v>20971523</v>
      </c>
      <c r="C5" s="65" t="s">
        <v>5195</v>
      </c>
      <c r="D5" s="65" t="s">
        <v>4989</v>
      </c>
      <c r="E5" s="65" t="s">
        <v>2384</v>
      </c>
      <c r="F5" s="65" t="s">
        <v>4984</v>
      </c>
      <c r="G5" s="65">
        <v>1</v>
      </c>
      <c r="H5" s="65">
        <v>1</v>
      </c>
      <c r="I5" s="65"/>
      <c r="J5" s="65"/>
      <c r="K5" s="65">
        <v>2</v>
      </c>
      <c r="L5" s="65">
        <v>2</v>
      </c>
      <c r="M5" s="65" t="s">
        <v>5293</v>
      </c>
      <c r="N5" s="65" t="s">
        <v>5413</v>
      </c>
      <c r="O5" s="65" t="s">
        <v>5420</v>
      </c>
      <c r="P5" s="65" t="s">
        <v>5417</v>
      </c>
      <c r="Q5" s="65">
        <v>10</v>
      </c>
      <c r="R5" s="65">
        <v>5</v>
      </c>
      <c r="S5" s="65">
        <v>2</v>
      </c>
      <c r="T5" s="65">
        <v>3</v>
      </c>
      <c r="U5" s="65" t="str">
        <f t="shared" si="1"/>
        <v>DA_sh_m_g_c_r_s_avg_o_avg</v>
      </c>
      <c r="V5" s="65" t="str">
        <f t="shared" si="2"/>
        <v>/Game/DungeonSiege/Items/Armor/Shield/DA_sh_m_g_c_r_s_avg_o_avg</v>
      </c>
      <c r="W5" s="65" t="str">
        <f t="shared" si="0"/>
        <v>Texture2D'/Game/DungeonSiege/art/bitmaps/gui/in_game/inventory/armor/shield/b_gui_ig_i_a_shd_123.b_gui_ig_i_a_shd_123'</v>
      </c>
      <c r="X5" s="65"/>
    </row>
    <row r="6" spans="1:24" ht="15.75" thickBot="1" x14ac:dyDescent="0.3">
      <c r="A6" s="65">
        <v>4</v>
      </c>
      <c r="B6" s="65">
        <f>HEX2DEC(A6+Items!$A$9)</f>
        <v>20971524</v>
      </c>
      <c r="C6" s="65" t="s">
        <v>5195</v>
      </c>
      <c r="D6" s="65" t="s">
        <v>4991</v>
      </c>
      <c r="E6" s="65" t="s">
        <v>2384</v>
      </c>
      <c r="F6" s="65" t="s">
        <v>4975</v>
      </c>
      <c r="G6" s="65">
        <v>1</v>
      </c>
      <c r="H6" s="65">
        <v>1</v>
      </c>
      <c r="I6" s="65"/>
      <c r="J6" s="65"/>
      <c r="K6" s="65">
        <v>2</v>
      </c>
      <c r="L6" s="65">
        <v>2</v>
      </c>
      <c r="M6" s="65" t="s">
        <v>5294</v>
      </c>
      <c r="N6" s="65" t="s">
        <v>5414</v>
      </c>
      <c r="O6" s="65" t="s">
        <v>5421</v>
      </c>
      <c r="P6" s="65" t="s">
        <v>5417</v>
      </c>
      <c r="Q6" s="65">
        <v>10</v>
      </c>
      <c r="R6" s="65">
        <v>5</v>
      </c>
      <c r="S6" s="65">
        <v>2</v>
      </c>
      <c r="T6" s="65">
        <v>4</v>
      </c>
      <c r="U6" s="65" t="str">
        <f t="shared" si="1"/>
        <v>DA_sh_m_g_c_r_s_avg_o_fin</v>
      </c>
      <c r="V6" s="65" t="str">
        <f t="shared" si="2"/>
        <v>/Game/DungeonSiege/Items/Armor/Shield/DA_sh_m_g_c_r_s_avg_o_fin</v>
      </c>
      <c r="W6" s="65" t="str">
        <f t="shared" si="0"/>
        <v>Texture2D'/Game/DungeonSiege/art/bitmaps/gui/in_game/inventory/armor/shield/b_gui_ig_i_a_shd_124.b_gui_ig_i_a_shd_124'</v>
      </c>
      <c r="X6" s="65"/>
    </row>
    <row r="7" spans="1:24" ht="15.75" thickBot="1" x14ac:dyDescent="0.3">
      <c r="A7" s="65">
        <v>5</v>
      </c>
      <c r="B7" s="65">
        <f>HEX2DEC(A7+Items!$A$9)</f>
        <v>20971525</v>
      </c>
      <c r="C7" s="65" t="s">
        <v>5195</v>
      </c>
      <c r="D7" s="65" t="s">
        <v>5014</v>
      </c>
      <c r="E7" s="65" t="s">
        <v>2384</v>
      </c>
      <c r="F7" s="65" t="s">
        <v>5198</v>
      </c>
      <c r="G7" s="65">
        <v>1</v>
      </c>
      <c r="H7" s="65">
        <v>1</v>
      </c>
      <c r="I7" s="65"/>
      <c r="J7" s="65"/>
      <c r="K7" s="65">
        <v>2</v>
      </c>
      <c r="L7" s="65">
        <v>2</v>
      </c>
      <c r="M7" s="65" t="s">
        <v>5295</v>
      </c>
      <c r="N7" s="65" t="s">
        <v>5415</v>
      </c>
      <c r="O7" s="65" t="s">
        <v>5422</v>
      </c>
      <c r="P7" s="65" t="s">
        <v>5417</v>
      </c>
      <c r="Q7" s="65">
        <v>10</v>
      </c>
      <c r="R7" s="65">
        <v>5</v>
      </c>
      <c r="S7" s="65">
        <v>6</v>
      </c>
      <c r="T7" s="65">
        <v>8</v>
      </c>
      <c r="U7" s="65" t="str">
        <f t="shared" si="1"/>
        <v>DA_sh_m_g_c_r_s_avg_o_mag</v>
      </c>
      <c r="V7" s="65" t="str">
        <f t="shared" si="2"/>
        <v>/Game/DungeonSiege/Items/Armor/Shield/DA_sh_m_g_c_r_s_avg_o_mag</v>
      </c>
      <c r="W7" s="65" t="str">
        <f t="shared" si="0"/>
        <v>Texture2D'/Game/DungeonSiege/art/bitmaps/gui/in_game/inventory/armor/shield/b_gui_ig_i_a_shd_126.b_gui_ig_i_a_shd_126'</v>
      </c>
      <c r="X7" s="65"/>
    </row>
    <row r="8" spans="1:24" ht="15.75" thickBot="1" x14ac:dyDescent="0.3">
      <c r="A8" s="65">
        <v>6</v>
      </c>
      <c r="B8" s="65">
        <f>HEX2DEC(A8+Items!$A$9)</f>
        <v>20971526</v>
      </c>
      <c r="C8" s="65" t="s">
        <v>5195</v>
      </c>
      <c r="D8" s="65" t="s">
        <v>4976</v>
      </c>
      <c r="E8" s="65" t="s">
        <v>2384</v>
      </c>
      <c r="F8" s="65" t="s">
        <v>4992</v>
      </c>
      <c r="G8" s="65">
        <v>1</v>
      </c>
      <c r="H8" s="65">
        <v>1</v>
      </c>
      <c r="I8" s="65"/>
      <c r="J8" s="65"/>
      <c r="K8" s="65">
        <v>2</v>
      </c>
      <c r="L8" s="65">
        <v>2</v>
      </c>
      <c r="M8" s="65" t="s">
        <v>5296</v>
      </c>
      <c r="N8" s="65" t="s">
        <v>5416</v>
      </c>
      <c r="O8" s="65" t="s">
        <v>5423</v>
      </c>
      <c r="P8" s="65" t="s">
        <v>5417</v>
      </c>
      <c r="Q8" s="65">
        <v>10</v>
      </c>
      <c r="R8" s="65">
        <v>5</v>
      </c>
      <c r="S8" s="65">
        <v>4</v>
      </c>
      <c r="T8" s="65">
        <v>6</v>
      </c>
      <c r="U8" s="65" t="str">
        <f t="shared" si="1"/>
        <v>DA_sh_m_g_c_r_s_avg_o_str</v>
      </c>
      <c r="V8" s="65" t="str">
        <f t="shared" si="2"/>
        <v>/Game/DungeonSiege/Items/Armor/Shield/DA_sh_m_g_c_r_s_avg_o_str</v>
      </c>
      <c r="W8" s="65" t="str">
        <f t="shared" si="0"/>
        <v>Texture2D'/Game/DungeonSiege/art/bitmaps/gui/in_game/inventory/armor/shield/b_gui_ig_i_a_shd_125.b_gui_ig_i_a_shd_125'</v>
      </c>
      <c r="X8" s="65"/>
    </row>
    <row r="9" spans="1:24" ht="15.75" thickBot="1" x14ac:dyDescent="0.3">
      <c r="A9" s="65">
        <v>7</v>
      </c>
      <c r="B9" s="65">
        <f>HEX2DEC(A9+Items!$A$9)</f>
        <v>20971527</v>
      </c>
      <c r="C9" s="65" t="s">
        <v>5199</v>
      </c>
      <c r="D9" s="65" t="s">
        <v>4971</v>
      </c>
      <c r="E9" s="65"/>
      <c r="F9" s="65"/>
      <c r="G9" s="65">
        <v>1</v>
      </c>
      <c r="H9" s="65"/>
      <c r="I9" s="65"/>
      <c r="J9" s="65"/>
      <c r="K9" s="65">
        <v>2</v>
      </c>
      <c r="L9" s="65">
        <v>2</v>
      </c>
      <c r="M9" s="65" t="s">
        <v>5297</v>
      </c>
      <c r="N9" s="65" t="s">
        <v>5426</v>
      </c>
      <c r="O9" s="65" t="s">
        <v>5425</v>
      </c>
      <c r="P9" s="65" t="s">
        <v>5424</v>
      </c>
      <c r="Q9" s="65">
        <v>10</v>
      </c>
      <c r="R9" s="65">
        <v>5</v>
      </c>
      <c r="S9" s="65"/>
      <c r="T9" s="65"/>
      <c r="U9" s="65" t="str">
        <f t="shared" si="1"/>
        <v>DA_sh_m_g_c_r_s_low</v>
      </c>
      <c r="V9" s="65" t="str">
        <f t="shared" si="2"/>
        <v>/Game/DungeonSiege/Items/Armor/Shield/DA_sh_m_g_c_r_s_low</v>
      </c>
      <c r="W9" s="65" t="str">
        <f t="shared" si="0"/>
        <v>Texture2D'/Game/DungeonSiege/art/bitmaps/gui/in_game/inventory/armor/shield/b_gui_ig_i_a_shd_072.b_gui_ig_i_a_shd_072'</v>
      </c>
      <c r="X9" s="65"/>
    </row>
    <row r="10" spans="1:24" ht="15.75" thickBot="1" x14ac:dyDescent="0.3">
      <c r="A10" s="65">
        <v>8</v>
      </c>
      <c r="B10" s="65">
        <f>HEX2DEC(A10+Items!$A$9)</f>
        <v>20971528</v>
      </c>
      <c r="C10" s="65" t="s">
        <v>5200</v>
      </c>
      <c r="D10" s="65" t="s">
        <v>4978</v>
      </c>
      <c r="E10" s="65" t="s">
        <v>2384</v>
      </c>
      <c r="F10" s="65" t="s">
        <v>4980</v>
      </c>
      <c r="G10" s="65"/>
      <c r="H10" s="65"/>
      <c r="I10" s="65">
        <v>1</v>
      </c>
      <c r="J10" s="65">
        <v>1</v>
      </c>
      <c r="K10" s="65">
        <v>2</v>
      </c>
      <c r="L10" s="65">
        <v>2</v>
      </c>
      <c r="M10" s="65" t="s">
        <v>5298</v>
      </c>
      <c r="N10" s="65" t="s">
        <v>5429</v>
      </c>
      <c r="O10" s="65" t="s">
        <v>5428</v>
      </c>
      <c r="P10" s="65" t="s">
        <v>5427</v>
      </c>
      <c r="Q10" s="65">
        <v>5</v>
      </c>
      <c r="R10" s="65">
        <v>5</v>
      </c>
      <c r="S10" s="65">
        <v>2</v>
      </c>
      <c r="T10" s="65">
        <v>9</v>
      </c>
      <c r="U10" s="65" t="str">
        <f t="shared" si="1"/>
        <v>DA_sh_ra_m_c_h_s_practice</v>
      </c>
      <c r="V10" s="65" t="str">
        <f t="shared" si="2"/>
        <v>/Game/DungeonSiege/Items/Armor/Shield/DA_sh_ra_m_c_h_s_practice</v>
      </c>
      <c r="W10" s="65" t="str">
        <f t="shared" si="0"/>
        <v>Texture2D'/Game/DungeonSiege/art/bitmaps/gui/in_game/inventory/armor/shield/b_gui_ig_i_a_shd_024.b_gui_ig_i_a_shd_024'</v>
      </c>
      <c r="X10" s="65"/>
    </row>
    <row r="11" spans="1:24" ht="15.75" thickBot="1" x14ac:dyDescent="0.3">
      <c r="A11" s="65">
        <v>9</v>
      </c>
      <c r="B11" s="65">
        <f>HEX2DEC(A11+Items!$A$9)</f>
        <v>20971529</v>
      </c>
      <c r="C11" s="65" t="s">
        <v>5201</v>
      </c>
      <c r="D11" s="65" t="s">
        <v>5014</v>
      </c>
      <c r="E11" s="65" t="s">
        <v>2384</v>
      </c>
      <c r="F11" s="65" t="s">
        <v>5198</v>
      </c>
      <c r="G11" s="65"/>
      <c r="H11" s="65"/>
      <c r="I11" s="65">
        <v>1</v>
      </c>
      <c r="J11" s="65">
        <v>1</v>
      </c>
      <c r="K11" s="65">
        <v>2</v>
      </c>
      <c r="L11" s="65">
        <v>3</v>
      </c>
      <c r="M11" s="65" t="s">
        <v>5299</v>
      </c>
      <c r="N11" s="65" t="s">
        <v>5430</v>
      </c>
      <c r="O11" s="65" t="s">
        <v>5431</v>
      </c>
      <c r="P11" s="65" t="s">
        <v>5432</v>
      </c>
      <c r="Q11" s="65">
        <v>10</v>
      </c>
      <c r="R11" s="65">
        <v>5</v>
      </c>
      <c r="S11" s="65">
        <v>4</v>
      </c>
      <c r="T11" s="65">
        <v>23</v>
      </c>
      <c r="U11" s="65" t="str">
        <f t="shared" si="1"/>
        <v>DA_sh_ra_m_c_k_m_practice</v>
      </c>
      <c r="V11" s="65" t="str">
        <f t="shared" si="2"/>
        <v>/Game/DungeonSiege/Items/Armor/Shield/DA_sh_ra_m_c_k_m_practice</v>
      </c>
      <c r="W11" s="65" t="str">
        <f t="shared" si="0"/>
        <v>Texture2D'/Game/DungeonSiege/art/bitmaps/gui/in_game/inventory/armor/shield/b_gui_ig_i_a_shd_058.b_gui_ig_i_a_shd_058'</v>
      </c>
      <c r="X11" s="65"/>
    </row>
    <row r="12" spans="1:24" ht="15.75" thickBot="1" x14ac:dyDescent="0.3">
      <c r="A12" s="65">
        <v>10</v>
      </c>
      <c r="B12" s="65">
        <f>HEX2DEC(A12+Items!$A$9)</f>
        <v>20971536</v>
      </c>
      <c r="C12" s="65" t="s">
        <v>5202</v>
      </c>
      <c r="D12" s="65" t="s">
        <v>5008</v>
      </c>
      <c r="E12" s="65" t="s">
        <v>2384</v>
      </c>
      <c r="F12" s="65" t="s">
        <v>5011</v>
      </c>
      <c r="G12" s="65"/>
      <c r="H12" s="65"/>
      <c r="I12" s="65">
        <v>1</v>
      </c>
      <c r="J12" s="65">
        <v>1</v>
      </c>
      <c r="K12" s="65">
        <v>2</v>
      </c>
      <c r="L12" s="65">
        <v>2</v>
      </c>
      <c r="M12" s="65" t="s">
        <v>5300</v>
      </c>
      <c r="N12" s="65" t="s">
        <v>5433</v>
      </c>
      <c r="O12" s="65" t="s">
        <v>5434</v>
      </c>
      <c r="P12" s="65" t="s">
        <v>5435</v>
      </c>
      <c r="Q12" s="65">
        <v>10</v>
      </c>
      <c r="R12" s="65">
        <v>10</v>
      </c>
      <c r="S12" s="65">
        <v>0</v>
      </c>
      <c r="T12" s="65">
        <v>28</v>
      </c>
      <c r="U12" s="65" t="str">
        <f t="shared" si="1"/>
        <v>DA_sh_ra_m_c_r_l_stamp</v>
      </c>
      <c r="V12" s="65" t="str">
        <f t="shared" si="2"/>
        <v>/Game/DungeonSiege/Items/Armor/Shield/DA_sh_ra_m_c_r_l_stamp</v>
      </c>
      <c r="W12" s="65" t="str">
        <f t="shared" si="0"/>
        <v>Texture2D'/Game/DungeonSiege/art/bitmaps/gui/in_game/inventory/armor/shield/b_gui_ig_i_a_shd_076.b_gui_ig_i_a_shd_076'</v>
      </c>
      <c r="X12" s="65"/>
    </row>
    <row r="13" spans="1:24" ht="15.75" thickBot="1" x14ac:dyDescent="0.3">
      <c r="A13" s="65">
        <v>11</v>
      </c>
      <c r="B13" s="65">
        <f>HEX2DEC(A13+Items!$A$9)</f>
        <v>20971537</v>
      </c>
      <c r="C13" s="65" t="s">
        <v>5203</v>
      </c>
      <c r="D13" s="65" t="s">
        <v>4988</v>
      </c>
      <c r="E13" s="65"/>
      <c r="F13" s="65"/>
      <c r="G13" s="65"/>
      <c r="H13" s="65"/>
      <c r="I13" s="65">
        <v>1</v>
      </c>
      <c r="J13" s="65">
        <v>1</v>
      </c>
      <c r="K13" s="65">
        <v>2</v>
      </c>
      <c r="L13" s="65">
        <v>2</v>
      </c>
      <c r="M13" s="65" t="s">
        <v>5301</v>
      </c>
      <c r="N13" s="65" t="s">
        <v>5426</v>
      </c>
      <c r="O13" s="65" t="s">
        <v>5425</v>
      </c>
      <c r="P13" s="65" t="s">
        <v>5424</v>
      </c>
      <c r="Q13" s="65">
        <v>5</v>
      </c>
      <c r="R13" s="65">
        <v>5</v>
      </c>
      <c r="S13" s="65">
        <v>0</v>
      </c>
      <c r="T13" s="65">
        <v>2</v>
      </c>
      <c r="U13" s="65" t="str">
        <f t="shared" si="1"/>
        <v>DA_sh_ra_m_c_r_m_decrepit</v>
      </c>
      <c r="V13" s="65" t="str">
        <f t="shared" si="2"/>
        <v>/Game/DungeonSiege/Items/Armor/Shield/DA_sh_ra_m_c_r_m_decrepit</v>
      </c>
      <c r="W13" s="65" t="str">
        <f t="shared" si="0"/>
        <v>Texture2D'/Game/DungeonSiege/art/bitmaps/gui/in_game/inventory/armor/shield/b_gui_ig_i_a_shd_072.b_gui_ig_i_a_shd_072'</v>
      </c>
      <c r="X13" s="65"/>
    </row>
    <row r="14" spans="1:24" ht="15.75" thickBot="1" x14ac:dyDescent="0.3">
      <c r="A14" s="65">
        <v>12</v>
      </c>
      <c r="B14" s="65">
        <f>HEX2DEC(A14+Items!$A$9)</f>
        <v>20971538</v>
      </c>
      <c r="C14" s="65" t="s">
        <v>5204</v>
      </c>
      <c r="D14" s="65" t="s">
        <v>5008</v>
      </c>
      <c r="E14" s="65" t="s">
        <v>2384</v>
      </c>
      <c r="F14" s="65" t="s">
        <v>5011</v>
      </c>
      <c r="G14" s="65"/>
      <c r="H14" s="65"/>
      <c r="I14" s="65">
        <v>1</v>
      </c>
      <c r="J14" s="65">
        <v>1</v>
      </c>
      <c r="K14" s="65">
        <v>2</v>
      </c>
      <c r="L14" s="65">
        <v>2</v>
      </c>
      <c r="M14" s="65" t="s">
        <v>5302</v>
      </c>
      <c r="N14" s="65" t="s">
        <v>5436</v>
      </c>
      <c r="O14" s="65" t="s">
        <v>5437</v>
      </c>
      <c r="P14" s="65" t="s">
        <v>5424</v>
      </c>
      <c r="Q14" s="65">
        <v>10</v>
      </c>
      <c r="R14" s="65">
        <v>5</v>
      </c>
      <c r="S14" s="65">
        <v>0</v>
      </c>
      <c r="T14" s="65">
        <v>28</v>
      </c>
      <c r="U14" s="65" t="str">
        <f t="shared" si="1"/>
        <v>DA_sh_ra_m_c_r_m_rivet</v>
      </c>
      <c r="V14" s="65" t="str">
        <f t="shared" si="2"/>
        <v>/Game/DungeonSiege/Items/Armor/Shield/DA_sh_ra_m_c_r_m_rivet</v>
      </c>
      <c r="W14" s="65" t="str">
        <f t="shared" si="0"/>
        <v>Texture2D'/Game/DungeonSiege/art/bitmaps/gui/in_game/inventory/armor/shield/b_gui_ig_i_a_shd_015.b_gui_ig_i_a_shd_015'</v>
      </c>
      <c r="X14" s="65"/>
    </row>
    <row r="15" spans="1:24" ht="15.75" thickBot="1" x14ac:dyDescent="0.3">
      <c r="A15" s="65">
        <v>13</v>
      </c>
      <c r="B15" s="65">
        <f>HEX2DEC(A15+Items!$A$9)</f>
        <v>20971539</v>
      </c>
      <c r="C15" s="65" t="s">
        <v>5205</v>
      </c>
      <c r="D15" s="65" t="s">
        <v>5206</v>
      </c>
      <c r="E15" s="65" t="s">
        <v>2384</v>
      </c>
      <c r="F15" s="65" t="s">
        <v>5013</v>
      </c>
      <c r="G15" s="65"/>
      <c r="H15" s="65"/>
      <c r="I15" s="65">
        <v>1</v>
      </c>
      <c r="J15" s="65">
        <v>1</v>
      </c>
      <c r="K15" s="65">
        <v>2</v>
      </c>
      <c r="L15" s="65">
        <v>2</v>
      </c>
      <c r="M15" s="65" t="s">
        <v>5303</v>
      </c>
      <c r="N15" s="65" t="s">
        <v>5438</v>
      </c>
      <c r="O15" s="65" t="s">
        <v>5439</v>
      </c>
      <c r="P15" s="65" t="s">
        <v>5440</v>
      </c>
      <c r="Q15" s="65">
        <v>5</v>
      </c>
      <c r="R15" s="65">
        <v>5</v>
      </c>
      <c r="S15" s="65">
        <v>8</v>
      </c>
      <c r="T15" s="65">
        <v>42</v>
      </c>
      <c r="U15" s="65" t="str">
        <f t="shared" si="1"/>
        <v>DA_sh_ra_m_c_r_m_serrated</v>
      </c>
      <c r="V15" s="65" t="str">
        <f t="shared" si="2"/>
        <v>/Game/DungeonSiege/Items/Armor/Shield/DA_sh_ra_m_c_r_m_serrated</v>
      </c>
      <c r="W15" s="65" t="str">
        <f t="shared" si="0"/>
        <v>Texture2D'/Game/DungeonSiege/art/bitmaps/gui/in_game/inventory/armor/shield/b_gui_ig_i_a_shd_020.b_gui_ig_i_a_shd_020'</v>
      </c>
      <c r="X15" s="65"/>
    </row>
    <row r="16" spans="1:24" ht="15.75" thickBot="1" x14ac:dyDescent="0.3">
      <c r="A16" s="65">
        <v>14</v>
      </c>
      <c r="B16" s="65">
        <f>HEX2DEC(A16+Items!$A$9)</f>
        <v>20971540</v>
      </c>
      <c r="C16" s="65" t="s">
        <v>5207</v>
      </c>
      <c r="D16" s="65" t="s">
        <v>4980</v>
      </c>
      <c r="E16" s="65" t="s">
        <v>2384</v>
      </c>
      <c r="F16" s="65" t="s">
        <v>4973</v>
      </c>
      <c r="G16" s="65"/>
      <c r="H16" s="65"/>
      <c r="I16" s="65">
        <v>1</v>
      </c>
      <c r="J16" s="65">
        <v>1</v>
      </c>
      <c r="K16" s="65">
        <v>2</v>
      </c>
      <c r="L16" s="65">
        <v>2</v>
      </c>
      <c r="M16" s="65" t="s">
        <v>5304</v>
      </c>
      <c r="N16" s="65" t="s">
        <v>5441</v>
      </c>
      <c r="O16" s="65" t="s">
        <v>5442</v>
      </c>
      <c r="P16" s="65" t="s">
        <v>5443</v>
      </c>
      <c r="Q16" s="65">
        <v>5</v>
      </c>
      <c r="R16" s="65">
        <v>5</v>
      </c>
      <c r="S16" s="65">
        <v>0</v>
      </c>
      <c r="T16" s="65">
        <v>10</v>
      </c>
      <c r="U16" s="65" t="str">
        <f t="shared" si="1"/>
        <v>DA_sh_ra_m_c_r_m_strapped</v>
      </c>
      <c r="V16" s="65" t="str">
        <f t="shared" si="2"/>
        <v>/Game/DungeonSiege/Items/Armor/Shield/DA_sh_ra_m_c_r_m_strapped</v>
      </c>
      <c r="W16" s="65" t="str">
        <f t="shared" si="0"/>
        <v>Texture2D'/Game/DungeonSiege/art/bitmaps/gui/in_game/inventory/armor/shield/b_gui_ig_i_a_shd_030.b_gui_ig_i_a_shd_030'</v>
      </c>
      <c r="X16" s="65"/>
    </row>
    <row r="17" spans="1:24" ht="15.75" thickBot="1" x14ac:dyDescent="0.3">
      <c r="A17" s="65">
        <v>15</v>
      </c>
      <c r="B17" s="65">
        <f>HEX2DEC(A17+Items!$A$9)</f>
        <v>20971541</v>
      </c>
      <c r="C17" s="65" t="s">
        <v>5208</v>
      </c>
      <c r="D17" s="65" t="s">
        <v>4991</v>
      </c>
      <c r="E17" s="65" t="s">
        <v>2384</v>
      </c>
      <c r="F17" s="65" t="s">
        <v>4980</v>
      </c>
      <c r="G17" s="65"/>
      <c r="H17" s="65"/>
      <c r="I17" s="65">
        <v>1</v>
      </c>
      <c r="J17" s="65">
        <v>1</v>
      </c>
      <c r="K17" s="65">
        <v>2</v>
      </c>
      <c r="L17" s="65">
        <v>2</v>
      </c>
      <c r="M17" s="65" t="s">
        <v>5305</v>
      </c>
      <c r="N17" s="65" t="s">
        <v>5444</v>
      </c>
      <c r="O17" s="65" t="s">
        <v>5445</v>
      </c>
      <c r="P17" s="65" t="s">
        <v>5443</v>
      </c>
      <c r="Q17" s="65">
        <v>5</v>
      </c>
      <c r="R17" s="65">
        <v>5</v>
      </c>
      <c r="S17" s="65">
        <v>0</v>
      </c>
      <c r="T17" s="65">
        <v>16</v>
      </c>
      <c r="U17" s="65" t="str">
        <f t="shared" si="1"/>
        <v>DA_sh_ra_m_c_r_m_wreath</v>
      </c>
      <c r="V17" s="65" t="str">
        <f t="shared" si="2"/>
        <v>/Game/DungeonSiege/Items/Armor/Shield/DA_sh_ra_m_c_r_m_wreath</v>
      </c>
      <c r="W17" s="65" t="str">
        <f t="shared" si="0"/>
        <v>Texture2D'/Game/DungeonSiege/art/bitmaps/gui/in_game/inventory/armor/shield/b_gui_ig_i_a_shd_069.b_gui_ig_i_a_shd_069'</v>
      </c>
      <c r="X17" s="65"/>
    </row>
    <row r="18" spans="1:24" ht="15.75" thickBot="1" x14ac:dyDescent="0.3">
      <c r="A18" s="65">
        <v>16</v>
      </c>
      <c r="B18" s="65">
        <f>HEX2DEC(A18+Items!$A$9)</f>
        <v>20971542</v>
      </c>
      <c r="C18" s="65" t="s">
        <v>5209</v>
      </c>
      <c r="D18" s="65" t="s">
        <v>4977</v>
      </c>
      <c r="E18" s="65" t="s">
        <v>2384</v>
      </c>
      <c r="F18" s="65" t="s">
        <v>4991</v>
      </c>
      <c r="G18" s="65">
        <v>1</v>
      </c>
      <c r="H18" s="65"/>
      <c r="I18" s="65"/>
      <c r="J18" s="65"/>
      <c r="K18" s="65">
        <v>2</v>
      </c>
      <c r="L18" s="65">
        <v>2</v>
      </c>
      <c r="M18" s="65" t="s">
        <v>5306</v>
      </c>
      <c r="N18" s="65" t="s">
        <v>5414</v>
      </c>
      <c r="O18" s="65" t="s">
        <v>5421</v>
      </c>
      <c r="P18" s="65" t="s">
        <v>5417</v>
      </c>
      <c r="Q18" s="65">
        <v>17</v>
      </c>
      <c r="R18" s="65">
        <v>7</v>
      </c>
      <c r="S18" s="65"/>
      <c r="T18" s="65"/>
      <c r="U18" s="65" t="str">
        <f t="shared" si="1"/>
        <v>DA_sh_ra_m_g_o_r_s_fin</v>
      </c>
      <c r="V18" s="65" t="str">
        <f t="shared" si="2"/>
        <v>/Game/DungeonSiege/Items/Armor/Shield/DA_sh_ra_m_g_o_r_s_fin</v>
      </c>
      <c r="W18" s="65" t="str">
        <f t="shared" si="0"/>
        <v>Texture2D'/Game/DungeonSiege/art/bitmaps/gui/in_game/inventory/armor/shield/b_gui_ig_i_a_shd_124.b_gui_ig_i_a_shd_124'</v>
      </c>
      <c r="X18" s="65"/>
    </row>
    <row r="19" spans="1:24" ht="15.75" thickBot="1" x14ac:dyDescent="0.3">
      <c r="A19" s="65">
        <v>17</v>
      </c>
      <c r="B19" s="65">
        <f>HEX2DEC(A19+Items!$A$9)</f>
        <v>20971543</v>
      </c>
      <c r="C19" s="65" t="s">
        <v>5209</v>
      </c>
      <c r="D19" s="65" t="s">
        <v>5017</v>
      </c>
      <c r="E19" s="65" t="s">
        <v>2384</v>
      </c>
      <c r="F19" s="65" t="s">
        <v>5018</v>
      </c>
      <c r="G19" s="65">
        <v>1</v>
      </c>
      <c r="H19" s="65"/>
      <c r="I19" s="65"/>
      <c r="J19" s="65"/>
      <c r="K19" s="65">
        <v>2</v>
      </c>
      <c r="L19" s="65">
        <v>2</v>
      </c>
      <c r="M19" s="65" t="s">
        <v>5307</v>
      </c>
      <c r="N19" s="65" t="s">
        <v>5449</v>
      </c>
      <c r="O19" s="65" t="s">
        <v>5423</v>
      </c>
      <c r="P19" s="65" t="s">
        <v>5417</v>
      </c>
      <c r="Q19" s="65">
        <v>14</v>
      </c>
      <c r="R19" s="65">
        <v>7</v>
      </c>
      <c r="S19" s="65">
        <v>6</v>
      </c>
      <c r="T19" s="65">
        <v>9</v>
      </c>
      <c r="U19" s="65" t="str">
        <f t="shared" si="1"/>
        <v>DA_sh_ra_m_g_o_r_s_fin_o_str</v>
      </c>
      <c r="V19" s="65" t="str">
        <f t="shared" si="2"/>
        <v>/Game/DungeonSiege/Items/Armor/Shield/DA_sh_ra_m_g_o_r_s_fin_o_str</v>
      </c>
      <c r="W19" s="65" t="str">
        <f t="shared" si="0"/>
        <v>Texture2D'/Game/DungeonSiege/art/bitmaps/gui/in_game/inventory/armor/shield/b_gui_ig_i_a_shd_152.b_gui_ig_i_a_shd_152'</v>
      </c>
      <c r="X19" s="65"/>
    </row>
    <row r="20" spans="1:24" ht="15.75" thickBot="1" x14ac:dyDescent="0.3">
      <c r="A20" s="65">
        <v>18</v>
      </c>
      <c r="B20" s="65">
        <f>HEX2DEC(A20+Items!$A$9)</f>
        <v>20971544</v>
      </c>
      <c r="C20" s="65" t="s">
        <v>5210</v>
      </c>
      <c r="D20" s="65" t="s">
        <v>4996</v>
      </c>
      <c r="E20" s="65" t="s">
        <v>2384</v>
      </c>
      <c r="F20" s="65" t="s">
        <v>4976</v>
      </c>
      <c r="G20" s="65"/>
      <c r="H20" s="65"/>
      <c r="I20" s="65">
        <v>1</v>
      </c>
      <c r="J20" s="65">
        <v>1</v>
      </c>
      <c r="K20" s="65">
        <v>2</v>
      </c>
      <c r="L20" s="65">
        <v>2</v>
      </c>
      <c r="M20" s="65" t="s">
        <v>5308</v>
      </c>
      <c r="N20" s="65" t="s">
        <v>5446</v>
      </c>
      <c r="O20" s="65" t="s">
        <v>5447</v>
      </c>
      <c r="P20" s="65" t="s">
        <v>5448</v>
      </c>
      <c r="Q20" s="65">
        <v>5</v>
      </c>
      <c r="R20" s="65">
        <v>5</v>
      </c>
      <c r="S20" s="65">
        <v>0</v>
      </c>
      <c r="T20" s="65">
        <v>17</v>
      </c>
      <c r="U20" s="65" t="str">
        <f t="shared" si="1"/>
        <v>DA_sh_ra_m_o_h_s_spine</v>
      </c>
      <c r="V20" s="65" t="str">
        <f t="shared" si="2"/>
        <v>/Game/DungeonSiege/Items/Armor/Shield/DA_sh_ra_m_o_h_s_spine</v>
      </c>
      <c r="W20" s="65" t="str">
        <f t="shared" si="0"/>
        <v>Texture2D'/Game/DungeonSiege/art/bitmaps/gui/in_game/inventory/armor/shield/b_gui_ig_i_a_shd_051.b_gui_ig_i_a_shd_051'</v>
      </c>
      <c r="X20" s="65"/>
    </row>
    <row r="21" spans="1:24" ht="15.75" thickBot="1" x14ac:dyDescent="0.3">
      <c r="A21" s="65">
        <v>19</v>
      </c>
      <c r="B21" s="65">
        <f>HEX2DEC(A21+Items!$A$9)</f>
        <v>20971545</v>
      </c>
      <c r="C21" s="65" t="s">
        <v>5211</v>
      </c>
      <c r="D21" s="65" t="s">
        <v>5019</v>
      </c>
      <c r="E21" s="65" t="s">
        <v>2384</v>
      </c>
      <c r="F21" s="65" t="s">
        <v>4976</v>
      </c>
      <c r="G21" s="65"/>
      <c r="H21" s="65"/>
      <c r="I21" s="65">
        <v>1</v>
      </c>
      <c r="J21" s="65">
        <v>1</v>
      </c>
      <c r="K21" s="65">
        <v>2</v>
      </c>
      <c r="L21" s="65">
        <v>2</v>
      </c>
      <c r="M21" s="65" t="s">
        <v>5309</v>
      </c>
      <c r="N21" s="65" t="s">
        <v>5450</v>
      </c>
      <c r="O21" s="65" t="s">
        <v>5451</v>
      </c>
      <c r="P21" s="65" t="s">
        <v>5440</v>
      </c>
      <c r="Q21" s="65">
        <v>10</v>
      </c>
      <c r="R21" s="65">
        <v>5</v>
      </c>
      <c r="S21" s="65">
        <v>3</v>
      </c>
      <c r="T21" s="65">
        <v>17</v>
      </c>
      <c r="U21" s="65" t="str">
        <f t="shared" si="1"/>
        <v>DA_sh_ra_m_o_r_m_cinder</v>
      </c>
      <c r="V21" s="65" t="str">
        <f t="shared" si="2"/>
        <v>/Game/DungeonSiege/Items/Armor/Shield/DA_sh_ra_m_o_r_m_cinder</v>
      </c>
      <c r="W21" s="65" t="str">
        <f t="shared" si="0"/>
        <v>Texture2D'/Game/DungeonSiege/art/bitmaps/gui/in_game/inventory/armor/shield/b_gui_ig_i_a_shd_003.b_gui_ig_i_a_shd_003'</v>
      </c>
      <c r="X21" s="65"/>
    </row>
    <row r="22" spans="1:24" ht="15.75" thickBot="1" x14ac:dyDescent="0.3">
      <c r="A22" s="65">
        <v>20</v>
      </c>
      <c r="B22" s="65">
        <f>HEX2DEC(A22+Items!$A$9)</f>
        <v>20971552</v>
      </c>
      <c r="C22" s="65" t="s">
        <v>5212</v>
      </c>
      <c r="D22" s="65" t="s">
        <v>5213</v>
      </c>
      <c r="E22" s="65" t="s">
        <v>2384</v>
      </c>
      <c r="F22" s="65" t="s">
        <v>5214</v>
      </c>
      <c r="G22" s="65"/>
      <c r="H22" s="65"/>
      <c r="I22" s="65">
        <v>1</v>
      </c>
      <c r="J22" s="65">
        <v>1</v>
      </c>
      <c r="K22" s="65">
        <v>2</v>
      </c>
      <c r="L22" s="65">
        <v>2</v>
      </c>
      <c r="M22" s="65" t="s">
        <v>5310</v>
      </c>
      <c r="N22" s="65" t="s">
        <v>5452</v>
      </c>
      <c r="O22" s="65" t="s">
        <v>5453</v>
      </c>
      <c r="P22" s="65" t="s">
        <v>5454</v>
      </c>
      <c r="Q22" s="65">
        <v>5</v>
      </c>
      <c r="R22" s="65">
        <v>15</v>
      </c>
      <c r="S22" s="65">
        <v>8</v>
      </c>
      <c r="T22" s="65">
        <v>43</v>
      </c>
      <c r="U22" s="65" t="str">
        <f t="shared" si="1"/>
        <v>DA_sh_ra_m_o_r_m_disc</v>
      </c>
      <c r="V22" s="65" t="str">
        <f t="shared" si="2"/>
        <v>/Game/DungeonSiege/Items/Armor/Shield/DA_sh_ra_m_o_r_m_disc</v>
      </c>
      <c r="W22" s="65" t="str">
        <f t="shared" si="0"/>
        <v>Texture2D'/Game/DungeonSiege/art/bitmaps/gui/in_game/inventory/armor/shield/b_gui_ig_i_a_shd_043.b_gui_ig_i_a_shd_043'</v>
      </c>
      <c r="X22" s="65"/>
    </row>
    <row r="23" spans="1:24" ht="15.75" thickBot="1" x14ac:dyDescent="0.3">
      <c r="A23" s="65">
        <v>21</v>
      </c>
      <c r="B23" s="65">
        <f>HEX2DEC(A23+Items!$A$9)</f>
        <v>20971553</v>
      </c>
      <c r="C23" s="65" t="s">
        <v>5215</v>
      </c>
      <c r="D23" s="65" t="s">
        <v>5196</v>
      </c>
      <c r="E23" s="65" t="s">
        <v>2384</v>
      </c>
      <c r="F23" s="65" t="s">
        <v>5018</v>
      </c>
      <c r="G23" s="65"/>
      <c r="H23" s="65"/>
      <c r="I23" s="65">
        <v>1</v>
      </c>
      <c r="J23" s="65">
        <v>1</v>
      </c>
      <c r="K23" s="65">
        <v>2</v>
      </c>
      <c r="L23" s="65">
        <v>2</v>
      </c>
      <c r="M23" s="65" t="s">
        <v>5311</v>
      </c>
      <c r="N23" s="65" t="s">
        <v>5455</v>
      </c>
      <c r="O23" s="65" t="s">
        <v>5456</v>
      </c>
      <c r="P23" s="65" t="s">
        <v>5440</v>
      </c>
      <c r="Q23" s="65">
        <v>10</v>
      </c>
      <c r="R23" s="65">
        <v>5</v>
      </c>
      <c r="S23" s="65">
        <v>4</v>
      </c>
      <c r="T23" s="65">
        <v>19</v>
      </c>
      <c r="U23" s="65" t="str">
        <f t="shared" si="1"/>
        <v>DA_sh_ra_m_o_r_m_frost</v>
      </c>
      <c r="V23" s="65" t="str">
        <f t="shared" si="2"/>
        <v>/Game/DungeonSiege/Items/Armor/Shield/DA_sh_ra_m_o_r_m_frost</v>
      </c>
      <c r="W23" s="65" t="str">
        <f t="shared" si="0"/>
        <v>Texture2D'/Game/DungeonSiege/art/bitmaps/gui/in_game/inventory/armor/shield/b_gui_ig_i_a_shd_004.b_gui_ig_i_a_shd_004'</v>
      </c>
      <c r="X23" s="65"/>
    </row>
    <row r="24" spans="1:24" ht="15.75" thickBot="1" x14ac:dyDescent="0.3">
      <c r="A24" s="65">
        <v>22</v>
      </c>
      <c r="B24" s="65">
        <f>HEX2DEC(A24+Items!$A$9)</f>
        <v>20971554</v>
      </c>
      <c r="C24" s="65" t="s">
        <v>5216</v>
      </c>
      <c r="D24" s="65" t="s">
        <v>5217</v>
      </c>
      <c r="E24" s="65" t="s">
        <v>2384</v>
      </c>
      <c r="F24" s="65" t="s">
        <v>4509</v>
      </c>
      <c r="G24" s="65"/>
      <c r="H24" s="65"/>
      <c r="I24" s="65">
        <v>1</v>
      </c>
      <c r="J24" s="65">
        <v>1</v>
      </c>
      <c r="K24" s="65">
        <v>2</v>
      </c>
      <c r="L24" s="65">
        <v>2</v>
      </c>
      <c r="M24" s="65" t="s">
        <v>5312</v>
      </c>
      <c r="N24" s="65" t="s">
        <v>5457</v>
      </c>
      <c r="O24" s="65" t="s">
        <v>5458</v>
      </c>
      <c r="P24" s="65" t="s">
        <v>5424</v>
      </c>
      <c r="Q24" s="65">
        <v>5</v>
      </c>
      <c r="R24" s="65">
        <v>5</v>
      </c>
      <c r="S24" s="65">
        <v>9</v>
      </c>
      <c r="T24" s="65">
        <v>48</v>
      </c>
      <c r="U24" s="65" t="str">
        <f t="shared" si="1"/>
        <v>DA_sh_ra_m_o_r_m_quad</v>
      </c>
      <c r="V24" s="65" t="str">
        <f t="shared" si="2"/>
        <v>/Game/DungeonSiege/Items/Armor/Shield/DA_sh_ra_m_o_r_m_quad</v>
      </c>
      <c r="W24" s="65" t="str">
        <f t="shared" si="0"/>
        <v>Texture2D'/Game/DungeonSiege/art/bitmaps/gui/in_game/inventory/armor/shield/b_gui_ig_i_a_shd_044.b_gui_ig_i_a_shd_044'</v>
      </c>
      <c r="X24" s="65"/>
    </row>
    <row r="25" spans="1:24" ht="15.75" thickBot="1" x14ac:dyDescent="0.3">
      <c r="A25" s="65">
        <v>23</v>
      </c>
      <c r="B25" s="65">
        <f>HEX2DEC(A25+Items!$A$9)</f>
        <v>20971555</v>
      </c>
      <c r="C25" s="65" t="s">
        <v>5218</v>
      </c>
      <c r="D25" s="65" t="s">
        <v>5219</v>
      </c>
      <c r="E25" s="65" t="s">
        <v>2384</v>
      </c>
      <c r="F25" s="65" t="s">
        <v>5007</v>
      </c>
      <c r="G25" s="65"/>
      <c r="H25" s="65"/>
      <c r="I25" s="65">
        <v>1</v>
      </c>
      <c r="J25" s="65">
        <v>1</v>
      </c>
      <c r="K25" s="65">
        <v>2</v>
      </c>
      <c r="L25" s="65">
        <v>2</v>
      </c>
      <c r="M25" s="65" t="s">
        <v>5313</v>
      </c>
      <c r="N25" s="65" t="s">
        <v>5459</v>
      </c>
      <c r="O25" s="65" t="s">
        <v>5460</v>
      </c>
      <c r="P25" s="65" t="s">
        <v>5443</v>
      </c>
      <c r="Q25" s="65">
        <v>5</v>
      </c>
      <c r="R25" s="65">
        <v>5</v>
      </c>
      <c r="S25" s="65">
        <v>8</v>
      </c>
      <c r="T25" s="65">
        <v>40</v>
      </c>
      <c r="U25" s="65" t="str">
        <f t="shared" si="1"/>
        <v>DA_sh_ra_m_o_r_m_shell</v>
      </c>
      <c r="V25" s="65" t="str">
        <f t="shared" si="2"/>
        <v>/Game/DungeonSiege/Items/Armor/Shield/DA_sh_ra_m_o_r_m_shell</v>
      </c>
      <c r="W25" s="65" t="str">
        <f t="shared" si="0"/>
        <v>Texture2D'/Game/DungeonSiege/art/bitmaps/gui/in_game/inventory/armor/shield/b_gui_ig_i_a_shd_028.b_gui_ig_i_a_shd_028'</v>
      </c>
      <c r="X25" s="65"/>
    </row>
    <row r="26" spans="1:24" ht="15.75" thickBot="1" x14ac:dyDescent="0.3">
      <c r="A26" s="65">
        <v>24</v>
      </c>
      <c r="B26" s="65">
        <f>HEX2DEC(A26+Items!$A$9)</f>
        <v>20971556</v>
      </c>
      <c r="C26" s="65" t="s">
        <v>5220</v>
      </c>
      <c r="D26" s="65" t="s">
        <v>5017</v>
      </c>
      <c r="E26" s="65" t="s">
        <v>2384</v>
      </c>
      <c r="F26" s="65" t="s">
        <v>5221</v>
      </c>
      <c r="G26" s="65"/>
      <c r="H26" s="65"/>
      <c r="I26" s="65">
        <v>1</v>
      </c>
      <c r="J26" s="65">
        <v>1</v>
      </c>
      <c r="K26" s="65">
        <v>2</v>
      </c>
      <c r="L26" s="65">
        <v>2</v>
      </c>
      <c r="M26" s="65" t="s">
        <v>5314</v>
      </c>
      <c r="N26" s="65" t="s">
        <v>5461</v>
      </c>
      <c r="O26" s="65" t="s">
        <v>5462</v>
      </c>
      <c r="P26" s="65" t="s">
        <v>5454</v>
      </c>
      <c r="Q26" s="65">
        <v>5</v>
      </c>
      <c r="R26" s="65">
        <v>5</v>
      </c>
      <c r="S26" s="65">
        <v>3</v>
      </c>
      <c r="T26" s="65">
        <v>18</v>
      </c>
      <c r="U26" s="65" t="str">
        <f t="shared" si="1"/>
        <v>DA_sh_ra_m_o_r_s_etched</v>
      </c>
      <c r="V26" s="65" t="str">
        <f t="shared" si="2"/>
        <v>/Game/DungeonSiege/Items/Armor/Shield/DA_sh_ra_m_o_r_s_etched</v>
      </c>
      <c r="W26" s="65" t="str">
        <f t="shared" si="0"/>
        <v>Texture2D'/Game/DungeonSiege/art/bitmaps/gui/in_game/inventory/armor/shield/b_gui_ig_i_a_shd_065.b_gui_ig_i_a_shd_065'</v>
      </c>
      <c r="X26" s="65"/>
    </row>
    <row r="27" spans="1:24" ht="15.75" thickBot="1" x14ac:dyDescent="0.3">
      <c r="A27" s="65">
        <v>25</v>
      </c>
      <c r="B27" s="65">
        <f>HEX2DEC(A27+Items!$A$9)</f>
        <v>20971557</v>
      </c>
      <c r="C27" s="65" t="s">
        <v>5222</v>
      </c>
      <c r="D27" s="65" t="s">
        <v>4976</v>
      </c>
      <c r="E27" s="65" t="s">
        <v>2384</v>
      </c>
      <c r="F27" s="65" t="s">
        <v>4992</v>
      </c>
      <c r="G27" s="65"/>
      <c r="H27" s="65"/>
      <c r="I27" s="65">
        <v>1</v>
      </c>
      <c r="J27" s="65">
        <v>1</v>
      </c>
      <c r="K27" s="65">
        <v>2</v>
      </c>
      <c r="L27" s="65">
        <v>3</v>
      </c>
      <c r="M27" s="65" t="s">
        <v>5315</v>
      </c>
      <c r="N27" s="65" t="s">
        <v>5463</v>
      </c>
      <c r="O27" s="65" t="s">
        <v>5464</v>
      </c>
      <c r="P27" s="65" t="s">
        <v>5465</v>
      </c>
      <c r="Q27" s="65">
        <v>15</v>
      </c>
      <c r="R27" s="65">
        <v>10</v>
      </c>
      <c r="S27" s="65">
        <v>0</v>
      </c>
      <c r="T27" s="65">
        <v>15</v>
      </c>
      <c r="U27" s="65" t="str">
        <f t="shared" si="1"/>
        <v>DA_sh_ra_w_c_c_m_strike</v>
      </c>
      <c r="V27" s="65" t="str">
        <f t="shared" si="2"/>
        <v>/Game/DungeonSiege/Items/Armor/Shield/DA_sh_ra_w_c_c_m_strike</v>
      </c>
      <c r="W27" s="65" t="str">
        <f t="shared" si="0"/>
        <v>Texture2D'/Game/DungeonSiege/art/bitmaps/gui/in_game/inventory/armor/shield/b_gui_ig_i_a_shd_031.b_gui_ig_i_a_shd_031'</v>
      </c>
      <c r="X27" s="65"/>
    </row>
    <row r="28" spans="1:24" ht="15.75" thickBot="1" x14ac:dyDescent="0.3">
      <c r="A28" s="65">
        <v>26</v>
      </c>
      <c r="B28" s="65">
        <f>HEX2DEC(A28+Items!$A$9)</f>
        <v>20971558</v>
      </c>
      <c r="C28" s="65" t="s">
        <v>5223</v>
      </c>
      <c r="D28" s="65" t="s">
        <v>5009</v>
      </c>
      <c r="E28" s="65" t="s">
        <v>2384</v>
      </c>
      <c r="F28" s="65" t="s">
        <v>5014</v>
      </c>
      <c r="G28" s="65"/>
      <c r="H28" s="65"/>
      <c r="I28" s="65">
        <v>1</v>
      </c>
      <c r="J28" s="65">
        <v>1</v>
      </c>
      <c r="K28" s="65">
        <v>2</v>
      </c>
      <c r="L28" s="65">
        <v>3</v>
      </c>
      <c r="M28" s="65" t="s">
        <v>5316</v>
      </c>
      <c r="N28" s="65" t="s">
        <v>5466</v>
      </c>
      <c r="O28" s="65" t="s">
        <v>5467</v>
      </c>
      <c r="P28" s="65" t="s">
        <v>5432</v>
      </c>
      <c r="Q28" s="65">
        <v>10</v>
      </c>
      <c r="R28" s="65">
        <v>5</v>
      </c>
      <c r="S28" s="65">
        <v>0</v>
      </c>
      <c r="T28" s="65">
        <v>30</v>
      </c>
      <c r="U28" s="65" t="str">
        <f t="shared" si="1"/>
        <v>DA_sh_ra_w_c_k_m_braced</v>
      </c>
      <c r="V28" s="65" t="str">
        <f t="shared" si="2"/>
        <v>/Game/DungeonSiege/Items/Armor/Shield/DA_sh_ra_w_c_k_m_braced</v>
      </c>
      <c r="W28" s="65" t="str">
        <f t="shared" si="0"/>
        <v>Texture2D'/Game/DungeonSiege/art/bitmaps/gui/in_game/inventory/armor/shield/b_gui_ig_i_a_shd_054.b_gui_ig_i_a_shd_054'</v>
      </c>
      <c r="X28" s="65"/>
    </row>
    <row r="29" spans="1:24" ht="15.75" thickBot="1" x14ac:dyDescent="0.3">
      <c r="A29" s="65">
        <v>27</v>
      </c>
      <c r="B29" s="65">
        <f>HEX2DEC(A29+Items!$A$9)</f>
        <v>20971559</v>
      </c>
      <c r="C29" s="65" t="s">
        <v>5224</v>
      </c>
      <c r="D29" s="65" t="s">
        <v>4987</v>
      </c>
      <c r="E29" s="65"/>
      <c r="F29" s="65"/>
      <c r="G29" s="65"/>
      <c r="H29" s="65"/>
      <c r="I29" s="65">
        <v>1</v>
      </c>
      <c r="J29" s="65">
        <v>1</v>
      </c>
      <c r="K29" s="65">
        <v>2</v>
      </c>
      <c r="L29" s="65">
        <v>2</v>
      </c>
      <c r="M29" s="65" t="s">
        <v>5317</v>
      </c>
      <c r="N29" s="65" t="s">
        <v>5468</v>
      </c>
      <c r="O29" s="65" t="s">
        <v>5469</v>
      </c>
      <c r="P29" s="65" t="s">
        <v>5470</v>
      </c>
      <c r="Q29" s="65">
        <v>5</v>
      </c>
      <c r="R29" s="65">
        <v>5</v>
      </c>
      <c r="S29" s="65">
        <v>0</v>
      </c>
      <c r="T29" s="65">
        <v>1</v>
      </c>
      <c r="U29" s="65" t="str">
        <f t="shared" si="1"/>
        <v>DA_sh_ra_w_c_k_s_pelt</v>
      </c>
      <c r="V29" s="65" t="str">
        <f t="shared" si="2"/>
        <v>/Game/DungeonSiege/Items/Armor/Shield/DA_sh_ra_w_c_k_s_pelt</v>
      </c>
      <c r="W29" s="65" t="str">
        <f t="shared" si="0"/>
        <v>Texture2D'/Game/DungeonSiege/art/bitmaps/gui/in_game/inventory/armor/shield/b_gui_ig_i_a_shd_017.b_gui_ig_i_a_shd_017'</v>
      </c>
      <c r="X29" s="65"/>
    </row>
    <row r="30" spans="1:24" ht="15.75" thickBot="1" x14ac:dyDescent="0.3">
      <c r="A30" s="65">
        <v>28</v>
      </c>
      <c r="B30" s="65">
        <f>HEX2DEC(A30+Items!$A$9)</f>
        <v>20971560</v>
      </c>
      <c r="C30" s="65" t="s">
        <v>5225</v>
      </c>
      <c r="D30" s="65" t="s">
        <v>4973</v>
      </c>
      <c r="E30" s="65" t="s">
        <v>2384</v>
      </c>
      <c r="F30" s="65" t="s">
        <v>4973</v>
      </c>
      <c r="G30" s="65"/>
      <c r="H30" s="65"/>
      <c r="I30" s="65">
        <v>1</v>
      </c>
      <c r="J30" s="65">
        <v>1</v>
      </c>
      <c r="K30" s="65">
        <v>2</v>
      </c>
      <c r="L30" s="65">
        <v>2</v>
      </c>
      <c r="M30" s="65" t="s">
        <v>5318</v>
      </c>
      <c r="N30" s="65" t="s">
        <v>5474</v>
      </c>
      <c r="O30" s="65" t="s">
        <v>5472</v>
      </c>
      <c r="P30" s="65" t="s">
        <v>5473</v>
      </c>
      <c r="Q30" s="65">
        <v>20</v>
      </c>
      <c r="R30" s="65">
        <v>10</v>
      </c>
      <c r="S30" s="65">
        <v>1</v>
      </c>
      <c r="T30" s="65">
        <v>2</v>
      </c>
      <c r="U30" s="65" t="str">
        <f t="shared" si="1"/>
        <v>DA_sh_ra_w_g_c_h_m_fin</v>
      </c>
      <c r="V30" s="65" t="str">
        <f t="shared" si="2"/>
        <v>/Game/DungeonSiege/Items/Armor/Shield/DA_sh_ra_w_g_c_h_m_fin</v>
      </c>
      <c r="W30" s="65" t="str">
        <f t="shared" si="0"/>
        <v>Texture2D'/Game/DungeonSiege/art/bitmaps/gui/in_game/inventory/armor/shield/b_gui_ig_i_a_shd_133.b_gui_ig_i_a_shd_133'</v>
      </c>
      <c r="X30" s="65"/>
    </row>
    <row r="31" spans="1:24" ht="15.75" thickBot="1" x14ac:dyDescent="0.3">
      <c r="A31" s="65">
        <v>29</v>
      </c>
      <c r="B31" s="65">
        <f>HEX2DEC(A31+Items!$A$9)</f>
        <v>20971561</v>
      </c>
      <c r="C31" s="65" t="s">
        <v>5225</v>
      </c>
      <c r="D31" s="65" t="s">
        <v>4997</v>
      </c>
      <c r="E31" s="65" t="s">
        <v>2384</v>
      </c>
      <c r="F31" s="65" t="s">
        <v>5018</v>
      </c>
      <c r="G31" s="65"/>
      <c r="H31" s="65"/>
      <c r="I31" s="65">
        <v>1</v>
      </c>
      <c r="J31" s="65">
        <v>1</v>
      </c>
      <c r="K31" s="65">
        <v>2</v>
      </c>
      <c r="L31" s="65">
        <v>2</v>
      </c>
      <c r="M31" s="65" t="s">
        <v>5319</v>
      </c>
      <c r="N31" s="65" t="s">
        <v>5475</v>
      </c>
      <c r="O31" s="65" t="s">
        <v>5476</v>
      </c>
      <c r="P31" s="65" t="s">
        <v>5477</v>
      </c>
      <c r="Q31" s="65">
        <v>20</v>
      </c>
      <c r="R31" s="65">
        <v>10</v>
      </c>
      <c r="S31" s="65">
        <v>4</v>
      </c>
      <c r="T31" s="65">
        <v>7</v>
      </c>
      <c r="U31" s="65" t="str">
        <f t="shared" si="1"/>
        <v>DA_sh_ra_w_g_c_h_m_fin_c_str</v>
      </c>
      <c r="V31" s="65" t="str">
        <f t="shared" si="2"/>
        <v>/Game/DungeonSiege/Items/Armor/Shield/DA_sh_ra_w_g_c_h_m_fin_c_str</v>
      </c>
      <c r="W31" s="65" t="str">
        <f t="shared" si="0"/>
        <v>Texture2D'/Game/DungeonSiege/art/bitmaps/gui/in_game/inventory/armor/shield/b_gui_ig_i_a_shd_135.b_gui_ig_i_a_shd_135'</v>
      </c>
      <c r="X31" s="65"/>
    </row>
    <row r="32" spans="1:24" ht="15.75" thickBot="1" x14ac:dyDescent="0.3">
      <c r="A32" s="65">
        <v>30</v>
      </c>
      <c r="B32" s="65">
        <f>HEX2DEC(A32+Items!$A$9)</f>
        <v>20971568</v>
      </c>
      <c r="C32" s="65" t="s">
        <v>5225</v>
      </c>
      <c r="D32" s="65" t="s">
        <v>5221</v>
      </c>
      <c r="E32" s="65" t="s">
        <v>2384</v>
      </c>
      <c r="F32" s="65" t="s">
        <v>4985</v>
      </c>
      <c r="G32" s="65"/>
      <c r="H32" s="65"/>
      <c r="I32" s="65">
        <v>1</v>
      </c>
      <c r="J32" s="65">
        <v>1</v>
      </c>
      <c r="K32" s="65">
        <v>2</v>
      </c>
      <c r="L32" s="65">
        <v>2</v>
      </c>
      <c r="M32" s="65" t="s">
        <v>5320</v>
      </c>
      <c r="N32" s="65" t="s">
        <v>5478</v>
      </c>
      <c r="O32" s="65" t="s">
        <v>5479</v>
      </c>
      <c r="P32" s="65" t="s">
        <v>5477</v>
      </c>
      <c r="Q32" s="65">
        <v>20</v>
      </c>
      <c r="R32" s="65">
        <v>10</v>
      </c>
      <c r="S32" s="65">
        <v>2</v>
      </c>
      <c r="T32" s="65">
        <v>5</v>
      </c>
      <c r="U32" s="65" t="str">
        <f t="shared" si="1"/>
        <v>DA_sh_ra_w_g_c_h_m_fin_o_fin</v>
      </c>
      <c r="V32" s="65" t="str">
        <f t="shared" si="2"/>
        <v>/Game/DungeonSiege/Items/Armor/Shield/DA_sh_ra_w_g_c_h_m_fin_o_fin</v>
      </c>
      <c r="W32" s="65" t="str">
        <f t="shared" si="0"/>
        <v>Texture2D'/Game/DungeonSiege/art/bitmaps/gui/in_game/inventory/armor/shield/b_gui_ig_i_a_shd_134.b_gui_ig_i_a_shd_134'</v>
      </c>
      <c r="X32" s="65"/>
    </row>
    <row r="33" spans="1:24" ht="15.75" thickBot="1" x14ac:dyDescent="0.3">
      <c r="A33" s="65">
        <v>31</v>
      </c>
      <c r="B33" s="65">
        <f>HEX2DEC(A33+Items!$A$9)</f>
        <v>20971569</v>
      </c>
      <c r="C33" s="65" t="s">
        <v>5226</v>
      </c>
      <c r="D33" s="65" t="s">
        <v>5007</v>
      </c>
      <c r="E33" s="65" t="s">
        <v>2384</v>
      </c>
      <c r="F33" s="65" t="s">
        <v>5011</v>
      </c>
      <c r="G33" s="65"/>
      <c r="H33" s="65"/>
      <c r="I33" s="65">
        <v>1</v>
      </c>
      <c r="J33" s="65">
        <v>1</v>
      </c>
      <c r="K33" s="65">
        <v>2</v>
      </c>
      <c r="L33" s="65">
        <v>3</v>
      </c>
      <c r="M33" s="65" t="s">
        <v>5321</v>
      </c>
      <c r="N33" s="65" t="s">
        <v>5480</v>
      </c>
      <c r="O33" s="65" t="s">
        <v>5481</v>
      </c>
      <c r="P33" s="65" t="s">
        <v>5482</v>
      </c>
      <c r="Q33" s="65">
        <v>35</v>
      </c>
      <c r="R33" s="65">
        <v>35</v>
      </c>
      <c r="S33" s="65">
        <v>1</v>
      </c>
      <c r="T33" s="65">
        <v>5</v>
      </c>
      <c r="U33" s="65" t="str">
        <f t="shared" si="1"/>
        <v>DA_sh_ra_w_g_c_k_l_fin</v>
      </c>
      <c r="V33" s="65" t="str">
        <f t="shared" si="2"/>
        <v>/Game/DungeonSiege/Items/Armor/Shield/DA_sh_ra_w_g_c_k_l_fin</v>
      </c>
      <c r="W33" s="65" t="str">
        <f t="shared" si="0"/>
        <v>Texture2D'/Game/DungeonSiege/art/bitmaps/gui/in_game/inventory/armor/shield/b_gui_ig_i_a_shd_141.b_gui_ig_i_a_shd_141'</v>
      </c>
      <c r="X33" s="65"/>
    </row>
    <row r="34" spans="1:24" ht="15.75" thickBot="1" x14ac:dyDescent="0.3">
      <c r="A34" s="65">
        <v>32</v>
      </c>
      <c r="B34" s="65">
        <f>HEX2DEC(A34+Items!$A$9)</f>
        <v>20971570</v>
      </c>
      <c r="C34" s="65" t="s">
        <v>5226</v>
      </c>
      <c r="D34" s="65" t="s">
        <v>5227</v>
      </c>
      <c r="E34" s="65" t="s">
        <v>2384</v>
      </c>
      <c r="F34" s="65" t="s">
        <v>5013</v>
      </c>
      <c r="G34" s="65"/>
      <c r="H34" s="65"/>
      <c r="I34" s="65">
        <v>1</v>
      </c>
      <c r="J34" s="65">
        <v>1</v>
      </c>
      <c r="K34" s="65">
        <v>2</v>
      </c>
      <c r="L34" s="65">
        <v>3</v>
      </c>
      <c r="M34" s="65" t="s">
        <v>5322</v>
      </c>
      <c r="N34" s="65" t="s">
        <v>5483</v>
      </c>
      <c r="O34" s="65" t="s">
        <v>5484</v>
      </c>
      <c r="P34" s="65" t="s">
        <v>5482</v>
      </c>
      <c r="Q34" s="65">
        <v>35</v>
      </c>
      <c r="R34" s="65">
        <v>35</v>
      </c>
      <c r="S34" s="65">
        <v>8</v>
      </c>
      <c r="T34" s="65">
        <v>14</v>
      </c>
      <c r="U34" s="65" t="str">
        <f t="shared" si="1"/>
        <v>DA_sh_ra_w_g_c_k_l_fin_c_str</v>
      </c>
      <c r="V34" s="65" t="str">
        <f t="shared" si="2"/>
        <v>/Game/DungeonSiege/Items/Armor/Shield/DA_sh_ra_w_g_c_k_l_fin_c_str</v>
      </c>
      <c r="W34" s="65" t="str">
        <f t="shared" ref="W34:W65" si="3">CONCATENATE("Texture2D'/Game/DungeonSiege/art/bitmaps/gui/in_game/inventory/armor/shield/",N34,".",N34,"'")</f>
        <v>Texture2D'/Game/DungeonSiege/art/bitmaps/gui/in_game/inventory/armor/shield/b_gui_ig_i_a_shd_143.b_gui_ig_i_a_shd_143'</v>
      </c>
      <c r="X34" s="65"/>
    </row>
    <row r="35" spans="1:24" ht="15.75" thickBot="1" x14ac:dyDescent="0.3">
      <c r="A35" s="65">
        <v>33</v>
      </c>
      <c r="B35" s="65">
        <f>HEX2DEC(A35+Items!$A$9)</f>
        <v>20971571</v>
      </c>
      <c r="C35" s="65" t="s">
        <v>5226</v>
      </c>
      <c r="D35" s="65" t="s">
        <v>5228</v>
      </c>
      <c r="E35" s="65" t="s">
        <v>2384</v>
      </c>
      <c r="F35" s="65" t="s">
        <v>5003</v>
      </c>
      <c r="G35" s="65"/>
      <c r="H35" s="65"/>
      <c r="I35" s="65">
        <v>1</v>
      </c>
      <c r="J35" s="65">
        <v>1</v>
      </c>
      <c r="K35" s="65">
        <v>2</v>
      </c>
      <c r="L35" s="65">
        <v>3</v>
      </c>
      <c r="M35" s="65" t="s">
        <v>5323</v>
      </c>
      <c r="N35" s="65" t="s">
        <v>5485</v>
      </c>
      <c r="O35" s="65" t="s">
        <v>5486</v>
      </c>
      <c r="P35" s="65" t="s">
        <v>5482</v>
      </c>
      <c r="Q35" s="65">
        <v>35</v>
      </c>
      <c r="R35" s="65">
        <v>35</v>
      </c>
      <c r="S35" s="65">
        <v>5</v>
      </c>
      <c r="T35" s="65">
        <v>12</v>
      </c>
      <c r="U35" s="65" t="str">
        <f t="shared" si="1"/>
        <v>DA_sh_ra_w_g_c_k_l_fin_o_fin</v>
      </c>
      <c r="V35" s="65" t="str">
        <f t="shared" si="2"/>
        <v>/Game/DungeonSiege/Items/Armor/Shield/DA_sh_ra_w_g_c_k_l_fin_o_fin</v>
      </c>
      <c r="W35" s="65" t="str">
        <f t="shared" si="3"/>
        <v>Texture2D'/Game/DungeonSiege/art/bitmaps/gui/in_game/inventory/armor/shield/b_gui_ig_i_a_shd_142.b_gui_ig_i_a_shd_142'</v>
      </c>
      <c r="X35" s="65"/>
    </row>
    <row r="36" spans="1:24" ht="15.75" thickBot="1" x14ac:dyDescent="0.3">
      <c r="A36" s="65">
        <v>34</v>
      </c>
      <c r="B36" s="65">
        <f>HEX2DEC(A36+Items!$A$9)</f>
        <v>20971572</v>
      </c>
      <c r="C36" s="65" t="s">
        <v>5226</v>
      </c>
      <c r="D36" s="65" t="s">
        <v>5229</v>
      </c>
      <c r="E36" s="65" t="s">
        <v>2384</v>
      </c>
      <c r="F36" s="65" t="s">
        <v>4648</v>
      </c>
      <c r="G36" s="65"/>
      <c r="H36" s="65"/>
      <c r="I36" s="65">
        <v>1</v>
      </c>
      <c r="J36" s="65">
        <v>1</v>
      </c>
      <c r="K36" s="65">
        <v>2</v>
      </c>
      <c r="L36" s="65">
        <v>3</v>
      </c>
      <c r="M36" s="65" t="s">
        <v>5324</v>
      </c>
      <c r="N36" s="65" t="s">
        <v>5487</v>
      </c>
      <c r="O36" s="65" t="s">
        <v>5488</v>
      </c>
      <c r="P36" s="65" t="s">
        <v>5482</v>
      </c>
      <c r="Q36" s="65">
        <v>35</v>
      </c>
      <c r="R36" s="65">
        <v>35</v>
      </c>
      <c r="S36" s="65">
        <v>11</v>
      </c>
      <c r="T36" s="65">
        <v>17</v>
      </c>
      <c r="U36" s="65" t="str">
        <f t="shared" si="1"/>
        <v>DA_sh_ra_w_g_c_k_l_fin_o_str</v>
      </c>
      <c r="V36" s="65" t="str">
        <f t="shared" si="2"/>
        <v>/Game/DungeonSiege/Items/Armor/Shield/DA_sh_ra_w_g_c_k_l_fin_o_str</v>
      </c>
      <c r="W36" s="65" t="str">
        <f t="shared" si="3"/>
        <v>Texture2D'/Game/DungeonSiege/art/bitmaps/gui/in_game/inventory/armor/shield/b_gui_ig_i_a_shd_144.b_gui_ig_i_a_shd_144'</v>
      </c>
      <c r="X36" s="65"/>
    </row>
    <row r="37" spans="1:24" ht="15.75" thickBot="1" x14ac:dyDescent="0.3">
      <c r="A37" s="65">
        <v>35</v>
      </c>
      <c r="B37" s="65">
        <f>HEX2DEC(A37+Items!$A$9)</f>
        <v>20971573</v>
      </c>
      <c r="C37" s="65" t="s">
        <v>5230</v>
      </c>
      <c r="D37" s="65" t="s">
        <v>4996</v>
      </c>
      <c r="E37" s="65" t="s">
        <v>2384</v>
      </c>
      <c r="F37" s="65" t="s">
        <v>5016</v>
      </c>
      <c r="G37" s="65"/>
      <c r="H37" s="65"/>
      <c r="I37" s="65">
        <v>1</v>
      </c>
      <c r="J37" s="65">
        <v>1</v>
      </c>
      <c r="K37" s="65">
        <v>2</v>
      </c>
      <c r="L37" s="65">
        <v>3</v>
      </c>
      <c r="M37" s="65" t="s">
        <v>5325</v>
      </c>
      <c r="N37" s="65" t="s">
        <v>5489</v>
      </c>
      <c r="O37" s="65" t="s">
        <v>5490</v>
      </c>
      <c r="P37" s="65" t="s">
        <v>5491</v>
      </c>
      <c r="Q37" s="65">
        <v>35</v>
      </c>
      <c r="R37" s="65">
        <v>20</v>
      </c>
      <c r="S37" s="65">
        <v>1</v>
      </c>
      <c r="T37" s="65">
        <v>3</v>
      </c>
      <c r="U37" s="65" t="str">
        <f t="shared" si="1"/>
        <v>DA_sh_ra_w_g_c_k_m_fin</v>
      </c>
      <c r="V37" s="65" t="str">
        <f t="shared" si="2"/>
        <v>/Game/DungeonSiege/Items/Armor/Shield/DA_sh_ra_w_g_c_k_m_fin</v>
      </c>
      <c r="W37" s="65" t="str">
        <f t="shared" si="3"/>
        <v>Texture2D'/Game/DungeonSiege/art/bitmaps/gui/in_game/inventory/armor/shield/b_gui_ig_i_a_shd_136.b_gui_ig_i_a_shd_136'</v>
      </c>
      <c r="X37" s="65"/>
    </row>
    <row r="38" spans="1:24" ht="15.75" thickBot="1" x14ac:dyDescent="0.3">
      <c r="A38" s="65">
        <v>36</v>
      </c>
      <c r="B38" s="65">
        <f>HEX2DEC(A38+Items!$A$9)</f>
        <v>20971574</v>
      </c>
      <c r="C38" s="65" t="s">
        <v>5230</v>
      </c>
      <c r="D38" s="65" t="s">
        <v>5231</v>
      </c>
      <c r="E38" s="65" t="s">
        <v>2384</v>
      </c>
      <c r="F38" s="65" t="s">
        <v>5004</v>
      </c>
      <c r="G38" s="65"/>
      <c r="H38" s="65"/>
      <c r="I38" s="65">
        <v>1</v>
      </c>
      <c r="J38" s="65">
        <v>1</v>
      </c>
      <c r="K38" s="65">
        <v>2</v>
      </c>
      <c r="L38" s="65">
        <v>3</v>
      </c>
      <c r="M38" s="65" t="s">
        <v>5326</v>
      </c>
      <c r="N38" s="65" t="s">
        <v>5492</v>
      </c>
      <c r="O38" s="65" t="s">
        <v>5493</v>
      </c>
      <c r="P38" s="65" t="s">
        <v>5491</v>
      </c>
      <c r="Q38" s="65">
        <v>35</v>
      </c>
      <c r="R38" s="65">
        <v>20</v>
      </c>
      <c r="S38" s="65">
        <v>9</v>
      </c>
      <c r="T38" s="65">
        <v>13</v>
      </c>
      <c r="U38" s="65" t="str">
        <f t="shared" si="1"/>
        <v>DA_sh_ra_w_g_c_k_m_fin_c_mag</v>
      </c>
      <c r="V38" s="65" t="str">
        <f t="shared" si="2"/>
        <v>/Game/DungeonSiege/Items/Armor/Shield/DA_sh_ra_w_g_c_k_m_fin_c_mag</v>
      </c>
      <c r="W38" s="65" t="str">
        <f t="shared" si="3"/>
        <v>Texture2D'/Game/DungeonSiege/art/bitmaps/gui/in_game/inventory/armor/shield/b_gui_ig_i_a_shd_140.b_gui_ig_i_a_shd_140'</v>
      </c>
      <c r="X38" s="65"/>
    </row>
    <row r="39" spans="1:24" ht="15.75" thickBot="1" x14ac:dyDescent="0.3">
      <c r="A39" s="65">
        <v>37</v>
      </c>
      <c r="B39" s="65">
        <f>HEX2DEC(A39+Items!$A$9)</f>
        <v>20971575</v>
      </c>
      <c r="C39" s="65" t="s">
        <v>5230</v>
      </c>
      <c r="D39" s="65" t="s">
        <v>5003</v>
      </c>
      <c r="E39" s="65" t="s">
        <v>2384</v>
      </c>
      <c r="F39" s="65" t="s">
        <v>4997</v>
      </c>
      <c r="G39" s="65"/>
      <c r="H39" s="65"/>
      <c r="I39" s="65">
        <v>1</v>
      </c>
      <c r="J39" s="65">
        <v>1</v>
      </c>
      <c r="K39" s="65">
        <v>2</v>
      </c>
      <c r="L39" s="65">
        <v>3</v>
      </c>
      <c r="M39" s="65" t="s">
        <v>5327</v>
      </c>
      <c r="N39" s="65" t="s">
        <v>5494</v>
      </c>
      <c r="O39" s="65" t="s">
        <v>5495</v>
      </c>
      <c r="P39" s="65" t="s">
        <v>5491</v>
      </c>
      <c r="Q39" s="65">
        <v>35</v>
      </c>
      <c r="R39" s="65">
        <v>20</v>
      </c>
      <c r="S39" s="65">
        <v>5</v>
      </c>
      <c r="T39" s="65">
        <v>9</v>
      </c>
      <c r="U39" s="65" t="str">
        <f t="shared" si="1"/>
        <v>DA_sh_ra_w_g_c_k_m_fin_c_str</v>
      </c>
      <c r="V39" s="65" t="str">
        <f t="shared" si="2"/>
        <v>/Game/DungeonSiege/Items/Armor/Shield/DA_sh_ra_w_g_c_k_m_fin_c_str</v>
      </c>
      <c r="W39" s="65" t="str">
        <f t="shared" si="3"/>
        <v>Texture2D'/Game/DungeonSiege/art/bitmaps/gui/in_game/inventory/armor/shield/b_gui_ig_i_a_shd_138.b_gui_ig_i_a_shd_138'</v>
      </c>
      <c r="X39" s="65"/>
    </row>
    <row r="40" spans="1:24" ht="15.75" thickBot="1" x14ac:dyDescent="0.3">
      <c r="A40" s="65">
        <v>38</v>
      </c>
      <c r="B40" s="65">
        <f>HEX2DEC(A40+Items!$A$9)</f>
        <v>20971576</v>
      </c>
      <c r="C40" s="65" t="s">
        <v>5230</v>
      </c>
      <c r="D40" s="65" t="s">
        <v>5232</v>
      </c>
      <c r="E40" s="65" t="s">
        <v>2384</v>
      </c>
      <c r="F40" s="65" t="s">
        <v>5233</v>
      </c>
      <c r="G40" s="65"/>
      <c r="H40" s="65"/>
      <c r="I40" s="65">
        <v>1</v>
      </c>
      <c r="J40" s="65">
        <v>1</v>
      </c>
      <c r="K40" s="65">
        <v>2</v>
      </c>
      <c r="L40" s="65">
        <v>3</v>
      </c>
      <c r="M40" s="65" t="s">
        <v>5328</v>
      </c>
      <c r="N40" s="65" t="s">
        <v>5496</v>
      </c>
      <c r="O40" s="65" t="s">
        <v>5497</v>
      </c>
      <c r="P40" s="65" t="s">
        <v>5491</v>
      </c>
      <c r="Q40" s="65">
        <v>35</v>
      </c>
      <c r="R40" s="65">
        <v>20</v>
      </c>
      <c r="S40" s="65">
        <v>12</v>
      </c>
      <c r="T40" s="65">
        <v>50</v>
      </c>
      <c r="U40" s="65" t="str">
        <f t="shared" si="1"/>
        <v>DA_sh_ra_w_g_c_k_m_fin_o_mag</v>
      </c>
      <c r="V40" s="65" t="str">
        <f t="shared" si="2"/>
        <v>/Game/DungeonSiege/Items/Armor/Shield/DA_sh_ra_w_g_c_k_m_fin_o_mag</v>
      </c>
      <c r="W40" s="65" t="str">
        <f t="shared" si="3"/>
        <v>Texture2D'/Game/DungeonSiege/art/bitmaps/gui/in_game/inventory/armor/shield/b_gui_ig_i_a_shd_115.b_gui_ig_i_a_shd_115'</v>
      </c>
      <c r="X40" s="65"/>
    </row>
    <row r="41" spans="1:24" ht="15.75" thickBot="1" x14ac:dyDescent="0.3">
      <c r="A41" s="65">
        <v>39</v>
      </c>
      <c r="B41" s="65">
        <f>HEX2DEC(A41+Items!$A$9)</f>
        <v>20971577</v>
      </c>
      <c r="C41" s="65" t="s">
        <v>5230</v>
      </c>
      <c r="D41" s="65" t="s">
        <v>5010</v>
      </c>
      <c r="E41" s="65" t="s">
        <v>2384</v>
      </c>
      <c r="F41" s="65" t="s">
        <v>5001</v>
      </c>
      <c r="G41" s="65"/>
      <c r="H41" s="65"/>
      <c r="I41" s="65">
        <v>1</v>
      </c>
      <c r="J41" s="65">
        <v>1</v>
      </c>
      <c r="K41" s="65">
        <v>2</v>
      </c>
      <c r="L41" s="65">
        <v>3</v>
      </c>
      <c r="M41" s="65" t="s">
        <v>5329</v>
      </c>
      <c r="N41" s="65" t="s">
        <v>5498</v>
      </c>
      <c r="O41" s="65" t="s">
        <v>5499</v>
      </c>
      <c r="P41" s="65" t="s">
        <v>5491</v>
      </c>
      <c r="Q41" s="65">
        <v>35</v>
      </c>
      <c r="R41" s="65">
        <v>20</v>
      </c>
      <c r="S41" s="65">
        <v>7</v>
      </c>
      <c r="T41" s="65">
        <v>11</v>
      </c>
      <c r="U41" s="65" t="str">
        <f t="shared" si="1"/>
        <v>DA_sh_ra_w_g_c_k_m_fin_o_str</v>
      </c>
      <c r="V41" s="65" t="str">
        <f t="shared" si="2"/>
        <v>/Game/DungeonSiege/Items/Armor/Shield/DA_sh_ra_w_g_c_k_m_fin_o_str</v>
      </c>
      <c r="W41" s="65" t="str">
        <f t="shared" si="3"/>
        <v>Texture2D'/Game/DungeonSiege/art/bitmaps/gui/in_game/inventory/armor/shield/b_gui_ig_i_a_shd_139.b_gui_ig_i_a_shd_139'</v>
      </c>
      <c r="X41" s="65"/>
    </row>
    <row r="42" spans="1:24" ht="15.75" thickBot="1" x14ac:dyDescent="0.3">
      <c r="A42" s="65">
        <v>40</v>
      </c>
      <c r="B42" s="65">
        <f>HEX2DEC(A42+Items!$A$9)</f>
        <v>20971584</v>
      </c>
      <c r="C42" s="65" t="s">
        <v>5234</v>
      </c>
      <c r="D42" s="65" t="s">
        <v>4974</v>
      </c>
      <c r="E42" s="65" t="s">
        <v>2384</v>
      </c>
      <c r="F42" s="65" t="s">
        <v>4991</v>
      </c>
      <c r="G42" s="65"/>
      <c r="H42" s="65"/>
      <c r="I42" s="65">
        <v>1</v>
      </c>
      <c r="J42" s="65">
        <v>1</v>
      </c>
      <c r="K42" s="65">
        <v>2</v>
      </c>
      <c r="L42" s="65">
        <v>2</v>
      </c>
      <c r="M42" s="65" t="s">
        <v>5330</v>
      </c>
      <c r="N42" s="65" t="s">
        <v>5500</v>
      </c>
      <c r="O42" s="65" t="s">
        <v>5501</v>
      </c>
      <c r="P42" s="65" t="s">
        <v>5502</v>
      </c>
      <c r="Q42" s="65">
        <v>20</v>
      </c>
      <c r="R42" s="65">
        <v>10</v>
      </c>
      <c r="S42" s="65"/>
      <c r="T42" s="65"/>
      <c r="U42" s="65" t="str">
        <f t="shared" si="1"/>
        <v>DA_sh_ra_w_g_c_r_m_fin</v>
      </c>
      <c r="V42" s="65" t="str">
        <f t="shared" si="2"/>
        <v>/Game/DungeonSiege/Items/Armor/Shield/DA_sh_ra_w_g_c_r_m_fin</v>
      </c>
      <c r="W42" s="65" t="str">
        <f t="shared" si="3"/>
        <v>Texture2D'/Game/DungeonSiege/art/bitmaps/gui/in_game/inventory/armor/shield/b_gui_ig_i_a_shd_129.b_gui_ig_i_a_shd_129'</v>
      </c>
      <c r="X42" s="65"/>
    </row>
    <row r="43" spans="1:24" ht="15.75" thickBot="1" x14ac:dyDescent="0.3">
      <c r="A43" s="65">
        <v>41</v>
      </c>
      <c r="B43" s="65">
        <f>HEX2DEC(A43+Items!$A$9)</f>
        <v>20971585</v>
      </c>
      <c r="C43" s="65" t="s">
        <v>5234</v>
      </c>
      <c r="D43" s="65" t="s">
        <v>4983</v>
      </c>
      <c r="E43" s="65" t="s">
        <v>2384</v>
      </c>
      <c r="F43" s="65" t="s">
        <v>4983</v>
      </c>
      <c r="G43" s="65"/>
      <c r="H43" s="65"/>
      <c r="I43" s="65">
        <v>1</v>
      </c>
      <c r="J43" s="65">
        <v>1</v>
      </c>
      <c r="K43" s="65">
        <v>2</v>
      </c>
      <c r="L43" s="65">
        <v>2</v>
      </c>
      <c r="M43" s="65" t="s">
        <v>5331</v>
      </c>
      <c r="N43" s="65" t="s">
        <v>5503</v>
      </c>
      <c r="O43" s="65" t="s">
        <v>5504</v>
      </c>
      <c r="P43" s="65" t="s">
        <v>5473</v>
      </c>
      <c r="Q43" s="65">
        <v>20</v>
      </c>
      <c r="R43" s="65">
        <v>10</v>
      </c>
      <c r="S43" s="65">
        <v>3</v>
      </c>
      <c r="T43" s="65">
        <v>5</v>
      </c>
      <c r="U43" s="65" t="str">
        <f t="shared" si="1"/>
        <v>DA_sh_ra_w_g_c_r_m_fin_o_fin</v>
      </c>
      <c r="V43" s="65" t="str">
        <f t="shared" si="2"/>
        <v>/Game/DungeonSiege/Items/Armor/Shield/DA_sh_ra_w_g_c_r_m_fin_o_fin</v>
      </c>
      <c r="W43" s="65" t="str">
        <f t="shared" si="3"/>
        <v>Texture2D'/Game/DungeonSiege/art/bitmaps/gui/in_game/inventory/armor/shield/b_gui_ig_i_a_shd_130.b_gui_ig_i_a_shd_130'</v>
      </c>
      <c r="X43" s="65"/>
    </row>
    <row r="44" spans="1:24" ht="15.75" thickBot="1" x14ac:dyDescent="0.3">
      <c r="A44" s="65">
        <v>42</v>
      </c>
      <c r="B44" s="65">
        <f>HEX2DEC(A44+Items!$A$9)</f>
        <v>20971586</v>
      </c>
      <c r="C44" s="65" t="s">
        <v>5234</v>
      </c>
      <c r="D44" s="65" t="s">
        <v>5235</v>
      </c>
      <c r="E44" s="65" t="s">
        <v>2384</v>
      </c>
      <c r="F44" s="65" t="s">
        <v>5006</v>
      </c>
      <c r="G44" s="65"/>
      <c r="H44" s="65"/>
      <c r="I44" s="65">
        <v>1</v>
      </c>
      <c r="J44" s="65">
        <v>1</v>
      </c>
      <c r="K44" s="65">
        <v>2</v>
      </c>
      <c r="L44" s="65">
        <v>2</v>
      </c>
      <c r="M44" s="65" t="s">
        <v>5332</v>
      </c>
      <c r="N44" s="65" t="s">
        <v>5505</v>
      </c>
      <c r="O44" s="65" t="s">
        <v>5472</v>
      </c>
      <c r="P44" s="65" t="s">
        <v>5473</v>
      </c>
      <c r="Q44" s="65">
        <v>20</v>
      </c>
      <c r="R44" s="65">
        <v>10</v>
      </c>
      <c r="S44" s="65">
        <v>10</v>
      </c>
      <c r="T44" s="65">
        <v>24</v>
      </c>
      <c r="U44" s="65" t="str">
        <f t="shared" si="1"/>
        <v>DA_sh_ra_w_g_c_r_m_fin_o_mag</v>
      </c>
      <c r="V44" s="65" t="str">
        <f t="shared" si="2"/>
        <v>/Game/DungeonSiege/Items/Armor/Shield/DA_sh_ra_w_g_c_r_m_fin_o_mag</v>
      </c>
      <c r="W44" s="65" t="str">
        <f t="shared" si="3"/>
        <v>Texture2D'/Game/DungeonSiege/art/bitmaps/gui/in_game/inventory/armor/shield/b_gui_ig_i_a_shd_132.b_gui_ig_i_a_shd_132'</v>
      </c>
      <c r="X44" s="65"/>
    </row>
    <row r="45" spans="1:24" ht="15.75" thickBot="1" x14ac:dyDescent="0.3">
      <c r="A45" s="65">
        <v>43</v>
      </c>
      <c r="B45" s="65">
        <f>HEX2DEC(A45+Items!$A$9)</f>
        <v>20971587</v>
      </c>
      <c r="C45" s="65" t="s">
        <v>5234</v>
      </c>
      <c r="D45" s="65" t="s">
        <v>5011</v>
      </c>
      <c r="E45" s="65" t="s">
        <v>2384</v>
      </c>
      <c r="F45" s="65" t="s">
        <v>4996</v>
      </c>
      <c r="G45" s="65"/>
      <c r="H45" s="65"/>
      <c r="I45" s="65">
        <v>1</v>
      </c>
      <c r="J45" s="65">
        <v>1</v>
      </c>
      <c r="K45" s="65">
        <v>2</v>
      </c>
      <c r="L45" s="65">
        <v>2</v>
      </c>
      <c r="M45" s="65" t="s">
        <v>5333</v>
      </c>
      <c r="N45" s="65" t="s">
        <v>5506</v>
      </c>
      <c r="O45" s="65" t="s">
        <v>5507</v>
      </c>
      <c r="P45" s="65" t="s">
        <v>5473</v>
      </c>
      <c r="Q45" s="65">
        <v>20</v>
      </c>
      <c r="R45" s="65">
        <v>10</v>
      </c>
      <c r="S45" s="65">
        <v>5</v>
      </c>
      <c r="T45" s="65">
        <v>11</v>
      </c>
      <c r="U45" s="65" t="str">
        <f t="shared" si="1"/>
        <v>DA_sh_ra_w_g_c_r_m_fin_o_str</v>
      </c>
      <c r="V45" s="65" t="str">
        <f t="shared" si="2"/>
        <v>/Game/DungeonSiege/Items/Armor/Shield/DA_sh_ra_w_g_c_r_m_fin_o_str</v>
      </c>
      <c r="W45" s="65" t="str">
        <f t="shared" si="3"/>
        <v>Texture2D'/Game/DungeonSiege/art/bitmaps/gui/in_game/inventory/armor/shield/b_gui_ig_i_a_shd_131.b_gui_ig_i_a_shd_131'</v>
      </c>
      <c r="X45" s="65"/>
    </row>
    <row r="46" spans="1:24" ht="15.75" thickBot="1" x14ac:dyDescent="0.3">
      <c r="A46" s="65">
        <v>44</v>
      </c>
      <c r="B46" s="65">
        <f>HEX2DEC(A46+Items!$A$9)</f>
        <v>20971588</v>
      </c>
      <c r="C46" s="65" t="s">
        <v>5236</v>
      </c>
      <c r="D46" s="65" t="s">
        <v>4995</v>
      </c>
      <c r="E46" s="65" t="s">
        <v>2384</v>
      </c>
      <c r="F46" s="65" t="s">
        <v>4989</v>
      </c>
      <c r="G46" s="65"/>
      <c r="H46" s="65"/>
      <c r="I46" s="65">
        <v>1</v>
      </c>
      <c r="J46" s="65">
        <v>1</v>
      </c>
      <c r="K46" s="65">
        <v>2</v>
      </c>
      <c r="L46" s="65">
        <v>3</v>
      </c>
      <c r="M46" s="65" t="s">
        <v>5334</v>
      </c>
      <c r="N46" s="65" t="s">
        <v>5508</v>
      </c>
      <c r="O46" s="65" t="s">
        <v>5509</v>
      </c>
      <c r="P46" s="65" t="s">
        <v>5417</v>
      </c>
      <c r="Q46" s="65">
        <v>10</v>
      </c>
      <c r="R46" s="65">
        <v>5</v>
      </c>
      <c r="S46" s="65">
        <v>1</v>
      </c>
      <c r="T46" s="65">
        <v>3</v>
      </c>
      <c r="U46" s="65" t="str">
        <f t="shared" si="1"/>
        <v>DA_sh_ra_w_g_c_r_s_fin</v>
      </c>
      <c r="V46" s="65" t="str">
        <f t="shared" si="2"/>
        <v>/Game/DungeonSiege/Items/Armor/Shield/DA_sh_ra_w_g_c_r_s_fin</v>
      </c>
      <c r="W46" s="65" t="str">
        <f t="shared" si="3"/>
        <v>Texture2D'/Game/DungeonSiege/art/bitmaps/gui/in_game/inventory/armor/shield/b_gui_ig_i_a_shd_127.b_gui_ig_i_a_shd_127'</v>
      </c>
      <c r="X46" s="65"/>
    </row>
    <row r="47" spans="1:24" ht="15.75" thickBot="1" x14ac:dyDescent="0.3">
      <c r="A47" s="65">
        <v>45</v>
      </c>
      <c r="B47" s="65">
        <f>HEX2DEC(A47+Items!$A$9)</f>
        <v>20971589</v>
      </c>
      <c r="C47" s="65" t="s">
        <v>5236</v>
      </c>
      <c r="D47" s="65" t="s">
        <v>4991</v>
      </c>
      <c r="E47" s="65" t="s">
        <v>2384</v>
      </c>
      <c r="F47" s="65" t="s">
        <v>4980</v>
      </c>
      <c r="G47" s="65"/>
      <c r="H47" s="65"/>
      <c r="I47" s="65">
        <v>1</v>
      </c>
      <c r="J47" s="65">
        <v>1</v>
      </c>
      <c r="K47" s="65">
        <v>2</v>
      </c>
      <c r="L47" s="65">
        <v>3</v>
      </c>
      <c r="M47" s="65" t="s">
        <v>5335</v>
      </c>
      <c r="N47" s="65" t="s">
        <v>5510</v>
      </c>
      <c r="O47" s="65" t="s">
        <v>5511</v>
      </c>
      <c r="P47" s="65" t="s">
        <v>5417</v>
      </c>
      <c r="Q47" s="65">
        <v>10</v>
      </c>
      <c r="R47" s="65">
        <v>5</v>
      </c>
      <c r="S47" s="65">
        <v>2</v>
      </c>
      <c r="T47" s="65">
        <v>4</v>
      </c>
      <c r="U47" s="65" t="str">
        <f t="shared" si="1"/>
        <v>DA_sh_ra_w_g_c_r_s_fin_o_fin</v>
      </c>
      <c r="V47" s="65" t="str">
        <f t="shared" si="2"/>
        <v>/Game/DungeonSiege/Items/Armor/Shield/DA_sh_ra_w_g_c_r_s_fin_o_fin</v>
      </c>
      <c r="W47" s="65" t="str">
        <f t="shared" si="3"/>
        <v>Texture2D'/Game/DungeonSiege/art/bitmaps/gui/in_game/inventory/armor/shield/b_gui_ig_i_a_shd_128.b_gui_ig_i_a_shd_128'</v>
      </c>
      <c r="X47" s="65"/>
    </row>
    <row r="48" spans="1:24" ht="15.75" thickBot="1" x14ac:dyDescent="0.3">
      <c r="A48" s="65">
        <v>46</v>
      </c>
      <c r="B48" s="65">
        <f>HEX2DEC(A48+Items!$A$9)</f>
        <v>20971590</v>
      </c>
      <c r="C48" s="65" t="s">
        <v>5237</v>
      </c>
      <c r="D48" s="65" t="s">
        <v>5017</v>
      </c>
      <c r="E48" s="65" t="s">
        <v>2384</v>
      </c>
      <c r="F48" s="65" t="s">
        <v>5018</v>
      </c>
      <c r="G48" s="65"/>
      <c r="H48" s="65"/>
      <c r="I48" s="65">
        <v>1</v>
      </c>
      <c r="J48" s="65">
        <v>1</v>
      </c>
      <c r="K48" s="65">
        <v>2</v>
      </c>
      <c r="L48" s="65">
        <v>3</v>
      </c>
      <c r="M48" s="65" t="s">
        <v>5336</v>
      </c>
      <c r="N48" s="65" t="s">
        <v>5512</v>
      </c>
      <c r="O48" s="65" t="s">
        <v>5490</v>
      </c>
      <c r="P48" s="65" t="s">
        <v>5491</v>
      </c>
      <c r="Q48" s="65">
        <v>45</v>
      </c>
      <c r="R48" s="65">
        <v>25</v>
      </c>
      <c r="S48" s="65">
        <v>9</v>
      </c>
      <c r="T48" s="65">
        <v>33</v>
      </c>
      <c r="U48" s="65" t="str">
        <f t="shared" si="1"/>
        <v>DA_sh_ra_w_g_o_k_m_fin</v>
      </c>
      <c r="V48" s="65" t="str">
        <f t="shared" si="2"/>
        <v>/Game/DungeonSiege/Items/Armor/Shield/DA_sh_ra_w_g_o_k_m_fin</v>
      </c>
      <c r="W48" s="65" t="str">
        <f t="shared" si="3"/>
        <v>Texture2D'/Game/DungeonSiege/art/bitmaps/gui/in_game/inventory/armor/shield/b_gui_ig_i_a_shd_137.b_gui_ig_i_a_shd_137'</v>
      </c>
      <c r="X48" s="65"/>
    </row>
    <row r="49" spans="1:24" ht="15.75" thickBot="1" x14ac:dyDescent="0.3">
      <c r="A49" s="65">
        <v>47</v>
      </c>
      <c r="B49" s="65">
        <f>HEX2DEC(A49+Items!$A$9)</f>
        <v>20971591</v>
      </c>
      <c r="C49" s="65" t="s">
        <v>5238</v>
      </c>
      <c r="D49" s="65" t="s">
        <v>5020</v>
      </c>
      <c r="E49" s="65" t="s">
        <v>2384</v>
      </c>
      <c r="F49" s="65" t="s">
        <v>4997</v>
      </c>
      <c r="G49" s="65"/>
      <c r="H49" s="65"/>
      <c r="I49" s="65">
        <v>1</v>
      </c>
      <c r="J49" s="65">
        <v>1</v>
      </c>
      <c r="K49" s="65">
        <v>2</v>
      </c>
      <c r="L49" s="65">
        <v>3</v>
      </c>
      <c r="M49" s="65" t="s">
        <v>5337</v>
      </c>
      <c r="N49" s="65" t="s">
        <v>5513</v>
      </c>
      <c r="O49" s="65" t="s">
        <v>5514</v>
      </c>
      <c r="P49" s="65" t="s">
        <v>5482</v>
      </c>
      <c r="Q49" s="65">
        <v>35</v>
      </c>
      <c r="R49" s="65">
        <v>35</v>
      </c>
      <c r="S49" s="65">
        <v>6</v>
      </c>
      <c r="T49" s="65">
        <v>13</v>
      </c>
      <c r="U49" s="65" t="str">
        <f t="shared" si="1"/>
        <v>DA_sh_ra_w_g_o_t_l_avg</v>
      </c>
      <c r="V49" s="65" t="str">
        <f t="shared" si="2"/>
        <v>/Game/DungeonSiege/Items/Armor/Shield/DA_sh_ra_w_g_o_t_l_avg</v>
      </c>
      <c r="W49" s="65" t="str">
        <f t="shared" si="3"/>
        <v>Texture2D'/Game/DungeonSiege/art/bitmaps/gui/in_game/inventory/armor/shield/b_gui_ig_i_a_shd_146.b_gui_ig_i_a_shd_146'</v>
      </c>
      <c r="X49" s="65"/>
    </row>
    <row r="50" spans="1:24" ht="15.75" thickBot="1" x14ac:dyDescent="0.3">
      <c r="A50" s="65">
        <v>48</v>
      </c>
      <c r="B50" s="65">
        <f>HEX2DEC(A50+Items!$A$9)</f>
        <v>20971592</v>
      </c>
      <c r="C50" s="65" t="s">
        <v>5238</v>
      </c>
      <c r="D50" s="65" t="s">
        <v>5008</v>
      </c>
      <c r="E50" s="65" t="s">
        <v>2384</v>
      </c>
      <c r="F50" s="65" t="s">
        <v>5011</v>
      </c>
      <c r="G50" s="65"/>
      <c r="H50" s="65"/>
      <c r="I50" s="65">
        <v>1</v>
      </c>
      <c r="J50" s="65">
        <v>1</v>
      </c>
      <c r="K50" s="65">
        <v>2</v>
      </c>
      <c r="L50" s="65">
        <v>3</v>
      </c>
      <c r="M50" s="65" t="s">
        <v>5338</v>
      </c>
      <c r="N50" s="65" t="s">
        <v>5515</v>
      </c>
      <c r="O50" s="65" t="s">
        <v>5481</v>
      </c>
      <c r="P50" s="65" t="s">
        <v>5482</v>
      </c>
      <c r="Q50" s="65">
        <v>35</v>
      </c>
      <c r="R50" s="65">
        <v>35</v>
      </c>
      <c r="S50" s="65">
        <v>7</v>
      </c>
      <c r="T50" s="65">
        <v>17</v>
      </c>
      <c r="U50" s="65" t="str">
        <f t="shared" si="1"/>
        <v>DA_sh_ra_w_g_o_t_l_avg_c_fin</v>
      </c>
      <c r="V50" s="65" t="str">
        <f t="shared" si="2"/>
        <v>/Game/DungeonSiege/Items/Armor/Shield/DA_sh_ra_w_g_o_t_l_avg_c_fin</v>
      </c>
      <c r="W50" s="65" t="str">
        <f t="shared" si="3"/>
        <v>Texture2D'/Game/DungeonSiege/art/bitmaps/gui/in_game/inventory/armor/shield/b_gui_ig_i_a_shd_145.b_gui_ig_i_a_shd_145'</v>
      </c>
      <c r="X50" s="65"/>
    </row>
    <row r="51" spans="1:24" ht="15.75" thickBot="1" x14ac:dyDescent="0.3">
      <c r="A51" s="65">
        <v>49</v>
      </c>
      <c r="B51" s="65">
        <f>HEX2DEC(A51+Items!$A$9)</f>
        <v>20971593</v>
      </c>
      <c r="C51" s="65" t="s">
        <v>5238</v>
      </c>
      <c r="D51" s="65" t="s">
        <v>5239</v>
      </c>
      <c r="E51" s="65" t="s">
        <v>2384</v>
      </c>
      <c r="F51" s="65" t="s">
        <v>5206</v>
      </c>
      <c r="G51" s="65"/>
      <c r="H51" s="65"/>
      <c r="I51" s="65">
        <v>1</v>
      </c>
      <c r="J51" s="65">
        <v>1</v>
      </c>
      <c r="K51" s="65">
        <v>2</v>
      </c>
      <c r="L51" s="65">
        <v>3</v>
      </c>
      <c r="M51" s="65" t="s">
        <v>5339</v>
      </c>
      <c r="N51" s="65" t="s">
        <v>5516</v>
      </c>
      <c r="O51" s="65" t="s">
        <v>5488</v>
      </c>
      <c r="P51" s="65" t="s">
        <v>5482</v>
      </c>
      <c r="Q51" s="65">
        <v>35</v>
      </c>
      <c r="R51" s="65">
        <v>35</v>
      </c>
      <c r="S51" s="65">
        <v>14</v>
      </c>
      <c r="T51" s="65">
        <v>101</v>
      </c>
      <c r="U51" s="65" t="str">
        <f t="shared" si="1"/>
        <v>DA_sh_ra_w_g_o_t_l_avg_c_mag</v>
      </c>
      <c r="V51" s="65" t="str">
        <f t="shared" si="2"/>
        <v>/Game/DungeonSiege/Items/Armor/Shield/DA_sh_ra_w_g_o_t_l_avg_c_mag</v>
      </c>
      <c r="W51" s="65" t="str">
        <f t="shared" si="3"/>
        <v>Texture2D'/Game/DungeonSiege/art/bitmaps/gui/in_game/inventory/armor/shield/b_gui_ig_i_a_shd_149.b_gui_ig_i_a_shd_149'</v>
      </c>
      <c r="X51" s="65"/>
    </row>
    <row r="52" spans="1:24" ht="15.75" thickBot="1" x14ac:dyDescent="0.3">
      <c r="A52" s="65">
        <v>50</v>
      </c>
      <c r="B52" s="65">
        <f>HEX2DEC(A52+Items!$A$9)</f>
        <v>20971600</v>
      </c>
      <c r="C52" s="65" t="s">
        <v>5238</v>
      </c>
      <c r="D52" s="65" t="s">
        <v>5240</v>
      </c>
      <c r="E52" s="65" t="s">
        <v>2384</v>
      </c>
      <c r="F52" s="65" t="s">
        <v>5011</v>
      </c>
      <c r="G52" s="65"/>
      <c r="H52" s="65"/>
      <c r="I52" s="65">
        <v>1</v>
      </c>
      <c r="J52" s="65">
        <v>1</v>
      </c>
      <c r="K52" s="65">
        <v>2</v>
      </c>
      <c r="L52" s="65">
        <v>3</v>
      </c>
      <c r="M52" s="65" t="s">
        <v>5340</v>
      </c>
      <c r="N52" s="65" t="s">
        <v>5518</v>
      </c>
      <c r="O52" s="65" t="s">
        <v>5484</v>
      </c>
      <c r="P52" s="65" t="s">
        <v>5482</v>
      </c>
      <c r="Q52" s="65">
        <v>35</v>
      </c>
      <c r="R52" s="65">
        <v>35</v>
      </c>
      <c r="S52" s="65">
        <v>9</v>
      </c>
      <c r="T52" s="65">
        <v>19</v>
      </c>
      <c r="U52" s="65" t="str">
        <f t="shared" si="1"/>
        <v>DA_sh_ra_w_g_o_t_l_avg_c_str</v>
      </c>
      <c r="V52" s="65" t="str">
        <f t="shared" si="2"/>
        <v>/Game/DungeonSiege/Items/Armor/Shield/DA_sh_ra_w_g_o_t_l_avg_c_str</v>
      </c>
      <c r="W52" s="65" t="str">
        <f t="shared" si="3"/>
        <v>Texture2D'/Game/DungeonSiege/art/bitmaps/gui/in_game/inventory/armor/shield/b_gui_ig_i_a_shd_150.b_gui_ig_i_a_shd_150'</v>
      </c>
      <c r="X52" s="65"/>
    </row>
    <row r="53" spans="1:24" ht="15.75" thickBot="1" x14ac:dyDescent="0.3">
      <c r="A53" s="65">
        <v>51</v>
      </c>
      <c r="B53" s="65">
        <f>HEX2DEC(A53+Items!$A$9)</f>
        <v>20971601</v>
      </c>
      <c r="C53" s="65" t="s">
        <v>5238</v>
      </c>
      <c r="D53" s="65" t="s">
        <v>4648</v>
      </c>
      <c r="E53" s="65" t="s">
        <v>2384</v>
      </c>
      <c r="F53" s="65" t="s">
        <v>4999</v>
      </c>
      <c r="G53" s="65"/>
      <c r="H53" s="65"/>
      <c r="I53" s="65">
        <v>1</v>
      </c>
      <c r="J53" s="65">
        <v>1</v>
      </c>
      <c r="K53" s="65">
        <v>2</v>
      </c>
      <c r="L53" s="65">
        <v>3</v>
      </c>
      <c r="M53" s="65" t="s">
        <v>5341</v>
      </c>
      <c r="N53" s="65" t="s">
        <v>5519</v>
      </c>
      <c r="O53" s="65" t="s">
        <v>5486</v>
      </c>
      <c r="P53" s="65" t="s">
        <v>5482</v>
      </c>
      <c r="Q53" s="65">
        <v>35</v>
      </c>
      <c r="R53" s="65">
        <v>35</v>
      </c>
      <c r="S53" s="65">
        <v>8</v>
      </c>
      <c r="T53" s="65">
        <v>28</v>
      </c>
      <c r="U53" s="65" t="str">
        <f t="shared" si="1"/>
        <v>DA_sh_ra_w_g_o_t_l_avg_o_fin</v>
      </c>
      <c r="V53" s="65" t="str">
        <f t="shared" si="2"/>
        <v>/Game/DungeonSiege/Items/Armor/Shield/DA_sh_ra_w_g_o_t_l_avg_o_fin</v>
      </c>
      <c r="W53" s="65" t="str">
        <f t="shared" si="3"/>
        <v>Texture2D'/Game/DungeonSiege/art/bitmaps/gui/in_game/inventory/armor/shield/b_gui_ig_i_a_shd_147.b_gui_ig_i_a_shd_147'</v>
      </c>
      <c r="X53" s="65"/>
    </row>
    <row r="54" spans="1:24" ht="15.75" thickBot="1" x14ac:dyDescent="0.3">
      <c r="A54" s="65">
        <v>52</v>
      </c>
      <c r="B54" s="65">
        <f>HEX2DEC(A54+Items!$A$9)</f>
        <v>20971602</v>
      </c>
      <c r="C54" s="65" t="s">
        <v>5238</v>
      </c>
      <c r="D54" s="65" t="s">
        <v>5241</v>
      </c>
      <c r="E54" s="65" t="s">
        <v>2384</v>
      </c>
      <c r="F54" s="65" t="s">
        <v>5231</v>
      </c>
      <c r="G54" s="65"/>
      <c r="H54" s="65"/>
      <c r="I54" s="65">
        <v>1</v>
      </c>
      <c r="J54" s="65">
        <v>1</v>
      </c>
      <c r="K54" s="65">
        <v>2</v>
      </c>
      <c r="L54" s="65">
        <v>3</v>
      </c>
      <c r="M54" s="65" t="s">
        <v>5342</v>
      </c>
      <c r="N54" s="65" t="s">
        <v>5520</v>
      </c>
      <c r="O54" s="65" t="s">
        <v>5488</v>
      </c>
      <c r="P54" s="65" t="s">
        <v>5482</v>
      </c>
      <c r="Q54" s="65">
        <v>35</v>
      </c>
      <c r="R54" s="65">
        <v>35</v>
      </c>
      <c r="S54" s="65">
        <v>14</v>
      </c>
      <c r="T54" s="65">
        <v>101</v>
      </c>
      <c r="U54" s="65" t="str">
        <f t="shared" si="1"/>
        <v>DA_sh_ra_w_g_o_t_l_avg_o_str</v>
      </c>
      <c r="V54" s="65" t="str">
        <f t="shared" si="2"/>
        <v>/Game/DungeonSiege/Items/Armor/Shield/DA_sh_ra_w_g_o_t_l_avg_o_str</v>
      </c>
      <c r="W54" s="65" t="str">
        <f t="shared" si="3"/>
        <v>Texture2D'/Game/DungeonSiege/art/bitmaps/gui/in_game/inventory/armor/shield/b_gui_ig_i_a_shd_148.b_gui_ig_i_a_shd_148'</v>
      </c>
      <c r="X54" s="65"/>
    </row>
    <row r="55" spans="1:24" ht="15.75" thickBot="1" x14ac:dyDescent="0.3">
      <c r="A55" s="65">
        <v>53</v>
      </c>
      <c r="B55" s="65">
        <f>HEX2DEC(A55+Items!$A$9)</f>
        <v>20971603</v>
      </c>
      <c r="C55" s="65" t="s">
        <v>5242</v>
      </c>
      <c r="D55" s="65" t="s">
        <v>5015</v>
      </c>
      <c r="E55" s="65" t="s">
        <v>2384</v>
      </c>
      <c r="F55" s="65" t="s">
        <v>4996</v>
      </c>
      <c r="G55" s="65"/>
      <c r="H55" s="65"/>
      <c r="I55" s="65">
        <v>1</v>
      </c>
      <c r="J55" s="65">
        <v>1</v>
      </c>
      <c r="K55" s="65">
        <v>2</v>
      </c>
      <c r="L55" s="65">
        <v>3</v>
      </c>
      <c r="M55" s="65" t="s">
        <v>5343</v>
      </c>
      <c r="N55" s="65" t="s">
        <v>5521</v>
      </c>
      <c r="O55" s="65" t="s">
        <v>5522</v>
      </c>
      <c r="P55" s="65" t="s">
        <v>5432</v>
      </c>
      <c r="Q55" s="65">
        <v>20</v>
      </c>
      <c r="R55" s="65">
        <v>15</v>
      </c>
      <c r="S55" s="65">
        <v>0</v>
      </c>
      <c r="T55" s="65">
        <v>20</v>
      </c>
      <c r="U55" s="65" t="str">
        <f t="shared" si="1"/>
        <v>DA_sh_ra_w_o_k_m_haze</v>
      </c>
      <c r="V55" s="65" t="str">
        <f t="shared" si="2"/>
        <v>/Game/DungeonSiege/Items/Armor/Shield/DA_sh_ra_w_o_k_m_haze</v>
      </c>
      <c r="W55" s="65" t="str">
        <f t="shared" si="3"/>
        <v>Texture2D'/Game/DungeonSiege/art/bitmaps/gui/in_game/inventory/armor/shield/b_gui_ig_i_a_shd_087.b_gui_ig_i_a_shd_087'</v>
      </c>
      <c r="X55" s="65"/>
    </row>
    <row r="56" spans="1:24" ht="15.75" thickBot="1" x14ac:dyDescent="0.3">
      <c r="A56" s="65">
        <v>54</v>
      </c>
      <c r="B56" s="65">
        <f>HEX2DEC(A56+Items!$A$9)</f>
        <v>20971604</v>
      </c>
      <c r="C56" s="65" t="s">
        <v>5243</v>
      </c>
      <c r="D56" s="65" t="s">
        <v>5244</v>
      </c>
      <c r="E56" s="65" t="s">
        <v>2384</v>
      </c>
      <c r="F56" s="65" t="s">
        <v>5245</v>
      </c>
      <c r="G56" s="65">
        <v>1</v>
      </c>
      <c r="H56" s="65"/>
      <c r="I56" s="65"/>
      <c r="J56" s="65"/>
      <c r="K56" s="65">
        <v>2</v>
      </c>
      <c r="L56" s="65">
        <v>3</v>
      </c>
      <c r="M56" s="65" t="s">
        <v>5344</v>
      </c>
      <c r="N56" s="65" t="s">
        <v>5523</v>
      </c>
      <c r="O56" s="65" t="s">
        <v>5524</v>
      </c>
      <c r="P56" s="65" t="s">
        <v>5432</v>
      </c>
      <c r="Q56" s="65">
        <v>35</v>
      </c>
      <c r="R56" s="65">
        <v>20</v>
      </c>
      <c r="S56" s="65">
        <v>0</v>
      </c>
      <c r="T56" s="65">
        <v>5</v>
      </c>
      <c r="U56" s="65" t="str">
        <f t="shared" si="1"/>
        <v>DA_sh_u_g_c_k_l_avg</v>
      </c>
      <c r="V56" s="65" t="str">
        <f t="shared" si="2"/>
        <v>/Game/DungeonSiege/Items/Armor/Shield/DA_sh_u_g_c_k_l_avg</v>
      </c>
      <c r="W56" s="65" t="str">
        <f t="shared" si="3"/>
        <v>Texture2D'/Game/DungeonSiege/art/bitmaps/gui/in_game/inventory/armor/shield/b_gui_ig_i_a_shd_084.b_gui_ig_i_a_shd_084'</v>
      </c>
      <c r="X56" s="65"/>
    </row>
    <row r="57" spans="1:24" ht="15.75" thickBot="1" x14ac:dyDescent="0.3">
      <c r="A57" s="65">
        <v>55</v>
      </c>
      <c r="B57" s="65">
        <f>HEX2DEC(A57+Items!$A$9)</f>
        <v>20971605</v>
      </c>
      <c r="C57" s="65" t="s">
        <v>5246</v>
      </c>
      <c r="D57" s="65" t="s">
        <v>4993</v>
      </c>
      <c r="E57" s="65" t="s">
        <v>2384</v>
      </c>
      <c r="F57" s="65" t="s">
        <v>4989</v>
      </c>
      <c r="G57" s="65">
        <v>1</v>
      </c>
      <c r="H57" s="65"/>
      <c r="I57" s="65"/>
      <c r="J57" s="65"/>
      <c r="K57" s="65">
        <v>2</v>
      </c>
      <c r="L57" s="65">
        <v>2</v>
      </c>
      <c r="M57" s="65" t="s">
        <v>5345</v>
      </c>
      <c r="N57" s="65" t="s">
        <v>5525</v>
      </c>
      <c r="O57" s="65" t="s">
        <v>5526</v>
      </c>
      <c r="P57" s="65" t="s">
        <v>5502</v>
      </c>
      <c r="Q57" s="65">
        <v>10</v>
      </c>
      <c r="R57" s="65">
        <v>5</v>
      </c>
      <c r="S57" s="65"/>
      <c r="T57" s="65"/>
      <c r="U57" s="65" t="str">
        <f t="shared" si="1"/>
        <v>DA_sh_u_g_c_r_m_avg</v>
      </c>
      <c r="V57" s="65" t="str">
        <f t="shared" si="2"/>
        <v>/Game/DungeonSiege/Items/Armor/Shield/DA_sh_u_g_c_r_m_avg</v>
      </c>
      <c r="W57" s="65" t="str">
        <f t="shared" si="3"/>
        <v>Texture2D'/Game/DungeonSiege/art/bitmaps/gui/in_game/inventory/armor/shield/b_gui_ig_i_a_shd_080.b_gui_ig_i_a_shd_080'</v>
      </c>
      <c r="X57" s="65"/>
    </row>
    <row r="58" spans="1:24" ht="15.75" thickBot="1" x14ac:dyDescent="0.3">
      <c r="A58" s="65">
        <v>56</v>
      </c>
      <c r="B58" s="65">
        <f>HEX2DEC(A58+Items!$A$9)</f>
        <v>20971606</v>
      </c>
      <c r="C58" s="65" t="s">
        <v>5247</v>
      </c>
      <c r="D58" s="65" t="s">
        <v>4981</v>
      </c>
      <c r="E58" s="65" t="s">
        <v>2384</v>
      </c>
      <c r="F58" s="65" t="s">
        <v>4989</v>
      </c>
      <c r="G58" s="65">
        <v>1</v>
      </c>
      <c r="H58" s="65"/>
      <c r="I58" s="65"/>
      <c r="J58" s="65"/>
      <c r="K58" s="65">
        <v>2</v>
      </c>
      <c r="L58" s="65">
        <v>2</v>
      </c>
      <c r="M58" s="65" t="s">
        <v>5346</v>
      </c>
      <c r="N58" s="65" t="s">
        <v>5527</v>
      </c>
      <c r="O58" s="65" t="s">
        <v>5528</v>
      </c>
      <c r="P58" s="65" t="s">
        <v>5410</v>
      </c>
      <c r="Q58" s="65">
        <v>10</v>
      </c>
      <c r="R58" s="65">
        <v>5</v>
      </c>
      <c r="S58" s="65"/>
      <c r="T58" s="65"/>
      <c r="U58" s="65" t="str">
        <f t="shared" si="1"/>
        <v>DA_sh_u_g_c_r_s_avg</v>
      </c>
      <c r="V58" s="65" t="str">
        <f t="shared" si="2"/>
        <v>/Game/DungeonSiege/Items/Armor/Shield/DA_sh_u_g_c_r_s_avg</v>
      </c>
      <c r="W58" s="65" t="str">
        <f t="shared" si="3"/>
        <v>Texture2D'/Game/DungeonSiege/art/bitmaps/gui/in_game/inventory/armor/shield/b_gui_ig_i_a_shd_079.b_gui_ig_i_a_shd_079'</v>
      </c>
      <c r="X58" s="65"/>
    </row>
    <row r="59" spans="1:24" ht="15.75" thickBot="1" x14ac:dyDescent="0.3">
      <c r="A59" s="65">
        <v>57</v>
      </c>
      <c r="B59" s="65">
        <f>HEX2DEC(A59+Items!$A$9)</f>
        <v>20971607</v>
      </c>
      <c r="C59" s="65" t="s">
        <v>5248</v>
      </c>
      <c r="D59" s="65" t="s">
        <v>4983</v>
      </c>
      <c r="E59" s="65" t="s">
        <v>2384</v>
      </c>
      <c r="F59" s="65" t="s">
        <v>4983</v>
      </c>
      <c r="G59" s="65"/>
      <c r="H59" s="65"/>
      <c r="I59" s="65"/>
      <c r="J59" s="65">
        <v>1</v>
      </c>
      <c r="K59" s="65">
        <v>2</v>
      </c>
      <c r="L59" s="65">
        <v>3</v>
      </c>
      <c r="M59" s="65" t="s">
        <v>5347</v>
      </c>
      <c r="N59" s="65" t="s">
        <v>5529</v>
      </c>
      <c r="O59" s="65" t="s">
        <v>5530</v>
      </c>
      <c r="P59" s="65" t="s">
        <v>5531</v>
      </c>
      <c r="Q59" s="65">
        <v>20</v>
      </c>
      <c r="R59" s="65">
        <v>15</v>
      </c>
      <c r="S59" s="65">
        <v>2</v>
      </c>
      <c r="T59" s="65">
        <v>12</v>
      </c>
      <c r="U59" s="65" t="str">
        <f t="shared" si="1"/>
        <v>DA_sh_un_kite_ice</v>
      </c>
      <c r="V59" s="65" t="str">
        <f t="shared" si="2"/>
        <v>/Game/DungeonSiege/Items/Armor/Shield/DA_sh_un_kite_ice</v>
      </c>
      <c r="W59" s="65" t="str">
        <f t="shared" si="3"/>
        <v>Texture2D'/Game/DungeonSiege/art/bitmaps/gui/in_game/inventory/armor/shield/b_gui_ig_i_a_shd_075.b_gui_ig_i_a_shd_075'</v>
      </c>
      <c r="X59" s="65"/>
    </row>
    <row r="60" spans="1:24" ht="15.75" thickBot="1" x14ac:dyDescent="0.3">
      <c r="A60" s="65">
        <v>58</v>
      </c>
      <c r="B60" s="65">
        <f>HEX2DEC(A60+Items!$A$9)</f>
        <v>20971608</v>
      </c>
      <c r="C60" s="65" t="s">
        <v>5249</v>
      </c>
      <c r="D60" s="65" t="s">
        <v>5250</v>
      </c>
      <c r="E60" s="65" t="s">
        <v>2384</v>
      </c>
      <c r="F60" s="65" t="s">
        <v>5004</v>
      </c>
      <c r="G60" s="65"/>
      <c r="H60" s="65"/>
      <c r="I60" s="65"/>
      <c r="J60" s="65">
        <v>1</v>
      </c>
      <c r="K60" s="65">
        <v>2</v>
      </c>
      <c r="L60" s="65">
        <v>3</v>
      </c>
      <c r="M60" s="65" t="s">
        <v>5348</v>
      </c>
      <c r="N60" s="65" t="s">
        <v>5532</v>
      </c>
      <c r="O60" s="65" t="s">
        <v>5533</v>
      </c>
      <c r="P60" s="65" t="s">
        <v>5534</v>
      </c>
      <c r="Q60" s="65">
        <v>10</v>
      </c>
      <c r="R60" s="65">
        <v>10</v>
      </c>
      <c r="S60" s="65">
        <v>7</v>
      </c>
      <c r="T60" s="65">
        <v>35</v>
      </c>
      <c r="U60" s="65" t="str">
        <f t="shared" si="1"/>
        <v>DA_sh_un_m_c_h_m_mold</v>
      </c>
      <c r="V60" s="65" t="str">
        <f t="shared" si="2"/>
        <v>/Game/DungeonSiege/Items/Armor/Shield/DA_sh_un_m_c_h_m_mold</v>
      </c>
      <c r="W60" s="65" t="str">
        <f t="shared" si="3"/>
        <v>Texture2D'/Game/DungeonSiege/art/bitmaps/gui/in_game/inventory/armor/shield/b_gui_ig_i_a_shd_022.b_gui_ig_i_a_shd_022'</v>
      </c>
      <c r="X60" s="65"/>
    </row>
    <row r="61" spans="1:24" ht="15.75" thickBot="1" x14ac:dyDescent="0.3">
      <c r="A61" s="65">
        <v>59</v>
      </c>
      <c r="B61" s="65">
        <f>HEX2DEC(A61+Items!$A$9)</f>
        <v>20971609</v>
      </c>
      <c r="C61" s="65" t="s">
        <v>5251</v>
      </c>
      <c r="D61" s="65" t="s">
        <v>5252</v>
      </c>
      <c r="E61" s="65" t="s">
        <v>2384</v>
      </c>
      <c r="F61" s="65" t="s">
        <v>4648</v>
      </c>
      <c r="G61" s="65"/>
      <c r="H61" s="65"/>
      <c r="I61" s="65"/>
      <c r="J61" s="65">
        <v>1</v>
      </c>
      <c r="K61" s="65">
        <v>2</v>
      </c>
      <c r="L61" s="65">
        <v>3</v>
      </c>
      <c r="M61" s="65" t="s">
        <v>5349</v>
      </c>
      <c r="N61" s="65" t="s">
        <v>5535</v>
      </c>
      <c r="O61" s="65" t="s">
        <v>5536</v>
      </c>
      <c r="P61" s="65" t="s">
        <v>5465</v>
      </c>
      <c r="Q61" s="65">
        <v>15</v>
      </c>
      <c r="R61" s="65">
        <v>10</v>
      </c>
      <c r="S61" s="65">
        <v>9</v>
      </c>
      <c r="T61" s="65">
        <v>47</v>
      </c>
      <c r="U61" s="65" t="str">
        <f t="shared" si="1"/>
        <v>DA_sh_un_m_o_c_m_parade</v>
      </c>
      <c r="V61" s="65" t="str">
        <f t="shared" si="2"/>
        <v>/Game/DungeonSiege/Items/Armor/Shield/DA_sh_un_m_o_c_m_parade</v>
      </c>
      <c r="W61" s="65" t="str">
        <f t="shared" si="3"/>
        <v>Texture2D'/Game/DungeonSiege/art/bitmaps/gui/in_game/inventory/armor/shield/b_gui_ig_i_a_shd_008.b_gui_ig_i_a_shd_008'</v>
      </c>
      <c r="X61" s="65"/>
    </row>
    <row r="62" spans="1:24" ht="15.75" thickBot="1" x14ac:dyDescent="0.3">
      <c r="A62" s="65">
        <v>60</v>
      </c>
      <c r="B62" s="65">
        <f>HEX2DEC(A62+Items!$A$9)</f>
        <v>20971616</v>
      </c>
      <c r="C62" s="65" t="s">
        <v>5253</v>
      </c>
      <c r="D62" s="65" t="s">
        <v>5252</v>
      </c>
      <c r="E62" s="65" t="s">
        <v>2384</v>
      </c>
      <c r="F62" s="65" t="s">
        <v>4648</v>
      </c>
      <c r="G62" s="65"/>
      <c r="H62" s="65"/>
      <c r="I62" s="65"/>
      <c r="J62" s="65">
        <v>1</v>
      </c>
      <c r="K62" s="65">
        <v>2</v>
      </c>
      <c r="L62" s="65">
        <v>3</v>
      </c>
      <c r="M62" s="65" t="s">
        <v>5350</v>
      </c>
      <c r="N62" s="65" t="s">
        <v>5537</v>
      </c>
      <c r="O62" s="65" t="s">
        <v>5538</v>
      </c>
      <c r="P62" s="65" t="s">
        <v>5465</v>
      </c>
      <c r="Q62" s="65">
        <v>15</v>
      </c>
      <c r="R62" s="65">
        <v>10</v>
      </c>
      <c r="S62" s="65">
        <v>9</v>
      </c>
      <c r="T62" s="65">
        <v>47</v>
      </c>
      <c r="U62" s="65" t="str">
        <f t="shared" si="1"/>
        <v>DA_sh_un_m_o_c_m_vesicle</v>
      </c>
      <c r="V62" s="65" t="str">
        <f t="shared" si="2"/>
        <v>/Game/DungeonSiege/Items/Armor/Shield/DA_sh_un_m_o_c_m_vesicle</v>
      </c>
      <c r="W62" s="65" t="str">
        <f t="shared" si="3"/>
        <v>Texture2D'/Game/DungeonSiege/art/bitmaps/gui/in_game/inventory/armor/shield/b_gui_ig_i_a_shd_032.b_gui_ig_i_a_shd_032'</v>
      </c>
      <c r="X62" s="65"/>
    </row>
    <row r="63" spans="1:24" ht="15.75" thickBot="1" x14ac:dyDescent="0.3">
      <c r="A63" s="65">
        <v>61</v>
      </c>
      <c r="B63" s="65">
        <f>HEX2DEC(A63+Items!$A$9)</f>
        <v>20971617</v>
      </c>
      <c r="C63" s="65" t="s">
        <v>5254</v>
      </c>
      <c r="D63" s="65" t="s">
        <v>5228</v>
      </c>
      <c r="E63" s="65" t="s">
        <v>2384</v>
      </c>
      <c r="F63" s="65" t="s">
        <v>5005</v>
      </c>
      <c r="G63" s="65"/>
      <c r="H63" s="65"/>
      <c r="I63" s="65"/>
      <c r="J63" s="65">
        <v>1</v>
      </c>
      <c r="K63" s="65">
        <v>2</v>
      </c>
      <c r="L63" s="65">
        <v>2</v>
      </c>
      <c r="M63" s="65" t="s">
        <v>5351</v>
      </c>
      <c r="N63" s="65" t="s">
        <v>5539</v>
      </c>
      <c r="O63" s="65" t="s">
        <v>5540</v>
      </c>
      <c r="P63" s="65" t="s">
        <v>5427</v>
      </c>
      <c r="Q63" s="65">
        <v>10</v>
      </c>
      <c r="R63" s="65">
        <v>10</v>
      </c>
      <c r="S63" s="65">
        <v>7</v>
      </c>
      <c r="T63" s="65">
        <v>37</v>
      </c>
      <c r="U63" s="65" t="str">
        <f t="shared" si="1"/>
        <v>DA_sh_un_m_o_h_s_horn</v>
      </c>
      <c r="V63" s="65" t="str">
        <f t="shared" si="2"/>
        <v>/Game/DungeonSiege/Items/Armor/Shield/DA_sh_un_m_o_h_s_horn</v>
      </c>
      <c r="W63" s="65" t="str">
        <f t="shared" si="3"/>
        <v>Texture2D'/Game/DungeonSiege/art/bitmaps/gui/in_game/inventory/armor/shield/b_gui_ig_i_a_shd_023.b_gui_ig_i_a_shd_023'</v>
      </c>
      <c r="X63" s="65"/>
    </row>
    <row r="64" spans="1:24" ht="15.75" thickBot="1" x14ac:dyDescent="0.3">
      <c r="A64" s="65">
        <v>62</v>
      </c>
      <c r="B64" s="65">
        <f>HEX2DEC(A64+Items!$A$9)</f>
        <v>20971618</v>
      </c>
      <c r="C64" s="65" t="s">
        <v>5255</v>
      </c>
      <c r="D64" s="65" t="s">
        <v>5002</v>
      </c>
      <c r="E64" s="65" t="s">
        <v>2384</v>
      </c>
      <c r="F64" s="65" t="s">
        <v>5000</v>
      </c>
      <c r="G64" s="65"/>
      <c r="H64" s="65"/>
      <c r="I64" s="65"/>
      <c r="J64" s="65">
        <v>1</v>
      </c>
      <c r="K64" s="65">
        <v>2</v>
      </c>
      <c r="L64" s="65">
        <v>2</v>
      </c>
      <c r="M64" s="65" t="s">
        <v>5352</v>
      </c>
      <c r="N64" s="65" t="s">
        <v>5541</v>
      </c>
      <c r="O64" s="65" t="s">
        <v>5542</v>
      </c>
      <c r="P64" s="65" t="s">
        <v>5427</v>
      </c>
      <c r="Q64" s="65">
        <v>10</v>
      </c>
      <c r="R64" s="65">
        <v>10</v>
      </c>
      <c r="S64" s="65">
        <v>5</v>
      </c>
      <c r="T64" s="65">
        <v>25</v>
      </c>
      <c r="U64" s="65" t="str">
        <f t="shared" si="1"/>
        <v>DA_sh_un_m_o_h_s_ram</v>
      </c>
      <c r="V64" s="65" t="str">
        <f t="shared" si="2"/>
        <v>/Game/DungeonSiege/Items/Armor/Shield/DA_sh_un_m_o_h_s_ram</v>
      </c>
      <c r="W64" s="65" t="str">
        <f t="shared" si="3"/>
        <v>Texture2D'/Game/DungeonSiege/art/bitmaps/gui/in_game/inventory/armor/shield/b_gui_ig_i_a_shd_025.b_gui_ig_i_a_shd_025'</v>
      </c>
      <c r="X64" s="65"/>
    </row>
    <row r="65" spans="1:24" ht="15.75" thickBot="1" x14ac:dyDescent="0.3">
      <c r="A65" s="65">
        <v>63</v>
      </c>
      <c r="B65" s="65">
        <f>HEX2DEC(A65+Items!$A$9)</f>
        <v>20971619</v>
      </c>
      <c r="C65" s="65" t="s">
        <v>5256</v>
      </c>
      <c r="D65" s="65" t="s">
        <v>5196</v>
      </c>
      <c r="E65" s="65" t="s">
        <v>2384</v>
      </c>
      <c r="F65" s="65" t="s">
        <v>5018</v>
      </c>
      <c r="G65" s="65">
        <v>1</v>
      </c>
      <c r="H65" s="65"/>
      <c r="I65" s="65"/>
      <c r="J65" s="65"/>
      <c r="K65" s="65">
        <v>2</v>
      </c>
      <c r="L65" s="65">
        <v>3</v>
      </c>
      <c r="M65" s="65" t="s">
        <v>5353</v>
      </c>
      <c r="N65" s="65" t="s">
        <v>5543</v>
      </c>
      <c r="O65" s="65" t="s">
        <v>5544</v>
      </c>
      <c r="P65" s="65" t="s">
        <v>5545</v>
      </c>
      <c r="Q65" s="65">
        <v>15</v>
      </c>
      <c r="R65" s="65">
        <v>15</v>
      </c>
      <c r="S65" s="65">
        <v>4</v>
      </c>
      <c r="T65" s="65">
        <v>19</v>
      </c>
      <c r="U65" s="65" t="str">
        <f t="shared" si="1"/>
        <v>DA_sh_un_m_o_k_m_dermal</v>
      </c>
      <c r="V65" s="65" t="str">
        <f t="shared" si="2"/>
        <v>/Game/DungeonSiege/Items/Armor/Shield/DA_sh_un_m_o_k_m_dermal</v>
      </c>
      <c r="W65" s="65" t="str">
        <f t="shared" si="3"/>
        <v>Texture2D'/Game/DungeonSiege/art/bitmaps/gui/in_game/inventory/armor/shield/b_gui_ig_i_a_shd_037.b_gui_ig_i_a_shd_037'</v>
      </c>
      <c r="X65" s="65"/>
    </row>
    <row r="66" spans="1:24" ht="15.75" thickBot="1" x14ac:dyDescent="0.3">
      <c r="A66" s="65">
        <v>64</v>
      </c>
      <c r="B66" s="65">
        <f>HEX2DEC(A66+Items!$A$9)</f>
        <v>20971620</v>
      </c>
      <c r="C66" s="65" t="s">
        <v>5257</v>
      </c>
      <c r="D66" s="65" t="s">
        <v>5258</v>
      </c>
      <c r="E66" s="65" t="s">
        <v>2384</v>
      </c>
      <c r="F66" s="65" t="s">
        <v>5233</v>
      </c>
      <c r="G66" s="65"/>
      <c r="H66" s="65"/>
      <c r="I66" s="65"/>
      <c r="J66" s="65">
        <v>1</v>
      </c>
      <c r="K66" s="65">
        <v>2</v>
      </c>
      <c r="L66" s="65">
        <v>3</v>
      </c>
      <c r="M66" s="65" t="s">
        <v>5354</v>
      </c>
      <c r="N66" s="65" t="s">
        <v>5546</v>
      </c>
      <c r="O66" s="65" t="s">
        <v>5547</v>
      </c>
      <c r="P66" s="65" t="s">
        <v>5545</v>
      </c>
      <c r="Q66" s="65">
        <v>15</v>
      </c>
      <c r="R66" s="65">
        <v>15</v>
      </c>
      <c r="S66" s="65">
        <v>10</v>
      </c>
      <c r="T66" s="65">
        <v>50</v>
      </c>
      <c r="U66" s="65" t="str">
        <f t="shared" si="1"/>
        <v>DA_sh_un_m_o_k_m_guardian</v>
      </c>
      <c r="V66" s="65" t="str">
        <f t="shared" si="2"/>
        <v>/Game/DungeonSiege/Items/Armor/Shield/DA_sh_un_m_o_k_m_guardian</v>
      </c>
      <c r="W66" s="65" t="str">
        <f t="shared" ref="W66:W97" si="4">CONCATENATE("Texture2D'/Game/DungeonSiege/art/bitmaps/gui/in_game/inventory/armor/shield/",N66,".",N66,"'")</f>
        <v>Texture2D'/Game/DungeonSiege/art/bitmaps/gui/in_game/inventory/armor/shield/b_gui_ig_i_a_shd_011.b_gui_ig_i_a_shd_011'</v>
      </c>
      <c r="X66" s="65"/>
    </row>
    <row r="67" spans="1:24" ht="15.75" thickBot="1" x14ac:dyDescent="0.3">
      <c r="A67" s="65">
        <v>65</v>
      </c>
      <c r="B67" s="65">
        <f>HEX2DEC(A67+Items!$A$9)</f>
        <v>20971621</v>
      </c>
      <c r="C67" s="65" t="s">
        <v>5259</v>
      </c>
      <c r="D67" s="65" t="s">
        <v>4998</v>
      </c>
      <c r="E67" s="65" t="s">
        <v>2384</v>
      </c>
      <c r="F67" s="65" t="s">
        <v>5017</v>
      </c>
      <c r="G67" s="65"/>
      <c r="H67" s="65"/>
      <c r="I67" s="65"/>
      <c r="J67" s="65">
        <v>1</v>
      </c>
      <c r="K67" s="65">
        <v>2</v>
      </c>
      <c r="L67" s="65">
        <v>3</v>
      </c>
      <c r="M67" s="65" t="s">
        <v>5355</v>
      </c>
      <c r="N67" s="65" t="s">
        <v>5548</v>
      </c>
      <c r="O67" s="65" t="s">
        <v>5549</v>
      </c>
      <c r="P67" s="65" t="s">
        <v>5545</v>
      </c>
      <c r="Q67" s="65">
        <v>15</v>
      </c>
      <c r="R67" s="65">
        <v>15</v>
      </c>
      <c r="S67" s="65">
        <v>4</v>
      </c>
      <c r="T67" s="65">
        <v>22</v>
      </c>
      <c r="U67" s="65" t="str">
        <f t="shared" ref="U67:U116" si="5" xml:space="preserve"> CONCATENATE("DA_",SUBSTITUTE(M67,":","_"))</f>
        <v>DA_sh_un_m_o_k_m_maw</v>
      </c>
      <c r="V67" s="65" t="str">
        <f t="shared" ref="V67:V116" si="6">"/Game/DungeonSiege/Items/Armor/Shield/" &amp; U67</f>
        <v>/Game/DungeonSiege/Items/Armor/Shield/DA_sh_un_m_o_k_m_maw</v>
      </c>
      <c r="W67" s="65" t="str">
        <f t="shared" si="4"/>
        <v>Texture2D'/Game/DungeonSiege/art/bitmaps/gui/in_game/inventory/armor/shield/b_gui_ig_i_a_shd_038.b_gui_ig_i_a_shd_038'</v>
      </c>
      <c r="X67" s="65"/>
    </row>
    <row r="68" spans="1:24" ht="15.75" thickBot="1" x14ac:dyDescent="0.3">
      <c r="A68" s="65">
        <v>66</v>
      </c>
      <c r="B68" s="65">
        <f>HEX2DEC(A68+Items!$A$9)</f>
        <v>20971622</v>
      </c>
      <c r="C68" s="65" t="s">
        <v>5260</v>
      </c>
      <c r="D68" s="65" t="s">
        <v>5261</v>
      </c>
      <c r="E68" s="65" t="s">
        <v>2384</v>
      </c>
      <c r="F68" s="65" t="s">
        <v>5262</v>
      </c>
      <c r="G68" s="65"/>
      <c r="H68" s="65"/>
      <c r="I68" s="65"/>
      <c r="J68" s="65">
        <v>1</v>
      </c>
      <c r="K68" s="65">
        <v>2</v>
      </c>
      <c r="L68" s="65">
        <v>3</v>
      </c>
      <c r="M68" s="65" t="s">
        <v>5356</v>
      </c>
      <c r="N68" s="65" t="s">
        <v>5550</v>
      </c>
      <c r="O68" s="65" t="s">
        <v>5551</v>
      </c>
      <c r="P68" s="65" t="s">
        <v>5545</v>
      </c>
      <c r="Q68" s="65">
        <v>15</v>
      </c>
      <c r="R68" s="65">
        <v>15</v>
      </c>
      <c r="S68" s="65">
        <v>10</v>
      </c>
      <c r="T68" s="65">
        <v>52</v>
      </c>
      <c r="U68" s="65" t="str">
        <f t="shared" si="5"/>
        <v>DA_sh_un_m_o_k_m_sumbioum</v>
      </c>
      <c r="V68" s="65" t="str">
        <f t="shared" si="6"/>
        <v>/Game/DungeonSiege/Items/Armor/Shield/DA_sh_un_m_o_k_m_sumbioum</v>
      </c>
      <c r="W68" s="65" t="str">
        <f t="shared" si="4"/>
        <v>Texture2D'/Game/DungeonSiege/art/bitmaps/gui/in_game/inventory/armor/shield/b_gui_ig_i_a_shd_039.b_gui_ig_i_a_shd_039'</v>
      </c>
      <c r="X68" s="65"/>
    </row>
    <row r="69" spans="1:24" ht="15.75" thickBot="1" x14ac:dyDescent="0.3">
      <c r="A69" s="65">
        <v>67</v>
      </c>
      <c r="B69" s="65">
        <f>HEX2DEC(A69+Items!$A$9)</f>
        <v>20971623</v>
      </c>
      <c r="C69" s="65" t="s">
        <v>5263</v>
      </c>
      <c r="D69" s="65" t="s">
        <v>4509</v>
      </c>
      <c r="E69" s="65" t="s">
        <v>2384</v>
      </c>
      <c r="F69" s="65" t="s">
        <v>4999</v>
      </c>
      <c r="G69" s="65"/>
      <c r="H69" s="65"/>
      <c r="I69" s="65"/>
      <c r="J69" s="65">
        <v>1</v>
      </c>
      <c r="K69" s="65">
        <v>2</v>
      </c>
      <c r="L69" s="65">
        <v>2</v>
      </c>
      <c r="M69" s="65" t="s">
        <v>5357</v>
      </c>
      <c r="N69" s="65" t="s">
        <v>5552</v>
      </c>
      <c r="O69" s="65" t="s">
        <v>5553</v>
      </c>
      <c r="P69" s="65" t="s">
        <v>5424</v>
      </c>
      <c r="Q69" s="65">
        <v>10</v>
      </c>
      <c r="R69" s="65">
        <v>5</v>
      </c>
      <c r="S69" s="65">
        <v>6</v>
      </c>
      <c r="T69" s="65">
        <v>33</v>
      </c>
      <c r="U69" s="65" t="str">
        <f t="shared" si="5"/>
        <v>DA_sh_un_m_o_r_m_aurora</v>
      </c>
      <c r="V69" s="65" t="str">
        <f t="shared" si="6"/>
        <v>/Game/DungeonSiege/Items/Armor/Shield/DA_sh_un_m_o_r_m_aurora</v>
      </c>
      <c r="W69" s="65" t="str">
        <f t="shared" si="4"/>
        <v>Texture2D'/Game/DungeonSiege/art/bitmaps/gui/in_game/inventory/armor/shield/b_gui_ig_i_a_shd_070.b_gui_ig_i_a_shd_070'</v>
      </c>
      <c r="X69" s="65"/>
    </row>
    <row r="70" spans="1:24" ht="15.75" thickBot="1" x14ac:dyDescent="0.3">
      <c r="A70" s="65">
        <v>68</v>
      </c>
      <c r="B70" s="65">
        <f>HEX2DEC(A70+Items!$A$9)</f>
        <v>20971624</v>
      </c>
      <c r="C70" s="65" t="s">
        <v>5264</v>
      </c>
      <c r="D70" s="65" t="s">
        <v>4999</v>
      </c>
      <c r="E70" s="65" t="s">
        <v>2384</v>
      </c>
      <c r="F70" s="65" t="s">
        <v>5196</v>
      </c>
      <c r="G70" s="65"/>
      <c r="H70" s="65"/>
      <c r="I70" s="65"/>
      <c r="J70" s="65">
        <v>1</v>
      </c>
      <c r="K70" s="65">
        <v>2</v>
      </c>
      <c r="L70" s="65">
        <v>2</v>
      </c>
      <c r="M70" s="65" t="s">
        <v>5358</v>
      </c>
      <c r="N70" s="65" t="s">
        <v>5554</v>
      </c>
      <c r="O70" s="65" t="s">
        <v>5555</v>
      </c>
      <c r="P70" s="65" t="s">
        <v>5424</v>
      </c>
      <c r="Q70" s="65">
        <v>10</v>
      </c>
      <c r="R70" s="65">
        <v>5</v>
      </c>
      <c r="S70" s="65">
        <v>5</v>
      </c>
      <c r="T70" s="65">
        <v>24</v>
      </c>
      <c r="U70" s="65" t="str">
        <f t="shared" si="5"/>
        <v>DA_sh_un_m_o_r_m_canker</v>
      </c>
      <c r="V70" s="65" t="str">
        <f t="shared" si="6"/>
        <v>/Game/DungeonSiege/Items/Armor/Shield/DA_sh_un_m_o_r_m_canker</v>
      </c>
      <c r="W70" s="65" t="str">
        <f t="shared" si="4"/>
        <v>Texture2D'/Game/DungeonSiege/art/bitmaps/gui/in_game/inventory/armor/shield/b_gui_ig_i_a_shd_071.b_gui_ig_i_a_shd_071'</v>
      </c>
      <c r="X70" s="65"/>
    </row>
    <row r="71" spans="1:24" ht="15.75" thickBot="1" x14ac:dyDescent="0.3">
      <c r="A71" s="65">
        <v>69</v>
      </c>
      <c r="B71" s="65">
        <f>HEX2DEC(A71+Items!$A$9)</f>
        <v>20971625</v>
      </c>
      <c r="C71" s="65" t="s">
        <v>5265</v>
      </c>
      <c r="D71" s="65" t="s">
        <v>5005</v>
      </c>
      <c r="E71" s="65" t="s">
        <v>2384</v>
      </c>
      <c r="F71" s="65" t="s">
        <v>5015</v>
      </c>
      <c r="G71" s="65"/>
      <c r="H71" s="65"/>
      <c r="I71" s="65"/>
      <c r="J71" s="65">
        <v>1</v>
      </c>
      <c r="K71" s="65">
        <v>2</v>
      </c>
      <c r="L71" s="65">
        <v>2</v>
      </c>
      <c r="M71" s="65" t="s">
        <v>5359</v>
      </c>
      <c r="N71" s="65" t="s">
        <v>5556</v>
      </c>
      <c r="O71" s="65" t="s">
        <v>5557</v>
      </c>
      <c r="P71" s="65" t="s">
        <v>5424</v>
      </c>
      <c r="Q71" s="65">
        <v>5</v>
      </c>
      <c r="R71" s="65">
        <v>5</v>
      </c>
      <c r="S71" s="65">
        <v>5</v>
      </c>
      <c r="T71" s="65">
        <v>27</v>
      </c>
      <c r="U71" s="65" t="str">
        <f t="shared" si="5"/>
        <v>DA_sh_un_m_o_r_m_chitin</v>
      </c>
      <c r="V71" s="65" t="str">
        <f t="shared" si="6"/>
        <v>/Game/DungeonSiege/Items/Armor/Shield/DA_sh_un_m_o_r_m_chitin</v>
      </c>
      <c r="W71" s="65" t="str">
        <f t="shared" si="4"/>
        <v>Texture2D'/Game/DungeonSiege/art/bitmaps/gui/in_game/inventory/armor/shield/b_gui_ig_i_a_shd_041.b_gui_ig_i_a_shd_041'</v>
      </c>
      <c r="X71" s="65"/>
    </row>
    <row r="72" spans="1:24" ht="15.75" thickBot="1" x14ac:dyDescent="0.3">
      <c r="A72" s="65">
        <v>70</v>
      </c>
      <c r="B72" s="65">
        <f>HEX2DEC(A72+Items!$A$9)</f>
        <v>20971632</v>
      </c>
      <c r="C72" s="65" t="s">
        <v>5266</v>
      </c>
      <c r="D72" s="65" t="s">
        <v>5267</v>
      </c>
      <c r="E72" s="65" t="s">
        <v>2384</v>
      </c>
      <c r="F72" s="65" t="s">
        <v>5010</v>
      </c>
      <c r="G72" s="65"/>
      <c r="H72" s="65"/>
      <c r="I72" s="65"/>
      <c r="J72" s="65">
        <v>1</v>
      </c>
      <c r="K72" s="65">
        <v>2</v>
      </c>
      <c r="L72" s="65">
        <v>2</v>
      </c>
      <c r="M72" s="65" t="s">
        <v>5360</v>
      </c>
      <c r="N72" s="65" t="s">
        <v>5558</v>
      </c>
      <c r="O72" s="65" t="s">
        <v>5559</v>
      </c>
      <c r="P72" s="65" t="s">
        <v>5424</v>
      </c>
      <c r="Q72" s="65">
        <v>10</v>
      </c>
      <c r="R72" s="65">
        <v>5</v>
      </c>
      <c r="S72" s="65">
        <v>9</v>
      </c>
      <c r="T72" s="65">
        <v>45</v>
      </c>
      <c r="U72" s="65" t="str">
        <f t="shared" si="5"/>
        <v>DA_sh_un_m_o_r_m_fury</v>
      </c>
      <c r="V72" s="65" t="str">
        <f t="shared" si="6"/>
        <v>/Game/DungeonSiege/Items/Armor/Shield/DA_sh_un_m_o_r_m_fury</v>
      </c>
      <c r="W72" s="65" t="str">
        <f t="shared" si="4"/>
        <v>Texture2D'/Game/DungeonSiege/art/bitmaps/gui/in_game/inventory/armor/shield/b_gui_ig_i_a_shd_073.b_gui_ig_i_a_shd_073'</v>
      </c>
      <c r="X72" s="65"/>
    </row>
    <row r="73" spans="1:24" ht="15.75" thickBot="1" x14ac:dyDescent="0.3">
      <c r="A73" s="65">
        <v>71</v>
      </c>
      <c r="B73" s="65">
        <f>HEX2DEC(A73+Items!$A$9)</f>
        <v>20971633</v>
      </c>
      <c r="C73" s="65" t="s">
        <v>5268</v>
      </c>
      <c r="D73" s="65" t="s">
        <v>5244</v>
      </c>
      <c r="E73" s="65" t="s">
        <v>2384</v>
      </c>
      <c r="F73" s="65" t="s">
        <v>5245</v>
      </c>
      <c r="G73" s="65"/>
      <c r="H73" s="65"/>
      <c r="I73" s="65"/>
      <c r="J73" s="65">
        <v>1</v>
      </c>
      <c r="K73" s="65">
        <v>2</v>
      </c>
      <c r="L73" s="65">
        <v>2</v>
      </c>
      <c r="M73" s="65" t="s">
        <v>5361</v>
      </c>
      <c r="N73" s="65" t="s">
        <v>5560</v>
      </c>
      <c r="O73" s="65" t="s">
        <v>5561</v>
      </c>
      <c r="P73" s="65" t="s">
        <v>5443</v>
      </c>
      <c r="Q73" s="65">
        <v>5</v>
      </c>
      <c r="R73" s="65">
        <v>5</v>
      </c>
      <c r="S73" s="65">
        <v>11</v>
      </c>
      <c r="T73" s="65">
        <v>57</v>
      </c>
      <c r="U73" s="65" t="str">
        <f t="shared" si="5"/>
        <v>DA_sh_un_m_o_r_m_spirit</v>
      </c>
      <c r="V73" s="65" t="str">
        <f t="shared" si="6"/>
        <v>/Game/DungeonSiege/Items/Armor/Shield/DA_sh_un_m_o_r_m_spirit</v>
      </c>
      <c r="W73" s="65" t="str">
        <f t="shared" si="4"/>
        <v>Texture2D'/Game/DungeonSiege/art/bitmaps/gui/in_game/inventory/armor/shield/b_gui_ig_i_a_shd_029.b_gui_ig_i_a_shd_029'</v>
      </c>
      <c r="X73" s="65"/>
    </row>
    <row r="74" spans="1:24" ht="15.75" thickBot="1" x14ac:dyDescent="0.3">
      <c r="A74" s="65">
        <v>72</v>
      </c>
      <c r="B74" s="65">
        <f>HEX2DEC(A74+Items!$A$9)</f>
        <v>20971634</v>
      </c>
      <c r="C74" s="65" t="s">
        <v>5269</v>
      </c>
      <c r="D74" s="65" t="s">
        <v>5270</v>
      </c>
      <c r="E74" s="65" t="s">
        <v>2384</v>
      </c>
      <c r="F74" s="65" t="s">
        <v>5009</v>
      </c>
      <c r="G74" s="65"/>
      <c r="H74" s="65"/>
      <c r="I74" s="65"/>
      <c r="J74" s="65">
        <v>1</v>
      </c>
      <c r="K74" s="65">
        <v>2</v>
      </c>
      <c r="L74" s="65">
        <v>2</v>
      </c>
      <c r="M74" s="65" t="s">
        <v>5362</v>
      </c>
      <c r="N74" s="65" t="s">
        <v>5562</v>
      </c>
      <c r="O74" s="65" t="s">
        <v>5563</v>
      </c>
      <c r="P74" s="65" t="s">
        <v>5440</v>
      </c>
      <c r="Q74" s="65">
        <v>10</v>
      </c>
      <c r="R74" s="65">
        <v>5</v>
      </c>
      <c r="S74" s="65">
        <v>0</v>
      </c>
      <c r="T74" s="65">
        <v>44</v>
      </c>
      <c r="U74" s="65" t="str">
        <f t="shared" si="5"/>
        <v>DA_sh_un_m_o_r_m_turtle</v>
      </c>
      <c r="V74" s="65" t="str">
        <f t="shared" si="6"/>
        <v>/Game/DungeonSiege/Items/Armor/Shield/DA_sh_un_m_o_r_m_turtle</v>
      </c>
      <c r="W74" s="65" t="str">
        <f t="shared" si="4"/>
        <v>Texture2D'/Game/DungeonSiege/art/bitmaps/gui/in_game/inventory/armor/shield/b_gui_ig_i_a_shd_021.b_gui_ig_i_a_shd_021'</v>
      </c>
      <c r="X74" s="65"/>
    </row>
    <row r="75" spans="1:24" ht="15.75" thickBot="1" x14ac:dyDescent="0.3">
      <c r="A75" s="65">
        <v>73</v>
      </c>
      <c r="B75" s="65">
        <f>HEX2DEC(A75+Items!$A$9)</f>
        <v>20971635</v>
      </c>
      <c r="C75" s="65" t="s">
        <v>5271</v>
      </c>
      <c r="D75" s="65" t="s">
        <v>5272</v>
      </c>
      <c r="E75" s="65" t="s">
        <v>2384</v>
      </c>
      <c r="F75" s="65" t="s">
        <v>5231</v>
      </c>
      <c r="G75" s="65"/>
      <c r="H75" s="65"/>
      <c r="I75" s="65"/>
      <c r="J75" s="65">
        <v>1</v>
      </c>
      <c r="K75" s="65">
        <v>2</v>
      </c>
      <c r="L75" s="65">
        <v>3</v>
      </c>
      <c r="M75" s="65" t="s">
        <v>5363</v>
      </c>
      <c r="N75" s="65" t="s">
        <v>5564</v>
      </c>
      <c r="O75" s="65" t="s">
        <v>5565</v>
      </c>
      <c r="P75" s="65" t="s">
        <v>5534</v>
      </c>
      <c r="Q75" s="65">
        <v>15</v>
      </c>
      <c r="R75" s="65">
        <v>10</v>
      </c>
      <c r="S75" s="65">
        <v>10</v>
      </c>
      <c r="T75" s="65">
        <v>53</v>
      </c>
      <c r="U75" s="65" t="str">
        <f t="shared" si="5"/>
        <v>DA_sh_un_w_o_h_m_beast</v>
      </c>
      <c r="V75" s="65" t="str">
        <f t="shared" si="6"/>
        <v>/Game/DungeonSiege/Items/Armor/Shield/DA_sh_un_w_o_h_m_beast</v>
      </c>
      <c r="W75" s="65" t="str">
        <f t="shared" si="4"/>
        <v>Texture2D'/Game/DungeonSiege/art/bitmaps/gui/in_game/inventory/armor/shield/b_gui_ig_i_a_shd_005.b_gui_ig_i_a_shd_005'</v>
      </c>
      <c r="X75" s="65"/>
    </row>
    <row r="76" spans="1:24" ht="15.75" thickBot="1" x14ac:dyDescent="0.3">
      <c r="A76" s="65">
        <v>74</v>
      </c>
      <c r="B76" s="65">
        <f>HEX2DEC(A76+Items!$A$9)</f>
        <v>20971636</v>
      </c>
      <c r="C76" s="65" t="s">
        <v>5273</v>
      </c>
      <c r="D76" s="65" t="s">
        <v>5274</v>
      </c>
      <c r="E76" s="65" t="s">
        <v>2384</v>
      </c>
      <c r="F76" s="65" t="s">
        <v>5275</v>
      </c>
      <c r="G76" s="65"/>
      <c r="H76" s="65"/>
      <c r="I76" s="65"/>
      <c r="J76" s="65">
        <v>1</v>
      </c>
      <c r="K76" s="65">
        <v>2</v>
      </c>
      <c r="L76" s="65">
        <v>3</v>
      </c>
      <c r="M76" s="65" t="s">
        <v>5364</v>
      </c>
      <c r="N76" s="65" t="s">
        <v>5566</v>
      </c>
      <c r="O76" s="65" t="s">
        <v>5567</v>
      </c>
      <c r="P76" s="65" t="s">
        <v>5568</v>
      </c>
      <c r="Q76" s="65">
        <v>25</v>
      </c>
      <c r="R76" s="65">
        <v>20</v>
      </c>
      <c r="S76" s="65">
        <v>10</v>
      </c>
      <c r="T76" s="65">
        <v>55</v>
      </c>
      <c r="U76" s="65" t="str">
        <f t="shared" si="5"/>
        <v>DA_sh_un_w_o_k_m_crown</v>
      </c>
      <c r="V76" s="65" t="str">
        <f t="shared" si="6"/>
        <v>/Game/DungeonSiege/Items/Armor/Shield/DA_sh_un_w_o_k_m_crown</v>
      </c>
      <c r="W76" s="65" t="str">
        <f t="shared" si="4"/>
        <v>Texture2D'/Game/DungeonSiege/art/bitmaps/gui/in_game/inventory/armor/shield/b_gui_ig_i_a_shd_088.b_gui_ig_i_a_shd_088'</v>
      </c>
      <c r="X76" s="65"/>
    </row>
    <row r="77" spans="1:24" ht="15.75" thickBot="1" x14ac:dyDescent="0.3">
      <c r="A77" s="65">
        <v>75</v>
      </c>
      <c r="B77" s="65">
        <f>HEX2DEC(A77+Items!$A$9)</f>
        <v>20971637</v>
      </c>
      <c r="C77" s="65" t="s">
        <v>5276</v>
      </c>
      <c r="D77" s="65" t="s">
        <v>4978</v>
      </c>
      <c r="E77" s="65" t="s">
        <v>2384</v>
      </c>
      <c r="F77" s="65" t="s">
        <v>4980</v>
      </c>
      <c r="G77" s="65">
        <v>1</v>
      </c>
      <c r="H77" s="65"/>
      <c r="I77" s="65"/>
      <c r="J77" s="65"/>
      <c r="K77" s="65">
        <v>2</v>
      </c>
      <c r="L77" s="65">
        <v>2</v>
      </c>
      <c r="M77" s="65" t="s">
        <v>5365</v>
      </c>
      <c r="N77" s="65" t="s">
        <v>5569</v>
      </c>
      <c r="O77" s="65" t="s">
        <v>5570</v>
      </c>
      <c r="P77" s="65" t="s">
        <v>5477</v>
      </c>
      <c r="Q77" s="65">
        <v>20</v>
      </c>
      <c r="R77" s="65">
        <v>10</v>
      </c>
      <c r="S77" s="65"/>
      <c r="T77" s="65"/>
      <c r="U77" s="65" t="str">
        <f t="shared" si="5"/>
        <v>DA_sh_w_g_c_h_m_avg</v>
      </c>
      <c r="V77" s="65" t="str">
        <f t="shared" si="6"/>
        <v>/Game/DungeonSiege/Items/Armor/Shield/DA_sh_w_g_c_h_m_avg</v>
      </c>
      <c r="W77" s="65" t="str">
        <f t="shared" si="4"/>
        <v>Texture2D'/Game/DungeonSiege/art/bitmaps/gui/in_game/inventory/armor/shield/b_gui_ig_i_a_shd_103.b_gui_ig_i_a_shd_103'</v>
      </c>
      <c r="X77" s="65"/>
    </row>
    <row r="78" spans="1:24" ht="15.75" thickBot="1" x14ac:dyDescent="0.3">
      <c r="A78" s="65">
        <v>76</v>
      </c>
      <c r="B78" s="65">
        <f>HEX2DEC(A78+Items!$A$9)</f>
        <v>20971638</v>
      </c>
      <c r="C78" s="65" t="s">
        <v>5276</v>
      </c>
      <c r="D78" s="65" t="s">
        <v>5006</v>
      </c>
      <c r="E78" s="65" t="s">
        <v>2384</v>
      </c>
      <c r="F78" s="65" t="s">
        <v>5011</v>
      </c>
      <c r="G78" s="65">
        <v>1</v>
      </c>
      <c r="H78" s="65">
        <v>1</v>
      </c>
      <c r="I78" s="65"/>
      <c r="J78" s="65"/>
      <c r="K78" s="65">
        <v>2</v>
      </c>
      <c r="L78" s="65">
        <v>2</v>
      </c>
      <c r="M78" s="65" t="s">
        <v>5366</v>
      </c>
      <c r="N78" s="65" t="s">
        <v>5571</v>
      </c>
      <c r="O78" s="65" t="s">
        <v>5572</v>
      </c>
      <c r="P78" s="65" t="s">
        <v>5477</v>
      </c>
      <c r="Q78" s="65">
        <v>20</v>
      </c>
      <c r="R78" s="65">
        <v>10</v>
      </c>
      <c r="S78" s="65">
        <v>7</v>
      </c>
      <c r="T78" s="65">
        <v>10</v>
      </c>
      <c r="U78" s="65" t="str">
        <f t="shared" si="5"/>
        <v>DA_sh_w_g_c_h_m_avg_c_mag</v>
      </c>
      <c r="V78" s="65" t="str">
        <f t="shared" si="6"/>
        <v>/Game/DungeonSiege/Items/Armor/Shield/DA_sh_w_g_c_h_m_avg_c_mag</v>
      </c>
      <c r="W78" s="65" t="str">
        <f t="shared" si="4"/>
        <v>Texture2D'/Game/DungeonSiege/art/bitmaps/gui/in_game/inventory/armor/shield/b_gui_ig_i_a_shd_105.b_gui_ig_i_a_shd_105'</v>
      </c>
      <c r="X78" s="65"/>
    </row>
    <row r="79" spans="1:24" ht="15.75" thickBot="1" x14ac:dyDescent="0.3">
      <c r="A79" s="65">
        <v>77</v>
      </c>
      <c r="B79" s="65">
        <f>HEX2DEC(A79+Items!$A$9)</f>
        <v>20971639</v>
      </c>
      <c r="C79" s="65" t="s">
        <v>5276</v>
      </c>
      <c r="D79" s="65" t="s">
        <v>5198</v>
      </c>
      <c r="E79" s="65" t="s">
        <v>2384</v>
      </c>
      <c r="F79" s="65" t="s">
        <v>5018</v>
      </c>
      <c r="G79" s="65">
        <v>1</v>
      </c>
      <c r="H79" s="65">
        <v>1</v>
      </c>
      <c r="I79" s="65"/>
      <c r="J79" s="65"/>
      <c r="K79" s="65">
        <v>2</v>
      </c>
      <c r="L79" s="65">
        <v>2</v>
      </c>
      <c r="M79" s="65" t="s">
        <v>5367</v>
      </c>
      <c r="N79" s="65" t="s">
        <v>5573</v>
      </c>
      <c r="O79" s="65" t="s">
        <v>5476</v>
      </c>
      <c r="P79" s="65" t="s">
        <v>5477</v>
      </c>
      <c r="Q79" s="65">
        <v>20</v>
      </c>
      <c r="R79" s="65">
        <v>10</v>
      </c>
      <c r="S79" s="65">
        <v>3</v>
      </c>
      <c r="T79" s="65">
        <v>6</v>
      </c>
      <c r="U79" s="65" t="str">
        <f t="shared" si="5"/>
        <v>DA_sh_w_g_c_h_m_avg_c_str</v>
      </c>
      <c r="V79" s="65" t="str">
        <f t="shared" si="6"/>
        <v>/Game/DungeonSiege/Items/Armor/Shield/DA_sh_w_g_c_h_m_avg_c_str</v>
      </c>
      <c r="W79" s="65" t="str">
        <f t="shared" si="4"/>
        <v>Texture2D'/Game/DungeonSiege/art/bitmaps/gui/in_game/inventory/armor/shield/b_gui_ig_i_a_shd_104.b_gui_ig_i_a_shd_104'</v>
      </c>
      <c r="X79" s="65"/>
    </row>
    <row r="80" spans="1:24" ht="15.75" thickBot="1" x14ac:dyDescent="0.3">
      <c r="A80" s="65">
        <v>78</v>
      </c>
      <c r="B80" s="65">
        <f>HEX2DEC(A80+Items!$A$9)</f>
        <v>20971640</v>
      </c>
      <c r="C80" s="65" t="s">
        <v>5276</v>
      </c>
      <c r="D80" s="65" t="s">
        <v>5197</v>
      </c>
      <c r="E80" s="65" t="s">
        <v>2384</v>
      </c>
      <c r="F80" s="65" t="s">
        <v>4983</v>
      </c>
      <c r="G80" s="65">
        <v>1</v>
      </c>
      <c r="H80" s="65">
        <v>1</v>
      </c>
      <c r="I80" s="65"/>
      <c r="J80" s="65"/>
      <c r="K80" s="65">
        <v>2</v>
      </c>
      <c r="L80" s="65">
        <v>2</v>
      </c>
      <c r="M80" s="65" t="s">
        <v>5368</v>
      </c>
      <c r="N80" s="65" t="s">
        <v>5574</v>
      </c>
      <c r="O80" s="65" t="s">
        <v>5479</v>
      </c>
      <c r="P80" s="65" t="s">
        <v>5477</v>
      </c>
      <c r="Q80" s="65">
        <v>20</v>
      </c>
      <c r="R80" s="65">
        <v>10</v>
      </c>
      <c r="S80" s="65">
        <v>1</v>
      </c>
      <c r="T80" s="65">
        <v>3</v>
      </c>
      <c r="U80" s="65" t="str">
        <f t="shared" si="5"/>
        <v>DA_sh_w_g_c_h_m_avg_o_avg</v>
      </c>
      <c r="V80" s="65" t="str">
        <f t="shared" si="6"/>
        <v>/Game/DungeonSiege/Items/Armor/Shield/DA_sh_w_g_c_h_m_avg_o_avg</v>
      </c>
      <c r="W80" s="65" t="str">
        <f t="shared" si="4"/>
        <v>Texture2D'/Game/DungeonSiege/art/bitmaps/gui/in_game/inventory/armor/shield/b_gui_ig_i_a_shd_106.b_gui_ig_i_a_shd_106'</v>
      </c>
      <c r="X80" s="65"/>
    </row>
    <row r="81" spans="1:24" ht="15.75" thickBot="1" x14ac:dyDescent="0.3">
      <c r="A81" s="65">
        <v>79</v>
      </c>
      <c r="B81" s="65">
        <f>HEX2DEC(A81+Items!$A$9)</f>
        <v>20971641</v>
      </c>
      <c r="C81" s="65" t="s">
        <v>5276</v>
      </c>
      <c r="D81" s="65" t="s">
        <v>4509</v>
      </c>
      <c r="E81" s="65" t="s">
        <v>2384</v>
      </c>
      <c r="F81" s="65" t="s">
        <v>4999</v>
      </c>
      <c r="G81" s="65">
        <v>1</v>
      </c>
      <c r="H81" s="65">
        <v>1</v>
      </c>
      <c r="I81" s="65"/>
      <c r="J81" s="65"/>
      <c r="K81" s="65">
        <v>2</v>
      </c>
      <c r="L81" s="65">
        <v>2</v>
      </c>
      <c r="M81" s="65" t="s">
        <v>5369</v>
      </c>
      <c r="N81" s="65" t="s">
        <v>5575</v>
      </c>
      <c r="O81" s="65" t="s">
        <v>5576</v>
      </c>
      <c r="P81" s="65" t="s">
        <v>5477</v>
      </c>
      <c r="Q81" s="65">
        <v>20</v>
      </c>
      <c r="R81" s="65">
        <v>10</v>
      </c>
      <c r="S81" s="65">
        <v>9</v>
      </c>
      <c r="T81" s="65">
        <v>12</v>
      </c>
      <c r="U81" s="65" t="str">
        <f t="shared" si="5"/>
        <v>DA_sh_w_g_c_h_m_avg_o_mag</v>
      </c>
      <c r="V81" s="65" t="str">
        <f t="shared" si="6"/>
        <v>/Game/DungeonSiege/Items/Armor/Shield/DA_sh_w_g_c_h_m_avg_o_mag</v>
      </c>
      <c r="W81" s="65" t="str">
        <f t="shared" si="4"/>
        <v>Texture2D'/Game/DungeonSiege/art/bitmaps/gui/in_game/inventory/armor/shield/b_gui_ig_i_a_shd_108.b_gui_ig_i_a_shd_108'</v>
      </c>
      <c r="X81" s="65"/>
    </row>
    <row r="82" spans="1:24" ht="15.75" thickBot="1" x14ac:dyDescent="0.3">
      <c r="A82" s="65">
        <v>80</v>
      </c>
      <c r="B82" s="65">
        <f>HEX2DEC(A82+Items!$A$9)</f>
        <v>20971648</v>
      </c>
      <c r="C82" s="65" t="s">
        <v>5276</v>
      </c>
      <c r="D82" s="65" t="s">
        <v>5014</v>
      </c>
      <c r="E82" s="65" t="s">
        <v>2384</v>
      </c>
      <c r="F82" s="65" t="s">
        <v>5198</v>
      </c>
      <c r="G82" s="65">
        <v>1</v>
      </c>
      <c r="H82" s="65">
        <v>1</v>
      </c>
      <c r="I82" s="65"/>
      <c r="J82" s="65"/>
      <c r="K82" s="65">
        <v>2</v>
      </c>
      <c r="L82" s="65">
        <v>2</v>
      </c>
      <c r="M82" s="65" t="s">
        <v>5370</v>
      </c>
      <c r="N82" s="65" t="s">
        <v>5577</v>
      </c>
      <c r="O82" s="65" t="s">
        <v>5578</v>
      </c>
      <c r="P82" s="65" t="s">
        <v>5477</v>
      </c>
      <c r="Q82" s="65">
        <v>20</v>
      </c>
      <c r="R82" s="65">
        <v>10</v>
      </c>
      <c r="S82" s="65">
        <v>5</v>
      </c>
      <c r="T82" s="65">
        <v>8</v>
      </c>
      <c r="U82" s="65" t="str">
        <f t="shared" si="5"/>
        <v>DA_sh_w_g_c_h_m_avg_o_str</v>
      </c>
      <c r="V82" s="65" t="str">
        <f t="shared" si="6"/>
        <v>/Game/DungeonSiege/Items/Armor/Shield/DA_sh_w_g_c_h_m_avg_o_str</v>
      </c>
      <c r="W82" s="65" t="str">
        <f t="shared" si="4"/>
        <v>Texture2D'/Game/DungeonSiege/art/bitmaps/gui/in_game/inventory/armor/shield/b_gui_ig_i_a_shd_107.b_gui_ig_i_a_shd_107'</v>
      </c>
      <c r="X82" s="65"/>
    </row>
    <row r="83" spans="1:24" ht="15.75" thickBot="1" x14ac:dyDescent="0.3">
      <c r="A83" s="65">
        <v>81</v>
      </c>
      <c r="B83" s="65">
        <f>HEX2DEC(A83+Items!$A$9)</f>
        <v>20971649</v>
      </c>
      <c r="C83" s="65" t="s">
        <v>5277</v>
      </c>
      <c r="D83" s="65" t="s">
        <v>5020</v>
      </c>
      <c r="E83" s="65" t="s">
        <v>2384</v>
      </c>
      <c r="F83" s="65" t="s">
        <v>4997</v>
      </c>
      <c r="G83" s="65">
        <v>1</v>
      </c>
      <c r="H83" s="65">
        <v>1</v>
      </c>
      <c r="I83" s="65"/>
      <c r="J83" s="65"/>
      <c r="K83" s="65">
        <v>2</v>
      </c>
      <c r="L83" s="65">
        <v>3</v>
      </c>
      <c r="M83" s="65" t="s">
        <v>5371</v>
      </c>
      <c r="N83" s="65" t="s">
        <v>5579</v>
      </c>
      <c r="O83" s="65" t="s">
        <v>5514</v>
      </c>
      <c r="P83" s="65" t="s">
        <v>5482</v>
      </c>
      <c r="Q83" s="65">
        <v>35</v>
      </c>
      <c r="R83" s="65">
        <v>35</v>
      </c>
      <c r="S83" s="65">
        <v>0</v>
      </c>
      <c r="T83" s="65">
        <v>2</v>
      </c>
      <c r="U83" s="65" t="str">
        <f t="shared" si="5"/>
        <v>DA_sh_w_g_c_k_l_avg</v>
      </c>
      <c r="V83" s="65" t="str">
        <f t="shared" si="6"/>
        <v>/Game/DungeonSiege/Items/Armor/Shield/DA_sh_w_g_c_k_l_avg</v>
      </c>
      <c r="W83" s="65" t="str">
        <f t="shared" si="4"/>
        <v>Texture2D'/Game/DungeonSiege/art/bitmaps/gui/in_game/inventory/armor/shield/b_gui_ig_i_a_shd_116.b_gui_ig_i_a_shd_116'</v>
      </c>
      <c r="X83" s="65"/>
    </row>
    <row r="84" spans="1:24" ht="15.75" thickBot="1" x14ac:dyDescent="0.3">
      <c r="A84" s="65">
        <v>82</v>
      </c>
      <c r="B84" s="65">
        <f>HEX2DEC(A84+Items!$A$9)</f>
        <v>20971650</v>
      </c>
      <c r="C84" s="65" t="s">
        <v>5277</v>
      </c>
      <c r="D84" s="65" t="s">
        <v>5006</v>
      </c>
      <c r="E84" s="65" t="s">
        <v>2384</v>
      </c>
      <c r="F84" s="65" t="s">
        <v>5011</v>
      </c>
      <c r="G84" s="65">
        <v>1</v>
      </c>
      <c r="H84" s="65">
        <v>1</v>
      </c>
      <c r="I84" s="65"/>
      <c r="J84" s="65"/>
      <c r="K84" s="65">
        <v>2</v>
      </c>
      <c r="L84" s="65">
        <v>3</v>
      </c>
      <c r="M84" s="65" t="s">
        <v>5372</v>
      </c>
      <c r="N84" s="65" t="s">
        <v>5580</v>
      </c>
      <c r="O84" s="65" t="s">
        <v>5481</v>
      </c>
      <c r="P84" s="65" t="s">
        <v>5482</v>
      </c>
      <c r="Q84" s="65">
        <v>35</v>
      </c>
      <c r="R84" s="65">
        <v>35</v>
      </c>
      <c r="S84" s="65">
        <v>1</v>
      </c>
      <c r="T84" s="65">
        <v>5</v>
      </c>
      <c r="U84" s="65" t="str">
        <f t="shared" si="5"/>
        <v>DA_sh_w_g_c_k_l_avg_c_fin</v>
      </c>
      <c r="V84" s="65" t="str">
        <f t="shared" si="6"/>
        <v>/Game/DungeonSiege/Items/Armor/Shield/DA_sh_w_g_c_k_l_avg_c_fin</v>
      </c>
      <c r="W84" s="65" t="str">
        <f t="shared" si="4"/>
        <v>Texture2D'/Game/DungeonSiege/art/bitmaps/gui/in_game/inventory/armor/shield/b_gui_ig_i_a_shd_117.b_gui_ig_i_a_shd_117'</v>
      </c>
      <c r="X84" s="65"/>
    </row>
    <row r="85" spans="1:24" ht="15.75" thickBot="1" x14ac:dyDescent="0.3">
      <c r="A85" s="65">
        <v>83</v>
      </c>
      <c r="B85" s="65">
        <f>HEX2DEC(A85+Items!$A$9)</f>
        <v>20971651</v>
      </c>
      <c r="C85" s="65" t="s">
        <v>5277</v>
      </c>
      <c r="D85" s="65" t="s">
        <v>5278</v>
      </c>
      <c r="E85" s="65" t="s">
        <v>2384</v>
      </c>
      <c r="F85" s="65" t="s">
        <v>5013</v>
      </c>
      <c r="G85" s="65">
        <v>1</v>
      </c>
      <c r="H85" s="65">
        <v>1</v>
      </c>
      <c r="I85" s="65"/>
      <c r="J85" s="65"/>
      <c r="K85" s="65">
        <v>2</v>
      </c>
      <c r="L85" s="65">
        <v>3</v>
      </c>
      <c r="M85" s="65" t="s">
        <v>5373</v>
      </c>
      <c r="N85" s="65" t="s">
        <v>5581</v>
      </c>
      <c r="O85" s="65" t="s">
        <v>5484</v>
      </c>
      <c r="P85" s="65" t="s">
        <v>5482</v>
      </c>
      <c r="Q85" s="65">
        <v>35</v>
      </c>
      <c r="R85" s="65">
        <v>35</v>
      </c>
      <c r="S85" s="65">
        <v>8</v>
      </c>
      <c r="T85" s="65">
        <v>14</v>
      </c>
      <c r="U85" s="65" t="str">
        <f t="shared" si="5"/>
        <v>DA_sh_w_g_c_k_l_avg_c_str</v>
      </c>
      <c r="V85" s="65" t="str">
        <f t="shared" si="6"/>
        <v>/Game/DungeonSiege/Items/Armor/Shield/DA_sh_w_g_c_k_l_avg_c_str</v>
      </c>
      <c r="W85" s="65" t="str">
        <f t="shared" si="4"/>
        <v>Texture2D'/Game/DungeonSiege/art/bitmaps/gui/in_game/inventory/armor/shield/b_gui_ig_i_a_shd_118.b_gui_ig_i_a_shd_118'</v>
      </c>
      <c r="X85" s="65"/>
    </row>
    <row r="86" spans="1:24" ht="15.75" thickBot="1" x14ac:dyDescent="0.3">
      <c r="A86" s="65">
        <v>84</v>
      </c>
      <c r="B86" s="65">
        <f>HEX2DEC(A86+Items!$A$9)</f>
        <v>20971652</v>
      </c>
      <c r="C86" s="65" t="s">
        <v>5277</v>
      </c>
      <c r="D86" s="65" t="s">
        <v>5010</v>
      </c>
      <c r="E86" s="65" t="s">
        <v>2384</v>
      </c>
      <c r="F86" s="65" t="s">
        <v>5012</v>
      </c>
      <c r="G86" s="65">
        <v>1</v>
      </c>
      <c r="H86" s="65">
        <v>1</v>
      </c>
      <c r="I86" s="65"/>
      <c r="J86" s="65"/>
      <c r="K86" s="65">
        <v>2</v>
      </c>
      <c r="L86" s="65">
        <v>3</v>
      </c>
      <c r="M86" s="65" t="s">
        <v>5374</v>
      </c>
      <c r="N86" s="65" t="s">
        <v>5582</v>
      </c>
      <c r="O86" s="65" t="s">
        <v>5486</v>
      </c>
      <c r="P86" s="65" t="s">
        <v>5482</v>
      </c>
      <c r="Q86" s="65">
        <v>35</v>
      </c>
      <c r="R86" s="65">
        <v>35</v>
      </c>
      <c r="S86" s="65">
        <v>3</v>
      </c>
      <c r="T86" s="65">
        <v>8</v>
      </c>
      <c r="U86" s="65" t="str">
        <f t="shared" si="5"/>
        <v>DA_sh_w_g_c_k_l_avg_o_avg</v>
      </c>
      <c r="V86" s="65" t="str">
        <f t="shared" si="6"/>
        <v>/Game/DungeonSiege/Items/Armor/Shield/DA_sh_w_g_c_k_l_avg_o_avg</v>
      </c>
      <c r="W86" s="65" t="str">
        <f t="shared" si="4"/>
        <v>Texture2D'/Game/DungeonSiege/art/bitmaps/gui/in_game/inventory/armor/shield/b_gui_ig_i_a_shd_119.b_gui_ig_i_a_shd_119'</v>
      </c>
      <c r="X86" s="65"/>
    </row>
    <row r="87" spans="1:24" ht="15.75" thickBot="1" x14ac:dyDescent="0.3">
      <c r="A87" s="65">
        <v>85</v>
      </c>
      <c r="B87" s="65">
        <f>HEX2DEC(A87+Items!$A$9)</f>
        <v>20971653</v>
      </c>
      <c r="C87" s="65" t="s">
        <v>5277</v>
      </c>
      <c r="D87" s="65" t="s">
        <v>5279</v>
      </c>
      <c r="E87" s="65" t="s">
        <v>2384</v>
      </c>
      <c r="F87" s="65" t="s">
        <v>4648</v>
      </c>
      <c r="G87" s="65">
        <v>1</v>
      </c>
      <c r="H87" s="65">
        <v>1</v>
      </c>
      <c r="I87" s="65"/>
      <c r="J87" s="65"/>
      <c r="K87" s="65">
        <v>2</v>
      </c>
      <c r="L87" s="65">
        <v>3</v>
      </c>
      <c r="M87" s="65" t="s">
        <v>5375</v>
      </c>
      <c r="N87" s="65" t="s">
        <v>5517</v>
      </c>
      <c r="O87" s="65" t="s">
        <v>5488</v>
      </c>
      <c r="P87" s="65" t="s">
        <v>5482</v>
      </c>
      <c r="Q87" s="65">
        <v>35</v>
      </c>
      <c r="R87" s="65">
        <v>35</v>
      </c>
      <c r="S87" s="65">
        <v>11</v>
      </c>
      <c r="T87" s="65">
        <v>16</v>
      </c>
      <c r="U87" s="65" t="str">
        <f t="shared" si="5"/>
        <v>DA_sh_w_g_c_k_l_avg_o_str</v>
      </c>
      <c r="V87" s="65" t="str">
        <f t="shared" si="6"/>
        <v>/Game/DungeonSiege/Items/Armor/Shield/DA_sh_w_g_c_k_l_avg_o_str</v>
      </c>
      <c r="W87" s="65" t="str">
        <f t="shared" si="4"/>
        <v>Texture2D'/Game/DungeonSiege/art/bitmaps/gui/in_game/inventory/armor/shield/b_gui_ig_i_a_shd_120.b_gui_ig_i_a_shd_120'</v>
      </c>
      <c r="X87" s="65"/>
    </row>
    <row r="88" spans="1:24" ht="15.75" thickBot="1" x14ac:dyDescent="0.3">
      <c r="A88" s="65">
        <v>86</v>
      </c>
      <c r="B88" s="65">
        <f>HEX2DEC(A88+Items!$A$9)</f>
        <v>20971654</v>
      </c>
      <c r="C88" s="65" t="s">
        <v>5280</v>
      </c>
      <c r="D88" s="65" t="s">
        <v>5016</v>
      </c>
      <c r="E88" s="65" t="s">
        <v>2384</v>
      </c>
      <c r="F88" s="65" t="s">
        <v>4985</v>
      </c>
      <c r="G88" s="65">
        <v>1</v>
      </c>
      <c r="H88" s="65"/>
      <c r="I88" s="65"/>
      <c r="J88" s="65"/>
      <c r="K88" s="65">
        <v>2</v>
      </c>
      <c r="L88" s="65">
        <v>3</v>
      </c>
      <c r="M88" s="65" t="s">
        <v>5376</v>
      </c>
      <c r="N88" s="65" t="s">
        <v>5583</v>
      </c>
      <c r="O88" s="65" t="s">
        <v>5584</v>
      </c>
      <c r="P88" s="65" t="s">
        <v>5491</v>
      </c>
      <c r="Q88" s="65">
        <v>35</v>
      </c>
      <c r="R88" s="65">
        <v>20</v>
      </c>
      <c r="S88" s="65"/>
      <c r="T88" s="65"/>
      <c r="U88" s="65" t="str">
        <f t="shared" si="5"/>
        <v>DA_sh_w_g_c_k_m_avg</v>
      </c>
      <c r="V88" s="65" t="str">
        <f t="shared" si="6"/>
        <v>/Game/DungeonSiege/Items/Armor/Shield/DA_sh_w_g_c_k_m_avg</v>
      </c>
      <c r="W88" s="65" t="str">
        <f t="shared" si="4"/>
        <v>Texture2D'/Game/DungeonSiege/art/bitmaps/gui/in_game/inventory/armor/shield/b_gui_ig_i_a_shd_109.b_gui_ig_i_a_shd_109'</v>
      </c>
      <c r="X88" s="65"/>
    </row>
    <row r="89" spans="1:24" ht="15.75" thickBot="1" x14ac:dyDescent="0.3">
      <c r="A89" s="65">
        <v>87</v>
      </c>
      <c r="B89" s="65">
        <f>HEX2DEC(A89+Items!$A$9)</f>
        <v>20971655</v>
      </c>
      <c r="C89" s="65" t="s">
        <v>5280</v>
      </c>
      <c r="D89" s="65" t="s">
        <v>5018</v>
      </c>
      <c r="E89" s="65" t="s">
        <v>2384</v>
      </c>
      <c r="F89" s="65" t="s">
        <v>5016</v>
      </c>
      <c r="G89" s="65">
        <v>1</v>
      </c>
      <c r="H89" s="65">
        <v>1</v>
      </c>
      <c r="I89" s="65"/>
      <c r="J89" s="65"/>
      <c r="K89" s="65">
        <v>2</v>
      </c>
      <c r="L89" s="65">
        <v>3</v>
      </c>
      <c r="M89" s="65" t="s">
        <v>5377</v>
      </c>
      <c r="N89" s="65" t="s">
        <v>5585</v>
      </c>
      <c r="O89" s="65" t="s">
        <v>5490</v>
      </c>
      <c r="P89" s="65" t="s">
        <v>5491</v>
      </c>
      <c r="Q89" s="65">
        <v>35</v>
      </c>
      <c r="R89" s="65">
        <v>20</v>
      </c>
      <c r="S89" s="65">
        <v>1</v>
      </c>
      <c r="T89" s="65">
        <v>3</v>
      </c>
      <c r="U89" s="65" t="str">
        <f t="shared" si="5"/>
        <v>DA_sh_w_g_c_k_m_avg_c_fin</v>
      </c>
      <c r="V89" s="65" t="str">
        <f t="shared" si="6"/>
        <v>/Game/DungeonSiege/Items/Armor/Shield/DA_sh_w_g_c_k_m_avg_c_fin</v>
      </c>
      <c r="W89" s="65" t="str">
        <f t="shared" si="4"/>
        <v>Texture2D'/Game/DungeonSiege/art/bitmaps/gui/in_game/inventory/armor/shield/b_gui_ig_i_a_shd_110.b_gui_ig_i_a_shd_110'</v>
      </c>
      <c r="X89" s="65"/>
    </row>
    <row r="90" spans="1:24" ht="15.75" thickBot="1" x14ac:dyDescent="0.3">
      <c r="A90" s="65">
        <v>88</v>
      </c>
      <c r="B90" s="65">
        <f>HEX2DEC(A90+Items!$A$9)</f>
        <v>20971656</v>
      </c>
      <c r="C90" s="65" t="s">
        <v>5280</v>
      </c>
      <c r="D90" s="65" t="s">
        <v>5250</v>
      </c>
      <c r="E90" s="65" t="s">
        <v>2384</v>
      </c>
      <c r="F90" s="65" t="s">
        <v>5004</v>
      </c>
      <c r="G90" s="65">
        <v>1</v>
      </c>
      <c r="H90" s="65">
        <v>1</v>
      </c>
      <c r="I90" s="65"/>
      <c r="J90" s="65"/>
      <c r="K90" s="65">
        <v>2</v>
      </c>
      <c r="L90" s="65">
        <v>3</v>
      </c>
      <c r="M90" s="65" t="s">
        <v>5378</v>
      </c>
      <c r="N90" s="65" t="s">
        <v>5586</v>
      </c>
      <c r="O90" s="65" t="s">
        <v>5493</v>
      </c>
      <c r="P90" s="65" t="s">
        <v>5491</v>
      </c>
      <c r="Q90" s="65">
        <v>35</v>
      </c>
      <c r="R90" s="65">
        <v>20</v>
      </c>
      <c r="S90" s="65">
        <v>9</v>
      </c>
      <c r="T90" s="65">
        <v>12</v>
      </c>
      <c r="U90" s="65" t="str">
        <f t="shared" si="5"/>
        <v>DA_sh_w_g_c_k_m_avg_c_mag</v>
      </c>
      <c r="V90" s="65" t="str">
        <f t="shared" si="6"/>
        <v>/Game/DungeonSiege/Items/Armor/Shield/DA_sh_w_g_c_k_m_avg_c_mag</v>
      </c>
      <c r="W90" s="65" t="str">
        <f t="shared" si="4"/>
        <v>Texture2D'/Game/DungeonSiege/art/bitmaps/gui/in_game/inventory/armor/shield/b_gui_ig_i_a_shd_112.b_gui_ig_i_a_shd_112'</v>
      </c>
      <c r="X90" s="65"/>
    </row>
    <row r="91" spans="1:24" ht="15.75" thickBot="1" x14ac:dyDescent="0.3">
      <c r="A91" s="65">
        <v>89</v>
      </c>
      <c r="B91" s="65">
        <f>HEX2DEC(A91+Items!$A$9)</f>
        <v>20971657</v>
      </c>
      <c r="C91" s="65" t="s">
        <v>5280</v>
      </c>
      <c r="D91" s="65" t="s">
        <v>5020</v>
      </c>
      <c r="E91" s="65" t="s">
        <v>2384</v>
      </c>
      <c r="F91" s="65" t="s">
        <v>4997</v>
      </c>
      <c r="G91" s="65">
        <v>1</v>
      </c>
      <c r="H91" s="65">
        <v>1</v>
      </c>
      <c r="I91" s="65"/>
      <c r="J91" s="65"/>
      <c r="K91" s="65">
        <v>2</v>
      </c>
      <c r="L91" s="65">
        <v>3</v>
      </c>
      <c r="M91" s="65" t="s">
        <v>5379</v>
      </c>
      <c r="N91" s="65" t="s">
        <v>5587</v>
      </c>
      <c r="O91" s="65" t="s">
        <v>5495</v>
      </c>
      <c r="P91" s="65" t="s">
        <v>5491</v>
      </c>
      <c r="Q91" s="65">
        <v>35</v>
      </c>
      <c r="R91" s="65">
        <v>20</v>
      </c>
      <c r="S91" s="65">
        <v>5</v>
      </c>
      <c r="T91" s="65">
        <v>9</v>
      </c>
      <c r="U91" s="65" t="str">
        <f t="shared" si="5"/>
        <v>DA_sh_w_g_c_k_m_avg_c_str</v>
      </c>
      <c r="V91" s="65" t="str">
        <f t="shared" si="6"/>
        <v>/Game/DungeonSiege/Items/Armor/Shield/DA_sh_w_g_c_k_m_avg_c_str</v>
      </c>
      <c r="W91" s="65" t="str">
        <f t="shared" si="4"/>
        <v>Texture2D'/Game/DungeonSiege/art/bitmaps/gui/in_game/inventory/armor/shield/b_gui_ig_i_a_shd_111.b_gui_ig_i_a_shd_111'</v>
      </c>
      <c r="X91" s="65"/>
    </row>
    <row r="92" spans="1:24" ht="15.75" thickBot="1" x14ac:dyDescent="0.3">
      <c r="A92" s="65">
        <v>90</v>
      </c>
      <c r="B92" s="65">
        <f>HEX2DEC(A92+Items!$A$9)</f>
        <v>20971664</v>
      </c>
      <c r="C92" s="65" t="s">
        <v>5280</v>
      </c>
      <c r="D92" s="65" t="s">
        <v>5198</v>
      </c>
      <c r="E92" s="65" t="s">
        <v>2384</v>
      </c>
      <c r="F92" s="65" t="s">
        <v>5018</v>
      </c>
      <c r="G92" s="65">
        <v>1</v>
      </c>
      <c r="H92" s="65">
        <v>1</v>
      </c>
      <c r="I92" s="65"/>
      <c r="J92" s="65"/>
      <c r="K92" s="65">
        <v>2</v>
      </c>
      <c r="L92" s="65">
        <v>3</v>
      </c>
      <c r="M92" s="65" t="s">
        <v>5380</v>
      </c>
      <c r="N92" s="65" t="s">
        <v>5588</v>
      </c>
      <c r="O92" s="65" t="s">
        <v>5589</v>
      </c>
      <c r="P92" s="65" t="s">
        <v>5491</v>
      </c>
      <c r="Q92" s="65">
        <v>35</v>
      </c>
      <c r="R92" s="65">
        <v>20</v>
      </c>
      <c r="S92" s="65">
        <v>1</v>
      </c>
      <c r="T92" s="65">
        <v>5</v>
      </c>
      <c r="U92" s="65" t="str">
        <f t="shared" si="5"/>
        <v>DA_sh_w_g_c_k_m_avg_o_avg</v>
      </c>
      <c r="V92" s="65" t="str">
        <f t="shared" si="6"/>
        <v>/Game/DungeonSiege/Items/Armor/Shield/DA_sh_w_g_c_k_m_avg_o_avg</v>
      </c>
      <c r="W92" s="65" t="str">
        <f t="shared" si="4"/>
        <v>Texture2D'/Game/DungeonSiege/art/bitmaps/gui/in_game/inventory/armor/shield/b_gui_ig_i_a_shd_113.b_gui_ig_i_a_shd_113'</v>
      </c>
      <c r="X92" s="65"/>
    </row>
    <row r="93" spans="1:24" ht="15.75" thickBot="1" x14ac:dyDescent="0.3">
      <c r="A93" s="65">
        <v>91</v>
      </c>
      <c r="B93" s="65">
        <f>HEX2DEC(A93+Items!$A$9)</f>
        <v>20971665</v>
      </c>
      <c r="C93" s="65" t="s">
        <v>5280</v>
      </c>
      <c r="D93" s="65" t="s">
        <v>5219</v>
      </c>
      <c r="E93" s="65" t="s">
        <v>2384</v>
      </c>
      <c r="F93" s="65" t="s">
        <v>5007</v>
      </c>
      <c r="G93" s="65">
        <v>1</v>
      </c>
      <c r="H93" s="65">
        <v>1</v>
      </c>
      <c r="I93" s="65"/>
      <c r="J93" s="65"/>
      <c r="K93" s="65">
        <v>2</v>
      </c>
      <c r="L93" s="65">
        <v>3</v>
      </c>
      <c r="M93" s="65" t="s">
        <v>5381</v>
      </c>
      <c r="N93" s="65" t="s">
        <v>5496</v>
      </c>
      <c r="O93" s="65" t="s">
        <v>5497</v>
      </c>
      <c r="P93" s="65" t="s">
        <v>5491</v>
      </c>
      <c r="Q93" s="65">
        <v>35</v>
      </c>
      <c r="R93" s="65">
        <v>20</v>
      </c>
      <c r="S93" s="65">
        <v>10</v>
      </c>
      <c r="T93" s="65">
        <v>15</v>
      </c>
      <c r="U93" s="65" t="str">
        <f t="shared" si="5"/>
        <v>DA_sh_w_g_c_k_m_avg_o_mag</v>
      </c>
      <c r="V93" s="65" t="str">
        <f t="shared" si="6"/>
        <v>/Game/DungeonSiege/Items/Armor/Shield/DA_sh_w_g_c_k_m_avg_o_mag</v>
      </c>
      <c r="W93" s="65" t="str">
        <f t="shared" si="4"/>
        <v>Texture2D'/Game/DungeonSiege/art/bitmaps/gui/in_game/inventory/armor/shield/b_gui_ig_i_a_shd_115.b_gui_ig_i_a_shd_115'</v>
      </c>
      <c r="X93" s="65"/>
    </row>
    <row r="94" spans="1:24" ht="15.75" thickBot="1" x14ac:dyDescent="0.3">
      <c r="A94" s="65">
        <v>92</v>
      </c>
      <c r="B94" s="65">
        <f>HEX2DEC(A94+Items!$A$9)</f>
        <v>20971666</v>
      </c>
      <c r="C94" s="65" t="s">
        <v>5280</v>
      </c>
      <c r="D94" s="65" t="s">
        <v>5021</v>
      </c>
      <c r="E94" s="65" t="s">
        <v>2384</v>
      </c>
      <c r="F94" s="65" t="s">
        <v>5001</v>
      </c>
      <c r="G94" s="65">
        <v>1</v>
      </c>
      <c r="H94" s="65">
        <v>1</v>
      </c>
      <c r="I94" s="65"/>
      <c r="J94" s="65"/>
      <c r="K94" s="65">
        <v>2</v>
      </c>
      <c r="L94" s="65">
        <v>3</v>
      </c>
      <c r="M94" s="65" t="s">
        <v>5382</v>
      </c>
      <c r="N94" s="65" t="s">
        <v>5590</v>
      </c>
      <c r="O94" s="65" t="s">
        <v>5499</v>
      </c>
      <c r="P94" s="65" t="s">
        <v>5491</v>
      </c>
      <c r="Q94" s="65">
        <v>35</v>
      </c>
      <c r="R94" s="65">
        <v>20</v>
      </c>
      <c r="S94" s="65">
        <v>7</v>
      </c>
      <c r="T94" s="65">
        <v>10</v>
      </c>
      <c r="U94" s="65" t="str">
        <f t="shared" si="5"/>
        <v>DA_sh_w_g_c_k_m_avg_o_str</v>
      </c>
      <c r="V94" s="65" t="str">
        <f t="shared" si="6"/>
        <v>/Game/DungeonSiege/Items/Armor/Shield/DA_sh_w_g_c_k_m_avg_o_str</v>
      </c>
      <c r="W94" s="65" t="str">
        <f t="shared" si="4"/>
        <v>Texture2D'/Game/DungeonSiege/art/bitmaps/gui/in_game/inventory/armor/shield/b_gui_ig_i_a_shd_114.b_gui_ig_i_a_shd_114'</v>
      </c>
      <c r="X94" s="65"/>
    </row>
    <row r="95" spans="1:24" ht="15.75" thickBot="1" x14ac:dyDescent="0.3">
      <c r="A95" s="65">
        <v>93</v>
      </c>
      <c r="B95" s="65">
        <f>HEX2DEC(A95+Items!$A$9)</f>
        <v>20971667</v>
      </c>
      <c r="C95" s="65" t="s">
        <v>5281</v>
      </c>
      <c r="D95" s="65" t="s">
        <v>4974</v>
      </c>
      <c r="E95" s="65" t="s">
        <v>2384</v>
      </c>
      <c r="F95" s="65" t="s">
        <v>4991</v>
      </c>
      <c r="G95" s="65">
        <v>1</v>
      </c>
      <c r="H95" s="65"/>
      <c r="I95" s="65"/>
      <c r="J95" s="65"/>
      <c r="K95" s="65">
        <v>2</v>
      </c>
      <c r="L95" s="65">
        <v>2</v>
      </c>
      <c r="M95" s="65" t="s">
        <v>5383</v>
      </c>
      <c r="N95" s="65" t="s">
        <v>5591</v>
      </c>
      <c r="O95" s="65" t="s">
        <v>5501</v>
      </c>
      <c r="P95" s="65" t="s">
        <v>5502</v>
      </c>
      <c r="Q95" s="65">
        <v>20</v>
      </c>
      <c r="R95" s="65">
        <v>10</v>
      </c>
      <c r="S95" s="65"/>
      <c r="T95" s="65"/>
      <c r="U95" s="65" t="str">
        <f t="shared" si="5"/>
        <v>DA_sh_w_g_c_r_m_avg</v>
      </c>
      <c r="V95" s="65" t="str">
        <f t="shared" si="6"/>
        <v>/Game/DungeonSiege/Items/Armor/Shield/DA_sh_w_g_c_r_m_avg</v>
      </c>
      <c r="W95" s="65" t="str">
        <f t="shared" si="4"/>
        <v>Texture2D'/Game/DungeonSiege/art/bitmaps/gui/in_game/inventory/armor/shield/b_gui_ig_i_a_shd_081.b_gui_ig_i_a_shd_081'</v>
      </c>
      <c r="X95" s="65"/>
    </row>
    <row r="96" spans="1:24" ht="15.75" thickBot="1" x14ac:dyDescent="0.3">
      <c r="A96" s="65">
        <v>94</v>
      </c>
      <c r="B96" s="65">
        <f>HEX2DEC(A96+Items!$A$9)</f>
        <v>20971668</v>
      </c>
      <c r="C96" s="65" t="s">
        <v>5281</v>
      </c>
      <c r="D96" s="65" t="s">
        <v>5011</v>
      </c>
      <c r="E96" s="65" t="s">
        <v>2384</v>
      </c>
      <c r="F96" s="65" t="s">
        <v>4996</v>
      </c>
      <c r="G96" s="65">
        <v>1</v>
      </c>
      <c r="H96" s="65">
        <v>1</v>
      </c>
      <c r="I96" s="65"/>
      <c r="J96" s="65"/>
      <c r="K96" s="65">
        <v>2</v>
      </c>
      <c r="L96" s="65">
        <v>2</v>
      </c>
      <c r="M96" s="65" t="s">
        <v>5384</v>
      </c>
      <c r="N96" s="65" t="s">
        <v>5592</v>
      </c>
      <c r="O96" s="65" t="s">
        <v>5593</v>
      </c>
      <c r="P96" s="65" t="s">
        <v>5473</v>
      </c>
      <c r="Q96" s="65">
        <v>20</v>
      </c>
      <c r="R96" s="65">
        <v>10</v>
      </c>
      <c r="S96" s="65">
        <v>6</v>
      </c>
      <c r="T96" s="65">
        <v>8</v>
      </c>
      <c r="U96" s="65" t="str">
        <f t="shared" si="5"/>
        <v>DA_sh_w_g_c_r_m_avg_c_mag</v>
      </c>
      <c r="V96" s="65" t="str">
        <f t="shared" si="6"/>
        <v>/Game/DungeonSiege/Items/Armor/Shield/DA_sh_w_g_c_r_m_avg_c_mag</v>
      </c>
      <c r="W96" s="65" t="str">
        <f t="shared" si="4"/>
        <v>Texture2D'/Game/DungeonSiege/art/bitmaps/gui/in_game/inventory/armor/shield/b_gui_ig_i_a_shd_098.b_gui_ig_i_a_shd_098'</v>
      </c>
      <c r="X96" s="65"/>
    </row>
    <row r="97" spans="1:24" ht="15.75" thickBot="1" x14ac:dyDescent="0.3">
      <c r="A97" s="65">
        <v>95</v>
      </c>
      <c r="B97" s="65">
        <f>HEX2DEC(A97+Items!$A$9)</f>
        <v>20971669</v>
      </c>
      <c r="C97" s="65" t="s">
        <v>5281</v>
      </c>
      <c r="D97" s="65" t="s">
        <v>4985</v>
      </c>
      <c r="E97" s="65" t="s">
        <v>2384</v>
      </c>
      <c r="F97" s="65" t="s">
        <v>4985</v>
      </c>
      <c r="G97" s="65">
        <v>1</v>
      </c>
      <c r="H97" s="65">
        <v>1</v>
      </c>
      <c r="I97" s="65"/>
      <c r="J97" s="65"/>
      <c r="K97" s="65">
        <v>2</v>
      </c>
      <c r="L97" s="65">
        <v>2</v>
      </c>
      <c r="M97" s="65" t="s">
        <v>5385</v>
      </c>
      <c r="N97" s="65" t="s">
        <v>5594</v>
      </c>
      <c r="O97" s="65" t="s">
        <v>5595</v>
      </c>
      <c r="P97" s="65" t="s">
        <v>5473</v>
      </c>
      <c r="Q97" s="65">
        <v>20</v>
      </c>
      <c r="R97" s="65">
        <v>10</v>
      </c>
      <c r="S97" s="65">
        <v>3</v>
      </c>
      <c r="T97" s="65">
        <v>6</v>
      </c>
      <c r="U97" s="65" t="str">
        <f t="shared" si="5"/>
        <v>DA_sh_w_g_c_r_m_avg_c_str</v>
      </c>
      <c r="V97" s="65" t="str">
        <f t="shared" si="6"/>
        <v>/Game/DungeonSiege/Items/Armor/Shield/DA_sh_w_g_c_r_m_avg_c_str</v>
      </c>
      <c r="W97" s="65" t="str">
        <f t="shared" si="4"/>
        <v>Texture2D'/Game/DungeonSiege/art/bitmaps/gui/in_game/inventory/armor/shield/b_gui_ig_i_a_shd_097.b_gui_ig_i_a_shd_097'</v>
      </c>
      <c r="X97" s="65"/>
    </row>
    <row r="98" spans="1:24" ht="15.75" thickBot="1" x14ac:dyDescent="0.3">
      <c r="A98" s="65">
        <v>96</v>
      </c>
      <c r="B98" s="65">
        <f>HEX2DEC(A98+Items!$A$9)</f>
        <v>20971670</v>
      </c>
      <c r="C98" s="65" t="s">
        <v>5281</v>
      </c>
      <c r="D98" s="65" t="s">
        <v>4991</v>
      </c>
      <c r="E98" s="65" t="s">
        <v>2384</v>
      </c>
      <c r="F98" s="65" t="s">
        <v>4980</v>
      </c>
      <c r="G98" s="65">
        <v>1</v>
      </c>
      <c r="H98" s="65">
        <v>1</v>
      </c>
      <c r="I98" s="65"/>
      <c r="J98" s="65"/>
      <c r="K98" s="65">
        <v>2</v>
      </c>
      <c r="L98" s="65">
        <v>2</v>
      </c>
      <c r="M98" s="65" t="s">
        <v>5386</v>
      </c>
      <c r="N98" s="65" t="s">
        <v>5596</v>
      </c>
      <c r="O98" s="65" t="s">
        <v>5597</v>
      </c>
      <c r="P98" s="65" t="s">
        <v>5473</v>
      </c>
      <c r="Q98" s="65">
        <v>20</v>
      </c>
      <c r="R98" s="65">
        <v>10</v>
      </c>
      <c r="S98" s="65">
        <v>2</v>
      </c>
      <c r="T98" s="65">
        <v>4</v>
      </c>
      <c r="U98" s="65" t="str">
        <f t="shared" si="5"/>
        <v>DA_sh_w_g_c_r_m_avg_o_avg</v>
      </c>
      <c r="V98" s="65" t="str">
        <f t="shared" si="6"/>
        <v>/Game/DungeonSiege/Items/Armor/Shield/DA_sh_w_g_c_r_m_avg_o_avg</v>
      </c>
      <c r="W98" s="65" t="str">
        <f t="shared" ref="W98:W116" si="7">CONCATENATE("Texture2D'/Game/DungeonSiege/art/bitmaps/gui/in_game/inventory/armor/shield/",N98,".",N98,"'")</f>
        <v>Texture2D'/Game/DungeonSiege/art/bitmaps/gui/in_game/inventory/armor/shield/b_gui_ig_i_a_shd_099.b_gui_ig_i_a_shd_099'</v>
      </c>
      <c r="X98" s="65"/>
    </row>
    <row r="99" spans="1:24" ht="15.75" thickBot="1" x14ac:dyDescent="0.3">
      <c r="A99" s="65">
        <v>97</v>
      </c>
      <c r="B99" s="65">
        <f>HEX2DEC(A99+Items!$A$9)</f>
        <v>20971671</v>
      </c>
      <c r="C99" s="65" t="s">
        <v>5281</v>
      </c>
      <c r="D99" s="65" t="s">
        <v>4973</v>
      </c>
      <c r="E99" s="65" t="s">
        <v>2384</v>
      </c>
      <c r="F99" s="65" t="s">
        <v>5197</v>
      </c>
      <c r="G99" s="65">
        <v>1</v>
      </c>
      <c r="H99" s="65">
        <v>1</v>
      </c>
      <c r="I99" s="65"/>
      <c r="J99" s="65"/>
      <c r="K99" s="65">
        <v>2</v>
      </c>
      <c r="L99" s="65">
        <v>2</v>
      </c>
      <c r="M99" s="65" t="s">
        <v>5387</v>
      </c>
      <c r="N99" s="65" t="s">
        <v>5598</v>
      </c>
      <c r="O99" s="65" t="s">
        <v>5504</v>
      </c>
      <c r="P99" s="65" t="s">
        <v>5473</v>
      </c>
      <c r="Q99" s="65">
        <v>20</v>
      </c>
      <c r="R99" s="65">
        <v>10</v>
      </c>
      <c r="S99" s="65">
        <v>2</v>
      </c>
      <c r="T99" s="65">
        <v>5</v>
      </c>
      <c r="U99" s="65" t="str">
        <f t="shared" si="5"/>
        <v>DA_sh_w_g_c_r_m_avg_o_fin</v>
      </c>
      <c r="V99" s="65" t="str">
        <f t="shared" si="6"/>
        <v>/Game/DungeonSiege/Items/Armor/Shield/DA_sh_w_g_c_r_m_avg_o_fin</v>
      </c>
      <c r="W99" s="65" t="str">
        <f t="shared" si="7"/>
        <v>Texture2D'/Game/DungeonSiege/art/bitmaps/gui/in_game/inventory/armor/shield/b_gui_ig_i_a_shd_100.b_gui_ig_i_a_shd_100'</v>
      </c>
      <c r="X99" s="65"/>
    </row>
    <row r="100" spans="1:24" ht="15.75" thickBot="1" x14ac:dyDescent="0.3">
      <c r="A100" s="65">
        <v>98</v>
      </c>
      <c r="B100" s="65">
        <f>HEX2DEC(A100+Items!$A$9)</f>
        <v>20971672</v>
      </c>
      <c r="C100" s="65" t="s">
        <v>5281</v>
      </c>
      <c r="D100" s="65" t="s">
        <v>5002</v>
      </c>
      <c r="E100" s="65" t="s">
        <v>2384</v>
      </c>
      <c r="F100" s="65" t="s">
        <v>5000</v>
      </c>
      <c r="G100" s="65">
        <v>1</v>
      </c>
      <c r="H100" s="65">
        <v>1</v>
      </c>
      <c r="I100" s="65"/>
      <c r="J100" s="65"/>
      <c r="K100" s="65">
        <v>2</v>
      </c>
      <c r="L100" s="65">
        <v>2</v>
      </c>
      <c r="M100" s="65" t="s">
        <v>5388</v>
      </c>
      <c r="N100" s="65" t="s">
        <v>5471</v>
      </c>
      <c r="O100" s="65" t="s">
        <v>5472</v>
      </c>
      <c r="P100" s="65" t="s">
        <v>5473</v>
      </c>
      <c r="Q100" s="65">
        <v>20</v>
      </c>
      <c r="R100" s="65">
        <v>10</v>
      </c>
      <c r="S100" s="65">
        <v>7</v>
      </c>
      <c r="T100" s="65">
        <v>9</v>
      </c>
      <c r="U100" s="65" t="str">
        <f t="shared" si="5"/>
        <v>DA_sh_w_g_c_r_m_avg_o_mag</v>
      </c>
      <c r="V100" s="65" t="str">
        <f t="shared" si="6"/>
        <v>/Game/DungeonSiege/Items/Armor/Shield/DA_sh_w_g_c_r_m_avg_o_mag</v>
      </c>
      <c r="W100" s="65" t="str">
        <f t="shared" si="7"/>
        <v>Texture2D'/Game/DungeonSiege/art/bitmaps/gui/in_game/inventory/armor/shield/b_gui_ig_i_a_shd_102.b_gui_ig_i_a_shd_102'</v>
      </c>
      <c r="X100" s="65"/>
    </row>
    <row r="101" spans="1:24" ht="15.75" thickBot="1" x14ac:dyDescent="0.3">
      <c r="A101" s="65">
        <v>99</v>
      </c>
      <c r="B101" s="65">
        <f>HEX2DEC(A101+Items!$A$9)</f>
        <v>20971673</v>
      </c>
      <c r="C101" s="65" t="s">
        <v>5281</v>
      </c>
      <c r="D101" s="65" t="s">
        <v>5019</v>
      </c>
      <c r="E101" s="65" t="s">
        <v>2384</v>
      </c>
      <c r="F101" s="65" t="s">
        <v>4976</v>
      </c>
      <c r="G101" s="65">
        <v>1</v>
      </c>
      <c r="H101" s="65">
        <v>1</v>
      </c>
      <c r="I101" s="65"/>
      <c r="J101" s="65"/>
      <c r="K101" s="65">
        <v>2</v>
      </c>
      <c r="L101" s="65">
        <v>2</v>
      </c>
      <c r="M101" s="65" t="s">
        <v>5389</v>
      </c>
      <c r="N101" s="65" t="s">
        <v>5599</v>
      </c>
      <c r="O101" s="65" t="s">
        <v>5507</v>
      </c>
      <c r="P101" s="65" t="s">
        <v>5473</v>
      </c>
      <c r="Q101" s="65">
        <v>20</v>
      </c>
      <c r="R101" s="65">
        <v>10</v>
      </c>
      <c r="S101" s="65">
        <v>5</v>
      </c>
      <c r="T101" s="65">
        <v>7</v>
      </c>
      <c r="U101" s="65" t="str">
        <f t="shared" si="5"/>
        <v>DA_sh_w_g_c_r_m_avg_o_str</v>
      </c>
      <c r="V101" s="65" t="str">
        <f t="shared" si="6"/>
        <v>/Game/DungeonSiege/Items/Armor/Shield/DA_sh_w_g_c_r_m_avg_o_str</v>
      </c>
      <c r="W101" s="65" t="str">
        <f t="shared" si="7"/>
        <v>Texture2D'/Game/DungeonSiege/art/bitmaps/gui/in_game/inventory/armor/shield/b_gui_ig_i_a_shd_101.b_gui_ig_i_a_shd_101'</v>
      </c>
      <c r="X101" s="65"/>
    </row>
    <row r="102" spans="1:24" ht="15.75" thickBot="1" x14ac:dyDescent="0.3">
      <c r="A102" s="65">
        <v>100</v>
      </c>
      <c r="B102" s="65">
        <f>HEX2DEC(A102+Items!$A$9)</f>
        <v>20971776</v>
      </c>
      <c r="C102" s="65" t="s">
        <v>5282</v>
      </c>
      <c r="D102" s="65" t="s">
        <v>4986</v>
      </c>
      <c r="E102" s="65"/>
      <c r="F102" s="65"/>
      <c r="G102" s="65">
        <v>1</v>
      </c>
      <c r="H102" s="65"/>
      <c r="I102" s="65"/>
      <c r="J102" s="65"/>
      <c r="K102" s="65">
        <v>2</v>
      </c>
      <c r="L102" s="65">
        <v>2</v>
      </c>
      <c r="M102" s="65" t="s">
        <v>5390</v>
      </c>
      <c r="N102" s="65" t="s">
        <v>5600</v>
      </c>
      <c r="O102" s="65" t="s">
        <v>5601</v>
      </c>
      <c r="P102" s="65" t="s">
        <v>5443</v>
      </c>
      <c r="Q102" s="65">
        <v>20</v>
      </c>
      <c r="R102" s="65">
        <v>10</v>
      </c>
      <c r="S102" s="65"/>
      <c r="T102" s="65"/>
      <c r="U102" s="65" t="str">
        <f t="shared" si="5"/>
        <v>DA_sh_w_g_c_r_m_fun</v>
      </c>
      <c r="V102" s="65" t="str">
        <f t="shared" si="6"/>
        <v>/Game/DungeonSiege/Items/Armor/Shield/DA_sh_w_g_c_r_m_fun</v>
      </c>
      <c r="W102" s="65" t="str">
        <f t="shared" si="7"/>
        <v>Texture2D'/Game/DungeonSiege/art/bitmaps/gui/in_game/inventory/armor/shield/b_gui_ig_i_a_shd_027.b_gui_ig_i_a_shd_027'</v>
      </c>
      <c r="X102" s="65"/>
    </row>
    <row r="103" spans="1:24" ht="15.75" thickBot="1" x14ac:dyDescent="0.3">
      <c r="A103" s="65">
        <v>101</v>
      </c>
      <c r="B103" s="65">
        <f>HEX2DEC(A103+Items!$A$9)</f>
        <v>20971777</v>
      </c>
      <c r="C103" s="65" t="s">
        <v>5283</v>
      </c>
      <c r="D103" s="65" t="s">
        <v>4981</v>
      </c>
      <c r="E103" s="65" t="s">
        <v>2384</v>
      </c>
      <c r="F103" s="65" t="s">
        <v>4989</v>
      </c>
      <c r="G103" s="65">
        <v>1</v>
      </c>
      <c r="H103" s="65"/>
      <c r="I103" s="65"/>
      <c r="J103" s="65"/>
      <c r="K103" s="65">
        <v>2</v>
      </c>
      <c r="L103" s="65">
        <v>2</v>
      </c>
      <c r="M103" s="65" t="s">
        <v>5391</v>
      </c>
      <c r="N103" s="65" t="s">
        <v>5602</v>
      </c>
      <c r="O103" s="65" t="s">
        <v>5603</v>
      </c>
      <c r="P103" s="65" t="s">
        <v>5417</v>
      </c>
      <c r="Q103" s="65">
        <v>10</v>
      </c>
      <c r="R103" s="65">
        <v>5</v>
      </c>
      <c r="S103" s="65"/>
      <c r="T103" s="65"/>
      <c r="U103" s="65" t="str">
        <f t="shared" si="5"/>
        <v>DA_sh_w_g_c_r_s_avg</v>
      </c>
      <c r="V103" s="65" t="str">
        <f t="shared" si="6"/>
        <v>/Game/DungeonSiege/Items/Armor/Shield/DA_sh_w_g_c_r_s_avg</v>
      </c>
      <c r="W103" s="65" t="str">
        <f t="shared" si="7"/>
        <v>Texture2D'/Game/DungeonSiege/art/bitmaps/gui/in_game/inventory/armor/shield/b_gui_ig_i_a_shd_089.b_gui_ig_i_a_shd_089'</v>
      </c>
      <c r="X103" s="65"/>
    </row>
    <row r="104" spans="1:24" ht="15.75" thickBot="1" x14ac:dyDescent="0.3">
      <c r="A104" s="65">
        <v>102</v>
      </c>
      <c r="B104" s="65">
        <f>HEX2DEC(A104+Items!$A$9)</f>
        <v>20971778</v>
      </c>
      <c r="C104" s="65" t="s">
        <v>5283</v>
      </c>
      <c r="D104" s="65" t="s">
        <v>4993</v>
      </c>
      <c r="E104" s="65" t="s">
        <v>2384</v>
      </c>
      <c r="F104" s="65" t="s">
        <v>4989</v>
      </c>
      <c r="G104" s="65">
        <v>1</v>
      </c>
      <c r="H104" s="65"/>
      <c r="I104" s="65"/>
      <c r="J104" s="65"/>
      <c r="K104" s="65">
        <v>2</v>
      </c>
      <c r="L104" s="65">
        <v>2</v>
      </c>
      <c r="M104" s="65" t="s">
        <v>5392</v>
      </c>
      <c r="N104" s="65" t="s">
        <v>5604</v>
      </c>
      <c r="O104" s="65" t="s">
        <v>5509</v>
      </c>
      <c r="P104" s="65" t="s">
        <v>5417</v>
      </c>
      <c r="Q104" s="65">
        <v>10</v>
      </c>
      <c r="R104" s="65">
        <v>5</v>
      </c>
      <c r="S104" s="65">
        <v>1</v>
      </c>
      <c r="T104" s="65">
        <v>2</v>
      </c>
      <c r="U104" s="65" t="str">
        <f t="shared" si="5"/>
        <v>DA_sh_w_g_c_r_s_avg_c_fin</v>
      </c>
      <c r="V104" s="65" t="str">
        <f t="shared" si="6"/>
        <v>/Game/DungeonSiege/Items/Armor/Shield/DA_sh_w_g_c_r_s_avg_c_fin</v>
      </c>
      <c r="W104" s="65" t="str">
        <f t="shared" si="7"/>
        <v>Texture2D'/Game/DungeonSiege/art/bitmaps/gui/in_game/inventory/armor/shield/b_gui_ig_i_a_shd_090.b_gui_ig_i_a_shd_090'</v>
      </c>
      <c r="X104" s="65"/>
    </row>
    <row r="105" spans="1:24" ht="15.75" thickBot="1" x14ac:dyDescent="0.3">
      <c r="A105" s="65">
        <v>103</v>
      </c>
      <c r="B105" s="65">
        <f>HEX2DEC(A105+Items!$A$9)</f>
        <v>20971779</v>
      </c>
      <c r="C105" s="65" t="s">
        <v>5283</v>
      </c>
      <c r="D105" s="65" t="s">
        <v>4996</v>
      </c>
      <c r="E105" s="65" t="s">
        <v>2384</v>
      </c>
      <c r="F105" s="65" t="s">
        <v>4976</v>
      </c>
      <c r="G105" s="65">
        <v>1</v>
      </c>
      <c r="H105" s="65"/>
      <c r="I105" s="65"/>
      <c r="J105" s="65"/>
      <c r="K105" s="65">
        <v>2</v>
      </c>
      <c r="L105" s="65">
        <v>2</v>
      </c>
      <c r="M105" s="65" t="s">
        <v>5393</v>
      </c>
      <c r="N105" s="65" t="s">
        <v>5606</v>
      </c>
      <c r="O105" s="65" t="s">
        <v>5605</v>
      </c>
      <c r="P105" s="65" t="s">
        <v>5417</v>
      </c>
      <c r="Q105" s="65">
        <v>10</v>
      </c>
      <c r="R105" s="65">
        <v>5</v>
      </c>
      <c r="S105" s="65">
        <v>5</v>
      </c>
      <c r="T105" s="65">
        <v>7</v>
      </c>
      <c r="U105" s="65" t="str">
        <f t="shared" si="5"/>
        <v>DA_sh_w_g_c_r_s_avg_c_mag</v>
      </c>
      <c r="V105" s="65" t="str">
        <f t="shared" si="6"/>
        <v>/Game/DungeonSiege/Items/Armor/Shield/DA_sh_w_g_c_r_s_avg_c_mag</v>
      </c>
      <c r="W105" s="65" t="str">
        <f t="shared" si="7"/>
        <v>Texture2D'/Game/DungeonSiege/art/bitmaps/gui/in_game/inventory/armor/shield/b_gui_ig_i_a_shd_092.b_gui_ig_i_a_shd_092'</v>
      </c>
      <c r="X105" s="65"/>
    </row>
    <row r="106" spans="1:24" ht="15.75" thickBot="1" x14ac:dyDescent="0.3">
      <c r="A106" s="65">
        <v>104</v>
      </c>
      <c r="B106" s="65">
        <f>HEX2DEC(A106+Items!$A$9)</f>
        <v>20971780</v>
      </c>
      <c r="C106" s="65" t="s">
        <v>5283</v>
      </c>
      <c r="D106" s="65" t="s">
        <v>4975</v>
      </c>
      <c r="E106" s="65" t="s">
        <v>2384</v>
      </c>
      <c r="F106" s="65" t="s">
        <v>4973</v>
      </c>
      <c r="G106" s="65">
        <v>1</v>
      </c>
      <c r="H106" s="65"/>
      <c r="I106" s="65"/>
      <c r="J106" s="65"/>
      <c r="K106" s="65">
        <v>2</v>
      </c>
      <c r="L106" s="65">
        <v>2</v>
      </c>
      <c r="M106" s="65" t="s">
        <v>5394</v>
      </c>
      <c r="N106" s="65" t="s">
        <v>5607</v>
      </c>
      <c r="O106" s="65" t="s">
        <v>5608</v>
      </c>
      <c r="P106" s="65" t="s">
        <v>5417</v>
      </c>
      <c r="Q106" s="65">
        <v>10</v>
      </c>
      <c r="R106" s="65">
        <v>5</v>
      </c>
      <c r="S106" s="65">
        <v>3</v>
      </c>
      <c r="T106" s="65">
        <v>4</v>
      </c>
      <c r="U106" s="65" t="str">
        <f t="shared" si="5"/>
        <v>DA_sh_w_g_c_r_s_avg_c_str</v>
      </c>
      <c r="V106" s="65" t="str">
        <f t="shared" si="6"/>
        <v>/Game/DungeonSiege/Items/Armor/Shield/DA_sh_w_g_c_r_s_avg_c_str</v>
      </c>
      <c r="W106" s="65" t="str">
        <f t="shared" si="7"/>
        <v>Texture2D'/Game/DungeonSiege/art/bitmaps/gui/in_game/inventory/armor/shield/b_gui_ig_i_a_shd_091.b_gui_ig_i_a_shd_091'</v>
      </c>
      <c r="X106" s="65"/>
    </row>
    <row r="107" spans="1:24" ht="15.75" thickBot="1" x14ac:dyDescent="0.3">
      <c r="A107" s="65">
        <v>105</v>
      </c>
      <c r="B107" s="65">
        <f>HEX2DEC(A107+Items!$A$9)</f>
        <v>20971781</v>
      </c>
      <c r="C107" s="65" t="s">
        <v>5283</v>
      </c>
      <c r="D107" s="65" t="s">
        <v>4979</v>
      </c>
      <c r="E107" s="65" t="s">
        <v>2384</v>
      </c>
      <c r="F107" s="65" t="s">
        <v>4978</v>
      </c>
      <c r="G107" s="65">
        <v>1</v>
      </c>
      <c r="H107" s="65"/>
      <c r="I107" s="65"/>
      <c r="J107" s="65"/>
      <c r="K107" s="65">
        <v>2</v>
      </c>
      <c r="L107" s="65">
        <v>2</v>
      </c>
      <c r="M107" s="65" t="s">
        <v>5395</v>
      </c>
      <c r="N107" s="65" t="s">
        <v>5609</v>
      </c>
      <c r="O107" s="65" t="s">
        <v>5610</v>
      </c>
      <c r="P107" s="65" t="s">
        <v>5417</v>
      </c>
      <c r="Q107" s="65">
        <v>10</v>
      </c>
      <c r="R107" s="65">
        <v>5</v>
      </c>
      <c r="S107" s="65">
        <v>1</v>
      </c>
      <c r="T107" s="65">
        <v>2</v>
      </c>
      <c r="U107" s="65" t="str">
        <f t="shared" si="5"/>
        <v>DA_sh_w_g_c_r_s_avg_o_avg</v>
      </c>
      <c r="V107" s="65" t="str">
        <f t="shared" si="6"/>
        <v>/Game/DungeonSiege/Items/Armor/Shield/DA_sh_w_g_c_r_s_avg_o_avg</v>
      </c>
      <c r="W107" s="65" t="str">
        <f t="shared" si="7"/>
        <v>Texture2D'/Game/DungeonSiege/art/bitmaps/gui/in_game/inventory/armor/shield/b_gui_ig_i_a_shd_093.b_gui_ig_i_a_shd_093'</v>
      </c>
      <c r="X107" s="65"/>
    </row>
    <row r="108" spans="1:24" ht="15.75" thickBot="1" x14ac:dyDescent="0.3">
      <c r="A108" s="65">
        <v>106</v>
      </c>
      <c r="B108" s="65">
        <f>HEX2DEC(A108+Items!$A$9)</f>
        <v>20971782</v>
      </c>
      <c r="C108" s="65" t="s">
        <v>5283</v>
      </c>
      <c r="D108" s="65" t="s">
        <v>4982</v>
      </c>
      <c r="E108" s="65" t="s">
        <v>2384</v>
      </c>
      <c r="F108" s="65" t="s">
        <v>4980</v>
      </c>
      <c r="G108" s="65">
        <v>1</v>
      </c>
      <c r="H108" s="65"/>
      <c r="I108" s="65"/>
      <c r="J108" s="65"/>
      <c r="K108" s="65">
        <v>2</v>
      </c>
      <c r="L108" s="65">
        <v>2</v>
      </c>
      <c r="M108" s="65" t="s">
        <v>5396</v>
      </c>
      <c r="N108" s="65" t="s">
        <v>5611</v>
      </c>
      <c r="O108" s="65" t="s">
        <v>5511</v>
      </c>
      <c r="P108" s="65" t="s">
        <v>5417</v>
      </c>
      <c r="Q108" s="65">
        <v>10</v>
      </c>
      <c r="R108" s="65">
        <v>5</v>
      </c>
      <c r="S108" s="65">
        <v>2</v>
      </c>
      <c r="T108" s="65">
        <v>3</v>
      </c>
      <c r="U108" s="65" t="str">
        <f t="shared" si="5"/>
        <v>DA_sh_w_g_c_r_s_avg_o_fin</v>
      </c>
      <c r="V108" s="65" t="str">
        <f t="shared" si="6"/>
        <v>/Game/DungeonSiege/Items/Armor/Shield/DA_sh_w_g_c_r_s_avg_o_fin</v>
      </c>
      <c r="W108" s="65" t="str">
        <f t="shared" si="7"/>
        <v>Texture2D'/Game/DungeonSiege/art/bitmaps/gui/in_game/inventory/armor/shield/b_gui_ig_i_a_shd_094.b_gui_ig_i_a_shd_094'</v>
      </c>
      <c r="X108" s="65"/>
    </row>
    <row r="109" spans="1:24" ht="15.75" thickBot="1" x14ac:dyDescent="0.3">
      <c r="A109" s="65">
        <v>107</v>
      </c>
      <c r="B109" s="65">
        <f>HEX2DEC(A109+Items!$A$9)</f>
        <v>20971783</v>
      </c>
      <c r="C109" s="65" t="s">
        <v>5283</v>
      </c>
      <c r="D109" s="65" t="s">
        <v>4998</v>
      </c>
      <c r="E109" s="65" t="s">
        <v>2384</v>
      </c>
      <c r="F109" s="65" t="s">
        <v>5017</v>
      </c>
      <c r="G109" s="65">
        <v>1</v>
      </c>
      <c r="H109" s="65"/>
      <c r="I109" s="65"/>
      <c r="J109" s="65"/>
      <c r="K109" s="65">
        <v>2</v>
      </c>
      <c r="L109" s="65">
        <v>2</v>
      </c>
      <c r="M109" s="65" t="s">
        <v>5397</v>
      </c>
      <c r="N109" s="65" t="s">
        <v>5612</v>
      </c>
      <c r="O109" s="65" t="s">
        <v>5613</v>
      </c>
      <c r="P109" s="65" t="s">
        <v>5417</v>
      </c>
      <c r="Q109" s="65">
        <v>10</v>
      </c>
      <c r="R109" s="65">
        <v>5</v>
      </c>
      <c r="S109" s="65">
        <v>6</v>
      </c>
      <c r="T109" s="65">
        <v>8</v>
      </c>
      <c r="U109" s="65" t="str">
        <f t="shared" si="5"/>
        <v>DA_sh_w_g_c_r_s_avg_o_mag</v>
      </c>
      <c r="V109" s="65" t="str">
        <f t="shared" si="6"/>
        <v>/Game/DungeonSiege/Items/Armor/Shield/DA_sh_w_g_c_r_s_avg_o_mag</v>
      </c>
      <c r="W109" s="65" t="str">
        <f t="shared" si="7"/>
        <v>Texture2D'/Game/DungeonSiege/art/bitmaps/gui/in_game/inventory/armor/shield/b_gui_ig_i_a_shd_096.b_gui_ig_i_a_shd_096'</v>
      </c>
      <c r="X109" s="65"/>
    </row>
    <row r="110" spans="1:24" ht="15.75" thickBot="1" x14ac:dyDescent="0.3">
      <c r="A110" s="65">
        <v>108</v>
      </c>
      <c r="B110" s="65">
        <f>HEX2DEC(A110+Items!$A$9)</f>
        <v>20971784</v>
      </c>
      <c r="C110" s="65" t="s">
        <v>5283</v>
      </c>
      <c r="D110" s="65" t="s">
        <v>4985</v>
      </c>
      <c r="E110" s="65" t="s">
        <v>2384</v>
      </c>
      <c r="F110" s="65" t="s">
        <v>4985</v>
      </c>
      <c r="G110" s="65">
        <v>1</v>
      </c>
      <c r="H110" s="65"/>
      <c r="I110" s="65"/>
      <c r="J110" s="65"/>
      <c r="K110" s="65">
        <v>2</v>
      </c>
      <c r="L110" s="65">
        <v>2</v>
      </c>
      <c r="M110" s="65" t="s">
        <v>5398</v>
      </c>
      <c r="N110" s="65" t="s">
        <v>5614</v>
      </c>
      <c r="O110" s="65" t="s">
        <v>5615</v>
      </c>
      <c r="P110" s="65" t="s">
        <v>5417</v>
      </c>
      <c r="Q110" s="65">
        <v>10</v>
      </c>
      <c r="R110" s="65">
        <v>5</v>
      </c>
      <c r="S110" s="65">
        <v>4</v>
      </c>
      <c r="T110" s="65">
        <v>6</v>
      </c>
      <c r="U110" s="65" t="str">
        <f t="shared" si="5"/>
        <v>DA_sh_w_g_c_r_s_avg_o_str</v>
      </c>
      <c r="V110" s="65" t="str">
        <f t="shared" si="6"/>
        <v>/Game/DungeonSiege/Items/Armor/Shield/DA_sh_w_g_c_r_s_avg_o_str</v>
      </c>
      <c r="W110" s="65" t="str">
        <f t="shared" si="7"/>
        <v>Texture2D'/Game/DungeonSiege/art/bitmaps/gui/in_game/inventory/armor/shield/b_gui_ig_i_a_shd_095.b_gui_ig_i_a_shd_095'</v>
      </c>
      <c r="X110" s="65"/>
    </row>
    <row r="111" spans="1:24" ht="15.75" thickBot="1" x14ac:dyDescent="0.3">
      <c r="A111" s="65">
        <v>109</v>
      </c>
      <c r="B111" s="65">
        <f>HEX2DEC(A111+Items!$A$9)</f>
        <v>20971785</v>
      </c>
      <c r="C111" s="65" t="s">
        <v>5284</v>
      </c>
      <c r="D111" s="65" t="s">
        <v>4993</v>
      </c>
      <c r="E111" s="65" t="s">
        <v>2384</v>
      </c>
      <c r="F111" s="65" t="s">
        <v>4989</v>
      </c>
      <c r="G111" s="65"/>
      <c r="H111" s="65"/>
      <c r="I111" s="65">
        <v>1</v>
      </c>
      <c r="J111" s="65">
        <v>1</v>
      </c>
      <c r="K111" s="65">
        <v>2</v>
      </c>
      <c r="L111" s="65">
        <v>2</v>
      </c>
      <c r="M111" s="65" t="s">
        <v>5399</v>
      </c>
      <c r="N111" s="65" t="s">
        <v>5616</v>
      </c>
      <c r="O111" s="65" t="s">
        <v>5617</v>
      </c>
      <c r="P111" s="65" t="s">
        <v>5618</v>
      </c>
      <c r="Q111" s="65">
        <v>5</v>
      </c>
      <c r="R111" s="65">
        <v>5</v>
      </c>
      <c r="S111" s="65">
        <v>1</v>
      </c>
      <c r="T111" s="65">
        <v>4</v>
      </c>
      <c r="U111" s="65" t="str">
        <f t="shared" si="5"/>
        <v>DA_sh_w_g_c_r_s_elm</v>
      </c>
      <c r="V111" s="65" t="str">
        <f t="shared" si="6"/>
        <v>/Game/DungeonSiege/Items/Armor/Shield/DA_sh_w_g_c_r_s_elm</v>
      </c>
      <c r="W111" s="65" t="str">
        <f t="shared" si="7"/>
        <v>Texture2D'/Game/DungeonSiege/art/bitmaps/gui/in_game/inventory/armor/shield/b_gui_ig_i_a_shd_064.b_gui_ig_i_a_shd_064'</v>
      </c>
      <c r="X111" s="65"/>
    </row>
    <row r="112" spans="1:24" ht="15.75" thickBot="1" x14ac:dyDescent="0.3">
      <c r="A112" s="65">
        <v>110</v>
      </c>
      <c r="B112" s="65">
        <f>HEX2DEC(A112+Items!$A$9)</f>
        <v>20971792</v>
      </c>
      <c r="C112" s="65" t="s">
        <v>5285</v>
      </c>
      <c r="D112" s="65" t="s">
        <v>4971</v>
      </c>
      <c r="E112" s="65"/>
      <c r="F112" s="65"/>
      <c r="G112" s="65">
        <v>1</v>
      </c>
      <c r="H112" s="65"/>
      <c r="I112" s="65"/>
      <c r="J112" s="65"/>
      <c r="K112" s="65">
        <v>2</v>
      </c>
      <c r="L112" s="65">
        <v>2</v>
      </c>
      <c r="M112" s="65" t="s">
        <v>5400</v>
      </c>
      <c r="N112" s="65" t="s">
        <v>5619</v>
      </c>
      <c r="O112" s="65" t="s">
        <v>5620</v>
      </c>
      <c r="P112" s="65" t="s">
        <v>5410</v>
      </c>
      <c r="Q112" s="65">
        <v>10</v>
      </c>
      <c r="R112" s="65">
        <v>5</v>
      </c>
      <c r="S112" s="65"/>
      <c r="T112" s="65"/>
      <c r="U112" s="65" t="str">
        <f t="shared" si="5"/>
        <v>DA_sh_w_g_c_r_s_fun</v>
      </c>
      <c r="V112" s="65" t="str">
        <f t="shared" si="6"/>
        <v>/Game/DungeonSiege/Items/Armor/Shield/DA_sh_w_g_c_r_s_fun</v>
      </c>
      <c r="W112" s="65" t="str">
        <f t="shared" si="7"/>
        <v>Texture2D'/Game/DungeonSiege/art/bitmaps/gui/in_game/inventory/armor/shield/b_gui_ig_i_a_shd_077.b_gui_ig_i_a_shd_077'</v>
      </c>
      <c r="X112" s="65"/>
    </row>
    <row r="113" spans="1:24" ht="15.75" thickBot="1" x14ac:dyDescent="0.3">
      <c r="A113" s="65">
        <v>111</v>
      </c>
      <c r="B113" s="65">
        <f>HEX2DEC(A113+Items!$A$9)</f>
        <v>20971793</v>
      </c>
      <c r="C113" s="65" t="s">
        <v>5286</v>
      </c>
      <c r="D113" s="65" t="s">
        <v>4981</v>
      </c>
      <c r="E113" s="65" t="s">
        <v>2384</v>
      </c>
      <c r="F113" s="65" t="s">
        <v>4989</v>
      </c>
      <c r="G113" s="65">
        <v>1</v>
      </c>
      <c r="H113" s="65"/>
      <c r="I113" s="65"/>
      <c r="J113" s="65"/>
      <c r="K113" s="65">
        <v>2</v>
      </c>
      <c r="L113" s="65">
        <v>2</v>
      </c>
      <c r="M113" s="65" t="s">
        <v>5401</v>
      </c>
      <c r="N113" s="65" t="s">
        <v>5609</v>
      </c>
      <c r="O113" s="65" t="s">
        <v>5603</v>
      </c>
      <c r="P113" s="65" t="s">
        <v>5417</v>
      </c>
      <c r="Q113" s="65">
        <v>10</v>
      </c>
      <c r="R113" s="65">
        <v>5</v>
      </c>
      <c r="S113" s="65"/>
      <c r="T113" s="65"/>
      <c r="U113" s="65" t="str">
        <f t="shared" si="5"/>
        <v>DA_sh_w_g_c_r_s_krohar</v>
      </c>
      <c r="V113" s="65" t="str">
        <f t="shared" si="6"/>
        <v>/Game/DungeonSiege/Items/Armor/Shield/DA_sh_w_g_c_r_s_krohar</v>
      </c>
      <c r="W113" s="65" t="str">
        <f t="shared" si="7"/>
        <v>Texture2D'/Game/DungeonSiege/art/bitmaps/gui/in_game/inventory/armor/shield/b_gui_ig_i_a_shd_093.b_gui_ig_i_a_shd_093'</v>
      </c>
      <c r="X113" s="65"/>
    </row>
    <row r="114" spans="1:24" ht="15.75" thickBot="1" x14ac:dyDescent="0.3">
      <c r="A114" s="65">
        <v>112</v>
      </c>
      <c r="B114" s="65">
        <f>HEX2DEC(A114+Items!$A$9)</f>
        <v>20971794</v>
      </c>
      <c r="C114" s="65" t="s">
        <v>5287</v>
      </c>
      <c r="D114" s="65" t="s">
        <v>4977</v>
      </c>
      <c r="E114" s="65" t="s">
        <v>2384</v>
      </c>
      <c r="F114" s="65" t="s">
        <v>4982</v>
      </c>
      <c r="G114" s="65">
        <v>1</v>
      </c>
      <c r="H114" s="65"/>
      <c r="I114" s="65"/>
      <c r="J114" s="65"/>
      <c r="K114" s="65">
        <v>2</v>
      </c>
      <c r="L114" s="65">
        <v>2</v>
      </c>
      <c r="M114" s="65" t="s">
        <v>5402</v>
      </c>
      <c r="N114" s="65" t="s">
        <v>5621</v>
      </c>
      <c r="O114" s="65" t="s">
        <v>5622</v>
      </c>
      <c r="P114" s="65" t="s">
        <v>5623</v>
      </c>
      <c r="Q114" s="65">
        <v>20</v>
      </c>
      <c r="R114" s="65">
        <v>10</v>
      </c>
      <c r="S114" s="65"/>
      <c r="T114" s="65"/>
      <c r="U114" s="65" t="str">
        <f t="shared" si="5"/>
        <v>DA_sh_w_g_c_s_m_fun</v>
      </c>
      <c r="V114" s="65" t="str">
        <f t="shared" si="6"/>
        <v>/Game/DungeonSiege/Items/Armor/Shield/DA_sh_w_g_c_s_m_fun</v>
      </c>
      <c r="W114" s="65" t="str">
        <f t="shared" si="7"/>
        <v>Texture2D'/Game/DungeonSiege/art/bitmaps/gui/in_game/inventory/armor/shield/b_gui_ig_i_a_shd_010.b_gui_ig_i_a_shd_010'</v>
      </c>
      <c r="X114" s="65"/>
    </row>
    <row r="115" spans="1:24" ht="15.75" thickBot="1" x14ac:dyDescent="0.3">
      <c r="A115" s="65">
        <v>113</v>
      </c>
      <c r="B115" s="65">
        <f>HEX2DEC(A115+Items!$A$9)</f>
        <v>20971795</v>
      </c>
      <c r="C115" s="65" t="s">
        <v>5288</v>
      </c>
      <c r="D115" s="65" t="s">
        <v>4977</v>
      </c>
      <c r="E115" s="65" t="s">
        <v>2384</v>
      </c>
      <c r="F115" s="65" t="s">
        <v>4982</v>
      </c>
      <c r="G115" s="65">
        <v>1</v>
      </c>
      <c r="H115" s="65"/>
      <c r="I115" s="65"/>
      <c r="J115" s="65"/>
      <c r="K115" s="65">
        <v>2</v>
      </c>
      <c r="L115" s="65">
        <v>2</v>
      </c>
      <c r="M115" s="65" t="s">
        <v>5403</v>
      </c>
      <c r="N115" s="65" t="s">
        <v>5624</v>
      </c>
      <c r="O115" s="65" t="s">
        <v>5625</v>
      </c>
      <c r="P115" s="65" t="s">
        <v>5502</v>
      </c>
      <c r="Q115" s="65">
        <v>20</v>
      </c>
      <c r="R115" s="65">
        <v>10</v>
      </c>
      <c r="S115" s="65"/>
      <c r="T115" s="65"/>
      <c r="U115" s="65" t="str">
        <f t="shared" si="5"/>
        <v>DA_sh_z_g_c_r_m_avg</v>
      </c>
      <c r="V115" s="65" t="str">
        <f t="shared" si="6"/>
        <v>/Game/DungeonSiege/Items/Armor/Shield/DA_sh_z_g_c_r_m_avg</v>
      </c>
      <c r="W115" s="65" t="str">
        <f t="shared" si="7"/>
        <v>Texture2D'/Game/DungeonSiege/art/bitmaps/gui/in_game/inventory/armor/shield/b_gui_ig_i_a_shd_082.b_gui_ig_i_a_shd_082'</v>
      </c>
      <c r="X115" s="65"/>
    </row>
    <row r="116" spans="1:24" ht="15.75" thickBot="1" x14ac:dyDescent="0.3">
      <c r="A116" s="65">
        <v>114</v>
      </c>
      <c r="B116" s="65">
        <f>HEX2DEC(A116+Items!$A$9)</f>
        <v>20971796</v>
      </c>
      <c r="C116" s="65" t="s">
        <v>5289</v>
      </c>
      <c r="D116" s="65" t="s">
        <v>5128</v>
      </c>
      <c r="E116" s="65"/>
      <c r="F116" s="65"/>
      <c r="G116" s="65">
        <v>1</v>
      </c>
      <c r="H116" s="65"/>
      <c r="I116" s="65"/>
      <c r="J116" s="65"/>
      <c r="K116" s="65">
        <v>1</v>
      </c>
      <c r="L116" s="65">
        <v>2</v>
      </c>
      <c r="M116" s="65" t="s">
        <v>5404</v>
      </c>
      <c r="N116" s="65" t="s">
        <v>5627</v>
      </c>
      <c r="O116" s="65"/>
      <c r="P116" s="65" t="s">
        <v>5626</v>
      </c>
      <c r="Q116" s="65">
        <v>20</v>
      </c>
      <c r="R116" s="65">
        <v>10</v>
      </c>
      <c r="S116" s="65"/>
      <c r="T116" s="65"/>
      <c r="U116" s="65" t="str">
        <f t="shared" si="5"/>
        <v>DA_tongs</v>
      </c>
      <c r="V116" s="65" t="str">
        <f t="shared" si="6"/>
        <v>/Game/DungeonSiege/Items/Armor/Shield/DA_tongs</v>
      </c>
      <c r="W116" s="65" t="str">
        <f t="shared" si="7"/>
        <v>Texture2D'/Game/DungeonSiege/art/bitmaps/gui/in_game/inventory/armor/shield/b_gui_ig_i_w_msc_006.b_gui_ig_i_w_msc_006'</v>
      </c>
      <c r="X116" s="6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ExportBoots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1085850</xdr:colOff>
                    <xdr:row>1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FC7A2-8635-43B1-8AAD-36C7A9958460}">
  <sheetPr codeName="Sheet17"/>
  <dimension ref="A1:V101"/>
  <sheetViews>
    <sheetView topLeftCell="S1" zoomScale="170" zoomScaleNormal="170" workbookViewId="0">
      <selection activeCell="U2" sqref="U2"/>
    </sheetView>
  </sheetViews>
  <sheetFormatPr defaultRowHeight="15" x14ac:dyDescent="0.25"/>
  <cols>
    <col min="3" max="3" width="21.85546875" bestFit="1" customWidth="1"/>
    <col min="13" max="13" width="20.5703125" bestFit="1" customWidth="1"/>
    <col min="14" max="14" width="15" bestFit="1" customWidth="1"/>
    <col min="19" max="19" width="23" bestFit="1" customWidth="1"/>
    <col min="20" max="20" width="49" bestFit="1" customWidth="1"/>
    <col min="21" max="21" width="79.140625" bestFit="1" customWidth="1"/>
    <col min="22" max="22" width="64" bestFit="1" customWidth="1"/>
  </cols>
  <sheetData>
    <row r="1" spans="1:22" ht="34.5" thickBot="1" x14ac:dyDescent="0.3">
      <c r="A1" s="69"/>
      <c r="B1" s="30" t="s">
        <v>28</v>
      </c>
      <c r="C1" s="30" t="s">
        <v>2912</v>
      </c>
      <c r="D1" s="30" t="s">
        <v>2916</v>
      </c>
      <c r="E1" s="30" t="s">
        <v>2906</v>
      </c>
      <c r="F1" s="30" t="s">
        <v>2907</v>
      </c>
      <c r="G1" s="30" t="s">
        <v>2908</v>
      </c>
      <c r="H1" s="30" t="s">
        <v>2909</v>
      </c>
      <c r="I1" s="30" t="s">
        <v>2910</v>
      </c>
      <c r="J1" s="30" t="s">
        <v>2911</v>
      </c>
      <c r="K1" s="67" t="s">
        <v>2502</v>
      </c>
      <c r="L1" s="67" t="s">
        <v>2501</v>
      </c>
      <c r="M1" s="30" t="s">
        <v>2495</v>
      </c>
      <c r="N1" s="30" t="s">
        <v>2496</v>
      </c>
      <c r="O1" s="68" t="s">
        <v>2497</v>
      </c>
      <c r="P1" s="30" t="s">
        <v>2498</v>
      </c>
      <c r="Q1" s="67" t="s">
        <v>2913</v>
      </c>
      <c r="R1" s="67" t="s">
        <v>2914</v>
      </c>
      <c r="S1" s="67" t="s">
        <v>335</v>
      </c>
      <c r="T1" s="67" t="s">
        <v>334</v>
      </c>
      <c r="U1" s="67" t="s">
        <v>671</v>
      </c>
      <c r="V1" s="67" t="s">
        <v>3059</v>
      </c>
    </row>
    <row r="2" spans="1:22" ht="15.75" thickBot="1" x14ac:dyDescent="0.3">
      <c r="A2" s="65">
        <v>0</v>
      </c>
      <c r="B2" s="65">
        <f>HEX2DEC(A2+Items!$A$6)</f>
        <v>17825792</v>
      </c>
      <c r="C2" s="65" t="s">
        <v>4520</v>
      </c>
      <c r="D2" s="65">
        <v>10</v>
      </c>
      <c r="E2" s="65" t="s">
        <v>2384</v>
      </c>
      <c r="F2" s="65">
        <v>20</v>
      </c>
      <c r="G2" s="65">
        <v>1</v>
      </c>
      <c r="H2" s="65">
        <v>0</v>
      </c>
      <c r="I2" s="65">
        <v>0</v>
      </c>
      <c r="J2" s="65">
        <v>0</v>
      </c>
      <c r="K2" s="65">
        <v>1</v>
      </c>
      <c r="L2" s="65">
        <v>2</v>
      </c>
      <c r="M2" s="65" t="s">
        <v>4546</v>
      </c>
      <c r="N2" s="88" t="s">
        <v>4646</v>
      </c>
      <c r="O2" s="88" t="s">
        <v>2507</v>
      </c>
      <c r="P2" s="65" t="s">
        <v>4519</v>
      </c>
      <c r="Q2" s="65">
        <v>0</v>
      </c>
      <c r="R2" s="65">
        <v>0</v>
      </c>
      <c r="S2" s="65" t="str">
        <f xml:space="preserve"> CONCATENATE("DA_",SUBSTITUTE(M2,":","_"))</f>
        <v>DA_bo_bo_br_f_g_c_avg</v>
      </c>
      <c r="T2" s="65" t="str">
        <f>"/Game/DungeonSiege/Items/Armor/Boot/" &amp; S2</f>
        <v>/Game/DungeonSiege/Items/Armor/Boot/DA_bo_bo_br_f_g_c_avg</v>
      </c>
      <c r="U2" s="65" t="str">
        <f>CONCATENATE("Texture2D'/Game/DungeonSiege/art/bitmaps/gui/in_game/inventory/armor/boot/",N2,".",N2,"'")</f>
        <v>Texture2D'/Game/DungeonSiege/art/bitmaps/gui/in_game/inventory/armor/boot/b_gui_ig_i_a_boot_004.b_gui_ig_i_a_boot_004'</v>
      </c>
      <c r="V2" s="65" t="s">
        <v>4745</v>
      </c>
    </row>
    <row r="3" spans="1:22" ht="15.75" thickBot="1" x14ac:dyDescent="0.3">
      <c r="A3" s="65">
        <v>1</v>
      </c>
      <c r="B3" s="65">
        <f>HEX2DEC(A3+Items!$A$6)</f>
        <v>17825793</v>
      </c>
      <c r="C3" s="65" t="s">
        <v>4520</v>
      </c>
      <c r="D3" s="65">
        <v>12</v>
      </c>
      <c r="E3" s="65" t="s">
        <v>2384</v>
      </c>
      <c r="F3" s="65">
        <v>22</v>
      </c>
      <c r="G3" s="65">
        <v>0</v>
      </c>
      <c r="H3" s="65">
        <v>1</v>
      </c>
      <c r="I3" s="65">
        <v>0</v>
      </c>
      <c r="J3" s="65">
        <v>0</v>
      </c>
      <c r="K3" s="65">
        <v>1</v>
      </c>
      <c r="L3" s="65">
        <v>2</v>
      </c>
      <c r="M3" s="65" t="s">
        <v>4547</v>
      </c>
      <c r="N3" s="88" t="s">
        <v>4651</v>
      </c>
      <c r="O3" s="88" t="s">
        <v>2820</v>
      </c>
      <c r="P3" s="65" t="s">
        <v>4519</v>
      </c>
      <c r="Q3" s="65">
        <v>1</v>
      </c>
      <c r="R3" s="65">
        <v>2</v>
      </c>
      <c r="S3" s="65" t="str">
        <f t="shared" ref="S3:S66" si="0" xml:space="preserve"> CONCATENATE("DA_",SUBSTITUTE(M3,":","_"))</f>
        <v>DA_bo_bo_br_f_g_c_avg_c_fin</v>
      </c>
      <c r="T3" s="65" t="str">
        <f t="shared" ref="T3:T66" si="1">"/Game/DungeonSiege/Items/Armor/Boot/" &amp; S3</f>
        <v>/Game/DungeonSiege/Items/Armor/Boot/DA_bo_bo_br_f_g_c_avg_c_fin</v>
      </c>
      <c r="U3" s="65" t="str">
        <f t="shared" ref="U3:U66" si="2">CONCATENATE("Texture2D'/Game/DungeonSiege/art/bitmaps/gui/in_game/inventory/armor/boot/",N3,".",N3,"'")</f>
        <v>Texture2D'/Game/DungeonSiege/art/bitmaps/gui/in_game/inventory/armor/boot/b_gui_ig_i_a_boot_047.b_gui_ig_i_a_boot_047'</v>
      </c>
      <c r="V3" s="65" t="s">
        <v>4745</v>
      </c>
    </row>
    <row r="4" spans="1:22" ht="15.75" thickBot="1" x14ac:dyDescent="0.3">
      <c r="A4" s="65">
        <v>2</v>
      </c>
      <c r="B4" s="65">
        <f>HEX2DEC(A4+Items!$A$6)</f>
        <v>17825794</v>
      </c>
      <c r="C4" s="65" t="s">
        <v>4520</v>
      </c>
      <c r="D4" s="65">
        <v>31</v>
      </c>
      <c r="E4" s="65" t="s">
        <v>2384</v>
      </c>
      <c r="F4" s="65">
        <v>40</v>
      </c>
      <c r="G4" s="65">
        <v>0</v>
      </c>
      <c r="H4" s="65">
        <v>1</v>
      </c>
      <c r="I4" s="65">
        <v>0</v>
      </c>
      <c r="J4" s="65">
        <v>0</v>
      </c>
      <c r="K4" s="65">
        <v>1</v>
      </c>
      <c r="L4" s="65">
        <v>2</v>
      </c>
      <c r="M4" s="65" t="s">
        <v>4548</v>
      </c>
      <c r="N4" s="88" t="s">
        <v>4652</v>
      </c>
      <c r="O4" s="88" t="s">
        <v>2810</v>
      </c>
      <c r="P4" s="65" t="s">
        <v>4519</v>
      </c>
      <c r="Q4" s="65">
        <v>7</v>
      </c>
      <c r="R4" s="65">
        <v>10</v>
      </c>
      <c r="S4" s="65" t="str">
        <f t="shared" si="0"/>
        <v>DA_bo_bo_br_f_g_c_avg_c_mag</v>
      </c>
      <c r="T4" s="65" t="str">
        <f t="shared" si="1"/>
        <v>/Game/DungeonSiege/Items/Armor/Boot/DA_bo_bo_br_f_g_c_avg_c_mag</v>
      </c>
      <c r="U4" s="65" t="str">
        <f t="shared" si="2"/>
        <v>Texture2D'/Game/DungeonSiege/art/bitmaps/gui/in_game/inventory/armor/boot/b_gui_ig_i_a_boot_049.b_gui_ig_i_a_boot_049'</v>
      </c>
      <c r="V4" s="65" t="s">
        <v>4745</v>
      </c>
    </row>
    <row r="5" spans="1:22" ht="15.75" thickBot="1" x14ac:dyDescent="0.3">
      <c r="A5" s="65">
        <v>3</v>
      </c>
      <c r="B5" s="65">
        <f>HEX2DEC(A5+Items!$A$6)</f>
        <v>17825795</v>
      </c>
      <c r="C5" s="65" t="s">
        <v>4520</v>
      </c>
      <c r="D5" s="65">
        <v>22</v>
      </c>
      <c r="E5" s="65" t="s">
        <v>2384</v>
      </c>
      <c r="F5" s="65">
        <v>31</v>
      </c>
      <c r="G5" s="65">
        <v>0</v>
      </c>
      <c r="H5" s="65">
        <v>1</v>
      </c>
      <c r="I5" s="65">
        <v>0</v>
      </c>
      <c r="J5" s="65">
        <v>0</v>
      </c>
      <c r="K5" s="65">
        <v>1</v>
      </c>
      <c r="L5" s="65">
        <v>2</v>
      </c>
      <c r="M5" s="65" t="s">
        <v>4549</v>
      </c>
      <c r="N5" s="88" t="s">
        <v>4653</v>
      </c>
      <c r="O5" s="88" t="s">
        <v>2809</v>
      </c>
      <c r="P5" s="65" t="s">
        <v>4519</v>
      </c>
      <c r="Q5" s="65">
        <v>4</v>
      </c>
      <c r="R5" s="65">
        <v>7</v>
      </c>
      <c r="S5" s="65" t="str">
        <f t="shared" si="0"/>
        <v>DA_bo_bo_br_f_g_c_avg_c_str</v>
      </c>
      <c r="T5" s="65" t="str">
        <f t="shared" si="1"/>
        <v>/Game/DungeonSiege/Items/Armor/Boot/DA_bo_bo_br_f_g_c_avg_c_str</v>
      </c>
      <c r="U5" s="65" t="str">
        <f t="shared" si="2"/>
        <v>Texture2D'/Game/DungeonSiege/art/bitmaps/gui/in_game/inventory/armor/boot/b_gui_ig_i_a_boot_048.b_gui_ig_i_a_boot_048'</v>
      </c>
      <c r="V5" s="65" t="s">
        <v>4745</v>
      </c>
    </row>
    <row r="6" spans="1:22" ht="15.75" thickBot="1" x14ac:dyDescent="0.3">
      <c r="A6" s="65">
        <v>4</v>
      </c>
      <c r="B6" s="65">
        <f>HEX2DEC(A6+Items!$A$6)</f>
        <v>17825796</v>
      </c>
      <c r="C6" s="65" t="s">
        <v>4520</v>
      </c>
      <c r="D6" s="65">
        <v>14</v>
      </c>
      <c r="E6" s="65" t="s">
        <v>2384</v>
      </c>
      <c r="F6" s="65">
        <v>24</v>
      </c>
      <c r="G6" s="65">
        <v>0</v>
      </c>
      <c r="H6" s="65">
        <v>1</v>
      </c>
      <c r="I6" s="65">
        <v>0</v>
      </c>
      <c r="J6" s="65">
        <v>0</v>
      </c>
      <c r="K6" s="65">
        <v>1</v>
      </c>
      <c r="L6" s="65">
        <v>2</v>
      </c>
      <c r="M6" s="65" t="s">
        <v>4550</v>
      </c>
      <c r="N6" s="88" t="s">
        <v>4654</v>
      </c>
      <c r="O6" s="88" t="s">
        <v>2804</v>
      </c>
      <c r="P6" s="65" t="s">
        <v>4519</v>
      </c>
      <c r="Q6" s="65">
        <v>1</v>
      </c>
      <c r="R6" s="65">
        <v>3</v>
      </c>
      <c r="S6" s="65" t="str">
        <f t="shared" si="0"/>
        <v>DA_bo_bo_br_f_g_c_avg_o_avg</v>
      </c>
      <c r="T6" s="65" t="str">
        <f t="shared" si="1"/>
        <v>/Game/DungeonSiege/Items/Armor/Boot/DA_bo_bo_br_f_g_c_avg_o_avg</v>
      </c>
      <c r="U6" s="65" t="str">
        <f t="shared" si="2"/>
        <v>Texture2D'/Game/DungeonSiege/art/bitmaps/gui/in_game/inventory/armor/boot/b_gui_ig_i_a_boot_050.b_gui_ig_i_a_boot_050'</v>
      </c>
      <c r="V6" s="65" t="s">
        <v>4745</v>
      </c>
    </row>
    <row r="7" spans="1:22" ht="15.75" thickBot="1" x14ac:dyDescent="0.3">
      <c r="A7" s="65">
        <v>5</v>
      </c>
      <c r="B7" s="65">
        <f>HEX2DEC(A7+Items!$A$6)</f>
        <v>17825797</v>
      </c>
      <c r="C7" s="65" t="s">
        <v>4520</v>
      </c>
      <c r="D7" s="65">
        <v>17</v>
      </c>
      <c r="E7" s="65" t="s">
        <v>2384</v>
      </c>
      <c r="F7" s="65">
        <v>26</v>
      </c>
      <c r="G7" s="65">
        <v>0</v>
      </c>
      <c r="H7" s="65">
        <v>1</v>
      </c>
      <c r="I7" s="65">
        <v>0</v>
      </c>
      <c r="J7" s="65">
        <v>0</v>
      </c>
      <c r="K7" s="65">
        <v>1</v>
      </c>
      <c r="L7" s="65">
        <v>2</v>
      </c>
      <c r="M7" s="65" t="s">
        <v>4551</v>
      </c>
      <c r="N7" s="88" t="s">
        <v>4655</v>
      </c>
      <c r="O7" s="88" t="s">
        <v>2825</v>
      </c>
      <c r="P7" s="65" t="s">
        <v>4519</v>
      </c>
      <c r="Q7" s="65">
        <v>3</v>
      </c>
      <c r="R7" s="65">
        <v>5</v>
      </c>
      <c r="S7" s="65" t="str">
        <f t="shared" si="0"/>
        <v>DA_bo_bo_br_f_g_c_avg_o_fin</v>
      </c>
      <c r="T7" s="65" t="str">
        <f t="shared" si="1"/>
        <v>/Game/DungeonSiege/Items/Armor/Boot/DA_bo_bo_br_f_g_c_avg_o_fin</v>
      </c>
      <c r="U7" s="65" t="str">
        <f t="shared" si="2"/>
        <v>Texture2D'/Game/DungeonSiege/art/bitmaps/gui/in_game/inventory/armor/boot/b_gui_ig_i_a_boot_051.b_gui_ig_i_a_boot_051'</v>
      </c>
      <c r="V7" s="65" t="s">
        <v>4745</v>
      </c>
    </row>
    <row r="8" spans="1:22" ht="15.75" thickBot="1" x14ac:dyDescent="0.3">
      <c r="A8" s="65">
        <v>6</v>
      </c>
      <c r="B8" s="65">
        <f>HEX2DEC(A8+Items!$A$6)</f>
        <v>17825798</v>
      </c>
      <c r="C8" s="65" t="s">
        <v>4520</v>
      </c>
      <c r="D8" s="65">
        <v>37</v>
      </c>
      <c r="E8" s="65" t="s">
        <v>2384</v>
      </c>
      <c r="F8" s="65">
        <v>45</v>
      </c>
      <c r="G8" s="65">
        <v>0</v>
      </c>
      <c r="H8" s="65">
        <v>1</v>
      </c>
      <c r="I8" s="65">
        <v>0</v>
      </c>
      <c r="J8" s="65">
        <v>0</v>
      </c>
      <c r="K8" s="65">
        <v>1</v>
      </c>
      <c r="L8" s="65">
        <v>2</v>
      </c>
      <c r="M8" s="65" t="s">
        <v>4552</v>
      </c>
      <c r="N8" s="88" t="s">
        <v>4656</v>
      </c>
      <c r="O8" s="88" t="s">
        <v>2798</v>
      </c>
      <c r="P8" s="65" t="s">
        <v>4519</v>
      </c>
      <c r="Q8" s="65">
        <v>9</v>
      </c>
      <c r="R8" s="65">
        <v>12</v>
      </c>
      <c r="S8" s="65" t="str">
        <f t="shared" si="0"/>
        <v>DA_bo_bo_br_f_g_c_avg_o_mag</v>
      </c>
      <c r="T8" s="65" t="str">
        <f t="shared" si="1"/>
        <v>/Game/DungeonSiege/Items/Armor/Boot/DA_bo_bo_br_f_g_c_avg_o_mag</v>
      </c>
      <c r="U8" s="65" t="str">
        <f t="shared" si="2"/>
        <v>Texture2D'/Game/DungeonSiege/art/bitmaps/gui/in_game/inventory/armor/boot/b_gui_ig_i_a_boot_053.b_gui_ig_i_a_boot_053'</v>
      </c>
      <c r="V8" s="65" t="s">
        <v>4745</v>
      </c>
    </row>
    <row r="9" spans="1:22" ht="15.75" thickBot="1" x14ac:dyDescent="0.3">
      <c r="A9" s="65">
        <v>7</v>
      </c>
      <c r="B9" s="65">
        <f>HEX2DEC(A9+Items!$A$6)</f>
        <v>17825799</v>
      </c>
      <c r="C9" s="65" t="s">
        <v>4520</v>
      </c>
      <c r="D9" s="65">
        <v>26</v>
      </c>
      <c r="E9" s="65" t="s">
        <v>2384</v>
      </c>
      <c r="F9" s="65">
        <v>35</v>
      </c>
      <c r="G9" s="65">
        <v>0</v>
      </c>
      <c r="H9" s="65">
        <v>1</v>
      </c>
      <c r="I9" s="65">
        <v>0</v>
      </c>
      <c r="J9" s="65">
        <v>0</v>
      </c>
      <c r="K9" s="65">
        <v>1</v>
      </c>
      <c r="L9" s="65">
        <v>2</v>
      </c>
      <c r="M9" s="65" t="s">
        <v>4553</v>
      </c>
      <c r="N9" s="88" t="s">
        <v>4657</v>
      </c>
      <c r="O9" s="88" t="s">
        <v>2808</v>
      </c>
      <c r="P9" s="65" t="s">
        <v>4519</v>
      </c>
      <c r="Q9" s="65">
        <v>6</v>
      </c>
      <c r="R9" s="65">
        <v>9</v>
      </c>
      <c r="S9" s="65" t="str">
        <f t="shared" si="0"/>
        <v>DA_bo_bo_br_f_g_c_avg_o_str</v>
      </c>
      <c r="T9" s="65" t="str">
        <f t="shared" si="1"/>
        <v>/Game/DungeonSiege/Items/Armor/Boot/DA_bo_bo_br_f_g_c_avg_o_str</v>
      </c>
      <c r="U9" s="65" t="str">
        <f t="shared" si="2"/>
        <v>Texture2D'/Game/DungeonSiege/art/bitmaps/gui/in_game/inventory/armor/boot/b_gui_ig_i_a_boot_052.b_gui_ig_i_a_boot_052'</v>
      </c>
      <c r="V9" s="65" t="s">
        <v>4745</v>
      </c>
    </row>
    <row r="10" spans="1:22" ht="15.75" thickBot="1" x14ac:dyDescent="0.3">
      <c r="A10" s="65">
        <v>8</v>
      </c>
      <c r="B10" s="65">
        <f>HEX2DEC(A10+Items!$A$6)</f>
        <v>17825800</v>
      </c>
      <c r="C10" s="65" t="s">
        <v>4521</v>
      </c>
      <c r="D10" s="65">
        <v>16</v>
      </c>
      <c r="E10" s="65" t="s">
        <v>2384</v>
      </c>
      <c r="F10" s="65">
        <v>26</v>
      </c>
      <c r="G10" s="65">
        <v>1</v>
      </c>
      <c r="H10" s="65">
        <v>1</v>
      </c>
      <c r="I10" s="65">
        <v>0</v>
      </c>
      <c r="J10" s="65">
        <v>0</v>
      </c>
      <c r="K10" s="65">
        <v>1</v>
      </c>
      <c r="L10" s="65">
        <v>2</v>
      </c>
      <c r="M10" s="65" t="s">
        <v>4554</v>
      </c>
      <c r="N10" s="88" t="s">
        <v>4658</v>
      </c>
      <c r="O10" s="88" t="s">
        <v>2509</v>
      </c>
      <c r="P10" s="65" t="s">
        <v>4519</v>
      </c>
      <c r="Q10" s="65">
        <v>0</v>
      </c>
      <c r="R10" s="65">
        <v>1</v>
      </c>
      <c r="S10" s="65" t="str">
        <f t="shared" si="0"/>
        <v>DA_bo_bo_ch_f_g_c_avg</v>
      </c>
      <c r="T10" s="65" t="str">
        <f t="shared" si="1"/>
        <v>/Game/DungeonSiege/Items/Armor/Boot/DA_bo_bo_ch_f_g_c_avg</v>
      </c>
      <c r="U10" s="65" t="str">
        <f t="shared" si="2"/>
        <v>Texture2D'/Game/DungeonSiege/art/bitmaps/gui/in_game/inventory/armor/boot/b_gui_ig_i_a_boot_006.b_gui_ig_i_a_boot_006'</v>
      </c>
      <c r="V10" s="65" t="s">
        <v>4745</v>
      </c>
    </row>
    <row r="11" spans="1:22" ht="15.75" thickBot="1" x14ac:dyDescent="0.3">
      <c r="A11" s="65">
        <v>9</v>
      </c>
      <c r="B11" s="65">
        <f>HEX2DEC(A11+Items!$A$6)</f>
        <v>17825801</v>
      </c>
      <c r="C11" s="65" t="s">
        <v>4521</v>
      </c>
      <c r="D11" s="65">
        <v>19</v>
      </c>
      <c r="E11" s="65" t="s">
        <v>2384</v>
      </c>
      <c r="F11" s="65">
        <v>28</v>
      </c>
      <c r="G11" s="65">
        <v>0</v>
      </c>
      <c r="H11" s="65">
        <v>1</v>
      </c>
      <c r="I11" s="65">
        <v>0</v>
      </c>
      <c r="J11" s="65">
        <v>0</v>
      </c>
      <c r="K11" s="65">
        <v>1</v>
      </c>
      <c r="L11" s="65">
        <v>2</v>
      </c>
      <c r="M11" s="65" t="s">
        <v>4555</v>
      </c>
      <c r="N11" s="88" t="s">
        <v>4659</v>
      </c>
      <c r="O11" s="88" t="s">
        <v>2785</v>
      </c>
      <c r="P11" s="65" t="s">
        <v>4519</v>
      </c>
      <c r="Q11" s="65">
        <v>1</v>
      </c>
      <c r="R11" s="65">
        <v>3</v>
      </c>
      <c r="S11" s="65" t="str">
        <f t="shared" si="0"/>
        <v>DA_bo_bo_ch_f_g_c_avg_c_fin</v>
      </c>
      <c r="T11" s="65" t="str">
        <f t="shared" si="1"/>
        <v>/Game/DungeonSiege/Items/Armor/Boot/DA_bo_bo_ch_f_g_c_avg_c_fin</v>
      </c>
      <c r="U11" s="65" t="str">
        <f t="shared" si="2"/>
        <v>Texture2D'/Game/DungeonSiege/art/bitmaps/gui/in_game/inventory/armor/boot/b_gui_ig_i_a_boot_026.b_gui_ig_i_a_boot_026'</v>
      </c>
      <c r="V11" s="65" t="s">
        <v>4745</v>
      </c>
    </row>
    <row r="12" spans="1:22" ht="15.75" thickBot="1" x14ac:dyDescent="0.3">
      <c r="A12" s="65">
        <v>10</v>
      </c>
      <c r="B12" s="65">
        <f>HEX2DEC(A12+Items!$A$6)</f>
        <v>17825808</v>
      </c>
      <c r="C12" s="65" t="s">
        <v>4521</v>
      </c>
      <c r="D12" s="65">
        <v>45</v>
      </c>
      <c r="E12" s="65" t="s">
        <v>2384</v>
      </c>
      <c r="F12" s="65">
        <v>53</v>
      </c>
      <c r="G12" s="65">
        <v>0</v>
      </c>
      <c r="H12" s="65">
        <v>1</v>
      </c>
      <c r="I12" s="65">
        <v>0</v>
      </c>
      <c r="J12" s="65">
        <v>0</v>
      </c>
      <c r="K12" s="65">
        <v>1</v>
      </c>
      <c r="L12" s="65">
        <v>2</v>
      </c>
      <c r="M12" s="65" t="s">
        <v>4556</v>
      </c>
      <c r="N12" s="88" t="s">
        <v>4660</v>
      </c>
      <c r="O12" s="88" t="s">
        <v>2790</v>
      </c>
      <c r="P12" s="65" t="s">
        <v>4519</v>
      </c>
      <c r="Q12" s="65">
        <v>11</v>
      </c>
      <c r="R12" s="65">
        <v>15</v>
      </c>
      <c r="S12" s="65" t="str">
        <f t="shared" si="0"/>
        <v>DA_bo_bo_ch_f_g_c_avg_c_mag</v>
      </c>
      <c r="T12" s="65" t="str">
        <f t="shared" si="1"/>
        <v>/Game/DungeonSiege/Items/Armor/Boot/DA_bo_bo_ch_f_g_c_avg_c_mag</v>
      </c>
      <c r="U12" s="65" t="str">
        <f t="shared" si="2"/>
        <v>Texture2D'/Game/DungeonSiege/art/bitmaps/gui/in_game/inventory/armor/boot/b_gui_ig_i_a_boot_028.b_gui_ig_i_a_boot_028'</v>
      </c>
      <c r="V12" s="65" t="s">
        <v>4745</v>
      </c>
    </row>
    <row r="13" spans="1:22" ht="15.75" thickBot="1" x14ac:dyDescent="0.3">
      <c r="A13" s="65">
        <v>11</v>
      </c>
      <c r="B13" s="65">
        <f>HEX2DEC(A13+Items!$A$6)</f>
        <v>17825809</v>
      </c>
      <c r="C13" s="65" t="s">
        <v>4521</v>
      </c>
      <c r="D13" s="65">
        <v>32</v>
      </c>
      <c r="E13" s="65" t="s">
        <v>2384</v>
      </c>
      <c r="F13" s="65">
        <v>41</v>
      </c>
      <c r="G13" s="65">
        <v>0</v>
      </c>
      <c r="H13" s="65">
        <v>1</v>
      </c>
      <c r="I13" s="65">
        <v>0</v>
      </c>
      <c r="J13" s="65">
        <v>0</v>
      </c>
      <c r="K13" s="65">
        <v>1</v>
      </c>
      <c r="L13" s="65">
        <v>2</v>
      </c>
      <c r="M13" s="65" t="s">
        <v>4557</v>
      </c>
      <c r="N13" s="88" t="s">
        <v>4661</v>
      </c>
      <c r="O13" s="88" t="s">
        <v>2789</v>
      </c>
      <c r="P13" s="65" t="s">
        <v>4519</v>
      </c>
      <c r="Q13" s="65">
        <v>6</v>
      </c>
      <c r="R13" s="65">
        <v>10</v>
      </c>
      <c r="S13" s="65" t="str">
        <f t="shared" si="0"/>
        <v>DA_bo_bo_ch_f_g_c_avg_c_str</v>
      </c>
      <c r="T13" s="65" t="str">
        <f t="shared" si="1"/>
        <v>/Game/DungeonSiege/Items/Armor/Boot/DA_bo_bo_ch_f_g_c_avg_c_str</v>
      </c>
      <c r="U13" s="65" t="str">
        <f t="shared" si="2"/>
        <v>Texture2D'/Game/DungeonSiege/art/bitmaps/gui/in_game/inventory/armor/boot/b_gui_ig_i_a_boot_027.b_gui_ig_i_a_boot_027'</v>
      </c>
      <c r="V13" s="65" t="s">
        <v>4745</v>
      </c>
    </row>
    <row r="14" spans="1:22" ht="15.75" thickBot="1" x14ac:dyDescent="0.3">
      <c r="A14" s="65">
        <v>12</v>
      </c>
      <c r="B14" s="65">
        <f>HEX2DEC(A14+Items!$A$6)</f>
        <v>17825810</v>
      </c>
      <c r="C14" s="65" t="s">
        <v>4521</v>
      </c>
      <c r="D14" s="65">
        <v>23</v>
      </c>
      <c r="E14" s="65" t="s">
        <v>2384</v>
      </c>
      <c r="F14" s="65">
        <v>32</v>
      </c>
      <c r="G14" s="65">
        <v>0</v>
      </c>
      <c r="H14" s="65">
        <v>1</v>
      </c>
      <c r="I14" s="65">
        <v>0</v>
      </c>
      <c r="J14" s="65">
        <v>0</v>
      </c>
      <c r="K14" s="65">
        <v>1</v>
      </c>
      <c r="L14" s="65">
        <v>2</v>
      </c>
      <c r="M14" s="65" t="s">
        <v>4558</v>
      </c>
      <c r="N14" s="88" t="s">
        <v>4662</v>
      </c>
      <c r="O14" s="88" t="s">
        <v>2791</v>
      </c>
      <c r="P14" s="65" t="s">
        <v>4519</v>
      </c>
      <c r="Q14" s="65">
        <v>2</v>
      </c>
      <c r="R14" s="65">
        <v>6</v>
      </c>
      <c r="S14" s="65" t="str">
        <f t="shared" si="0"/>
        <v>DA_bo_bo_ch_f_g_c_avg_o_avg</v>
      </c>
      <c r="T14" s="65" t="str">
        <f t="shared" si="1"/>
        <v>/Game/DungeonSiege/Items/Armor/Boot/DA_bo_bo_ch_f_g_c_avg_o_avg</v>
      </c>
      <c r="U14" s="65" t="str">
        <f t="shared" si="2"/>
        <v>Texture2D'/Game/DungeonSiege/art/bitmaps/gui/in_game/inventory/armor/boot/b_gui_ig_i_a_boot_029.b_gui_ig_i_a_boot_029'</v>
      </c>
      <c r="V14" s="65" t="s">
        <v>4745</v>
      </c>
    </row>
    <row r="15" spans="1:22" ht="15.75" thickBot="1" x14ac:dyDescent="0.3">
      <c r="A15" s="65">
        <v>13</v>
      </c>
      <c r="B15" s="65">
        <f>HEX2DEC(A15+Items!$A$6)</f>
        <v>17825811</v>
      </c>
      <c r="C15" s="65" t="s">
        <v>4521</v>
      </c>
      <c r="D15" s="65">
        <v>27</v>
      </c>
      <c r="E15" s="65" t="s">
        <v>2384</v>
      </c>
      <c r="F15" s="65">
        <v>36</v>
      </c>
      <c r="G15" s="65">
        <v>0</v>
      </c>
      <c r="H15" s="65">
        <v>1</v>
      </c>
      <c r="I15" s="65">
        <v>0</v>
      </c>
      <c r="J15" s="65">
        <v>0</v>
      </c>
      <c r="K15" s="65">
        <v>1</v>
      </c>
      <c r="L15" s="65">
        <v>2</v>
      </c>
      <c r="M15" s="65" t="s">
        <v>4559</v>
      </c>
      <c r="N15" s="88" t="s">
        <v>4663</v>
      </c>
      <c r="O15" s="88" t="s">
        <v>2792</v>
      </c>
      <c r="P15" s="65" t="s">
        <v>4519</v>
      </c>
      <c r="Q15" s="65">
        <v>4</v>
      </c>
      <c r="R15" s="65">
        <v>8</v>
      </c>
      <c r="S15" s="65" t="str">
        <f t="shared" si="0"/>
        <v>DA_bo_bo_ch_f_g_c_avg_o_fin</v>
      </c>
      <c r="T15" s="65" t="str">
        <f t="shared" si="1"/>
        <v>/Game/DungeonSiege/Items/Armor/Boot/DA_bo_bo_ch_f_g_c_avg_o_fin</v>
      </c>
      <c r="U15" s="65" t="str">
        <f t="shared" si="2"/>
        <v>Texture2D'/Game/DungeonSiege/art/bitmaps/gui/in_game/inventory/armor/boot/b_gui_ig_i_a_boot_030.b_gui_ig_i_a_boot_030'</v>
      </c>
      <c r="V15" s="65" t="s">
        <v>4745</v>
      </c>
    </row>
    <row r="16" spans="1:22" ht="15.75" thickBot="1" x14ac:dyDescent="0.3">
      <c r="A16" s="65">
        <v>14</v>
      </c>
      <c r="B16" s="65">
        <f>HEX2DEC(A16+Items!$A$6)</f>
        <v>17825812</v>
      </c>
      <c r="C16" s="65" t="s">
        <v>4521</v>
      </c>
      <c r="D16" s="65">
        <v>52</v>
      </c>
      <c r="E16" s="65" t="s">
        <v>2384</v>
      </c>
      <c r="F16" s="65">
        <v>60</v>
      </c>
      <c r="G16" s="65">
        <v>0</v>
      </c>
      <c r="H16" s="65">
        <v>1</v>
      </c>
      <c r="I16" s="65">
        <v>0</v>
      </c>
      <c r="J16" s="65">
        <v>0</v>
      </c>
      <c r="K16" s="65">
        <v>1</v>
      </c>
      <c r="L16" s="65">
        <v>2</v>
      </c>
      <c r="M16" s="65" t="s">
        <v>4560</v>
      </c>
      <c r="N16" s="88" t="s">
        <v>4658</v>
      </c>
      <c r="O16" s="88" t="s">
        <v>2509</v>
      </c>
      <c r="P16" s="65" t="s">
        <v>4519</v>
      </c>
      <c r="Q16" s="65">
        <v>13</v>
      </c>
      <c r="R16" s="65">
        <v>18</v>
      </c>
      <c r="S16" s="65" t="str">
        <f t="shared" si="0"/>
        <v>DA_bo_bo_ch_f_g_c_avg_o_mag</v>
      </c>
      <c r="T16" s="65" t="str">
        <f t="shared" si="1"/>
        <v>/Game/DungeonSiege/Items/Armor/Boot/DA_bo_bo_ch_f_g_c_avg_o_mag</v>
      </c>
      <c r="U16" s="65" t="str">
        <f t="shared" si="2"/>
        <v>Texture2D'/Game/DungeonSiege/art/bitmaps/gui/in_game/inventory/armor/boot/b_gui_ig_i_a_boot_006.b_gui_ig_i_a_boot_006'</v>
      </c>
      <c r="V16" s="65" t="s">
        <v>4745</v>
      </c>
    </row>
    <row r="17" spans="1:22" ht="15.75" thickBot="1" x14ac:dyDescent="0.3">
      <c r="A17" s="65">
        <v>15</v>
      </c>
      <c r="B17" s="65">
        <f>HEX2DEC(A17+Items!$A$6)</f>
        <v>17825813</v>
      </c>
      <c r="C17" s="65" t="s">
        <v>4521</v>
      </c>
      <c r="D17" s="65">
        <v>38</v>
      </c>
      <c r="E17" s="65" t="s">
        <v>2384</v>
      </c>
      <c r="F17" s="65">
        <v>47</v>
      </c>
      <c r="G17" s="65">
        <v>0</v>
      </c>
      <c r="H17" s="65">
        <v>1</v>
      </c>
      <c r="I17" s="65">
        <v>0</v>
      </c>
      <c r="J17" s="65">
        <v>0</v>
      </c>
      <c r="K17" s="65">
        <v>1</v>
      </c>
      <c r="L17" s="65">
        <v>2</v>
      </c>
      <c r="M17" s="65" t="s">
        <v>4561</v>
      </c>
      <c r="N17" s="88" t="s">
        <v>4664</v>
      </c>
      <c r="O17" s="88" t="s">
        <v>2793</v>
      </c>
      <c r="P17" s="65" t="s">
        <v>4519</v>
      </c>
      <c r="Q17" s="65">
        <v>8</v>
      </c>
      <c r="R17" s="65">
        <v>13</v>
      </c>
      <c r="S17" s="65" t="str">
        <f t="shared" si="0"/>
        <v>DA_bo_bo_ch_f_g_c_avg_o_str</v>
      </c>
      <c r="T17" s="65" t="str">
        <f t="shared" si="1"/>
        <v>/Game/DungeonSiege/Items/Armor/Boot/DA_bo_bo_ch_f_g_c_avg_o_str</v>
      </c>
      <c r="U17" s="65" t="str">
        <f t="shared" si="2"/>
        <v>Texture2D'/Game/DungeonSiege/art/bitmaps/gui/in_game/inventory/armor/boot/b_gui_ig_i_a_boot_031.b_gui_ig_i_a_boot_031'</v>
      </c>
      <c r="V17" s="65" t="s">
        <v>4745</v>
      </c>
    </row>
    <row r="18" spans="1:22" ht="15.75" thickBot="1" x14ac:dyDescent="0.3">
      <c r="A18" s="65">
        <v>16</v>
      </c>
      <c r="B18" s="65">
        <f>HEX2DEC(A18+Items!$A$6)</f>
        <v>17825814</v>
      </c>
      <c r="C18" s="65" t="s">
        <v>4522</v>
      </c>
      <c r="D18" s="65">
        <v>1</v>
      </c>
      <c r="E18" s="65"/>
      <c r="F18" s="65"/>
      <c r="G18" s="65">
        <v>1</v>
      </c>
      <c r="H18" s="65">
        <v>0</v>
      </c>
      <c r="I18" s="65">
        <v>0</v>
      </c>
      <c r="J18" s="65">
        <v>0</v>
      </c>
      <c r="K18" s="65">
        <v>1</v>
      </c>
      <c r="L18" s="65">
        <v>2</v>
      </c>
      <c r="M18" s="65" t="s">
        <v>4562</v>
      </c>
      <c r="N18" s="88" t="s">
        <v>4665</v>
      </c>
      <c r="O18" s="88" t="s">
        <v>2499</v>
      </c>
      <c r="P18" s="65" t="s">
        <v>4519</v>
      </c>
      <c r="Q18" s="65">
        <v>0</v>
      </c>
      <c r="R18" s="65">
        <v>0</v>
      </c>
      <c r="S18" s="65" t="str">
        <f t="shared" si="0"/>
        <v>DA_bo_bo_le_f_g_c_avg</v>
      </c>
      <c r="T18" s="65" t="str">
        <f t="shared" si="1"/>
        <v>/Game/DungeonSiege/Items/Armor/Boot/DA_bo_bo_le_f_g_c_avg</v>
      </c>
      <c r="U18" s="65" t="str">
        <f t="shared" si="2"/>
        <v>Texture2D'/Game/DungeonSiege/art/bitmaps/gui/in_game/inventory/armor/boot/b_gui_ig_i_a_boot_001.b_gui_ig_i_a_boot_001'</v>
      </c>
      <c r="V18" s="65" t="s">
        <v>4745</v>
      </c>
    </row>
    <row r="19" spans="1:22" ht="15.75" thickBot="1" x14ac:dyDescent="0.3">
      <c r="A19" s="65">
        <v>17</v>
      </c>
      <c r="B19" s="65">
        <f>HEX2DEC(A19+Items!$A$6)</f>
        <v>17825815</v>
      </c>
      <c r="C19" s="65" t="s">
        <v>4522</v>
      </c>
      <c r="D19" s="65">
        <v>1</v>
      </c>
      <c r="E19" s="65"/>
      <c r="F19" s="65"/>
      <c r="G19" s="65">
        <v>0</v>
      </c>
      <c r="H19" s="65">
        <v>1</v>
      </c>
      <c r="I19" s="65">
        <v>0</v>
      </c>
      <c r="J19" s="65">
        <v>0</v>
      </c>
      <c r="K19" s="65">
        <v>1</v>
      </c>
      <c r="L19" s="65">
        <v>2</v>
      </c>
      <c r="M19" s="65" t="s">
        <v>4563</v>
      </c>
      <c r="N19" s="88" t="s">
        <v>4666</v>
      </c>
      <c r="O19" s="88" t="s">
        <v>2821</v>
      </c>
      <c r="P19" s="65" t="s">
        <v>4519</v>
      </c>
      <c r="Q19" s="65">
        <v>1</v>
      </c>
      <c r="R19" s="65">
        <v>2</v>
      </c>
      <c r="S19" s="65" t="str">
        <f t="shared" si="0"/>
        <v>DA_bo_bo_le_f_g_c_avg_c_fin</v>
      </c>
      <c r="T19" s="65" t="str">
        <f t="shared" si="1"/>
        <v>/Game/DungeonSiege/Items/Armor/Boot/DA_bo_bo_le_f_g_c_avg_c_fin</v>
      </c>
      <c r="U19" s="65" t="str">
        <f t="shared" si="2"/>
        <v>Texture2D'/Game/DungeonSiege/art/bitmaps/gui/in_game/inventory/armor/boot/b_gui_ig_i_a_boot_040.b_gui_ig_i_a_boot_040'</v>
      </c>
      <c r="V19" s="65" t="s">
        <v>4745</v>
      </c>
    </row>
    <row r="20" spans="1:22" ht="15.75" thickBot="1" x14ac:dyDescent="0.3">
      <c r="A20" s="65">
        <v>18</v>
      </c>
      <c r="B20" s="65">
        <f>HEX2DEC(A20+Items!$A$6)</f>
        <v>17825816</v>
      </c>
      <c r="C20" s="65" t="s">
        <v>4522</v>
      </c>
      <c r="D20" s="65">
        <v>15</v>
      </c>
      <c r="E20" s="65" t="s">
        <v>2384</v>
      </c>
      <c r="F20" s="65">
        <v>24</v>
      </c>
      <c r="G20" s="65">
        <v>0</v>
      </c>
      <c r="H20" s="65">
        <v>1</v>
      </c>
      <c r="I20" s="65">
        <v>0</v>
      </c>
      <c r="J20" s="65">
        <v>0</v>
      </c>
      <c r="K20" s="65">
        <v>1</v>
      </c>
      <c r="L20" s="65">
        <v>2</v>
      </c>
      <c r="M20" s="65" t="s">
        <v>4564</v>
      </c>
      <c r="N20" s="88" t="s">
        <v>4667</v>
      </c>
      <c r="O20" s="88" t="s">
        <v>2813</v>
      </c>
      <c r="P20" s="65" t="s">
        <v>4519</v>
      </c>
      <c r="Q20" s="65">
        <v>4</v>
      </c>
      <c r="R20" s="65">
        <v>6</v>
      </c>
      <c r="S20" s="65" t="str">
        <f t="shared" si="0"/>
        <v>DA_bo_bo_le_f_g_c_avg_c_mag</v>
      </c>
      <c r="T20" s="65" t="str">
        <f t="shared" si="1"/>
        <v>/Game/DungeonSiege/Items/Armor/Boot/DA_bo_bo_le_f_g_c_avg_c_mag</v>
      </c>
      <c r="U20" s="65" t="str">
        <f t="shared" si="2"/>
        <v>Texture2D'/Game/DungeonSiege/art/bitmaps/gui/in_game/inventory/armor/boot/b_gui_ig_i_a_boot_042.b_gui_ig_i_a_boot_042'</v>
      </c>
      <c r="V20" s="65" t="s">
        <v>4745</v>
      </c>
    </row>
    <row r="21" spans="1:22" ht="15.75" thickBot="1" x14ac:dyDescent="0.3">
      <c r="A21" s="65">
        <v>19</v>
      </c>
      <c r="B21" s="65">
        <f>HEX2DEC(A21+Items!$A$6)</f>
        <v>17825817</v>
      </c>
      <c r="C21" s="65" t="s">
        <v>4522</v>
      </c>
      <c r="D21" s="65">
        <v>8</v>
      </c>
      <c r="E21" s="65" t="s">
        <v>2384</v>
      </c>
      <c r="F21" s="65">
        <v>18</v>
      </c>
      <c r="G21" s="65">
        <v>0</v>
      </c>
      <c r="H21" s="65">
        <v>1</v>
      </c>
      <c r="I21" s="65">
        <v>0</v>
      </c>
      <c r="J21" s="65">
        <v>0</v>
      </c>
      <c r="K21" s="65">
        <v>1</v>
      </c>
      <c r="L21" s="65">
        <v>2</v>
      </c>
      <c r="M21" s="65" t="s">
        <v>4565</v>
      </c>
      <c r="N21" s="88" t="s">
        <v>4668</v>
      </c>
      <c r="O21" s="88" t="s">
        <v>2822</v>
      </c>
      <c r="P21" s="65" t="s">
        <v>4519</v>
      </c>
      <c r="Q21" s="65">
        <v>2</v>
      </c>
      <c r="R21" s="65">
        <v>3</v>
      </c>
      <c r="S21" s="65" t="str">
        <f t="shared" si="0"/>
        <v>DA_bo_bo_le_f_g_c_avg_c_str</v>
      </c>
      <c r="T21" s="65" t="str">
        <f t="shared" si="1"/>
        <v>/Game/DungeonSiege/Items/Armor/Boot/DA_bo_bo_le_f_g_c_avg_c_str</v>
      </c>
      <c r="U21" s="65" t="str">
        <f t="shared" si="2"/>
        <v>Texture2D'/Game/DungeonSiege/art/bitmaps/gui/in_game/inventory/armor/boot/b_gui_ig_i_a_boot_041.b_gui_ig_i_a_boot_041'</v>
      </c>
      <c r="V21" s="65" t="s">
        <v>4745</v>
      </c>
    </row>
    <row r="22" spans="1:22" ht="15.75" thickBot="1" x14ac:dyDescent="0.3">
      <c r="A22" s="65">
        <v>20</v>
      </c>
      <c r="B22" s="65">
        <f>HEX2DEC(A22+Items!$A$6)</f>
        <v>17825824</v>
      </c>
      <c r="C22" s="65" t="s">
        <v>4522</v>
      </c>
      <c r="D22" s="65">
        <v>3</v>
      </c>
      <c r="E22" s="65" t="s">
        <v>2384</v>
      </c>
      <c r="F22" s="65">
        <v>13</v>
      </c>
      <c r="G22" s="65">
        <v>0</v>
      </c>
      <c r="H22" s="65">
        <v>1</v>
      </c>
      <c r="I22" s="65">
        <v>0</v>
      </c>
      <c r="J22" s="65">
        <v>0</v>
      </c>
      <c r="K22" s="65">
        <v>1</v>
      </c>
      <c r="L22" s="65">
        <v>2</v>
      </c>
      <c r="M22" s="65" t="s">
        <v>4566</v>
      </c>
      <c r="N22" s="88" t="s">
        <v>4669</v>
      </c>
      <c r="O22" s="88" t="s">
        <v>2814</v>
      </c>
      <c r="P22" s="65" t="s">
        <v>4519</v>
      </c>
      <c r="Q22" s="65">
        <v>1</v>
      </c>
      <c r="R22" s="65">
        <v>2</v>
      </c>
      <c r="S22" s="65" t="str">
        <f t="shared" si="0"/>
        <v>DA_bo_bo_le_f_g_c_avg_o_avg</v>
      </c>
      <c r="T22" s="65" t="str">
        <f t="shared" si="1"/>
        <v>/Game/DungeonSiege/Items/Armor/Boot/DA_bo_bo_le_f_g_c_avg_o_avg</v>
      </c>
      <c r="U22" s="65" t="str">
        <f t="shared" si="2"/>
        <v>Texture2D'/Game/DungeonSiege/art/bitmaps/gui/in_game/inventory/armor/boot/b_gui_ig_i_a_boot_043.b_gui_ig_i_a_boot_043'</v>
      </c>
      <c r="V22" s="65" t="s">
        <v>4745</v>
      </c>
    </row>
    <row r="23" spans="1:22" ht="15.75" thickBot="1" x14ac:dyDescent="0.3">
      <c r="A23" s="65">
        <v>21</v>
      </c>
      <c r="B23" s="65">
        <f>HEX2DEC(A23+Items!$A$6)</f>
        <v>17825825</v>
      </c>
      <c r="C23" s="65" t="s">
        <v>4522</v>
      </c>
      <c r="D23" s="65">
        <v>5</v>
      </c>
      <c r="E23" s="65" t="s">
        <v>2384</v>
      </c>
      <c r="F23" s="65">
        <v>15</v>
      </c>
      <c r="G23" s="65">
        <v>0</v>
      </c>
      <c r="H23" s="65">
        <v>1</v>
      </c>
      <c r="I23" s="65">
        <v>0</v>
      </c>
      <c r="J23" s="65">
        <v>0</v>
      </c>
      <c r="K23" s="65">
        <v>1</v>
      </c>
      <c r="L23" s="65">
        <v>2</v>
      </c>
      <c r="M23" s="65" t="s">
        <v>4567</v>
      </c>
      <c r="N23" s="88" t="s">
        <v>4670</v>
      </c>
      <c r="O23" s="88" t="s">
        <v>2818</v>
      </c>
      <c r="P23" s="65" t="s">
        <v>4519</v>
      </c>
      <c r="Q23" s="65">
        <v>1</v>
      </c>
      <c r="R23" s="65">
        <v>2</v>
      </c>
      <c r="S23" s="65" t="str">
        <f t="shared" si="0"/>
        <v>DA_bo_bo_le_f_g_c_avg_o_fin</v>
      </c>
      <c r="T23" s="65" t="str">
        <f t="shared" si="1"/>
        <v>/Game/DungeonSiege/Items/Armor/Boot/DA_bo_bo_le_f_g_c_avg_o_fin</v>
      </c>
      <c r="U23" s="65" t="str">
        <f t="shared" si="2"/>
        <v>Texture2D'/Game/DungeonSiege/art/bitmaps/gui/in_game/inventory/armor/boot/b_gui_ig_i_a_boot_044.b_gui_ig_i_a_boot_044'</v>
      </c>
      <c r="V23" s="65" t="s">
        <v>4745</v>
      </c>
    </row>
    <row r="24" spans="1:22" ht="15.75" thickBot="1" x14ac:dyDescent="0.3">
      <c r="A24" s="65">
        <v>22</v>
      </c>
      <c r="B24" s="65">
        <f>HEX2DEC(A24+Items!$A$6)</f>
        <v>17825826</v>
      </c>
      <c r="C24" s="65" t="s">
        <v>4522</v>
      </c>
      <c r="D24" s="65">
        <v>20</v>
      </c>
      <c r="E24" s="65" t="s">
        <v>2384</v>
      </c>
      <c r="F24" s="65">
        <v>29</v>
      </c>
      <c r="G24" s="65">
        <v>0</v>
      </c>
      <c r="H24" s="65">
        <v>1</v>
      </c>
      <c r="I24" s="65">
        <v>0</v>
      </c>
      <c r="J24" s="65">
        <v>0</v>
      </c>
      <c r="K24" s="65">
        <v>1</v>
      </c>
      <c r="L24" s="65">
        <v>2</v>
      </c>
      <c r="M24" s="65" t="s">
        <v>4568</v>
      </c>
      <c r="N24" s="88" t="s">
        <v>4671</v>
      </c>
      <c r="O24" s="88" t="s">
        <v>2819</v>
      </c>
      <c r="P24" s="65" t="s">
        <v>4519</v>
      </c>
      <c r="Q24" s="65">
        <v>5</v>
      </c>
      <c r="R24" s="65">
        <v>6</v>
      </c>
      <c r="S24" s="65" t="str">
        <f t="shared" si="0"/>
        <v>DA_bo_bo_le_f_g_c_avg_o_mag</v>
      </c>
      <c r="T24" s="65" t="str">
        <f t="shared" si="1"/>
        <v>/Game/DungeonSiege/Items/Armor/Boot/DA_bo_bo_le_f_g_c_avg_o_mag</v>
      </c>
      <c r="U24" s="65" t="str">
        <f t="shared" si="2"/>
        <v>Texture2D'/Game/DungeonSiege/art/bitmaps/gui/in_game/inventory/armor/boot/b_gui_ig_i_a_boot_046.b_gui_ig_i_a_boot_046'</v>
      </c>
      <c r="V24" s="65" t="s">
        <v>4745</v>
      </c>
    </row>
    <row r="25" spans="1:22" ht="15.75" thickBot="1" x14ac:dyDescent="0.3">
      <c r="A25" s="65">
        <v>23</v>
      </c>
      <c r="B25" s="65">
        <f>HEX2DEC(A25+Items!$A$6)</f>
        <v>17825827</v>
      </c>
      <c r="C25" s="65" t="s">
        <v>4522</v>
      </c>
      <c r="D25" s="65">
        <v>12</v>
      </c>
      <c r="E25" s="65" t="s">
        <v>2384</v>
      </c>
      <c r="F25" s="65">
        <v>21</v>
      </c>
      <c r="G25" s="65">
        <v>0</v>
      </c>
      <c r="H25" s="65">
        <v>1</v>
      </c>
      <c r="I25" s="65">
        <v>0</v>
      </c>
      <c r="J25" s="65">
        <v>0</v>
      </c>
      <c r="K25" s="65">
        <v>1</v>
      </c>
      <c r="L25" s="65">
        <v>2</v>
      </c>
      <c r="M25" s="65" t="s">
        <v>4569</v>
      </c>
      <c r="N25" s="88" t="s">
        <v>4672</v>
      </c>
      <c r="O25" s="88" t="s">
        <v>2817</v>
      </c>
      <c r="P25" s="65" t="s">
        <v>4519</v>
      </c>
      <c r="Q25" s="65">
        <v>3</v>
      </c>
      <c r="R25" s="65">
        <v>5</v>
      </c>
      <c r="S25" s="65" t="str">
        <f t="shared" si="0"/>
        <v>DA_bo_bo_le_f_g_c_avg_o_str</v>
      </c>
      <c r="T25" s="65" t="str">
        <f t="shared" si="1"/>
        <v>/Game/DungeonSiege/Items/Armor/Boot/DA_bo_bo_le_f_g_c_avg_o_str</v>
      </c>
      <c r="U25" s="65" t="str">
        <f t="shared" si="2"/>
        <v>Texture2D'/Game/DungeonSiege/art/bitmaps/gui/in_game/inventory/armor/boot/b_gui_ig_i_a_boot_045.b_gui_ig_i_a_boot_045'</v>
      </c>
      <c r="V25" s="65" t="s">
        <v>4745</v>
      </c>
    </row>
    <row r="26" spans="1:22" ht="15.75" thickBot="1" x14ac:dyDescent="0.3">
      <c r="A26" s="65">
        <v>24</v>
      </c>
      <c r="B26" s="65">
        <f>HEX2DEC(A26+Items!$A$6)</f>
        <v>17825828</v>
      </c>
      <c r="C26" s="65" t="s">
        <v>4523</v>
      </c>
      <c r="D26" s="65">
        <v>2</v>
      </c>
      <c r="E26" s="65"/>
      <c r="F26" s="65"/>
      <c r="G26" s="65">
        <v>1</v>
      </c>
      <c r="H26" s="65">
        <v>0</v>
      </c>
      <c r="I26" s="65">
        <v>0</v>
      </c>
      <c r="J26" s="65">
        <v>0</v>
      </c>
      <c r="K26" s="65">
        <v>1</v>
      </c>
      <c r="L26" s="65">
        <v>2</v>
      </c>
      <c r="M26" s="65" t="s">
        <v>4570</v>
      </c>
      <c r="N26" s="88" t="s">
        <v>4666</v>
      </c>
      <c r="O26" s="88" t="s">
        <v>2499</v>
      </c>
      <c r="P26" s="65" t="s">
        <v>4519</v>
      </c>
      <c r="Q26" s="65">
        <v>0</v>
      </c>
      <c r="R26" s="65">
        <v>0</v>
      </c>
      <c r="S26" s="65" t="str">
        <f t="shared" si="0"/>
        <v>DA_bo_bo_le_f_g_c_healthy</v>
      </c>
      <c r="T26" s="65" t="str">
        <f t="shared" si="1"/>
        <v>/Game/DungeonSiege/Items/Armor/Boot/DA_bo_bo_le_f_g_c_healthy</v>
      </c>
      <c r="U26" s="65" t="str">
        <f t="shared" si="2"/>
        <v>Texture2D'/Game/DungeonSiege/art/bitmaps/gui/in_game/inventory/armor/boot/b_gui_ig_i_a_boot_040.b_gui_ig_i_a_boot_040'</v>
      </c>
      <c r="V26" s="65" t="s">
        <v>4745</v>
      </c>
    </row>
    <row r="27" spans="1:22" ht="15.75" thickBot="1" x14ac:dyDescent="0.3">
      <c r="A27" s="65">
        <v>25</v>
      </c>
      <c r="B27" s="65">
        <f>HEX2DEC(A27+Items!$A$6)</f>
        <v>17825829</v>
      </c>
      <c r="C27" s="65" t="s">
        <v>4524</v>
      </c>
      <c r="D27" s="65">
        <v>2</v>
      </c>
      <c r="E27" s="65" t="s">
        <v>2470</v>
      </c>
      <c r="F27" s="65">
        <v>17</v>
      </c>
      <c r="G27" s="65">
        <v>1</v>
      </c>
      <c r="H27" s="65">
        <v>0</v>
      </c>
      <c r="I27" s="65">
        <v>0</v>
      </c>
      <c r="J27" s="65">
        <v>0</v>
      </c>
      <c r="K27" s="65">
        <v>1</v>
      </c>
      <c r="L27" s="65">
        <v>2</v>
      </c>
      <c r="M27" s="65" t="s">
        <v>4571</v>
      </c>
      <c r="N27" s="88" t="s">
        <v>4666</v>
      </c>
      <c r="O27" s="88" t="s">
        <v>2822</v>
      </c>
      <c r="P27" s="65" t="s">
        <v>4519</v>
      </c>
      <c r="Q27" s="65">
        <v>0</v>
      </c>
      <c r="R27" s="65">
        <v>0</v>
      </c>
      <c r="S27" s="65" t="str">
        <f t="shared" si="0"/>
        <v>DA_bo_bo_le_f_g_c_satin</v>
      </c>
      <c r="T27" s="65" t="str">
        <f t="shared" si="1"/>
        <v>/Game/DungeonSiege/Items/Armor/Boot/DA_bo_bo_le_f_g_c_satin</v>
      </c>
      <c r="U27" s="65" t="str">
        <f t="shared" si="2"/>
        <v>Texture2D'/Game/DungeonSiege/art/bitmaps/gui/in_game/inventory/armor/boot/b_gui_ig_i_a_boot_040.b_gui_ig_i_a_boot_040'</v>
      </c>
      <c r="V27" s="65" t="s">
        <v>4745</v>
      </c>
    </row>
    <row r="28" spans="1:22" ht="15.75" thickBot="1" x14ac:dyDescent="0.3">
      <c r="A28" s="65">
        <v>26</v>
      </c>
      <c r="B28" s="65">
        <f>HEX2DEC(A28+Items!$A$6)</f>
        <v>17825830</v>
      </c>
      <c r="C28" s="65" t="s">
        <v>4525</v>
      </c>
      <c r="D28" s="65">
        <v>0</v>
      </c>
      <c r="E28" s="65"/>
      <c r="F28" s="65"/>
      <c r="G28" s="65">
        <v>1</v>
      </c>
      <c r="H28" s="65">
        <v>0</v>
      </c>
      <c r="I28" s="65">
        <v>0</v>
      </c>
      <c r="J28" s="65">
        <v>0</v>
      </c>
      <c r="K28" s="65">
        <v>1</v>
      </c>
      <c r="L28" s="65">
        <v>2</v>
      </c>
      <c r="M28" s="65" t="s">
        <v>4572</v>
      </c>
      <c r="N28" s="88" t="s">
        <v>4673</v>
      </c>
      <c r="O28" s="88" t="s">
        <v>4499</v>
      </c>
      <c r="P28" s="65" t="s">
        <v>4519</v>
      </c>
      <c r="Q28" s="65">
        <v>0</v>
      </c>
      <c r="R28" s="65">
        <v>0</v>
      </c>
      <c r="S28" s="65" t="str">
        <f t="shared" si="0"/>
        <v>DA_bo_bo_le_light</v>
      </c>
      <c r="T28" s="65" t="str">
        <f t="shared" si="1"/>
        <v>/Game/DungeonSiege/Items/Armor/Boot/DA_bo_bo_le_light</v>
      </c>
      <c r="U28" s="65" t="str">
        <f t="shared" si="2"/>
        <v>Texture2D'/Game/DungeonSiege/art/bitmaps/gui/in_game/inventory/armor/boot/b_gui_ig_i_a_boot_068.b_gui_ig_i_a_boot_068'</v>
      </c>
      <c r="V28" s="65" t="s">
        <v>4745</v>
      </c>
    </row>
    <row r="29" spans="1:22" ht="15.75" thickBot="1" x14ac:dyDescent="0.3">
      <c r="A29" s="65">
        <v>27</v>
      </c>
      <c r="B29" s="65">
        <f>HEX2DEC(A29+Items!$A$6)</f>
        <v>17825831</v>
      </c>
      <c r="C29" s="65" t="s">
        <v>4526</v>
      </c>
      <c r="D29" s="65">
        <v>12</v>
      </c>
      <c r="E29" s="65" t="s">
        <v>2384</v>
      </c>
      <c r="F29" s="65">
        <v>22</v>
      </c>
      <c r="G29" s="65">
        <v>1</v>
      </c>
      <c r="H29" s="65">
        <v>0</v>
      </c>
      <c r="I29" s="65">
        <v>0</v>
      </c>
      <c r="J29" s="65">
        <v>0</v>
      </c>
      <c r="K29" s="65">
        <v>1</v>
      </c>
      <c r="L29" s="65">
        <v>2</v>
      </c>
      <c r="M29" s="65" t="s">
        <v>4573</v>
      </c>
      <c r="N29" s="88" t="s">
        <v>4674</v>
      </c>
      <c r="O29" s="88" t="s">
        <v>2508</v>
      </c>
      <c r="P29" s="65" t="s">
        <v>4519</v>
      </c>
      <c r="Q29" s="65">
        <v>0</v>
      </c>
      <c r="R29" s="65">
        <v>0</v>
      </c>
      <c r="S29" s="65" t="str">
        <f t="shared" si="0"/>
        <v>DA_bo_bo_sc_f_g_c_avg</v>
      </c>
      <c r="T29" s="65" t="str">
        <f t="shared" si="1"/>
        <v>/Game/DungeonSiege/Items/Armor/Boot/DA_bo_bo_sc_f_g_c_avg</v>
      </c>
      <c r="U29" s="65" t="str">
        <f t="shared" si="2"/>
        <v>Texture2D'/Game/DungeonSiege/art/bitmaps/gui/in_game/inventory/armor/boot/b_gui_ig_i_a_boot_005.b_gui_ig_i_a_boot_005'</v>
      </c>
      <c r="V29" s="65" t="s">
        <v>4745</v>
      </c>
    </row>
    <row r="30" spans="1:22" ht="15.75" thickBot="1" x14ac:dyDescent="0.3">
      <c r="A30" s="65">
        <v>28</v>
      </c>
      <c r="B30" s="65">
        <f>HEX2DEC(A30+Items!$A$6)</f>
        <v>17825832</v>
      </c>
      <c r="C30" s="65" t="s">
        <v>4526</v>
      </c>
      <c r="D30" s="65">
        <v>14</v>
      </c>
      <c r="E30" s="65" t="s">
        <v>2384</v>
      </c>
      <c r="F30" s="65">
        <v>23</v>
      </c>
      <c r="G30" s="65">
        <v>0</v>
      </c>
      <c r="H30" s="65">
        <v>1</v>
      </c>
      <c r="I30" s="65">
        <v>0</v>
      </c>
      <c r="J30" s="65">
        <v>0</v>
      </c>
      <c r="K30" s="65">
        <v>1</v>
      </c>
      <c r="L30" s="65">
        <v>2</v>
      </c>
      <c r="M30" s="65" t="s">
        <v>4574</v>
      </c>
      <c r="N30" s="88" t="s">
        <v>4675</v>
      </c>
      <c r="O30" s="88" t="s">
        <v>2812</v>
      </c>
      <c r="P30" s="65" t="s">
        <v>4519</v>
      </c>
      <c r="Q30" s="65">
        <v>1</v>
      </c>
      <c r="R30" s="65">
        <v>2</v>
      </c>
      <c r="S30" s="65" t="str">
        <f t="shared" si="0"/>
        <v>DA_bo_bo_sc_f_g_c_avg_c_fin</v>
      </c>
      <c r="T30" s="65" t="str">
        <f t="shared" si="1"/>
        <v>/Game/DungeonSiege/Items/Armor/Boot/DA_bo_bo_sc_f_g_c_avg_c_fin</v>
      </c>
      <c r="U30" s="65" t="str">
        <f t="shared" si="2"/>
        <v>Texture2D'/Game/DungeonSiege/art/bitmaps/gui/in_game/inventory/armor/boot/b_gui_ig_i_a_boot_054.b_gui_ig_i_a_boot_054'</v>
      </c>
      <c r="V30" s="65" t="s">
        <v>4745</v>
      </c>
    </row>
    <row r="31" spans="1:22" ht="15.75" thickBot="1" x14ac:dyDescent="0.3">
      <c r="A31" s="65">
        <v>29</v>
      </c>
      <c r="B31" s="65">
        <f>HEX2DEC(A31+Items!$A$6)</f>
        <v>17825833</v>
      </c>
      <c r="C31" s="65" t="s">
        <v>4526</v>
      </c>
      <c r="D31" s="65">
        <v>33</v>
      </c>
      <c r="E31" s="65" t="s">
        <v>2384</v>
      </c>
      <c r="F31" s="65">
        <v>42</v>
      </c>
      <c r="G31" s="65">
        <v>0</v>
      </c>
      <c r="H31" s="65">
        <v>1</v>
      </c>
      <c r="I31" s="65">
        <v>0</v>
      </c>
      <c r="J31" s="65">
        <v>0</v>
      </c>
      <c r="K31" s="65">
        <v>1</v>
      </c>
      <c r="L31" s="65">
        <v>2</v>
      </c>
      <c r="M31" s="65" t="s">
        <v>4575</v>
      </c>
      <c r="N31" s="88" t="s">
        <v>4676</v>
      </c>
      <c r="O31" s="88" t="s">
        <v>2824</v>
      </c>
      <c r="P31" s="65" t="s">
        <v>4519</v>
      </c>
      <c r="Q31" s="65">
        <v>8</v>
      </c>
      <c r="R31" s="65">
        <v>11</v>
      </c>
      <c r="S31" s="65" t="str">
        <f t="shared" si="0"/>
        <v>DA_bo_bo_sc_f_g_c_avg_c_mag</v>
      </c>
      <c r="T31" s="65" t="str">
        <f t="shared" si="1"/>
        <v>/Game/DungeonSiege/Items/Armor/Boot/DA_bo_bo_sc_f_g_c_avg_c_mag</v>
      </c>
      <c r="U31" s="65" t="str">
        <f t="shared" si="2"/>
        <v>Texture2D'/Game/DungeonSiege/art/bitmaps/gui/in_game/inventory/armor/boot/b_gui_ig_i_a_boot_056.b_gui_ig_i_a_boot_056'</v>
      </c>
      <c r="V31" s="65" t="s">
        <v>4745</v>
      </c>
    </row>
    <row r="32" spans="1:22" ht="15.75" thickBot="1" x14ac:dyDescent="0.3">
      <c r="A32" s="65">
        <v>30</v>
      </c>
      <c r="B32" s="65">
        <f>HEX2DEC(A32+Items!$A$6)</f>
        <v>17825840</v>
      </c>
      <c r="C32" s="65" t="s">
        <v>4526</v>
      </c>
      <c r="D32" s="65">
        <v>23</v>
      </c>
      <c r="E32" s="65" t="s">
        <v>2384</v>
      </c>
      <c r="F32" s="65">
        <v>32</v>
      </c>
      <c r="G32" s="65">
        <v>0</v>
      </c>
      <c r="H32" s="65">
        <v>1</v>
      </c>
      <c r="I32" s="65">
        <v>0</v>
      </c>
      <c r="J32" s="65">
        <v>0</v>
      </c>
      <c r="K32" s="65">
        <v>1</v>
      </c>
      <c r="L32" s="65">
        <v>2</v>
      </c>
      <c r="M32" s="65" t="s">
        <v>4576</v>
      </c>
      <c r="N32" s="88" t="s">
        <v>4677</v>
      </c>
      <c r="O32" s="88" t="s">
        <v>2811</v>
      </c>
      <c r="P32" s="65" t="s">
        <v>4519</v>
      </c>
      <c r="Q32" s="65">
        <v>4</v>
      </c>
      <c r="R32" s="65">
        <v>8</v>
      </c>
      <c r="S32" s="65" t="str">
        <f t="shared" si="0"/>
        <v>DA_bo_bo_sc_f_g_c_avg_c_str</v>
      </c>
      <c r="T32" s="65" t="str">
        <f t="shared" si="1"/>
        <v>/Game/DungeonSiege/Items/Armor/Boot/DA_bo_bo_sc_f_g_c_avg_c_str</v>
      </c>
      <c r="U32" s="65" t="str">
        <f t="shared" si="2"/>
        <v>Texture2D'/Game/DungeonSiege/art/bitmaps/gui/in_game/inventory/armor/boot/b_gui_ig_i_a_boot_055.b_gui_ig_i_a_boot_055'</v>
      </c>
      <c r="V32" s="65" t="s">
        <v>4745</v>
      </c>
    </row>
    <row r="33" spans="1:22" ht="15.75" thickBot="1" x14ac:dyDescent="0.3">
      <c r="A33" s="65">
        <v>31</v>
      </c>
      <c r="B33" s="65">
        <f>HEX2DEC(A33+Items!$A$6)</f>
        <v>17825841</v>
      </c>
      <c r="C33" s="65" t="s">
        <v>4526</v>
      </c>
      <c r="D33" s="65">
        <v>16</v>
      </c>
      <c r="E33" s="65" t="s">
        <v>2384</v>
      </c>
      <c r="F33" s="65">
        <v>25</v>
      </c>
      <c r="G33" s="65">
        <v>0</v>
      </c>
      <c r="H33" s="65">
        <v>1</v>
      </c>
      <c r="I33" s="65">
        <v>0</v>
      </c>
      <c r="J33" s="65">
        <v>0</v>
      </c>
      <c r="K33" s="65">
        <v>1</v>
      </c>
      <c r="L33" s="65">
        <v>2</v>
      </c>
      <c r="M33" s="65" t="s">
        <v>4577</v>
      </c>
      <c r="N33" s="88" t="s">
        <v>4678</v>
      </c>
      <c r="O33" s="88" t="s">
        <v>4647</v>
      </c>
      <c r="P33" s="65" t="s">
        <v>4519</v>
      </c>
      <c r="Q33" s="65">
        <v>1</v>
      </c>
      <c r="R33" s="65">
        <v>4</v>
      </c>
      <c r="S33" s="65" t="str">
        <f t="shared" si="0"/>
        <v>DA_bo_bo_sc_f_g_c_avg_o_avg</v>
      </c>
      <c r="T33" s="65" t="str">
        <f t="shared" si="1"/>
        <v>/Game/DungeonSiege/Items/Armor/Boot/DA_bo_bo_sc_f_g_c_avg_o_avg</v>
      </c>
      <c r="U33" s="65" t="str">
        <f t="shared" si="2"/>
        <v>Texture2D'/Game/DungeonSiege/art/bitmaps/gui/in_game/inventory/armor/boot/b_gui_ig_i_a_boot_057.b_gui_ig_i_a_boot_057'</v>
      </c>
      <c r="V33" s="65" t="s">
        <v>4745</v>
      </c>
    </row>
    <row r="34" spans="1:22" ht="15.75" thickBot="1" x14ac:dyDescent="0.3">
      <c r="A34" s="65">
        <v>32</v>
      </c>
      <c r="B34" s="65">
        <f>HEX2DEC(A34+Items!$A$6)</f>
        <v>17825842</v>
      </c>
      <c r="C34" s="65" t="s">
        <v>4526</v>
      </c>
      <c r="D34" s="65">
        <v>19</v>
      </c>
      <c r="E34" s="65" t="s">
        <v>2384</v>
      </c>
      <c r="F34" s="65">
        <v>28</v>
      </c>
      <c r="G34" s="65">
        <v>0</v>
      </c>
      <c r="H34" s="65">
        <v>1</v>
      </c>
      <c r="I34" s="65">
        <v>0</v>
      </c>
      <c r="J34" s="65">
        <v>0</v>
      </c>
      <c r="K34" s="65">
        <v>1</v>
      </c>
      <c r="L34" s="65">
        <v>2</v>
      </c>
      <c r="M34" s="65" t="s">
        <v>4578</v>
      </c>
      <c r="N34" s="88" t="s">
        <v>4679</v>
      </c>
      <c r="O34" s="88" t="s">
        <v>4648</v>
      </c>
      <c r="P34" s="65" t="s">
        <v>4519</v>
      </c>
      <c r="Q34" s="65">
        <v>3</v>
      </c>
      <c r="R34" s="65">
        <v>6</v>
      </c>
      <c r="S34" s="65" t="str">
        <f t="shared" si="0"/>
        <v>DA_bo_bo_sc_f_g_c_avg_o_fin</v>
      </c>
      <c r="T34" s="65" t="str">
        <f t="shared" si="1"/>
        <v>/Game/DungeonSiege/Items/Armor/Boot/DA_bo_bo_sc_f_g_c_avg_o_fin</v>
      </c>
      <c r="U34" s="65" t="str">
        <f t="shared" si="2"/>
        <v>Texture2D'/Game/DungeonSiege/art/bitmaps/gui/in_game/inventory/armor/boot/b_gui_ig_i_a_boot_015.b_gui_ig_i_a_boot_015'</v>
      </c>
      <c r="V34" s="65" t="s">
        <v>4745</v>
      </c>
    </row>
    <row r="35" spans="1:22" ht="15.75" thickBot="1" x14ac:dyDescent="0.3">
      <c r="A35" s="65">
        <v>33</v>
      </c>
      <c r="B35" s="65">
        <f>HEX2DEC(A35+Items!$A$6)</f>
        <v>17825843</v>
      </c>
      <c r="C35" s="65" t="s">
        <v>4526</v>
      </c>
      <c r="D35" s="65">
        <v>39</v>
      </c>
      <c r="E35" s="65" t="s">
        <v>2384</v>
      </c>
      <c r="F35" s="65">
        <v>47</v>
      </c>
      <c r="G35" s="65">
        <v>0</v>
      </c>
      <c r="H35" s="65">
        <v>1</v>
      </c>
      <c r="I35" s="65">
        <v>0</v>
      </c>
      <c r="J35" s="65">
        <v>0</v>
      </c>
      <c r="K35" s="65">
        <v>1</v>
      </c>
      <c r="L35" s="65">
        <v>2</v>
      </c>
      <c r="M35" s="65" t="s">
        <v>4579</v>
      </c>
      <c r="N35" s="88" t="s">
        <v>4680</v>
      </c>
      <c r="O35" s="88" t="s">
        <v>4508</v>
      </c>
      <c r="P35" s="65" t="s">
        <v>4519</v>
      </c>
      <c r="Q35" s="65">
        <v>10</v>
      </c>
      <c r="R35" s="65">
        <v>13</v>
      </c>
      <c r="S35" s="65" t="str">
        <f t="shared" si="0"/>
        <v>DA_bo_bo_sc_f_g_c_avg_o_mag</v>
      </c>
      <c r="T35" s="65" t="str">
        <f t="shared" si="1"/>
        <v>/Game/DungeonSiege/Items/Armor/Boot/DA_bo_bo_sc_f_g_c_avg_o_mag</v>
      </c>
      <c r="U35" s="65" t="str">
        <f t="shared" si="2"/>
        <v>Texture2D'/Game/DungeonSiege/art/bitmaps/gui/in_game/inventory/armor/boot/b_gui_ig_i_a_boot_060.b_gui_ig_i_a_boot_060'</v>
      </c>
      <c r="V35" s="65" t="s">
        <v>4745</v>
      </c>
    </row>
    <row r="36" spans="1:22" ht="15.75" thickBot="1" x14ac:dyDescent="0.3">
      <c r="A36" s="65">
        <v>34</v>
      </c>
      <c r="B36" s="65">
        <f>HEX2DEC(A36+Items!$A$6)</f>
        <v>17825844</v>
      </c>
      <c r="C36" s="65" t="s">
        <v>4526</v>
      </c>
      <c r="D36" s="65">
        <v>28</v>
      </c>
      <c r="E36" s="65" t="s">
        <v>2384</v>
      </c>
      <c r="F36" s="65">
        <v>36</v>
      </c>
      <c r="G36" s="65">
        <v>0</v>
      </c>
      <c r="H36" s="65">
        <v>1</v>
      </c>
      <c r="I36" s="65">
        <v>0</v>
      </c>
      <c r="J36" s="65">
        <v>0</v>
      </c>
      <c r="K36" s="65">
        <v>1</v>
      </c>
      <c r="L36" s="65">
        <v>2</v>
      </c>
      <c r="M36" s="65" t="s">
        <v>4580</v>
      </c>
      <c r="N36" s="88" t="s">
        <v>4681</v>
      </c>
      <c r="O36" s="88" t="s">
        <v>4649</v>
      </c>
      <c r="P36" s="65" t="s">
        <v>4519</v>
      </c>
      <c r="Q36" s="65">
        <v>6</v>
      </c>
      <c r="R36" s="65">
        <v>9</v>
      </c>
      <c r="S36" s="65" t="str">
        <f t="shared" si="0"/>
        <v>DA_bo_bo_sc_f_g_c_avg_o_str</v>
      </c>
      <c r="T36" s="65" t="str">
        <f t="shared" si="1"/>
        <v>/Game/DungeonSiege/Items/Armor/Boot/DA_bo_bo_sc_f_g_c_avg_o_str</v>
      </c>
      <c r="U36" s="65" t="str">
        <f t="shared" si="2"/>
        <v>Texture2D'/Game/DungeonSiege/art/bitmaps/gui/in_game/inventory/armor/boot/b_gui_ig_i_a_boot_059.b_gui_ig_i_a_boot_059'</v>
      </c>
      <c r="V36" s="65" t="s">
        <v>4745</v>
      </c>
    </row>
    <row r="37" spans="1:22" ht="15.75" thickBot="1" x14ac:dyDescent="0.3">
      <c r="A37" s="65">
        <v>35</v>
      </c>
      <c r="B37" s="65">
        <f>HEX2DEC(A37+Items!$A$6)</f>
        <v>17825845</v>
      </c>
      <c r="C37" s="65" t="s">
        <v>4527</v>
      </c>
      <c r="D37" s="65">
        <v>3</v>
      </c>
      <c r="E37" s="65" t="s">
        <v>2384</v>
      </c>
      <c r="F37" s="65">
        <v>13</v>
      </c>
      <c r="G37" s="65">
        <v>1</v>
      </c>
      <c r="H37" s="65">
        <v>0</v>
      </c>
      <c r="I37" s="65">
        <v>0</v>
      </c>
      <c r="J37" s="65">
        <v>0</v>
      </c>
      <c r="K37" s="65">
        <v>1</v>
      </c>
      <c r="L37" s="65">
        <v>2</v>
      </c>
      <c r="M37" s="65" t="s">
        <v>4581</v>
      </c>
      <c r="N37" s="88" t="s">
        <v>4682</v>
      </c>
      <c r="O37" s="88" t="s">
        <v>2512</v>
      </c>
      <c r="P37" s="65" t="s">
        <v>4519</v>
      </c>
      <c r="Q37" s="65">
        <v>0</v>
      </c>
      <c r="R37" s="65">
        <v>0</v>
      </c>
      <c r="S37" s="65" t="str">
        <f t="shared" si="0"/>
        <v>DA_bo_bo_sl_f_g_c_avg</v>
      </c>
      <c r="T37" s="65" t="str">
        <f t="shared" si="1"/>
        <v>/Game/DungeonSiege/Items/Armor/Boot/DA_bo_bo_sl_f_g_c_avg</v>
      </c>
      <c r="U37" s="65" t="str">
        <f t="shared" si="2"/>
        <v>Texture2D'/Game/DungeonSiege/art/bitmaps/gui/in_game/inventory/armor/boot/b_gui_ig_i_a_boot_010.b_gui_ig_i_a_boot_010'</v>
      </c>
      <c r="V37" s="65" t="s">
        <v>4745</v>
      </c>
    </row>
    <row r="38" spans="1:22" ht="15.75" thickBot="1" x14ac:dyDescent="0.3">
      <c r="A38" s="65">
        <v>36</v>
      </c>
      <c r="B38" s="65">
        <f>HEX2DEC(A38+Items!$A$6)</f>
        <v>17825846</v>
      </c>
      <c r="C38" s="65" t="s">
        <v>4527</v>
      </c>
      <c r="D38" s="65">
        <v>4</v>
      </c>
      <c r="E38" s="65" t="s">
        <v>2384</v>
      </c>
      <c r="F38" s="65">
        <v>13</v>
      </c>
      <c r="G38" s="65">
        <v>0</v>
      </c>
      <c r="H38" s="65">
        <v>1</v>
      </c>
      <c r="I38" s="65">
        <v>0</v>
      </c>
      <c r="J38" s="65">
        <v>0</v>
      </c>
      <c r="K38" s="65">
        <v>1</v>
      </c>
      <c r="L38" s="65">
        <v>2</v>
      </c>
      <c r="M38" s="65" t="s">
        <v>4582</v>
      </c>
      <c r="N38" s="88" t="s">
        <v>4683</v>
      </c>
      <c r="O38" s="88" t="s">
        <v>2513</v>
      </c>
      <c r="P38" s="65" t="s">
        <v>4519</v>
      </c>
      <c r="Q38" s="65">
        <v>1</v>
      </c>
      <c r="R38" s="65">
        <v>2</v>
      </c>
      <c r="S38" s="65" t="str">
        <f t="shared" si="0"/>
        <v>DA_bo_bo_sl_f_g_c_avg_c_fin</v>
      </c>
      <c r="T38" s="65" t="str">
        <f t="shared" si="1"/>
        <v>/Game/DungeonSiege/Items/Armor/Boot/DA_bo_bo_sl_f_g_c_avg_c_fin</v>
      </c>
      <c r="U38" s="65" t="str">
        <f t="shared" si="2"/>
        <v>Texture2D'/Game/DungeonSiege/art/bitmaps/gui/in_game/inventory/armor/boot/b_gui_ig_i_a_boot_011.b_gui_ig_i_a_boot_011'</v>
      </c>
      <c r="V38" s="65" t="s">
        <v>4745</v>
      </c>
    </row>
    <row r="39" spans="1:22" ht="15.75" thickBot="1" x14ac:dyDescent="0.3">
      <c r="A39" s="65">
        <v>37</v>
      </c>
      <c r="B39" s="65">
        <f>HEX2DEC(A39+Items!$A$6)</f>
        <v>17825847</v>
      </c>
      <c r="C39" s="65" t="s">
        <v>4527</v>
      </c>
      <c r="D39" s="65">
        <v>18</v>
      </c>
      <c r="E39" s="65" t="s">
        <v>2384</v>
      </c>
      <c r="F39" s="65">
        <v>27</v>
      </c>
      <c r="G39" s="65">
        <v>0</v>
      </c>
      <c r="H39" s="65">
        <v>1</v>
      </c>
      <c r="I39" s="65">
        <v>0</v>
      </c>
      <c r="J39" s="65">
        <v>0</v>
      </c>
      <c r="K39" s="65">
        <v>1</v>
      </c>
      <c r="L39" s="65">
        <v>2</v>
      </c>
      <c r="M39" s="65" t="s">
        <v>4583</v>
      </c>
      <c r="N39" s="88" t="s">
        <v>4684</v>
      </c>
      <c r="O39" s="88" t="s">
        <v>2515</v>
      </c>
      <c r="P39" s="65" t="s">
        <v>4519</v>
      </c>
      <c r="Q39" s="65">
        <v>5</v>
      </c>
      <c r="R39" s="65">
        <v>7</v>
      </c>
      <c r="S39" s="65" t="str">
        <f t="shared" si="0"/>
        <v>DA_bo_bo_sl_f_g_c_avg_c_mag</v>
      </c>
      <c r="T39" s="65" t="str">
        <f t="shared" si="1"/>
        <v>/Game/DungeonSiege/Items/Armor/Boot/DA_bo_bo_sl_f_g_c_avg_c_mag</v>
      </c>
      <c r="U39" s="65" t="str">
        <f t="shared" si="2"/>
        <v>Texture2D'/Game/DungeonSiege/art/bitmaps/gui/in_game/inventory/armor/boot/b_gui_ig_i_a_boot_013.b_gui_ig_i_a_boot_013'</v>
      </c>
      <c r="V39" s="65" t="s">
        <v>4745</v>
      </c>
    </row>
    <row r="40" spans="1:22" ht="15.75" thickBot="1" x14ac:dyDescent="0.3">
      <c r="A40" s="65">
        <v>38</v>
      </c>
      <c r="B40" s="65">
        <f>HEX2DEC(A40+Items!$A$6)</f>
        <v>17825848</v>
      </c>
      <c r="C40" s="65" t="s">
        <v>4527</v>
      </c>
      <c r="D40" s="65">
        <v>11</v>
      </c>
      <c r="E40" s="65" t="s">
        <v>2384</v>
      </c>
      <c r="F40" s="65">
        <v>20</v>
      </c>
      <c r="G40" s="65">
        <v>0</v>
      </c>
      <c r="H40" s="65">
        <v>1</v>
      </c>
      <c r="I40" s="65">
        <v>0</v>
      </c>
      <c r="J40" s="65">
        <v>0</v>
      </c>
      <c r="K40" s="65">
        <v>1</v>
      </c>
      <c r="L40" s="65">
        <v>2</v>
      </c>
      <c r="M40" s="65" t="s">
        <v>4584</v>
      </c>
      <c r="N40" s="88" t="s">
        <v>4685</v>
      </c>
      <c r="O40" s="88" t="s">
        <v>2514</v>
      </c>
      <c r="P40" s="65" t="s">
        <v>4519</v>
      </c>
      <c r="Q40" s="65">
        <v>3</v>
      </c>
      <c r="R40" s="65">
        <v>4</v>
      </c>
      <c r="S40" s="65" t="str">
        <f t="shared" si="0"/>
        <v>DA_bo_bo_sl_f_g_c_avg_c_str</v>
      </c>
      <c r="T40" s="65" t="str">
        <f t="shared" si="1"/>
        <v>/Game/DungeonSiege/Items/Armor/Boot/DA_bo_bo_sl_f_g_c_avg_c_str</v>
      </c>
      <c r="U40" s="65" t="str">
        <f t="shared" si="2"/>
        <v>Texture2D'/Game/DungeonSiege/art/bitmaps/gui/in_game/inventory/armor/boot/b_gui_ig_i_a_boot_012.b_gui_ig_i_a_boot_012'</v>
      </c>
      <c r="V40" s="65" t="s">
        <v>4745</v>
      </c>
    </row>
    <row r="41" spans="1:22" ht="15.75" thickBot="1" x14ac:dyDescent="0.3">
      <c r="A41" s="65">
        <v>39</v>
      </c>
      <c r="B41" s="65">
        <f>HEX2DEC(A41+Items!$A$6)</f>
        <v>17825849</v>
      </c>
      <c r="C41" s="65" t="s">
        <v>4527</v>
      </c>
      <c r="D41" s="65">
        <v>6</v>
      </c>
      <c r="E41" s="65" t="s">
        <v>2384</v>
      </c>
      <c r="F41" s="65">
        <v>15</v>
      </c>
      <c r="G41" s="65">
        <v>0</v>
      </c>
      <c r="H41" s="65">
        <v>1</v>
      </c>
      <c r="I41" s="65">
        <v>0</v>
      </c>
      <c r="J41" s="65">
        <v>0</v>
      </c>
      <c r="K41" s="65">
        <v>1</v>
      </c>
      <c r="L41" s="65">
        <v>2</v>
      </c>
      <c r="M41" s="65" t="s">
        <v>4585</v>
      </c>
      <c r="N41" s="88" t="s">
        <v>4686</v>
      </c>
      <c r="O41" s="88" t="s">
        <v>2516</v>
      </c>
      <c r="P41" s="65" t="s">
        <v>4519</v>
      </c>
      <c r="Q41" s="65">
        <v>1</v>
      </c>
      <c r="R41" s="65">
        <v>2</v>
      </c>
      <c r="S41" s="65" t="str">
        <f t="shared" si="0"/>
        <v>DA_bo_bo_sl_f_g_c_avg_o_avg</v>
      </c>
      <c r="T41" s="65" t="str">
        <f t="shared" si="1"/>
        <v>/Game/DungeonSiege/Items/Armor/Boot/DA_bo_bo_sl_f_g_c_avg_o_avg</v>
      </c>
      <c r="U41" s="65" t="str">
        <f t="shared" si="2"/>
        <v>Texture2D'/Game/DungeonSiege/art/bitmaps/gui/in_game/inventory/armor/boot/b_gui_ig_i_a_boot_014.b_gui_ig_i_a_boot_014'</v>
      </c>
      <c r="V41" s="65" t="s">
        <v>4745</v>
      </c>
    </row>
    <row r="42" spans="1:22" ht="15.75" thickBot="1" x14ac:dyDescent="0.3">
      <c r="A42" s="65">
        <v>40</v>
      </c>
      <c r="B42" s="65">
        <f>HEX2DEC(A42+Items!$A$6)</f>
        <v>17825856</v>
      </c>
      <c r="C42" s="65" t="s">
        <v>4527</v>
      </c>
      <c r="D42" s="65">
        <v>8</v>
      </c>
      <c r="E42" s="65" t="s">
        <v>2384</v>
      </c>
      <c r="F42" s="65">
        <v>18</v>
      </c>
      <c r="G42" s="65">
        <v>0</v>
      </c>
      <c r="H42" s="65">
        <v>1</v>
      </c>
      <c r="I42" s="65">
        <v>0</v>
      </c>
      <c r="J42" s="65">
        <v>0</v>
      </c>
      <c r="K42" s="65">
        <v>1</v>
      </c>
      <c r="L42" s="65">
        <v>2</v>
      </c>
      <c r="M42" s="65" t="s">
        <v>4586</v>
      </c>
      <c r="N42" s="88" t="s">
        <v>4679</v>
      </c>
      <c r="O42" s="88" t="s">
        <v>2506</v>
      </c>
      <c r="P42" s="65" t="s">
        <v>4519</v>
      </c>
      <c r="Q42" s="65">
        <v>2</v>
      </c>
      <c r="R42" s="65">
        <v>3</v>
      </c>
      <c r="S42" s="65" t="str">
        <f t="shared" si="0"/>
        <v>DA_bo_bo_sl_f_g_c_avg_o_fin</v>
      </c>
      <c r="T42" s="65" t="str">
        <f t="shared" si="1"/>
        <v>/Game/DungeonSiege/Items/Armor/Boot/DA_bo_bo_sl_f_g_c_avg_o_fin</v>
      </c>
      <c r="U42" s="65" t="str">
        <f t="shared" si="2"/>
        <v>Texture2D'/Game/DungeonSiege/art/bitmaps/gui/in_game/inventory/armor/boot/b_gui_ig_i_a_boot_015.b_gui_ig_i_a_boot_015'</v>
      </c>
      <c r="V42" s="65" t="s">
        <v>4745</v>
      </c>
    </row>
    <row r="43" spans="1:22" ht="15.75" thickBot="1" x14ac:dyDescent="0.3">
      <c r="A43" s="65">
        <v>41</v>
      </c>
      <c r="B43" s="65">
        <f>HEX2DEC(A43+Items!$A$6)</f>
        <v>17825857</v>
      </c>
      <c r="C43" s="65" t="s">
        <v>4527</v>
      </c>
      <c r="D43" s="65">
        <v>23</v>
      </c>
      <c r="E43" s="65" t="s">
        <v>2384</v>
      </c>
      <c r="F43" s="65">
        <v>32</v>
      </c>
      <c r="G43" s="65">
        <v>0</v>
      </c>
      <c r="H43" s="65">
        <v>1</v>
      </c>
      <c r="I43" s="65">
        <v>0</v>
      </c>
      <c r="J43" s="65">
        <v>0</v>
      </c>
      <c r="K43" s="65">
        <v>1</v>
      </c>
      <c r="L43" s="65">
        <v>2</v>
      </c>
      <c r="M43" s="65" t="s">
        <v>4587</v>
      </c>
      <c r="N43" s="88" t="s">
        <v>4687</v>
      </c>
      <c r="O43" s="88" t="s">
        <v>2794</v>
      </c>
      <c r="P43" s="65" t="s">
        <v>4519</v>
      </c>
      <c r="Q43" s="65">
        <v>6</v>
      </c>
      <c r="R43" s="65">
        <v>8</v>
      </c>
      <c r="S43" s="65" t="str">
        <f t="shared" si="0"/>
        <v>DA_bo_bo_sl_f_g_c_avg_o_mag</v>
      </c>
      <c r="T43" s="65" t="str">
        <f t="shared" si="1"/>
        <v>/Game/DungeonSiege/Items/Armor/Boot/DA_bo_bo_sl_f_g_c_avg_o_mag</v>
      </c>
      <c r="U43" s="65" t="str">
        <f t="shared" si="2"/>
        <v>Texture2D'/Game/DungeonSiege/art/bitmaps/gui/in_game/inventory/armor/boot/b_gui_ig_i_a_boot_017.b_gui_ig_i_a_boot_017'</v>
      </c>
      <c r="V43" s="65" t="s">
        <v>4745</v>
      </c>
    </row>
    <row r="44" spans="1:22" ht="15.75" thickBot="1" x14ac:dyDescent="0.3">
      <c r="A44" s="65">
        <v>42</v>
      </c>
      <c r="B44" s="65">
        <f>HEX2DEC(A44+Items!$A$6)</f>
        <v>17825858</v>
      </c>
      <c r="C44" s="65" t="s">
        <v>4527</v>
      </c>
      <c r="D44" s="65">
        <v>14</v>
      </c>
      <c r="E44" s="65" t="s">
        <v>2384</v>
      </c>
      <c r="F44" s="65">
        <v>24</v>
      </c>
      <c r="G44" s="65">
        <v>0</v>
      </c>
      <c r="H44" s="65">
        <v>1</v>
      </c>
      <c r="I44" s="65">
        <v>0</v>
      </c>
      <c r="J44" s="65">
        <v>0</v>
      </c>
      <c r="K44" s="65">
        <v>1</v>
      </c>
      <c r="L44" s="65">
        <v>2</v>
      </c>
      <c r="M44" s="65" t="s">
        <v>4588</v>
      </c>
      <c r="N44" s="88" t="s">
        <v>4688</v>
      </c>
      <c r="O44" s="88" t="s">
        <v>2517</v>
      </c>
      <c r="P44" s="65" t="s">
        <v>4519</v>
      </c>
      <c r="Q44" s="65">
        <v>4</v>
      </c>
      <c r="R44" s="65">
        <v>6</v>
      </c>
      <c r="S44" s="65" t="str">
        <f t="shared" si="0"/>
        <v>DA_bo_bo_sl_f_g_c_avg_o_str</v>
      </c>
      <c r="T44" s="65" t="str">
        <f t="shared" si="1"/>
        <v>/Game/DungeonSiege/Items/Armor/Boot/DA_bo_bo_sl_f_g_c_avg_o_str</v>
      </c>
      <c r="U44" s="65" t="str">
        <f t="shared" si="2"/>
        <v>Texture2D'/Game/DungeonSiege/art/bitmaps/gui/in_game/inventory/armor/boot/b_gui_ig_i_a_boot_016.b_gui_ig_i_a_boot_016'</v>
      </c>
      <c r="V44" s="65" t="s">
        <v>4745</v>
      </c>
    </row>
    <row r="45" spans="1:22" ht="15.75" thickBot="1" x14ac:dyDescent="0.3">
      <c r="A45" s="65">
        <v>43</v>
      </c>
      <c r="B45" s="65">
        <f>HEX2DEC(A45+Items!$A$6)</f>
        <v>17825859</v>
      </c>
      <c r="C45" s="65" t="s">
        <v>4528</v>
      </c>
      <c r="D45" s="65">
        <v>21</v>
      </c>
      <c r="E45" s="65" t="s">
        <v>2384</v>
      </c>
      <c r="F45" s="65">
        <v>30</v>
      </c>
      <c r="G45" s="65">
        <v>1</v>
      </c>
      <c r="H45" s="65">
        <v>0</v>
      </c>
      <c r="I45" s="65">
        <v>0</v>
      </c>
      <c r="J45" s="65">
        <v>0</v>
      </c>
      <c r="K45" s="65">
        <v>1</v>
      </c>
      <c r="L45" s="65">
        <v>2</v>
      </c>
      <c r="M45" s="65" t="s">
        <v>4589</v>
      </c>
      <c r="N45" s="88" t="s">
        <v>4689</v>
      </c>
      <c r="O45" s="88" t="s">
        <v>2511</v>
      </c>
      <c r="P45" s="65" t="s">
        <v>4519</v>
      </c>
      <c r="Q45" s="65">
        <v>0</v>
      </c>
      <c r="R45" s="65">
        <v>0</v>
      </c>
      <c r="S45" s="65" t="str">
        <f t="shared" si="0"/>
        <v>DA_bo_gr_ba_f_g_c_avg</v>
      </c>
      <c r="T45" s="65" t="str">
        <f t="shared" si="1"/>
        <v>/Game/DungeonSiege/Items/Armor/Boot/DA_bo_gr_ba_f_g_c_avg</v>
      </c>
      <c r="U45" s="65" t="str">
        <f t="shared" si="2"/>
        <v>Texture2D'/Game/DungeonSiege/art/bitmaps/gui/in_game/inventory/armor/boot/b_gui_ig_i_a_boot_008.b_gui_ig_i_a_boot_008'</v>
      </c>
      <c r="V45" s="65" t="s">
        <v>4745</v>
      </c>
    </row>
    <row r="46" spans="1:22" ht="15.75" thickBot="1" x14ac:dyDescent="0.3">
      <c r="A46" s="65">
        <v>44</v>
      </c>
      <c r="B46" s="65">
        <f>HEX2DEC(A46+Items!$A$6)</f>
        <v>17825860</v>
      </c>
      <c r="C46" s="65" t="s">
        <v>4528</v>
      </c>
      <c r="D46" s="65">
        <v>23</v>
      </c>
      <c r="E46" s="65" t="s">
        <v>2384</v>
      </c>
      <c r="F46" s="65">
        <v>32</v>
      </c>
      <c r="G46" s="65">
        <v>0</v>
      </c>
      <c r="H46" s="65">
        <v>1</v>
      </c>
      <c r="I46" s="65">
        <v>0</v>
      </c>
      <c r="J46" s="65">
        <v>0</v>
      </c>
      <c r="K46" s="65">
        <v>1</v>
      </c>
      <c r="L46" s="65">
        <v>2</v>
      </c>
      <c r="M46" s="65" t="s">
        <v>4590</v>
      </c>
      <c r="N46" s="88" t="s">
        <v>4690</v>
      </c>
      <c r="O46" s="88" t="s">
        <v>4510</v>
      </c>
      <c r="P46" s="65" t="s">
        <v>4519</v>
      </c>
      <c r="Q46" s="65">
        <v>1</v>
      </c>
      <c r="R46" s="65">
        <v>4</v>
      </c>
      <c r="S46" s="65" t="str">
        <f t="shared" si="0"/>
        <v>DA_bo_gr_ba_f_g_c_avg_c_fin</v>
      </c>
      <c r="T46" s="65" t="str">
        <f t="shared" si="1"/>
        <v>/Game/DungeonSiege/Items/Armor/Boot/DA_bo_gr_ba_f_g_c_avg_c_fin</v>
      </c>
      <c r="U46" s="65" t="str">
        <f t="shared" si="2"/>
        <v>Texture2D'/Game/DungeonSiege/art/bitmaps/gui/in_game/inventory/armor/boot/b_gui_ig_i_a_boot_061.b_gui_ig_i_a_boot_061'</v>
      </c>
      <c r="V46" s="65" t="s">
        <v>4745</v>
      </c>
    </row>
    <row r="47" spans="1:22" ht="15.75" thickBot="1" x14ac:dyDescent="0.3">
      <c r="A47" s="65">
        <v>45</v>
      </c>
      <c r="B47" s="65">
        <f>HEX2DEC(A47+Items!$A$6)</f>
        <v>17825861</v>
      </c>
      <c r="C47" s="65" t="s">
        <v>4528</v>
      </c>
      <c r="D47" s="65">
        <v>43</v>
      </c>
      <c r="E47" s="65" t="s">
        <v>2384</v>
      </c>
      <c r="F47" s="65">
        <v>51</v>
      </c>
      <c r="G47" s="65">
        <v>0</v>
      </c>
      <c r="H47" s="65">
        <v>1</v>
      </c>
      <c r="I47" s="65">
        <v>0</v>
      </c>
      <c r="J47" s="65">
        <v>0</v>
      </c>
      <c r="K47" s="65">
        <v>1</v>
      </c>
      <c r="L47" s="65">
        <v>2</v>
      </c>
      <c r="M47" s="65" t="s">
        <v>4591</v>
      </c>
      <c r="N47" s="88" t="s">
        <v>4691</v>
      </c>
      <c r="O47" s="88" t="s">
        <v>4513</v>
      </c>
      <c r="P47" s="65" t="s">
        <v>4519</v>
      </c>
      <c r="Q47" s="65">
        <v>10</v>
      </c>
      <c r="R47" s="65">
        <v>14</v>
      </c>
      <c r="S47" s="65" t="str">
        <f t="shared" si="0"/>
        <v>DA_bo_gr_ba_f_g_c_avg_c_mag</v>
      </c>
      <c r="T47" s="65" t="str">
        <f t="shared" si="1"/>
        <v>/Game/DungeonSiege/Items/Armor/Boot/DA_bo_gr_ba_f_g_c_avg_c_mag</v>
      </c>
      <c r="U47" s="65" t="str">
        <f t="shared" si="2"/>
        <v>Texture2D'/Game/DungeonSiege/art/bitmaps/gui/in_game/inventory/armor/boot/b_gui_ig_i_a_boot_063.b_gui_ig_i_a_boot_063'</v>
      </c>
      <c r="V47" s="65" t="s">
        <v>4745</v>
      </c>
    </row>
    <row r="48" spans="1:22" ht="15.75" thickBot="1" x14ac:dyDescent="0.3">
      <c r="A48" s="65">
        <v>46</v>
      </c>
      <c r="B48" s="65">
        <f>HEX2DEC(A48+Items!$A$6)</f>
        <v>17825862</v>
      </c>
      <c r="C48" s="65" t="s">
        <v>4528</v>
      </c>
      <c r="D48" s="65">
        <v>32</v>
      </c>
      <c r="E48" s="65" t="s">
        <v>2384</v>
      </c>
      <c r="F48" s="65">
        <v>41</v>
      </c>
      <c r="G48" s="65">
        <v>0</v>
      </c>
      <c r="H48" s="65">
        <v>1</v>
      </c>
      <c r="I48" s="65">
        <v>0</v>
      </c>
      <c r="J48" s="65">
        <v>0</v>
      </c>
      <c r="K48" s="65">
        <v>1</v>
      </c>
      <c r="L48" s="65">
        <v>2</v>
      </c>
      <c r="M48" s="65" t="s">
        <v>4592</v>
      </c>
      <c r="N48" s="88" t="s">
        <v>4692</v>
      </c>
      <c r="O48" s="88" t="s">
        <v>4511</v>
      </c>
      <c r="P48" s="65" t="s">
        <v>4519</v>
      </c>
      <c r="Q48" s="65">
        <v>5</v>
      </c>
      <c r="R48" s="65">
        <v>11</v>
      </c>
      <c r="S48" s="65" t="str">
        <f t="shared" si="0"/>
        <v>DA_bo_gr_ba_f_g_c_avg_c_str</v>
      </c>
      <c r="T48" s="65" t="str">
        <f t="shared" si="1"/>
        <v>/Game/DungeonSiege/Items/Armor/Boot/DA_bo_gr_ba_f_g_c_avg_c_str</v>
      </c>
      <c r="U48" s="65" t="str">
        <f t="shared" si="2"/>
        <v>Texture2D'/Game/DungeonSiege/art/bitmaps/gui/in_game/inventory/armor/boot/b_gui_ig_i_a_boot_062.b_gui_ig_i_a_boot_062'</v>
      </c>
      <c r="V48" s="65" t="s">
        <v>4745</v>
      </c>
    </row>
    <row r="49" spans="1:22" ht="15.75" thickBot="1" x14ac:dyDescent="0.3">
      <c r="A49" s="65">
        <v>47</v>
      </c>
      <c r="B49" s="65">
        <f>HEX2DEC(A49+Items!$A$6)</f>
        <v>17825863</v>
      </c>
      <c r="C49" s="65" t="s">
        <v>4528</v>
      </c>
      <c r="D49" s="65">
        <v>25</v>
      </c>
      <c r="E49" s="65" t="s">
        <v>2384</v>
      </c>
      <c r="F49" s="65">
        <v>34</v>
      </c>
      <c r="G49" s="65">
        <v>0</v>
      </c>
      <c r="H49" s="65">
        <v>1</v>
      </c>
      <c r="I49" s="65">
        <v>0</v>
      </c>
      <c r="J49" s="65">
        <v>0</v>
      </c>
      <c r="K49" s="65">
        <v>1</v>
      </c>
      <c r="L49" s="65">
        <v>2</v>
      </c>
      <c r="M49" s="65" t="s">
        <v>4593</v>
      </c>
      <c r="N49" s="88" t="s">
        <v>4693</v>
      </c>
      <c r="O49" s="88" t="s">
        <v>4512</v>
      </c>
      <c r="P49" s="65" t="s">
        <v>4519</v>
      </c>
      <c r="Q49" s="65">
        <v>2</v>
      </c>
      <c r="R49" s="65">
        <v>6</v>
      </c>
      <c r="S49" s="65" t="str">
        <f t="shared" si="0"/>
        <v>DA_bo_gr_ba_f_g_c_avg_o_avg</v>
      </c>
      <c r="T49" s="65" t="str">
        <f t="shared" si="1"/>
        <v>/Game/DungeonSiege/Items/Armor/Boot/DA_bo_gr_ba_f_g_c_avg_o_avg</v>
      </c>
      <c r="U49" s="65" t="str">
        <f t="shared" si="2"/>
        <v>Texture2D'/Game/DungeonSiege/art/bitmaps/gui/in_game/inventory/armor/boot/b_gui_ig_i_a_boot_064.b_gui_ig_i_a_boot_064'</v>
      </c>
      <c r="V49" s="65" t="s">
        <v>4745</v>
      </c>
    </row>
    <row r="50" spans="1:22" ht="15.75" thickBot="1" x14ac:dyDescent="0.3">
      <c r="A50" s="65">
        <v>48</v>
      </c>
      <c r="B50" s="65">
        <f>HEX2DEC(A50+Items!$A$6)</f>
        <v>17825864</v>
      </c>
      <c r="C50" s="65" t="s">
        <v>4528</v>
      </c>
      <c r="D50" s="65">
        <v>28</v>
      </c>
      <c r="E50" s="65" t="s">
        <v>2384</v>
      </c>
      <c r="F50" s="65">
        <v>36</v>
      </c>
      <c r="G50" s="65">
        <v>0</v>
      </c>
      <c r="H50" s="65">
        <v>1</v>
      </c>
      <c r="I50" s="65">
        <v>0</v>
      </c>
      <c r="J50" s="65">
        <v>0</v>
      </c>
      <c r="K50" s="65">
        <v>1</v>
      </c>
      <c r="L50" s="65">
        <v>2</v>
      </c>
      <c r="M50" s="65" t="s">
        <v>4594</v>
      </c>
      <c r="N50" s="88" t="s">
        <v>4694</v>
      </c>
      <c r="O50" s="88" t="s">
        <v>4496</v>
      </c>
      <c r="P50" s="65" t="s">
        <v>4519</v>
      </c>
      <c r="Q50" s="65">
        <v>4</v>
      </c>
      <c r="R50" s="65">
        <v>9</v>
      </c>
      <c r="S50" s="65" t="str">
        <f t="shared" si="0"/>
        <v>DA_bo_gr_ba_f_g_c_avg_o_fin</v>
      </c>
      <c r="T50" s="65" t="str">
        <f t="shared" si="1"/>
        <v>/Game/DungeonSiege/Items/Armor/Boot/DA_bo_gr_ba_f_g_c_avg_o_fin</v>
      </c>
      <c r="U50" s="65" t="str">
        <f t="shared" si="2"/>
        <v>Texture2D'/Game/DungeonSiege/art/bitmaps/gui/in_game/inventory/armor/boot/b_gui_ig_i_a_boot_065.b_gui_ig_i_a_boot_065'</v>
      </c>
      <c r="V50" s="65" t="s">
        <v>4745</v>
      </c>
    </row>
    <row r="51" spans="1:22" ht="15.75" thickBot="1" x14ac:dyDescent="0.3">
      <c r="A51" s="65">
        <v>49</v>
      </c>
      <c r="B51" s="65">
        <f>HEX2DEC(A51+Items!$A$6)</f>
        <v>17825865</v>
      </c>
      <c r="C51" s="65" t="s">
        <v>4528</v>
      </c>
      <c r="D51" s="65">
        <v>49</v>
      </c>
      <c r="E51" s="65" t="s">
        <v>2384</v>
      </c>
      <c r="F51" s="65">
        <v>57</v>
      </c>
      <c r="G51" s="65">
        <v>0</v>
      </c>
      <c r="H51" s="65">
        <v>1</v>
      </c>
      <c r="I51" s="65">
        <v>0</v>
      </c>
      <c r="J51" s="65">
        <v>0</v>
      </c>
      <c r="K51" s="65">
        <v>1</v>
      </c>
      <c r="L51" s="65">
        <v>2</v>
      </c>
      <c r="M51" s="65" t="s">
        <v>4595</v>
      </c>
      <c r="N51" s="88" t="s">
        <v>4695</v>
      </c>
      <c r="O51" s="88" t="s">
        <v>4497</v>
      </c>
      <c r="P51" s="65" t="s">
        <v>4519</v>
      </c>
      <c r="Q51" s="65">
        <v>12</v>
      </c>
      <c r="R51" s="65">
        <v>17</v>
      </c>
      <c r="S51" s="65" t="str">
        <f t="shared" si="0"/>
        <v>DA_bo_gr_ba_f_g_c_avg_o_mag</v>
      </c>
      <c r="T51" s="65" t="str">
        <f t="shared" si="1"/>
        <v>/Game/DungeonSiege/Items/Armor/Boot/DA_bo_gr_ba_f_g_c_avg_o_mag</v>
      </c>
      <c r="U51" s="65" t="str">
        <f t="shared" si="2"/>
        <v>Texture2D'/Game/DungeonSiege/art/bitmaps/gui/in_game/inventory/armor/boot/b_gui_ig_i_a_boot_67.b_gui_ig_i_a_boot_67'</v>
      </c>
      <c r="V51" s="65" t="s">
        <v>4745</v>
      </c>
    </row>
    <row r="52" spans="1:22" ht="15.75" thickBot="1" x14ac:dyDescent="0.3">
      <c r="A52" s="65">
        <v>50</v>
      </c>
      <c r="B52" s="65">
        <f>HEX2DEC(A52+Items!$A$6)</f>
        <v>17825872</v>
      </c>
      <c r="C52" s="65" t="s">
        <v>4528</v>
      </c>
      <c r="D52" s="65">
        <v>38</v>
      </c>
      <c r="E52" s="65" t="s">
        <v>2384</v>
      </c>
      <c r="F52" s="65">
        <v>46</v>
      </c>
      <c r="G52" s="65">
        <v>0</v>
      </c>
      <c r="H52" s="65">
        <v>1</v>
      </c>
      <c r="I52" s="65">
        <v>0</v>
      </c>
      <c r="J52" s="65">
        <v>0</v>
      </c>
      <c r="K52" s="65">
        <v>1</v>
      </c>
      <c r="L52" s="65">
        <v>2</v>
      </c>
      <c r="M52" s="65" t="s">
        <v>4596</v>
      </c>
      <c r="N52" s="88" t="s">
        <v>4696</v>
      </c>
      <c r="O52" s="88" t="s">
        <v>4498</v>
      </c>
      <c r="P52" s="65" t="s">
        <v>4519</v>
      </c>
      <c r="Q52" s="65">
        <v>8</v>
      </c>
      <c r="R52" s="65">
        <v>12</v>
      </c>
      <c r="S52" s="65" t="str">
        <f t="shared" si="0"/>
        <v>DA_bo_gr_ba_f_g_c_avg_o_str</v>
      </c>
      <c r="T52" s="65" t="str">
        <f t="shared" si="1"/>
        <v>/Game/DungeonSiege/Items/Armor/Boot/DA_bo_gr_ba_f_g_c_avg_o_str</v>
      </c>
      <c r="U52" s="65" t="str">
        <f t="shared" si="2"/>
        <v>Texture2D'/Game/DungeonSiege/art/bitmaps/gui/in_game/inventory/armor/boot/b_gui_ig_i_a_boot_066.b_gui_ig_i_a_boot_066'</v>
      </c>
      <c r="V52" s="65" t="s">
        <v>4745</v>
      </c>
    </row>
    <row r="53" spans="1:22" ht="15.75" thickBot="1" x14ac:dyDescent="0.3">
      <c r="A53" s="65">
        <v>51</v>
      </c>
      <c r="B53" s="65">
        <f>HEX2DEC(A53+Items!$A$6)</f>
        <v>17825873</v>
      </c>
      <c r="C53" s="65" t="s">
        <v>4529</v>
      </c>
      <c r="D53" s="65">
        <v>6</v>
      </c>
      <c r="E53" s="65" t="s">
        <v>2384</v>
      </c>
      <c r="F53" s="65">
        <v>15</v>
      </c>
      <c r="G53" s="65">
        <v>1</v>
      </c>
      <c r="H53" s="65">
        <v>0</v>
      </c>
      <c r="I53" s="65">
        <v>0</v>
      </c>
      <c r="J53" s="65">
        <v>0</v>
      </c>
      <c r="K53" s="65">
        <v>1</v>
      </c>
      <c r="L53" s="65">
        <v>2</v>
      </c>
      <c r="M53" s="65" t="s">
        <v>4597</v>
      </c>
      <c r="N53" s="88" t="s">
        <v>4697</v>
      </c>
      <c r="O53" s="88" t="s">
        <v>2807</v>
      </c>
      <c r="P53" s="65" t="s">
        <v>4519</v>
      </c>
      <c r="Q53" s="65">
        <v>0</v>
      </c>
      <c r="R53" s="65">
        <v>0</v>
      </c>
      <c r="S53" s="65" t="str">
        <f t="shared" si="0"/>
        <v>DA_bo_gr_bl_f_g_c_avg</v>
      </c>
      <c r="T53" s="65" t="str">
        <f t="shared" si="1"/>
        <v>/Game/DungeonSiege/Items/Armor/Boot/DA_bo_gr_bl_f_g_c_avg</v>
      </c>
      <c r="U53" s="65" t="str">
        <f t="shared" si="2"/>
        <v>Texture2D'/Game/DungeonSiege/art/bitmaps/gui/in_game/inventory/armor/boot/b_gui_ig_i_a_boot_018.b_gui_ig_i_a_boot_018'</v>
      </c>
      <c r="V53" s="65" t="s">
        <v>4745</v>
      </c>
    </row>
    <row r="54" spans="1:22" ht="15.75" thickBot="1" x14ac:dyDescent="0.3">
      <c r="A54" s="65">
        <v>52</v>
      </c>
      <c r="B54" s="65">
        <f>HEX2DEC(A54+Items!$A$6)</f>
        <v>17825874</v>
      </c>
      <c r="C54" s="65" t="s">
        <v>4529</v>
      </c>
      <c r="D54" s="65">
        <v>8</v>
      </c>
      <c r="E54" s="65" t="s">
        <v>2384</v>
      </c>
      <c r="F54" s="65">
        <v>17</v>
      </c>
      <c r="G54" s="65">
        <v>0</v>
      </c>
      <c r="H54" s="65">
        <v>1</v>
      </c>
      <c r="I54" s="65">
        <v>0</v>
      </c>
      <c r="J54" s="65">
        <v>0</v>
      </c>
      <c r="K54" s="65">
        <v>1</v>
      </c>
      <c r="L54" s="65">
        <v>2</v>
      </c>
      <c r="M54" s="65" t="s">
        <v>4598</v>
      </c>
      <c r="N54" s="88" t="s">
        <v>4698</v>
      </c>
      <c r="O54" s="88" t="s">
        <v>2779</v>
      </c>
      <c r="P54" s="65" t="s">
        <v>4519</v>
      </c>
      <c r="Q54" s="65">
        <v>1</v>
      </c>
      <c r="R54" s="65">
        <v>2</v>
      </c>
      <c r="S54" s="65" t="str">
        <f t="shared" si="0"/>
        <v>DA_bo_gr_bl_f_g_c_avg_c_fin</v>
      </c>
      <c r="T54" s="65" t="str">
        <f t="shared" si="1"/>
        <v>/Game/DungeonSiege/Items/Armor/Boot/DA_bo_gr_bl_f_g_c_avg_c_fin</v>
      </c>
      <c r="U54" s="65" t="str">
        <f t="shared" si="2"/>
        <v>Texture2D'/Game/DungeonSiege/art/bitmaps/gui/in_game/inventory/armor/boot/b_gui_ig_i_a_boot_019.b_gui_ig_i_a_boot_019'</v>
      </c>
      <c r="V54" s="65" t="s">
        <v>4745</v>
      </c>
    </row>
    <row r="55" spans="1:22" ht="15.75" thickBot="1" x14ac:dyDescent="0.3">
      <c r="A55" s="65">
        <v>53</v>
      </c>
      <c r="B55" s="65">
        <f>HEX2DEC(A55+Items!$A$6)</f>
        <v>17825875</v>
      </c>
      <c r="C55" s="65" t="s">
        <v>4529</v>
      </c>
      <c r="D55" s="65">
        <v>26</v>
      </c>
      <c r="E55" s="65" t="s">
        <v>2384</v>
      </c>
      <c r="F55" s="65">
        <v>35</v>
      </c>
      <c r="G55" s="65">
        <v>0</v>
      </c>
      <c r="H55" s="65">
        <v>1</v>
      </c>
      <c r="I55" s="65">
        <v>0</v>
      </c>
      <c r="J55" s="65">
        <v>0</v>
      </c>
      <c r="K55" s="65">
        <v>1</v>
      </c>
      <c r="L55" s="65">
        <v>2</v>
      </c>
      <c r="M55" s="65" t="s">
        <v>4599</v>
      </c>
      <c r="N55" s="88" t="s">
        <v>4699</v>
      </c>
      <c r="O55" s="88" t="s">
        <v>2796</v>
      </c>
      <c r="P55" s="65" t="s">
        <v>4519</v>
      </c>
      <c r="Q55" s="65">
        <v>6</v>
      </c>
      <c r="R55" s="65">
        <v>9</v>
      </c>
      <c r="S55" s="65" t="str">
        <f t="shared" si="0"/>
        <v>DA_bo_gr_bl_f_g_c_avg_c_mag</v>
      </c>
      <c r="T55" s="65" t="str">
        <f t="shared" si="1"/>
        <v>/Game/DungeonSiege/Items/Armor/Boot/DA_bo_gr_bl_f_g_c_avg_c_mag</v>
      </c>
      <c r="U55" s="65" t="str">
        <f t="shared" si="2"/>
        <v>Texture2D'/Game/DungeonSiege/art/bitmaps/gui/in_game/inventory/armor/boot/b_gui_ig_i_a_boot_021.b_gui_ig_i_a_boot_021'</v>
      </c>
      <c r="V55" s="65" t="s">
        <v>4745</v>
      </c>
    </row>
    <row r="56" spans="1:22" ht="15.75" thickBot="1" x14ac:dyDescent="0.3">
      <c r="A56" s="65">
        <v>54</v>
      </c>
      <c r="B56" s="65">
        <f>HEX2DEC(A56+Items!$A$6)</f>
        <v>17825876</v>
      </c>
      <c r="C56" s="65" t="s">
        <v>4529</v>
      </c>
      <c r="D56" s="65">
        <v>16</v>
      </c>
      <c r="E56" s="65" t="s">
        <v>2384</v>
      </c>
      <c r="F56" s="65">
        <v>26</v>
      </c>
      <c r="G56" s="65">
        <v>0</v>
      </c>
      <c r="H56" s="65">
        <v>1</v>
      </c>
      <c r="I56" s="65">
        <v>0</v>
      </c>
      <c r="J56" s="65">
        <v>0</v>
      </c>
      <c r="K56" s="65">
        <v>1</v>
      </c>
      <c r="L56" s="65">
        <v>2</v>
      </c>
      <c r="M56" s="65" t="s">
        <v>4600</v>
      </c>
      <c r="N56" s="88" t="s">
        <v>4700</v>
      </c>
      <c r="O56" s="88" t="s">
        <v>2780</v>
      </c>
      <c r="P56" s="65" t="s">
        <v>4519</v>
      </c>
      <c r="Q56" s="65">
        <v>3</v>
      </c>
      <c r="R56" s="65">
        <v>5</v>
      </c>
      <c r="S56" s="65" t="str">
        <f t="shared" si="0"/>
        <v>DA_bo_gr_bl_f_g_c_avg_c_str</v>
      </c>
      <c r="T56" s="65" t="str">
        <f t="shared" si="1"/>
        <v>/Game/DungeonSiege/Items/Armor/Boot/DA_bo_gr_bl_f_g_c_avg_c_str</v>
      </c>
      <c r="U56" s="65" t="str">
        <f t="shared" si="2"/>
        <v>Texture2D'/Game/DungeonSiege/art/bitmaps/gui/in_game/inventory/armor/boot/b_gui_ig_i_a_boot_020.b_gui_ig_i_a_boot_020'</v>
      </c>
      <c r="V56" s="65" t="s">
        <v>4745</v>
      </c>
    </row>
    <row r="57" spans="1:22" ht="15.75" thickBot="1" x14ac:dyDescent="0.3">
      <c r="A57" s="65">
        <v>55</v>
      </c>
      <c r="B57" s="65">
        <f>HEX2DEC(A57+Items!$A$6)</f>
        <v>17825877</v>
      </c>
      <c r="C57" s="65" t="s">
        <v>4529</v>
      </c>
      <c r="D57" s="65">
        <v>10</v>
      </c>
      <c r="E57" s="65" t="s">
        <v>2384</v>
      </c>
      <c r="F57" s="65">
        <v>19</v>
      </c>
      <c r="G57" s="65">
        <v>0</v>
      </c>
      <c r="H57" s="65">
        <v>1</v>
      </c>
      <c r="I57" s="65">
        <v>0</v>
      </c>
      <c r="J57" s="65">
        <v>0</v>
      </c>
      <c r="K57" s="65">
        <v>1</v>
      </c>
      <c r="L57" s="65">
        <v>2</v>
      </c>
      <c r="M57" s="65" t="s">
        <v>4601</v>
      </c>
      <c r="N57" s="88" t="s">
        <v>4701</v>
      </c>
      <c r="O57" s="88" t="s">
        <v>2783</v>
      </c>
      <c r="P57" s="65" t="s">
        <v>4519</v>
      </c>
      <c r="Q57" s="65">
        <v>1</v>
      </c>
      <c r="R57" s="65">
        <v>2</v>
      </c>
      <c r="S57" s="65" t="str">
        <f t="shared" si="0"/>
        <v>DA_bo_gr_bl_f_g_c_avg_o_avg</v>
      </c>
      <c r="T57" s="65" t="str">
        <f t="shared" si="1"/>
        <v>/Game/DungeonSiege/Items/Armor/Boot/DA_bo_gr_bl_f_g_c_avg_o_avg</v>
      </c>
      <c r="U57" s="65" t="str">
        <f t="shared" si="2"/>
        <v>Texture2D'/Game/DungeonSiege/art/bitmaps/gui/in_game/inventory/armor/boot/b_gui_ig_i_a_boot_022.b_gui_ig_i_a_boot_022'</v>
      </c>
      <c r="V57" s="65" t="s">
        <v>4745</v>
      </c>
    </row>
    <row r="58" spans="1:22" ht="15.75" thickBot="1" x14ac:dyDescent="0.3">
      <c r="A58" s="65">
        <v>56</v>
      </c>
      <c r="B58" s="65">
        <f>HEX2DEC(A58+Items!$A$6)</f>
        <v>17825878</v>
      </c>
      <c r="C58" s="65" t="s">
        <v>4529</v>
      </c>
      <c r="D58" s="65">
        <v>13</v>
      </c>
      <c r="E58" s="65" t="s">
        <v>2384</v>
      </c>
      <c r="F58" s="65">
        <v>22</v>
      </c>
      <c r="G58" s="65">
        <v>0</v>
      </c>
      <c r="H58" s="65">
        <v>1</v>
      </c>
      <c r="I58" s="65">
        <v>0</v>
      </c>
      <c r="J58" s="65">
        <v>0</v>
      </c>
      <c r="K58" s="65">
        <v>1</v>
      </c>
      <c r="L58" s="65">
        <v>2</v>
      </c>
      <c r="M58" s="65" t="s">
        <v>4602</v>
      </c>
      <c r="N58" s="88" t="s">
        <v>4702</v>
      </c>
      <c r="O58" s="88" t="s">
        <v>2786</v>
      </c>
      <c r="P58" s="65" t="s">
        <v>4519</v>
      </c>
      <c r="Q58" s="65">
        <v>2</v>
      </c>
      <c r="R58" s="65">
        <v>4</v>
      </c>
      <c r="S58" s="65" t="str">
        <f t="shared" si="0"/>
        <v>DA_bo_gr_bl_f_g_c_avg_o_fin</v>
      </c>
      <c r="T58" s="65" t="str">
        <f t="shared" si="1"/>
        <v>/Game/DungeonSiege/Items/Armor/Boot/DA_bo_gr_bl_f_g_c_avg_o_fin</v>
      </c>
      <c r="U58" s="65" t="str">
        <f t="shared" si="2"/>
        <v>Texture2D'/Game/DungeonSiege/art/bitmaps/gui/in_game/inventory/armor/boot/b_gui_ig_i_a_boot_023.b_gui_ig_i_a_boot_023'</v>
      </c>
      <c r="V58" s="65" t="s">
        <v>4745</v>
      </c>
    </row>
    <row r="59" spans="1:22" ht="15.75" thickBot="1" x14ac:dyDescent="0.3">
      <c r="A59" s="65">
        <v>57</v>
      </c>
      <c r="B59" s="65">
        <f>HEX2DEC(A59+Items!$A$6)</f>
        <v>17825879</v>
      </c>
      <c r="C59" s="65" t="s">
        <v>4529</v>
      </c>
      <c r="D59" s="65">
        <v>32</v>
      </c>
      <c r="E59" s="65" t="s">
        <v>2384</v>
      </c>
      <c r="F59" s="65">
        <v>40</v>
      </c>
      <c r="G59" s="65">
        <v>0</v>
      </c>
      <c r="H59" s="65">
        <v>1</v>
      </c>
      <c r="I59" s="65">
        <v>0</v>
      </c>
      <c r="J59" s="65">
        <v>0</v>
      </c>
      <c r="K59" s="65">
        <v>1</v>
      </c>
      <c r="L59" s="65">
        <v>2</v>
      </c>
      <c r="M59" s="65" t="s">
        <v>4603</v>
      </c>
      <c r="N59" s="88" t="s">
        <v>4703</v>
      </c>
      <c r="O59" s="88" t="s">
        <v>2788</v>
      </c>
      <c r="P59" s="65" t="s">
        <v>4519</v>
      </c>
      <c r="Q59" s="65">
        <v>8</v>
      </c>
      <c r="R59" s="65">
        <v>11</v>
      </c>
      <c r="S59" s="65" t="str">
        <f t="shared" si="0"/>
        <v>DA_bo_gr_bl_f_g_c_avg_o_mag</v>
      </c>
      <c r="T59" s="65" t="str">
        <f t="shared" si="1"/>
        <v>/Game/DungeonSiege/Items/Armor/Boot/DA_bo_gr_bl_f_g_c_avg_o_mag</v>
      </c>
      <c r="U59" s="65" t="str">
        <f t="shared" si="2"/>
        <v>Texture2D'/Game/DungeonSiege/art/bitmaps/gui/in_game/inventory/armor/boot/b_gui_ig_i_a_boot_025.b_gui_ig_i_a_boot_025'</v>
      </c>
      <c r="V59" s="65" t="s">
        <v>4745</v>
      </c>
    </row>
    <row r="60" spans="1:22" ht="15.75" thickBot="1" x14ac:dyDescent="0.3">
      <c r="A60" s="65">
        <v>58</v>
      </c>
      <c r="B60" s="65">
        <f>HEX2DEC(A60+Items!$A$6)</f>
        <v>17825880</v>
      </c>
      <c r="C60" s="65" t="s">
        <v>4529</v>
      </c>
      <c r="D60" s="65">
        <v>22</v>
      </c>
      <c r="E60" s="65" t="s">
        <v>2384</v>
      </c>
      <c r="F60" s="65">
        <v>31</v>
      </c>
      <c r="G60" s="65">
        <v>0</v>
      </c>
      <c r="H60" s="65">
        <v>1</v>
      </c>
      <c r="I60" s="65">
        <v>0</v>
      </c>
      <c r="J60" s="65">
        <v>0</v>
      </c>
      <c r="K60" s="65">
        <v>1</v>
      </c>
      <c r="L60" s="65">
        <v>2</v>
      </c>
      <c r="M60" s="65" t="s">
        <v>4604</v>
      </c>
      <c r="N60" s="88" t="s">
        <v>4704</v>
      </c>
      <c r="O60" s="88" t="s">
        <v>2787</v>
      </c>
      <c r="P60" s="65" t="s">
        <v>4519</v>
      </c>
      <c r="Q60" s="65">
        <v>5</v>
      </c>
      <c r="R60" s="65">
        <v>7</v>
      </c>
      <c r="S60" s="65" t="str">
        <f t="shared" si="0"/>
        <v>DA_bo_gr_bl_f_g_c_avg_o_str</v>
      </c>
      <c r="T60" s="65" t="str">
        <f t="shared" si="1"/>
        <v>/Game/DungeonSiege/Items/Armor/Boot/DA_bo_gr_bl_f_g_c_avg_o_str</v>
      </c>
      <c r="U60" s="65" t="str">
        <f t="shared" si="2"/>
        <v>Texture2D'/Game/DungeonSiege/art/bitmaps/gui/in_game/inventory/armor/boot/b_gui_ig_i_a_boot_024.b_gui_ig_i_a_boot_024'</v>
      </c>
      <c r="V60" s="65" t="s">
        <v>4745</v>
      </c>
    </row>
    <row r="61" spans="1:22" ht="15.75" thickBot="1" x14ac:dyDescent="0.3">
      <c r="A61" s="65">
        <v>59</v>
      </c>
      <c r="B61" s="65">
        <f>HEX2DEC(A61+Items!$A$6)</f>
        <v>17825881</v>
      </c>
      <c r="C61" s="65" t="s">
        <v>4530</v>
      </c>
      <c r="D61" s="65">
        <v>32</v>
      </c>
      <c r="E61" s="65" t="s">
        <v>2384</v>
      </c>
      <c r="F61" s="65">
        <v>41</v>
      </c>
      <c r="G61" s="65">
        <v>1</v>
      </c>
      <c r="H61" s="65">
        <v>1</v>
      </c>
      <c r="I61" s="65">
        <v>0</v>
      </c>
      <c r="J61" s="65">
        <v>0</v>
      </c>
      <c r="K61" s="65">
        <v>1</v>
      </c>
      <c r="L61" s="65">
        <v>2</v>
      </c>
      <c r="M61" s="65" t="s">
        <v>4605</v>
      </c>
      <c r="N61" s="88" t="s">
        <v>4705</v>
      </c>
      <c r="O61" s="88" t="s">
        <v>2503</v>
      </c>
      <c r="P61" s="65" t="s">
        <v>4519</v>
      </c>
      <c r="Q61" s="65">
        <v>0</v>
      </c>
      <c r="R61" s="65">
        <v>2</v>
      </c>
      <c r="S61" s="65" t="str">
        <f t="shared" si="0"/>
        <v>DA_bo_gr_fp_f_g_c_avg</v>
      </c>
      <c r="T61" s="65" t="str">
        <f t="shared" si="1"/>
        <v>/Game/DungeonSiege/Items/Armor/Boot/DA_bo_gr_fp_f_g_c_avg</v>
      </c>
      <c r="U61" s="65" t="str">
        <f t="shared" si="2"/>
        <v>Texture2D'/Game/DungeonSiege/art/bitmaps/gui/in_game/inventory/armor/boot/b_gui_ig_i_a_boot_009.b_gui_ig_i_a_boot_009'</v>
      </c>
      <c r="V61" s="65" t="s">
        <v>4745</v>
      </c>
    </row>
    <row r="62" spans="1:22" ht="15.75" thickBot="1" x14ac:dyDescent="0.3">
      <c r="A62" s="65">
        <v>60</v>
      </c>
      <c r="B62" s="65">
        <f>HEX2DEC(A62+Items!$A$6)</f>
        <v>17825888</v>
      </c>
      <c r="C62" s="65" t="s">
        <v>4530</v>
      </c>
      <c r="D62" s="65">
        <v>35</v>
      </c>
      <c r="E62" s="65" t="s">
        <v>2384</v>
      </c>
      <c r="F62" s="65">
        <v>43</v>
      </c>
      <c r="G62" s="65">
        <v>0</v>
      </c>
      <c r="H62" s="65">
        <v>1</v>
      </c>
      <c r="I62" s="65">
        <v>0</v>
      </c>
      <c r="J62" s="65">
        <v>0</v>
      </c>
      <c r="K62" s="65">
        <v>1</v>
      </c>
      <c r="L62" s="65">
        <v>2</v>
      </c>
      <c r="M62" s="65" t="s">
        <v>4606</v>
      </c>
      <c r="N62" s="88" t="s">
        <v>4706</v>
      </c>
      <c r="O62" s="88" t="s">
        <v>2800</v>
      </c>
      <c r="P62" s="65" t="s">
        <v>4519</v>
      </c>
      <c r="Q62" s="65">
        <v>1</v>
      </c>
      <c r="R62" s="65">
        <v>6</v>
      </c>
      <c r="S62" s="65" t="str">
        <f t="shared" si="0"/>
        <v>DA_bo_gr_fp_f_g_c_avg_c_fin</v>
      </c>
      <c r="T62" s="65" t="str">
        <f t="shared" si="1"/>
        <v>/Game/DungeonSiege/Items/Armor/Boot/DA_bo_gr_fp_f_g_c_avg_c_fin</v>
      </c>
      <c r="U62" s="65" t="str">
        <f t="shared" si="2"/>
        <v>Texture2D'/Game/DungeonSiege/art/bitmaps/gui/in_game/inventory/armor/boot/b_gui_ig_i_a_boot_033.b_gui_ig_i_a_boot_033'</v>
      </c>
      <c r="V62" s="65" t="s">
        <v>4745</v>
      </c>
    </row>
    <row r="63" spans="1:22" ht="15.75" thickBot="1" x14ac:dyDescent="0.3">
      <c r="A63" s="65">
        <v>61</v>
      </c>
      <c r="B63" s="65">
        <f>HEX2DEC(A63+Items!$A$6)</f>
        <v>17825889</v>
      </c>
      <c r="C63" s="65" t="s">
        <v>4530</v>
      </c>
      <c r="D63" s="65">
        <v>62</v>
      </c>
      <c r="E63" s="65" t="s">
        <v>2384</v>
      </c>
      <c r="F63" s="65">
        <v>70</v>
      </c>
      <c r="G63" s="65">
        <v>0</v>
      </c>
      <c r="H63" s="65">
        <v>1</v>
      </c>
      <c r="I63" s="65">
        <v>0</v>
      </c>
      <c r="J63" s="65">
        <v>0</v>
      </c>
      <c r="K63" s="65">
        <v>1</v>
      </c>
      <c r="L63" s="65">
        <v>2</v>
      </c>
      <c r="M63" s="65" t="s">
        <v>4607</v>
      </c>
      <c r="N63" s="88" t="s">
        <v>4707</v>
      </c>
      <c r="O63" s="88" t="s">
        <v>2784</v>
      </c>
      <c r="P63" s="65" t="s">
        <v>4519</v>
      </c>
      <c r="Q63" s="65">
        <v>15</v>
      </c>
      <c r="R63" s="65">
        <v>20</v>
      </c>
      <c r="S63" s="65" t="str">
        <f t="shared" si="0"/>
        <v>DA_bo_gr_fp_f_g_c_avg_c_mag</v>
      </c>
      <c r="T63" s="65" t="str">
        <f t="shared" si="1"/>
        <v>/Game/DungeonSiege/Items/Armor/Boot/DA_bo_gr_fp_f_g_c_avg_c_mag</v>
      </c>
      <c r="U63" s="65" t="str">
        <f t="shared" si="2"/>
        <v>Texture2D'/Game/DungeonSiege/art/bitmaps/gui/in_game/inventory/armor/boot/b_gui_ig_i_a_boot_035.b_gui_ig_i_a_boot_035'</v>
      </c>
      <c r="V63" s="65" t="s">
        <v>4745</v>
      </c>
    </row>
    <row r="64" spans="1:22" ht="15.75" thickBot="1" x14ac:dyDescent="0.3">
      <c r="A64" s="65">
        <v>62</v>
      </c>
      <c r="B64" s="65">
        <f>HEX2DEC(A64+Items!$A$6)</f>
        <v>17825890</v>
      </c>
      <c r="C64" s="65" t="s">
        <v>4530</v>
      </c>
      <c r="D64" s="65">
        <v>50</v>
      </c>
      <c r="E64" s="65" t="s">
        <v>2384</v>
      </c>
      <c r="F64" s="65">
        <v>58</v>
      </c>
      <c r="G64" s="65">
        <v>0</v>
      </c>
      <c r="H64" s="65">
        <v>1</v>
      </c>
      <c r="I64" s="65">
        <v>0</v>
      </c>
      <c r="J64" s="65">
        <v>0</v>
      </c>
      <c r="K64" s="65">
        <v>1</v>
      </c>
      <c r="L64" s="65">
        <v>2</v>
      </c>
      <c r="M64" s="65" t="s">
        <v>4608</v>
      </c>
      <c r="N64" s="88" t="s">
        <v>4708</v>
      </c>
      <c r="O64" s="88" t="s">
        <v>2801</v>
      </c>
      <c r="P64" s="65" t="s">
        <v>4519</v>
      </c>
      <c r="Q64" s="65">
        <v>9</v>
      </c>
      <c r="R64" s="65">
        <v>16</v>
      </c>
      <c r="S64" s="65" t="str">
        <f t="shared" si="0"/>
        <v>DA_bo_gr_fp_f_g_c_avg_c_str</v>
      </c>
      <c r="T64" s="65" t="str">
        <f t="shared" si="1"/>
        <v>/Game/DungeonSiege/Items/Armor/Boot/DA_bo_gr_fp_f_g_c_avg_c_str</v>
      </c>
      <c r="U64" s="65" t="str">
        <f t="shared" si="2"/>
        <v>Texture2D'/Game/DungeonSiege/art/bitmaps/gui/in_game/inventory/armor/boot/b_gui_ig_i_a_boot_034.b_gui_ig_i_a_boot_034'</v>
      </c>
      <c r="V64" s="65" t="s">
        <v>4745</v>
      </c>
    </row>
    <row r="65" spans="1:22" ht="15.75" thickBot="1" x14ac:dyDescent="0.3">
      <c r="A65" s="65">
        <v>63</v>
      </c>
      <c r="B65" s="65">
        <f>HEX2DEC(A65+Items!$A$6)</f>
        <v>17825891</v>
      </c>
      <c r="C65" s="65" t="s">
        <v>4530</v>
      </c>
      <c r="D65" s="65">
        <v>39</v>
      </c>
      <c r="E65" s="65" t="s">
        <v>2384</v>
      </c>
      <c r="F65" s="65">
        <v>47</v>
      </c>
      <c r="G65" s="65">
        <v>0</v>
      </c>
      <c r="H65" s="65">
        <v>1</v>
      </c>
      <c r="I65" s="65">
        <v>0</v>
      </c>
      <c r="J65" s="65">
        <v>0</v>
      </c>
      <c r="K65" s="65">
        <v>1</v>
      </c>
      <c r="L65" s="65">
        <v>2</v>
      </c>
      <c r="M65" s="65" t="s">
        <v>4609</v>
      </c>
      <c r="N65" s="88" t="s">
        <v>4709</v>
      </c>
      <c r="O65" s="88" t="s">
        <v>2802</v>
      </c>
      <c r="P65" s="65" t="s">
        <v>4519</v>
      </c>
      <c r="Q65" s="65">
        <v>4</v>
      </c>
      <c r="R65" s="65">
        <v>10</v>
      </c>
      <c r="S65" s="65" t="str">
        <f t="shared" si="0"/>
        <v>DA_bo_gr_fp_f_g_c_avg_o_avg</v>
      </c>
      <c r="T65" s="65" t="str">
        <f t="shared" si="1"/>
        <v>/Game/DungeonSiege/Items/Armor/Boot/DA_bo_gr_fp_f_g_c_avg_o_avg</v>
      </c>
      <c r="U65" s="65" t="str">
        <f t="shared" si="2"/>
        <v>Texture2D'/Game/DungeonSiege/art/bitmaps/gui/in_game/inventory/armor/boot/b_gui_ig_i_a_boot_036.b_gui_ig_i_a_boot_036'</v>
      </c>
      <c r="V65" s="65" t="s">
        <v>4745</v>
      </c>
    </row>
    <row r="66" spans="1:22" ht="15.75" thickBot="1" x14ac:dyDescent="0.3">
      <c r="A66" s="65">
        <v>64</v>
      </c>
      <c r="B66" s="65">
        <f>HEX2DEC(A66+Items!$A$6)</f>
        <v>17825892</v>
      </c>
      <c r="C66" s="65" t="s">
        <v>4530</v>
      </c>
      <c r="D66" s="65">
        <v>44</v>
      </c>
      <c r="E66" s="65" t="s">
        <v>2384</v>
      </c>
      <c r="F66" s="65">
        <v>52</v>
      </c>
      <c r="G66" s="65">
        <v>0</v>
      </c>
      <c r="H66" s="65">
        <v>1</v>
      </c>
      <c r="I66" s="65">
        <v>0</v>
      </c>
      <c r="J66" s="65">
        <v>0</v>
      </c>
      <c r="K66" s="65">
        <v>1</v>
      </c>
      <c r="L66" s="65">
        <v>2</v>
      </c>
      <c r="M66" s="65" t="s">
        <v>4610</v>
      </c>
      <c r="N66" s="88" t="s">
        <v>4710</v>
      </c>
      <c r="O66" s="88" t="s">
        <v>2803</v>
      </c>
      <c r="P66" s="65" t="s">
        <v>4519</v>
      </c>
      <c r="Q66" s="65">
        <v>6</v>
      </c>
      <c r="R66" s="65">
        <v>13</v>
      </c>
      <c r="S66" s="65" t="str">
        <f t="shared" si="0"/>
        <v>DA_bo_gr_fp_f_g_c_avg_o_fin</v>
      </c>
      <c r="T66" s="65" t="str">
        <f t="shared" si="1"/>
        <v>/Game/DungeonSiege/Items/Armor/Boot/DA_bo_gr_fp_f_g_c_avg_o_fin</v>
      </c>
      <c r="U66" s="65" t="str">
        <f t="shared" si="2"/>
        <v>Texture2D'/Game/DungeonSiege/art/bitmaps/gui/in_game/inventory/armor/boot/b_gui_ig_i_a_boot_037.b_gui_ig_i_a_boot_037'</v>
      </c>
      <c r="V66" s="65" t="s">
        <v>4745</v>
      </c>
    </row>
    <row r="67" spans="1:22" ht="15.75" thickBot="1" x14ac:dyDescent="0.3">
      <c r="A67" s="65">
        <v>65</v>
      </c>
      <c r="B67" s="65">
        <f>HEX2DEC(A67+Items!$A$6)</f>
        <v>17825893</v>
      </c>
      <c r="C67" s="65" t="s">
        <v>4530</v>
      </c>
      <c r="D67" s="65">
        <v>69</v>
      </c>
      <c r="E67" s="65" t="s">
        <v>2384</v>
      </c>
      <c r="F67" s="65">
        <v>77</v>
      </c>
      <c r="G67" s="65">
        <v>0</v>
      </c>
      <c r="H67" s="65">
        <v>1</v>
      </c>
      <c r="I67" s="65">
        <v>0</v>
      </c>
      <c r="J67" s="65">
        <v>0</v>
      </c>
      <c r="K67" s="65">
        <v>1</v>
      </c>
      <c r="L67" s="65">
        <v>2</v>
      </c>
      <c r="M67" s="65" t="s">
        <v>4611</v>
      </c>
      <c r="N67" s="88" t="s">
        <v>4711</v>
      </c>
      <c r="O67" s="88" t="s">
        <v>2823</v>
      </c>
      <c r="P67" s="65" t="s">
        <v>4519</v>
      </c>
      <c r="Q67" s="65">
        <v>17</v>
      </c>
      <c r="R67" s="65">
        <v>24</v>
      </c>
      <c r="S67" s="65" t="str">
        <f t="shared" ref="S67:S101" si="3" xml:space="preserve"> CONCATENATE("DA_",SUBSTITUTE(M67,":","_"))</f>
        <v>DA_bo_gr_fp_f_g_c_avg_o_mag</v>
      </c>
      <c r="T67" s="65" t="str">
        <f t="shared" ref="T67:T101" si="4">"/Game/DungeonSiege/Items/Armor/Boot/" &amp; S67</f>
        <v>/Game/DungeonSiege/Items/Armor/Boot/DA_bo_gr_fp_f_g_c_avg_o_mag</v>
      </c>
      <c r="U67" s="65" t="str">
        <f t="shared" ref="U67:U101" si="5">CONCATENATE("Texture2D'/Game/DungeonSiege/art/bitmaps/gui/in_game/inventory/armor/boot/",N67,".",N67,"'")</f>
        <v>Texture2D'/Game/DungeonSiege/art/bitmaps/gui/in_game/inventory/armor/boot/b_gui_ig_i_a_boot_039.b_gui_ig_i_a_boot_039'</v>
      </c>
      <c r="V67" s="65" t="s">
        <v>4745</v>
      </c>
    </row>
    <row r="68" spans="1:22" ht="15.75" thickBot="1" x14ac:dyDescent="0.3">
      <c r="A68" s="65">
        <v>66</v>
      </c>
      <c r="B68" s="65">
        <f>HEX2DEC(A68+Items!$A$6)</f>
        <v>17825894</v>
      </c>
      <c r="C68" s="65" t="s">
        <v>4530</v>
      </c>
      <c r="D68" s="65">
        <v>56</v>
      </c>
      <c r="E68" s="65" t="s">
        <v>2384</v>
      </c>
      <c r="F68" s="65">
        <v>63</v>
      </c>
      <c r="G68" s="65">
        <v>0</v>
      </c>
      <c r="H68" s="65">
        <v>1</v>
      </c>
      <c r="I68" s="65">
        <v>0</v>
      </c>
      <c r="J68" s="65">
        <v>0</v>
      </c>
      <c r="K68" s="65">
        <v>1</v>
      </c>
      <c r="L68" s="65">
        <v>2</v>
      </c>
      <c r="M68" s="65" t="s">
        <v>4612</v>
      </c>
      <c r="N68" s="88" t="s">
        <v>4712</v>
      </c>
      <c r="O68" s="88" t="s">
        <v>2805</v>
      </c>
      <c r="P68" s="65" t="s">
        <v>4519</v>
      </c>
      <c r="Q68" s="65">
        <v>12</v>
      </c>
      <c r="R68" s="65">
        <v>18</v>
      </c>
      <c r="S68" s="65" t="str">
        <f t="shared" si="3"/>
        <v>DA_bo_gr_fp_f_g_c_avg_o_str</v>
      </c>
      <c r="T68" s="65" t="str">
        <f t="shared" si="4"/>
        <v>/Game/DungeonSiege/Items/Armor/Boot/DA_bo_gr_fp_f_g_c_avg_o_str</v>
      </c>
      <c r="U68" s="65" t="str">
        <f t="shared" si="5"/>
        <v>Texture2D'/Game/DungeonSiege/art/bitmaps/gui/in_game/inventory/armor/boot/b_gui_ig_i_a_boot_038.b_gui_ig_i_a_boot_038'</v>
      </c>
      <c r="V68" s="65" t="s">
        <v>4745</v>
      </c>
    </row>
    <row r="69" spans="1:22" ht="15.75" thickBot="1" x14ac:dyDescent="0.3">
      <c r="A69" s="65">
        <v>67</v>
      </c>
      <c r="B69" s="65">
        <f>HEX2DEC(A69+Items!$A$6)</f>
        <v>17825895</v>
      </c>
      <c r="C69" s="65" t="s">
        <v>4531</v>
      </c>
      <c r="D69" s="65">
        <v>14</v>
      </c>
      <c r="E69" s="65" t="s">
        <v>2384</v>
      </c>
      <c r="F69" s="65">
        <v>22</v>
      </c>
      <c r="G69" s="65">
        <v>0</v>
      </c>
      <c r="H69" s="65">
        <v>0</v>
      </c>
      <c r="I69" s="65">
        <v>1</v>
      </c>
      <c r="J69" s="65">
        <v>1</v>
      </c>
      <c r="K69" s="65">
        <v>1</v>
      </c>
      <c r="L69" s="65">
        <v>2</v>
      </c>
      <c r="M69" s="65" t="s">
        <v>4613</v>
      </c>
      <c r="N69" s="88" t="s">
        <v>4713</v>
      </c>
      <c r="O69" s="88" t="s">
        <v>2820</v>
      </c>
      <c r="P69" s="65" t="s">
        <v>4519</v>
      </c>
      <c r="Q69" s="65">
        <v>1</v>
      </c>
      <c r="R69" s="65">
        <v>2</v>
      </c>
      <c r="S69" s="65" t="str">
        <f t="shared" si="3"/>
        <v>DA_bo_ra_bo_br_f_g_c_fin</v>
      </c>
      <c r="T69" s="65" t="str">
        <f t="shared" si="4"/>
        <v>/Game/DungeonSiege/Items/Armor/Boot/DA_bo_ra_bo_br_f_g_c_fin</v>
      </c>
      <c r="U69" s="65" t="str">
        <f t="shared" si="5"/>
        <v>Texture2D'/Game/DungeonSiege/art/bitmaps/gui/in_game/inventory/armor/boot/b_gui_ig_i_a_boot_081.b_gui_ig_i_a_boot_081'</v>
      </c>
      <c r="V69" s="65" t="s">
        <v>4745</v>
      </c>
    </row>
    <row r="70" spans="1:22" ht="15.75" thickBot="1" x14ac:dyDescent="0.3">
      <c r="A70" s="65">
        <v>68</v>
      </c>
      <c r="B70" s="65">
        <f>HEX2DEC(A70+Items!$A$6)</f>
        <v>17825896</v>
      </c>
      <c r="C70" s="65" t="s">
        <v>4531</v>
      </c>
      <c r="D70" s="65">
        <v>33</v>
      </c>
      <c r="E70" s="65" t="s">
        <v>2384</v>
      </c>
      <c r="F70" s="65">
        <v>40</v>
      </c>
      <c r="G70" s="65">
        <v>0</v>
      </c>
      <c r="H70" s="65">
        <v>0</v>
      </c>
      <c r="I70" s="65">
        <v>1</v>
      </c>
      <c r="J70" s="65">
        <v>1</v>
      </c>
      <c r="K70" s="65">
        <v>1</v>
      </c>
      <c r="L70" s="65">
        <v>2</v>
      </c>
      <c r="M70" s="65" t="s">
        <v>4614</v>
      </c>
      <c r="N70" s="88" t="s">
        <v>4714</v>
      </c>
      <c r="O70" s="88" t="s">
        <v>2798</v>
      </c>
      <c r="P70" s="65" t="s">
        <v>4519</v>
      </c>
      <c r="Q70" s="65">
        <v>8</v>
      </c>
      <c r="R70" s="65">
        <v>11</v>
      </c>
      <c r="S70" s="65" t="str">
        <f t="shared" si="3"/>
        <v>DA_bo_ra_bo_br_f_g_c_fin_c_mag</v>
      </c>
      <c r="T70" s="65" t="str">
        <f t="shared" si="4"/>
        <v>/Game/DungeonSiege/Items/Armor/Boot/DA_bo_ra_bo_br_f_g_c_fin_c_mag</v>
      </c>
      <c r="U70" s="65" t="str">
        <f t="shared" si="5"/>
        <v>Texture2D'/Game/DungeonSiege/art/bitmaps/gui/in_game/inventory/armor/boot/b_gui_ig_i_a_boot_083.b_gui_ig_i_a_boot_083'</v>
      </c>
      <c r="V70" s="65" t="s">
        <v>4745</v>
      </c>
    </row>
    <row r="71" spans="1:22" ht="15.75" thickBot="1" x14ac:dyDescent="0.3">
      <c r="A71" s="65">
        <v>69</v>
      </c>
      <c r="B71" s="65">
        <f>HEX2DEC(A71+Items!$A$6)</f>
        <v>17825897</v>
      </c>
      <c r="C71" s="65" t="s">
        <v>4531</v>
      </c>
      <c r="D71" s="65">
        <v>19</v>
      </c>
      <c r="E71" s="65" t="s">
        <v>2384</v>
      </c>
      <c r="F71" s="65">
        <v>27</v>
      </c>
      <c r="G71" s="65">
        <v>0</v>
      </c>
      <c r="H71" s="65">
        <v>0</v>
      </c>
      <c r="I71" s="65">
        <v>1</v>
      </c>
      <c r="J71" s="65">
        <v>1</v>
      </c>
      <c r="K71" s="65">
        <v>1</v>
      </c>
      <c r="L71" s="65">
        <v>2</v>
      </c>
      <c r="M71" s="65" t="s">
        <v>4615</v>
      </c>
      <c r="N71" s="88" t="s">
        <v>4715</v>
      </c>
      <c r="O71" s="88" t="s">
        <v>2825</v>
      </c>
      <c r="P71" s="65" t="s">
        <v>4519</v>
      </c>
      <c r="Q71" s="65">
        <v>3</v>
      </c>
      <c r="R71" s="65">
        <v>6</v>
      </c>
      <c r="S71" s="65" t="str">
        <f t="shared" si="3"/>
        <v>DA_bo_ra_bo_br_f_g_c_fin_o_fin</v>
      </c>
      <c r="T71" s="65" t="str">
        <f t="shared" si="4"/>
        <v>/Game/DungeonSiege/Items/Armor/Boot/DA_bo_ra_bo_br_f_g_c_fin_o_fin</v>
      </c>
      <c r="U71" s="65" t="str">
        <f t="shared" si="5"/>
        <v>Texture2D'/Game/DungeonSiege/art/bitmaps/gui/in_game/inventory/armor/boot/b_gui_ig_i_a_boot_082.b_gui_ig_i_a_boot_082'</v>
      </c>
      <c r="V71" s="65" t="s">
        <v>4745</v>
      </c>
    </row>
    <row r="72" spans="1:22" ht="15.75" thickBot="1" x14ac:dyDescent="0.3">
      <c r="A72" s="65">
        <v>70</v>
      </c>
      <c r="B72" s="65">
        <f>HEX2DEC(A72+Items!$A$6)</f>
        <v>17825904</v>
      </c>
      <c r="C72" s="65" t="s">
        <v>4532</v>
      </c>
      <c r="D72" s="65">
        <v>22</v>
      </c>
      <c r="E72" s="65" t="s">
        <v>2384</v>
      </c>
      <c r="F72" s="65">
        <v>29</v>
      </c>
      <c r="G72" s="65">
        <v>0</v>
      </c>
      <c r="H72" s="65">
        <v>0</v>
      </c>
      <c r="I72" s="65">
        <v>1</v>
      </c>
      <c r="J72" s="65">
        <v>1</v>
      </c>
      <c r="K72" s="65">
        <v>1</v>
      </c>
      <c r="L72" s="65">
        <v>2</v>
      </c>
      <c r="M72" s="65" t="s">
        <v>4616</v>
      </c>
      <c r="N72" s="88" t="s">
        <v>4716</v>
      </c>
      <c r="O72" s="88" t="s">
        <v>2785</v>
      </c>
      <c r="P72" s="65" t="s">
        <v>4519</v>
      </c>
      <c r="Q72" s="65">
        <v>1</v>
      </c>
      <c r="R72" s="65">
        <v>4</v>
      </c>
      <c r="S72" s="65" t="str">
        <f t="shared" si="3"/>
        <v>DA_bo_ra_bo_ch_f_g_c_fin</v>
      </c>
      <c r="T72" s="65" t="str">
        <f t="shared" si="4"/>
        <v>/Game/DungeonSiege/Items/Armor/Boot/DA_bo_ra_bo_ch_f_g_c_fin</v>
      </c>
      <c r="U72" s="65" t="str">
        <f t="shared" si="5"/>
        <v>Texture2D'/Game/DungeonSiege/art/bitmaps/gui/in_game/inventory/armor/boot/b_gui_ig_i_a_boot_087.b_gui_ig_i_a_boot_087'</v>
      </c>
      <c r="V72" s="65" t="s">
        <v>4745</v>
      </c>
    </row>
    <row r="73" spans="1:22" ht="15.75" thickBot="1" x14ac:dyDescent="0.3">
      <c r="A73" s="65">
        <v>71</v>
      </c>
      <c r="B73" s="65">
        <f>HEX2DEC(A73+Items!$A$6)</f>
        <v>17825905</v>
      </c>
      <c r="C73" s="65" t="s">
        <v>4532</v>
      </c>
      <c r="D73" s="65">
        <v>47</v>
      </c>
      <c r="E73" s="65" t="s">
        <v>2384</v>
      </c>
      <c r="F73" s="65">
        <v>54</v>
      </c>
      <c r="G73" s="65">
        <v>0</v>
      </c>
      <c r="H73" s="65">
        <v>0</v>
      </c>
      <c r="I73" s="65">
        <v>1</v>
      </c>
      <c r="J73" s="65">
        <v>1</v>
      </c>
      <c r="K73" s="65">
        <v>1</v>
      </c>
      <c r="L73" s="65">
        <v>2</v>
      </c>
      <c r="M73" s="65" t="s">
        <v>4617</v>
      </c>
      <c r="N73" s="88" t="s">
        <v>4717</v>
      </c>
      <c r="O73" s="88" t="s">
        <v>2790</v>
      </c>
      <c r="P73" s="65" t="s">
        <v>4519</v>
      </c>
      <c r="Q73" s="65">
        <v>11</v>
      </c>
      <c r="R73" s="65">
        <v>15</v>
      </c>
      <c r="S73" s="65" t="str">
        <f t="shared" si="3"/>
        <v>DA_bo_ra_bo_ch_f_g_c_fin_c_mag</v>
      </c>
      <c r="T73" s="65" t="str">
        <f t="shared" si="4"/>
        <v>/Game/DungeonSiege/Items/Armor/Boot/DA_bo_ra_bo_ch_f_g_c_fin_c_mag</v>
      </c>
      <c r="U73" s="65" t="str">
        <f t="shared" si="5"/>
        <v>Texture2D'/Game/DungeonSiege/art/bitmaps/gui/in_game/inventory/armor/boot/b_gui_ig_i_a_boot_090.b_gui_ig_i_a_boot_090'</v>
      </c>
      <c r="V73" s="65" t="s">
        <v>4745</v>
      </c>
    </row>
    <row r="74" spans="1:22" ht="15.75" thickBot="1" x14ac:dyDescent="0.3">
      <c r="A74" s="65">
        <v>72</v>
      </c>
      <c r="B74" s="65">
        <f>HEX2DEC(A74+Items!$A$6)</f>
        <v>17825906</v>
      </c>
      <c r="C74" s="65" t="s">
        <v>4532</v>
      </c>
      <c r="D74" s="65">
        <v>29</v>
      </c>
      <c r="E74" s="65" t="s">
        <v>2384</v>
      </c>
      <c r="F74" s="65">
        <v>36</v>
      </c>
      <c r="G74" s="65">
        <v>0</v>
      </c>
      <c r="H74" s="65">
        <v>0</v>
      </c>
      <c r="I74" s="65">
        <v>1</v>
      </c>
      <c r="J74" s="65">
        <v>1</v>
      </c>
      <c r="K74" s="65">
        <v>1</v>
      </c>
      <c r="L74" s="65">
        <v>2</v>
      </c>
      <c r="M74" s="65" t="s">
        <v>4618</v>
      </c>
      <c r="N74" s="88" t="s">
        <v>4718</v>
      </c>
      <c r="O74" s="88" t="s">
        <v>2792</v>
      </c>
      <c r="P74" s="65" t="s">
        <v>4519</v>
      </c>
      <c r="Q74" s="65">
        <v>4</v>
      </c>
      <c r="R74" s="65">
        <v>9</v>
      </c>
      <c r="S74" s="65" t="str">
        <f t="shared" si="3"/>
        <v>DA_bo_ra_bo_ch_f_g_c_fin_o_fin</v>
      </c>
      <c r="T74" s="65" t="str">
        <f t="shared" si="4"/>
        <v>/Game/DungeonSiege/Items/Armor/Boot/DA_bo_ra_bo_ch_f_g_c_fin_o_fin</v>
      </c>
      <c r="U74" s="65" t="str">
        <f t="shared" si="5"/>
        <v>Texture2D'/Game/DungeonSiege/art/bitmaps/gui/in_game/inventory/armor/boot/b_gui_ig_i_a_boot_088.b_gui_ig_i_a_boot_088'</v>
      </c>
      <c r="V74" s="65" t="s">
        <v>4745</v>
      </c>
    </row>
    <row r="75" spans="1:22" ht="15.75" thickBot="1" x14ac:dyDescent="0.3">
      <c r="A75" s="65">
        <v>73</v>
      </c>
      <c r="B75" s="65">
        <f>HEX2DEC(A75+Items!$A$6)</f>
        <v>17825907</v>
      </c>
      <c r="C75" s="65" t="s">
        <v>4532</v>
      </c>
      <c r="D75" s="65">
        <v>40</v>
      </c>
      <c r="E75" s="65" t="s">
        <v>2384</v>
      </c>
      <c r="F75" s="65">
        <v>47</v>
      </c>
      <c r="G75" s="65">
        <v>0</v>
      </c>
      <c r="H75" s="65">
        <v>0</v>
      </c>
      <c r="I75" s="65">
        <v>1</v>
      </c>
      <c r="J75" s="65">
        <v>1</v>
      </c>
      <c r="K75" s="65">
        <v>1</v>
      </c>
      <c r="L75" s="65">
        <v>2</v>
      </c>
      <c r="M75" s="65" t="s">
        <v>4619</v>
      </c>
      <c r="N75" s="88" t="s">
        <v>4719</v>
      </c>
      <c r="O75" s="88" t="s">
        <v>2793</v>
      </c>
      <c r="P75" s="65" t="s">
        <v>4519</v>
      </c>
      <c r="Q75" s="65">
        <v>9</v>
      </c>
      <c r="R75" s="65">
        <v>13</v>
      </c>
      <c r="S75" s="65" t="str">
        <f t="shared" si="3"/>
        <v>DA_bo_ra_bo_ch_f_g_c_fin_o_str</v>
      </c>
      <c r="T75" s="65" t="str">
        <f t="shared" si="4"/>
        <v>/Game/DungeonSiege/Items/Armor/Boot/DA_bo_ra_bo_ch_f_g_c_fin_o_str</v>
      </c>
      <c r="U75" s="65" t="str">
        <f t="shared" si="5"/>
        <v>Texture2D'/Game/DungeonSiege/art/bitmaps/gui/in_game/inventory/armor/boot/b_gui_ig_i_a_boot_089.b_gui_ig_i_a_boot_089'</v>
      </c>
      <c r="V75" s="65" t="s">
        <v>4745</v>
      </c>
    </row>
    <row r="76" spans="1:22" ht="15.75" thickBot="1" x14ac:dyDescent="0.3">
      <c r="A76" s="65">
        <v>74</v>
      </c>
      <c r="B76" s="65">
        <f>HEX2DEC(A76+Items!$A$6)</f>
        <v>17825908</v>
      </c>
      <c r="C76" s="65" t="s">
        <v>4533</v>
      </c>
      <c r="D76" s="65">
        <v>3</v>
      </c>
      <c r="E76" s="65"/>
      <c r="F76" s="65"/>
      <c r="G76" s="65">
        <v>0</v>
      </c>
      <c r="H76" s="65">
        <v>0</v>
      </c>
      <c r="I76" s="65">
        <v>1</v>
      </c>
      <c r="J76" s="65">
        <v>1</v>
      </c>
      <c r="K76" s="65">
        <v>1</v>
      </c>
      <c r="L76" s="65">
        <v>2</v>
      </c>
      <c r="M76" s="65" t="s">
        <v>4620</v>
      </c>
      <c r="N76" s="88" t="s">
        <v>4720</v>
      </c>
      <c r="O76" s="88" t="s">
        <v>2821</v>
      </c>
      <c r="P76" s="65" t="s">
        <v>4519</v>
      </c>
      <c r="Q76" s="65">
        <v>1</v>
      </c>
      <c r="R76" s="65">
        <v>2</v>
      </c>
      <c r="S76" s="65" t="str">
        <f t="shared" si="3"/>
        <v>DA_bo_ra_bo_le_f_g_c_fin</v>
      </c>
      <c r="T76" s="65" t="str">
        <f t="shared" si="4"/>
        <v>/Game/DungeonSiege/Items/Armor/Boot/DA_bo_ra_bo_le_f_g_c_fin</v>
      </c>
      <c r="U76" s="65" t="str">
        <f t="shared" si="5"/>
        <v>Texture2D'/Game/DungeonSiege/art/bitmaps/gui/in_game/inventory/armor/boot/b_gui_ig_i_a_boot_076.b_gui_ig_i_a_boot_076'</v>
      </c>
      <c r="V76" s="65" t="s">
        <v>4745</v>
      </c>
    </row>
    <row r="77" spans="1:22" ht="15.75" thickBot="1" x14ac:dyDescent="0.3">
      <c r="A77" s="65">
        <v>75</v>
      </c>
      <c r="B77" s="65">
        <f>HEX2DEC(A77+Items!$A$6)</f>
        <v>17825909</v>
      </c>
      <c r="C77" s="65" t="s">
        <v>4533</v>
      </c>
      <c r="D77" s="65">
        <v>7</v>
      </c>
      <c r="E77" s="65" t="s">
        <v>2384</v>
      </c>
      <c r="F77" s="65">
        <v>15</v>
      </c>
      <c r="G77" s="65">
        <v>0</v>
      </c>
      <c r="H77" s="65">
        <v>0</v>
      </c>
      <c r="I77" s="65">
        <v>1</v>
      </c>
      <c r="J77" s="65">
        <v>1</v>
      </c>
      <c r="K77" s="65">
        <v>1</v>
      </c>
      <c r="L77" s="65">
        <v>2</v>
      </c>
      <c r="M77" s="65" t="s">
        <v>4621</v>
      </c>
      <c r="N77" s="88" t="s">
        <v>4721</v>
      </c>
      <c r="O77" s="88" t="s">
        <v>2818</v>
      </c>
      <c r="P77" s="65" t="s">
        <v>4519</v>
      </c>
      <c r="Q77" s="65">
        <v>1</v>
      </c>
      <c r="R77" s="65">
        <v>3</v>
      </c>
      <c r="S77" s="65" t="str">
        <f t="shared" si="3"/>
        <v>DA_bo_ra_bo_le_f_g_c_fin_o_fin</v>
      </c>
      <c r="T77" s="65" t="str">
        <f t="shared" si="4"/>
        <v>/Game/DungeonSiege/Items/Armor/Boot/DA_bo_ra_bo_le_f_g_c_fin_o_fin</v>
      </c>
      <c r="U77" s="65" t="str">
        <f t="shared" si="5"/>
        <v>Texture2D'/Game/DungeonSiege/art/bitmaps/gui/in_game/inventory/armor/boot/b_gui_ig_i_a_boot_077.b_gui_ig_i_a_boot_077'</v>
      </c>
      <c r="V77" s="65" t="s">
        <v>4745</v>
      </c>
    </row>
    <row r="78" spans="1:22" ht="15.75" thickBot="1" x14ac:dyDescent="0.3">
      <c r="A78" s="65">
        <v>76</v>
      </c>
      <c r="B78" s="65">
        <f>HEX2DEC(A78+Items!$A$6)</f>
        <v>17825910</v>
      </c>
      <c r="C78" s="65" t="s">
        <v>4534</v>
      </c>
      <c r="D78" s="65">
        <v>15</v>
      </c>
      <c r="E78" s="65" t="s">
        <v>2384</v>
      </c>
      <c r="F78" s="65">
        <v>24</v>
      </c>
      <c r="G78" s="65">
        <v>0</v>
      </c>
      <c r="H78" s="65">
        <v>0</v>
      </c>
      <c r="I78" s="65">
        <v>1</v>
      </c>
      <c r="J78" s="65">
        <v>1</v>
      </c>
      <c r="K78" s="65">
        <v>1</v>
      </c>
      <c r="L78" s="65">
        <v>2</v>
      </c>
      <c r="M78" s="65" t="s">
        <v>4622</v>
      </c>
      <c r="N78" s="88" t="s">
        <v>4722</v>
      </c>
      <c r="O78" s="88" t="s">
        <v>2812</v>
      </c>
      <c r="P78" s="65" t="s">
        <v>4519</v>
      </c>
      <c r="Q78" s="65">
        <v>1</v>
      </c>
      <c r="R78" s="65">
        <v>3</v>
      </c>
      <c r="S78" s="65" t="str">
        <f t="shared" si="3"/>
        <v>DA_bo_ra_bo_sc_f_g_c_fin</v>
      </c>
      <c r="T78" s="65" t="str">
        <f t="shared" si="4"/>
        <v>/Game/DungeonSiege/Items/Armor/Boot/DA_bo_ra_bo_sc_f_g_c_fin</v>
      </c>
      <c r="U78" s="65" t="str">
        <f t="shared" si="5"/>
        <v>Texture2D'/Game/DungeonSiege/art/bitmaps/gui/in_game/inventory/armor/boot/b_gui_ig_i_a_boot_084.b_gui_ig_i_a_boot_084'</v>
      </c>
      <c r="V78" s="65" t="s">
        <v>4745</v>
      </c>
    </row>
    <row r="79" spans="1:22" ht="15.75" thickBot="1" x14ac:dyDescent="0.3">
      <c r="A79" s="65">
        <v>77</v>
      </c>
      <c r="B79" s="65">
        <f>HEX2DEC(A79+Items!$A$6)</f>
        <v>17825911</v>
      </c>
      <c r="C79" s="65" t="s">
        <v>4534</v>
      </c>
      <c r="D79" s="65">
        <v>21</v>
      </c>
      <c r="E79" s="65" t="s">
        <v>2384</v>
      </c>
      <c r="F79" s="65">
        <v>29</v>
      </c>
      <c r="G79" s="65">
        <v>0</v>
      </c>
      <c r="H79" s="65">
        <v>0</v>
      </c>
      <c r="I79" s="65">
        <v>1</v>
      </c>
      <c r="J79" s="65">
        <v>1</v>
      </c>
      <c r="K79" s="65">
        <v>1</v>
      </c>
      <c r="L79" s="65">
        <v>2</v>
      </c>
      <c r="M79" s="65" t="s">
        <v>4623</v>
      </c>
      <c r="N79" s="88" t="s">
        <v>4723</v>
      </c>
      <c r="O79" s="88" t="s">
        <v>4507</v>
      </c>
      <c r="P79" s="65" t="s">
        <v>4519</v>
      </c>
      <c r="Q79" s="65">
        <v>3</v>
      </c>
      <c r="R79" s="65">
        <v>7</v>
      </c>
      <c r="S79" s="65" t="str">
        <f t="shared" si="3"/>
        <v>DA_bo_ra_bo_sc_f_g_c_fin_o_fin</v>
      </c>
      <c r="T79" s="65" t="str">
        <f t="shared" si="4"/>
        <v>/Game/DungeonSiege/Items/Armor/Boot/DA_bo_ra_bo_sc_f_g_c_fin_o_fin</v>
      </c>
      <c r="U79" s="65" t="str">
        <f t="shared" si="5"/>
        <v>Texture2D'/Game/DungeonSiege/art/bitmaps/gui/in_game/inventory/armor/boot/b_gui_ig_i_a_boot_085.b_gui_ig_i_a_boot_085'</v>
      </c>
      <c r="V79" s="65" t="s">
        <v>4745</v>
      </c>
    </row>
    <row r="80" spans="1:22" ht="15.75" thickBot="1" x14ac:dyDescent="0.3">
      <c r="A80" s="65">
        <v>78</v>
      </c>
      <c r="B80" s="65">
        <f>HEX2DEC(A80+Items!$A$6)</f>
        <v>17825912</v>
      </c>
      <c r="C80" s="65" t="s">
        <v>4534</v>
      </c>
      <c r="D80" s="65">
        <v>41</v>
      </c>
      <c r="E80" s="65" t="s">
        <v>2384</v>
      </c>
      <c r="F80" s="65">
        <v>48</v>
      </c>
      <c r="G80" s="65">
        <v>0</v>
      </c>
      <c r="H80" s="65">
        <v>0</v>
      </c>
      <c r="I80" s="65">
        <v>1</v>
      </c>
      <c r="J80" s="65">
        <v>1</v>
      </c>
      <c r="K80" s="65">
        <v>1</v>
      </c>
      <c r="L80" s="65">
        <v>2</v>
      </c>
      <c r="M80" s="65" t="s">
        <v>4624</v>
      </c>
      <c r="N80" s="88" t="s">
        <v>4724</v>
      </c>
      <c r="O80" s="88" t="s">
        <v>4508</v>
      </c>
      <c r="P80" s="65" t="s">
        <v>4519</v>
      </c>
      <c r="Q80" s="65">
        <v>10</v>
      </c>
      <c r="R80" s="65">
        <v>14</v>
      </c>
      <c r="S80" s="65" t="str">
        <f t="shared" si="3"/>
        <v>DA_bo_ra_bo_sc_f_g_c_fin_o_mag</v>
      </c>
      <c r="T80" s="65" t="str">
        <f t="shared" si="4"/>
        <v>/Game/DungeonSiege/Items/Armor/Boot/DA_bo_ra_bo_sc_f_g_c_fin_o_mag</v>
      </c>
      <c r="U80" s="65" t="str">
        <f t="shared" si="5"/>
        <v>Texture2D'/Game/DungeonSiege/art/bitmaps/gui/in_game/inventory/armor/boot/b_gui_ig_i_a_boot_086.b_gui_ig_i_a_boot_086'</v>
      </c>
      <c r="V80" s="65" t="s">
        <v>4745</v>
      </c>
    </row>
    <row r="81" spans="1:22" ht="15.75" thickBot="1" x14ac:dyDescent="0.3">
      <c r="A81" s="65">
        <v>79</v>
      </c>
      <c r="B81" s="65">
        <f>HEX2DEC(A81+Items!$A$6)</f>
        <v>17825913</v>
      </c>
      <c r="C81" s="65" t="s">
        <v>4535</v>
      </c>
      <c r="D81" s="65">
        <v>6</v>
      </c>
      <c r="E81" s="65" t="s">
        <v>2384</v>
      </c>
      <c r="F81" s="65">
        <v>14</v>
      </c>
      <c r="G81" s="65">
        <v>0</v>
      </c>
      <c r="H81" s="65">
        <v>0</v>
      </c>
      <c r="I81" s="65">
        <v>1</v>
      </c>
      <c r="J81" s="65">
        <v>1</v>
      </c>
      <c r="K81" s="65">
        <v>1</v>
      </c>
      <c r="L81" s="65">
        <v>2</v>
      </c>
      <c r="M81" s="65" t="s">
        <v>4625</v>
      </c>
      <c r="N81" s="88" t="s">
        <v>4725</v>
      </c>
      <c r="O81" s="88" t="s">
        <v>2513</v>
      </c>
      <c r="P81" s="65" t="s">
        <v>4519</v>
      </c>
      <c r="Q81" s="65">
        <v>1</v>
      </c>
      <c r="R81" s="65">
        <v>3</v>
      </c>
      <c r="S81" s="65" t="str">
        <f t="shared" si="3"/>
        <v>DA_bo_ra_bo_sl_f_g_c_fin</v>
      </c>
      <c r="T81" s="65" t="str">
        <f t="shared" si="4"/>
        <v>/Game/DungeonSiege/Items/Armor/Boot/DA_bo_ra_bo_sl_f_g_c_fin</v>
      </c>
      <c r="U81" s="65" t="str">
        <f t="shared" si="5"/>
        <v>Texture2D'/Game/DungeonSiege/art/bitmaps/gui/in_game/inventory/armor/boot/b_gui_ig_i_a_boot_078.b_gui_ig_i_a_boot_078'</v>
      </c>
      <c r="V81" s="65" t="s">
        <v>4745</v>
      </c>
    </row>
    <row r="82" spans="1:22" ht="15.75" thickBot="1" x14ac:dyDescent="0.3">
      <c r="A82" s="65">
        <v>80</v>
      </c>
      <c r="B82" s="65">
        <f>HEX2DEC(A82+Items!$A$6)</f>
        <v>17825920</v>
      </c>
      <c r="C82" s="65" t="s">
        <v>4535</v>
      </c>
      <c r="D82" s="65">
        <v>10</v>
      </c>
      <c r="E82" s="65" t="s">
        <v>2384</v>
      </c>
      <c r="F82" s="65">
        <v>18</v>
      </c>
      <c r="G82" s="65">
        <v>0</v>
      </c>
      <c r="H82" s="65">
        <v>0</v>
      </c>
      <c r="I82" s="65">
        <v>1</v>
      </c>
      <c r="J82" s="65">
        <v>1</v>
      </c>
      <c r="K82" s="65">
        <v>1</v>
      </c>
      <c r="L82" s="65">
        <v>2</v>
      </c>
      <c r="M82" s="65" t="s">
        <v>4626</v>
      </c>
      <c r="N82" s="88" t="s">
        <v>4726</v>
      </c>
      <c r="O82" s="88" t="s">
        <v>2506</v>
      </c>
      <c r="P82" s="65" t="s">
        <v>4519</v>
      </c>
      <c r="Q82" s="65">
        <v>2</v>
      </c>
      <c r="R82" s="65">
        <v>4</v>
      </c>
      <c r="S82" s="65" t="str">
        <f t="shared" si="3"/>
        <v>DA_bo_ra_bo_sl_f_g_c_fin_o_fin</v>
      </c>
      <c r="T82" s="65" t="str">
        <f t="shared" si="4"/>
        <v>/Game/DungeonSiege/Items/Armor/Boot/DA_bo_ra_bo_sl_f_g_c_fin_o_fin</v>
      </c>
      <c r="U82" s="65" t="str">
        <f t="shared" si="5"/>
        <v>Texture2D'/Game/DungeonSiege/art/bitmaps/gui/in_game/inventory/armor/boot/b_gui_ig_i_a_boot_079.b_gui_ig_i_a_boot_079'</v>
      </c>
      <c r="V82" s="65" t="s">
        <v>4745</v>
      </c>
    </row>
    <row r="83" spans="1:22" ht="15.75" thickBot="1" x14ac:dyDescent="0.3">
      <c r="A83" s="65">
        <v>81</v>
      </c>
      <c r="B83" s="65">
        <f>HEX2DEC(A83+Items!$A$6)</f>
        <v>17825921</v>
      </c>
      <c r="C83" s="65" t="s">
        <v>4535</v>
      </c>
      <c r="D83" s="65">
        <v>16</v>
      </c>
      <c r="E83" s="65" t="s">
        <v>2384</v>
      </c>
      <c r="F83" s="65">
        <v>24</v>
      </c>
      <c r="G83" s="65">
        <v>0</v>
      </c>
      <c r="H83" s="65">
        <v>0</v>
      </c>
      <c r="I83" s="65">
        <v>1</v>
      </c>
      <c r="J83" s="65">
        <v>1</v>
      </c>
      <c r="K83" s="65">
        <v>1</v>
      </c>
      <c r="L83" s="65">
        <v>2</v>
      </c>
      <c r="M83" s="65" t="s">
        <v>4627</v>
      </c>
      <c r="N83" s="88" t="s">
        <v>4727</v>
      </c>
      <c r="O83" s="88" t="s">
        <v>2517</v>
      </c>
      <c r="P83" s="65" t="s">
        <v>4519</v>
      </c>
      <c r="Q83" s="65">
        <v>4</v>
      </c>
      <c r="R83" s="65">
        <v>6</v>
      </c>
      <c r="S83" s="65" t="str">
        <f t="shared" si="3"/>
        <v>DA_bo_ra_bo_sl_f_g_c_fin_o_str</v>
      </c>
      <c r="T83" s="65" t="str">
        <f t="shared" si="4"/>
        <v>/Game/DungeonSiege/Items/Armor/Boot/DA_bo_ra_bo_sl_f_g_c_fin_o_str</v>
      </c>
      <c r="U83" s="65" t="str">
        <f t="shared" si="5"/>
        <v>Texture2D'/Game/DungeonSiege/art/bitmaps/gui/in_game/inventory/armor/boot/b_gui_ig_i_a_boot_080.b_gui_ig_i_a_boot_080'</v>
      </c>
      <c r="V83" s="65" t="s">
        <v>4745</v>
      </c>
    </row>
    <row r="84" spans="1:22" ht="15.75" thickBot="1" x14ac:dyDescent="0.3">
      <c r="A84" s="65">
        <v>82</v>
      </c>
      <c r="B84" s="65">
        <f>HEX2DEC(A84+Items!$A$6)</f>
        <v>17825922</v>
      </c>
      <c r="C84" s="65" t="s">
        <v>4536</v>
      </c>
      <c r="D84" s="65">
        <v>24</v>
      </c>
      <c r="E84" s="65" t="s">
        <v>2384</v>
      </c>
      <c r="F84" s="65">
        <v>32</v>
      </c>
      <c r="G84" s="65">
        <v>0</v>
      </c>
      <c r="H84" s="65">
        <v>0</v>
      </c>
      <c r="I84" s="65">
        <v>1</v>
      </c>
      <c r="J84" s="65">
        <v>1</v>
      </c>
      <c r="K84" s="65">
        <v>1</v>
      </c>
      <c r="L84" s="65">
        <v>2</v>
      </c>
      <c r="M84" s="65" t="s">
        <v>4628</v>
      </c>
      <c r="N84" s="88" t="s">
        <v>4728</v>
      </c>
      <c r="O84" s="88" t="s">
        <v>4510</v>
      </c>
      <c r="P84" s="65" t="s">
        <v>4519</v>
      </c>
      <c r="Q84" s="65">
        <v>1</v>
      </c>
      <c r="R84" s="65">
        <v>4</v>
      </c>
      <c r="S84" s="65" t="str">
        <f t="shared" si="3"/>
        <v>DA_bo_ra_gr_ba_f_g_c_fin</v>
      </c>
      <c r="T84" s="65" t="str">
        <f t="shared" si="4"/>
        <v>/Game/DungeonSiege/Items/Armor/Boot/DA_bo_ra_gr_ba_f_g_c_fin</v>
      </c>
      <c r="U84" s="65" t="str">
        <f t="shared" si="5"/>
        <v>Texture2D'/Game/DungeonSiege/art/bitmaps/gui/in_game/inventory/armor/boot/b_gui_ig_i_a_boot_095.b_gui_ig_i_a_boot_095'</v>
      </c>
      <c r="V84" s="65" t="s">
        <v>4745</v>
      </c>
    </row>
    <row r="85" spans="1:22" ht="15.75" thickBot="1" x14ac:dyDescent="0.3">
      <c r="A85" s="65">
        <v>83</v>
      </c>
      <c r="B85" s="65">
        <f>HEX2DEC(A85+Items!$A$6)</f>
        <v>17825923</v>
      </c>
      <c r="C85" s="65" t="s">
        <v>4536</v>
      </c>
      <c r="D85" s="65">
        <v>30</v>
      </c>
      <c r="E85" s="65" t="s">
        <v>2384</v>
      </c>
      <c r="F85" s="65">
        <v>37</v>
      </c>
      <c r="G85" s="65">
        <v>0</v>
      </c>
      <c r="H85" s="65">
        <v>0</v>
      </c>
      <c r="I85" s="65">
        <v>1</v>
      </c>
      <c r="J85" s="65">
        <v>1</v>
      </c>
      <c r="K85" s="65">
        <v>1</v>
      </c>
      <c r="L85" s="65">
        <v>2</v>
      </c>
      <c r="M85" s="65" t="s">
        <v>4629</v>
      </c>
      <c r="N85" s="88" t="s">
        <v>4729</v>
      </c>
      <c r="O85" s="88" t="s">
        <v>4496</v>
      </c>
      <c r="P85" s="65" t="s">
        <v>4519</v>
      </c>
      <c r="Q85" s="65">
        <v>4</v>
      </c>
      <c r="R85" s="65">
        <v>9</v>
      </c>
      <c r="S85" s="65" t="str">
        <f t="shared" si="3"/>
        <v>DA_bo_ra_gr_ba_f_g_c_fin_o_fin</v>
      </c>
      <c r="T85" s="65" t="str">
        <f t="shared" si="4"/>
        <v>/Game/DungeonSiege/Items/Armor/Boot/DA_bo_ra_gr_ba_f_g_c_fin_o_fin</v>
      </c>
      <c r="U85" s="65" t="str">
        <f t="shared" si="5"/>
        <v>Texture2D'/Game/DungeonSiege/art/bitmaps/gui/in_game/inventory/armor/boot/b_gui_ig_i_a_boot_096.b_gui_ig_i_a_boot_096'</v>
      </c>
      <c r="V85" s="65" t="s">
        <v>4745</v>
      </c>
    </row>
    <row r="86" spans="1:22" ht="15.75" thickBot="1" x14ac:dyDescent="0.3">
      <c r="A86" s="65">
        <v>84</v>
      </c>
      <c r="B86" s="65">
        <f>HEX2DEC(A86+Items!$A$6)</f>
        <v>17825924</v>
      </c>
      <c r="C86" s="65" t="s">
        <v>4536</v>
      </c>
      <c r="D86" s="65">
        <v>51</v>
      </c>
      <c r="E86" s="65" t="s">
        <v>2384</v>
      </c>
      <c r="F86" s="65">
        <v>58</v>
      </c>
      <c r="G86" s="65">
        <v>0</v>
      </c>
      <c r="H86" s="65">
        <v>0</v>
      </c>
      <c r="I86" s="65">
        <v>1</v>
      </c>
      <c r="J86" s="65">
        <v>1</v>
      </c>
      <c r="K86" s="65">
        <v>1</v>
      </c>
      <c r="L86" s="65">
        <v>2</v>
      </c>
      <c r="M86" s="65" t="s">
        <v>4630</v>
      </c>
      <c r="N86" s="88" t="s">
        <v>4730</v>
      </c>
      <c r="O86" s="88" t="s">
        <v>4497</v>
      </c>
      <c r="P86" s="65" t="s">
        <v>4519</v>
      </c>
      <c r="Q86" s="65">
        <v>12</v>
      </c>
      <c r="R86" s="65">
        <v>17</v>
      </c>
      <c r="S86" s="65" t="str">
        <f t="shared" si="3"/>
        <v>DA_bo_ra_gr_ba_f_g_c_fin_o_mag</v>
      </c>
      <c r="T86" s="65" t="str">
        <f t="shared" si="4"/>
        <v>/Game/DungeonSiege/Items/Armor/Boot/DA_bo_ra_gr_ba_f_g_c_fin_o_mag</v>
      </c>
      <c r="U86" s="65" t="str">
        <f t="shared" si="5"/>
        <v>Texture2D'/Game/DungeonSiege/art/bitmaps/gui/in_game/inventory/armor/boot/b_gui_ig_i_a_boot_097.b_gui_ig_i_a_boot_097'</v>
      </c>
      <c r="V86" s="65" t="s">
        <v>4745</v>
      </c>
    </row>
    <row r="87" spans="1:22" ht="15.75" thickBot="1" x14ac:dyDescent="0.3">
      <c r="A87" s="65">
        <v>85</v>
      </c>
      <c r="B87" s="65">
        <f>HEX2DEC(A87+Items!$A$6)</f>
        <v>17825925</v>
      </c>
      <c r="C87" s="65" t="s">
        <v>4537</v>
      </c>
      <c r="D87" s="65">
        <v>9</v>
      </c>
      <c r="E87" s="65" t="s">
        <v>2384</v>
      </c>
      <c r="F87" s="65">
        <v>18</v>
      </c>
      <c r="G87" s="65">
        <v>0</v>
      </c>
      <c r="H87" s="65">
        <v>0</v>
      </c>
      <c r="I87" s="65">
        <v>1</v>
      </c>
      <c r="J87" s="65">
        <v>1</v>
      </c>
      <c r="K87" s="65">
        <v>1</v>
      </c>
      <c r="L87" s="65">
        <v>2</v>
      </c>
      <c r="M87" s="65" t="s">
        <v>4631</v>
      </c>
      <c r="N87" s="88" t="s">
        <v>4731</v>
      </c>
      <c r="O87" s="88" t="s">
        <v>2779</v>
      </c>
      <c r="P87" s="65" t="s">
        <v>4519</v>
      </c>
      <c r="Q87" s="65">
        <v>1</v>
      </c>
      <c r="R87" s="65">
        <v>2</v>
      </c>
      <c r="S87" s="65" t="str">
        <f t="shared" si="3"/>
        <v>DA_bo_ra_gr_bl_f_g_c_fin</v>
      </c>
      <c r="T87" s="65" t="str">
        <f t="shared" si="4"/>
        <v>/Game/DungeonSiege/Items/Armor/Boot/DA_bo_ra_gr_bl_f_g_c_fin</v>
      </c>
      <c r="U87" s="65" t="str">
        <f t="shared" si="5"/>
        <v>Texture2D'/Game/DungeonSiege/art/bitmaps/gui/in_game/inventory/armor/boot/b_gui_ig_i_a_boot_091.b_gui_ig_i_a_boot_091'</v>
      </c>
      <c r="V87" s="65" t="s">
        <v>4745</v>
      </c>
    </row>
    <row r="88" spans="1:22" ht="15.75" thickBot="1" x14ac:dyDescent="0.3">
      <c r="A88" s="65">
        <v>86</v>
      </c>
      <c r="B88" s="65">
        <f>HEX2DEC(A88+Items!$A$6)</f>
        <v>17825926</v>
      </c>
      <c r="C88" s="65" t="s">
        <v>4537</v>
      </c>
      <c r="D88" s="65">
        <v>28</v>
      </c>
      <c r="E88" s="65" t="s">
        <v>2384</v>
      </c>
      <c r="F88" s="65">
        <v>36</v>
      </c>
      <c r="G88" s="65">
        <v>0</v>
      </c>
      <c r="H88" s="65">
        <v>0</v>
      </c>
      <c r="I88" s="65">
        <v>1</v>
      </c>
      <c r="J88" s="65">
        <v>1</v>
      </c>
      <c r="K88" s="65">
        <v>1</v>
      </c>
      <c r="L88" s="65">
        <v>2</v>
      </c>
      <c r="M88" s="65" t="s">
        <v>4632</v>
      </c>
      <c r="N88" s="88" t="s">
        <v>4732</v>
      </c>
      <c r="O88" s="88" t="s">
        <v>2796</v>
      </c>
      <c r="P88" s="65" t="s">
        <v>4519</v>
      </c>
      <c r="Q88" s="65">
        <v>7</v>
      </c>
      <c r="R88" s="65">
        <v>9</v>
      </c>
      <c r="S88" s="65" t="str">
        <f t="shared" si="3"/>
        <v>DA_bo_ra_gr_bl_f_g_c_fin_c_mag</v>
      </c>
      <c r="T88" s="65" t="str">
        <f t="shared" si="4"/>
        <v>/Game/DungeonSiege/Items/Armor/Boot/DA_bo_ra_gr_bl_f_g_c_fin_c_mag</v>
      </c>
      <c r="U88" s="65" t="str">
        <f t="shared" si="5"/>
        <v>Texture2D'/Game/DungeonSiege/art/bitmaps/gui/in_game/inventory/armor/boot/b_gui_ig_i_a_boot_094.b_gui_ig_i_a_boot_094'</v>
      </c>
      <c r="V88" s="65" t="s">
        <v>4745</v>
      </c>
    </row>
    <row r="89" spans="1:22" ht="15.75" thickBot="1" x14ac:dyDescent="0.3">
      <c r="A89" s="65">
        <v>87</v>
      </c>
      <c r="B89" s="65">
        <f>HEX2DEC(A89+Items!$A$6)</f>
        <v>17825927</v>
      </c>
      <c r="C89" s="65" t="s">
        <v>4537</v>
      </c>
      <c r="D89" s="65">
        <v>14</v>
      </c>
      <c r="E89" s="65" t="s">
        <v>2384</v>
      </c>
      <c r="F89" s="65">
        <v>22</v>
      </c>
      <c r="G89" s="65">
        <v>0</v>
      </c>
      <c r="H89" s="65">
        <v>0</v>
      </c>
      <c r="I89" s="65">
        <v>1</v>
      </c>
      <c r="J89" s="65">
        <v>1</v>
      </c>
      <c r="K89" s="65">
        <v>1</v>
      </c>
      <c r="L89" s="65">
        <v>2</v>
      </c>
      <c r="M89" s="65" t="s">
        <v>4633</v>
      </c>
      <c r="N89" s="88" t="s">
        <v>4733</v>
      </c>
      <c r="O89" s="88" t="s">
        <v>2786</v>
      </c>
      <c r="P89" s="65" t="s">
        <v>4519</v>
      </c>
      <c r="Q89" s="65">
        <v>2</v>
      </c>
      <c r="R89" s="65">
        <v>4</v>
      </c>
      <c r="S89" s="65" t="str">
        <f t="shared" si="3"/>
        <v>DA_bo_ra_gr_bl_f_g_c_fin_o_fin</v>
      </c>
      <c r="T89" s="65" t="str">
        <f t="shared" si="4"/>
        <v>/Game/DungeonSiege/Items/Armor/Boot/DA_bo_ra_gr_bl_f_g_c_fin_o_fin</v>
      </c>
      <c r="U89" s="65" t="str">
        <f t="shared" si="5"/>
        <v>Texture2D'/Game/DungeonSiege/art/bitmaps/gui/in_game/inventory/armor/boot/b_gui_ig_i_a_boot_092.b_gui_ig_i_a_boot_092'</v>
      </c>
      <c r="V89" s="65" t="s">
        <v>4745</v>
      </c>
    </row>
    <row r="90" spans="1:22" ht="15.75" thickBot="1" x14ac:dyDescent="0.3">
      <c r="A90" s="65">
        <v>88</v>
      </c>
      <c r="B90" s="65">
        <f>HEX2DEC(A90+Items!$A$6)</f>
        <v>17825928</v>
      </c>
      <c r="C90" s="65" t="s">
        <v>4537</v>
      </c>
      <c r="D90" s="65">
        <v>23</v>
      </c>
      <c r="E90" s="65" t="s">
        <v>2384</v>
      </c>
      <c r="F90" s="65">
        <v>31</v>
      </c>
      <c r="G90" s="65">
        <v>0</v>
      </c>
      <c r="H90" s="65">
        <v>0</v>
      </c>
      <c r="I90" s="65">
        <v>1</v>
      </c>
      <c r="J90" s="65">
        <v>1</v>
      </c>
      <c r="K90" s="65">
        <v>1</v>
      </c>
      <c r="L90" s="65">
        <v>2</v>
      </c>
      <c r="M90" s="65" t="s">
        <v>4634</v>
      </c>
      <c r="N90" s="88" t="s">
        <v>4734</v>
      </c>
      <c r="O90" s="88" t="s">
        <v>2787</v>
      </c>
      <c r="P90" s="65" t="s">
        <v>4519</v>
      </c>
      <c r="Q90" s="65">
        <v>5</v>
      </c>
      <c r="R90" s="65">
        <v>8</v>
      </c>
      <c r="S90" s="65" t="str">
        <f t="shared" si="3"/>
        <v>DA_bo_ra_gr_bl_f_g_c_fin_o_str</v>
      </c>
      <c r="T90" s="65" t="str">
        <f t="shared" si="4"/>
        <v>/Game/DungeonSiege/Items/Armor/Boot/DA_bo_ra_gr_bl_f_g_c_fin_o_str</v>
      </c>
      <c r="U90" s="65" t="str">
        <f t="shared" si="5"/>
        <v>Texture2D'/Game/DungeonSiege/art/bitmaps/gui/in_game/inventory/armor/boot/b_gui_ig_i_a_boot_093.b_gui_ig_i_a_boot_093'</v>
      </c>
      <c r="V90" s="65" t="s">
        <v>4745</v>
      </c>
    </row>
    <row r="91" spans="1:22" ht="15.75" thickBot="1" x14ac:dyDescent="0.3">
      <c r="A91" s="65">
        <v>89</v>
      </c>
      <c r="B91" s="65">
        <f>HEX2DEC(A91+Items!$A$6)</f>
        <v>17825929</v>
      </c>
      <c r="C91" s="65" t="s">
        <v>4538</v>
      </c>
      <c r="D91" s="65">
        <v>37</v>
      </c>
      <c r="E91" s="65" t="s">
        <v>2384</v>
      </c>
      <c r="F91" s="65">
        <v>44</v>
      </c>
      <c r="G91" s="65">
        <v>0</v>
      </c>
      <c r="H91" s="65">
        <v>0</v>
      </c>
      <c r="I91" s="65">
        <v>1</v>
      </c>
      <c r="J91" s="65">
        <v>1</v>
      </c>
      <c r="K91" s="65">
        <v>1</v>
      </c>
      <c r="L91" s="65">
        <v>2</v>
      </c>
      <c r="M91" s="65" t="s">
        <v>4635</v>
      </c>
      <c r="N91" s="88" t="s">
        <v>4735</v>
      </c>
      <c r="O91" s="88" t="s">
        <v>2800</v>
      </c>
      <c r="P91" s="65" t="s">
        <v>4519</v>
      </c>
      <c r="Q91" s="65">
        <v>1</v>
      </c>
      <c r="R91" s="65">
        <v>7</v>
      </c>
      <c r="S91" s="65" t="str">
        <f t="shared" si="3"/>
        <v>DA_bo_ra_gr_fp_f_g_c_fin</v>
      </c>
      <c r="T91" s="65" t="str">
        <f t="shared" si="4"/>
        <v>/Game/DungeonSiege/Items/Armor/Boot/DA_bo_ra_gr_fp_f_g_c_fin</v>
      </c>
      <c r="U91" s="65" t="str">
        <f t="shared" si="5"/>
        <v>Texture2D'/Game/DungeonSiege/art/bitmaps/gui/in_game/inventory/armor/boot/b_gui_ig_i_a_boot_098.b_gui_ig_i_a_boot_098'</v>
      </c>
      <c r="V91" s="65" t="s">
        <v>4745</v>
      </c>
    </row>
    <row r="92" spans="1:22" ht="15.75" thickBot="1" x14ac:dyDescent="0.3">
      <c r="A92" s="65">
        <v>90</v>
      </c>
      <c r="B92" s="65">
        <f>HEX2DEC(A92+Items!$A$6)</f>
        <v>17825936</v>
      </c>
      <c r="C92" s="65" t="s">
        <v>4538</v>
      </c>
      <c r="D92" s="65">
        <v>52</v>
      </c>
      <c r="E92" s="65" t="s">
        <v>2384</v>
      </c>
      <c r="F92" s="65">
        <v>58</v>
      </c>
      <c r="G92" s="65">
        <v>0</v>
      </c>
      <c r="H92" s="65">
        <v>0</v>
      </c>
      <c r="I92" s="65">
        <v>1</v>
      </c>
      <c r="J92" s="65">
        <v>1</v>
      </c>
      <c r="K92" s="65">
        <v>1</v>
      </c>
      <c r="L92" s="65">
        <v>2</v>
      </c>
      <c r="M92" s="65" t="s">
        <v>4636</v>
      </c>
      <c r="N92" s="88" t="s">
        <v>4736</v>
      </c>
      <c r="O92" s="88" t="s">
        <v>2801</v>
      </c>
      <c r="P92" s="65" t="s">
        <v>4519</v>
      </c>
      <c r="Q92" s="65">
        <v>9</v>
      </c>
      <c r="R92" s="65">
        <v>16</v>
      </c>
      <c r="S92" s="65" t="str">
        <f t="shared" si="3"/>
        <v>DA_bo_ra_gr_fp_f_g_c_fin_c_str</v>
      </c>
      <c r="T92" s="65" t="str">
        <f t="shared" si="4"/>
        <v>/Game/DungeonSiege/Items/Armor/Boot/DA_bo_ra_gr_fp_f_g_c_fin_c_str</v>
      </c>
      <c r="U92" s="65" t="str">
        <f t="shared" si="5"/>
        <v>Texture2D'/Game/DungeonSiege/art/bitmaps/gui/in_game/inventory/armor/boot/b_gui_ig_i_a_boot_100.b_gui_ig_i_a_boot_100'</v>
      </c>
      <c r="V92" s="65" t="s">
        <v>4745</v>
      </c>
    </row>
    <row r="93" spans="1:22" ht="15.75" thickBot="1" x14ac:dyDescent="0.3">
      <c r="A93" s="65">
        <v>91</v>
      </c>
      <c r="B93" s="65">
        <f>HEX2DEC(A93+Items!$A$6)</f>
        <v>17825937</v>
      </c>
      <c r="C93" s="65" t="s">
        <v>4538</v>
      </c>
      <c r="D93" s="65">
        <v>46</v>
      </c>
      <c r="E93" s="65" t="s">
        <v>2384</v>
      </c>
      <c r="F93" s="65">
        <v>53</v>
      </c>
      <c r="G93" s="65">
        <v>0</v>
      </c>
      <c r="H93" s="65">
        <v>0</v>
      </c>
      <c r="I93" s="65">
        <v>1</v>
      </c>
      <c r="J93" s="65">
        <v>1</v>
      </c>
      <c r="K93" s="65">
        <v>1</v>
      </c>
      <c r="L93" s="65">
        <v>2</v>
      </c>
      <c r="M93" s="65" t="s">
        <v>4637</v>
      </c>
      <c r="N93" s="88" t="s">
        <v>4737</v>
      </c>
      <c r="O93" s="88" t="s">
        <v>2803</v>
      </c>
      <c r="P93" s="65" t="s">
        <v>4519</v>
      </c>
      <c r="Q93" s="65">
        <v>6</v>
      </c>
      <c r="R93" s="65">
        <v>14</v>
      </c>
      <c r="S93" s="65" t="str">
        <f t="shared" si="3"/>
        <v>DA_bo_ra_gr_fp_f_g_c_fin_o_fin</v>
      </c>
      <c r="T93" s="65" t="str">
        <f t="shared" si="4"/>
        <v>/Game/DungeonSiege/Items/Armor/Boot/DA_bo_ra_gr_fp_f_g_c_fin_o_fin</v>
      </c>
      <c r="U93" s="65" t="str">
        <f t="shared" si="5"/>
        <v>Texture2D'/Game/DungeonSiege/art/bitmaps/gui/in_game/inventory/armor/boot/b_gui_ig_i_a_boot_099.b_gui_ig_i_a_boot_099'</v>
      </c>
      <c r="V93" s="65" t="s">
        <v>4745</v>
      </c>
    </row>
    <row r="94" spans="1:22" ht="15.75" thickBot="1" x14ac:dyDescent="0.3">
      <c r="A94" s="65">
        <v>92</v>
      </c>
      <c r="B94" s="65">
        <f>HEX2DEC(A94+Items!$A$6)</f>
        <v>17825938</v>
      </c>
      <c r="C94" s="65" t="s">
        <v>4538</v>
      </c>
      <c r="D94" s="65">
        <v>58</v>
      </c>
      <c r="E94" s="65" t="s">
        <v>2384</v>
      </c>
      <c r="F94" s="65">
        <v>64</v>
      </c>
      <c r="G94" s="65">
        <v>0</v>
      </c>
      <c r="H94" s="65">
        <v>0</v>
      </c>
      <c r="I94" s="65">
        <v>1</v>
      </c>
      <c r="J94" s="65">
        <v>1</v>
      </c>
      <c r="K94" s="65">
        <v>1</v>
      </c>
      <c r="L94" s="65">
        <v>2</v>
      </c>
      <c r="M94" s="65" t="s">
        <v>4638</v>
      </c>
      <c r="N94" s="88" t="s">
        <v>4738</v>
      </c>
      <c r="O94" s="88" t="s">
        <v>2805</v>
      </c>
      <c r="P94" s="65" t="s">
        <v>4519</v>
      </c>
      <c r="Q94" s="65">
        <v>12</v>
      </c>
      <c r="R94" s="65">
        <v>19</v>
      </c>
      <c r="S94" s="65" t="str">
        <f t="shared" si="3"/>
        <v>DA_bo_ra_gr_fp_f_g_c_fin_o_str</v>
      </c>
      <c r="T94" s="65" t="str">
        <f t="shared" si="4"/>
        <v>/Game/DungeonSiege/Items/Armor/Boot/DA_bo_ra_gr_fp_f_g_c_fin_o_str</v>
      </c>
      <c r="U94" s="65" t="str">
        <f t="shared" si="5"/>
        <v>Texture2D'/Game/DungeonSiege/art/bitmaps/gui/in_game/inventory/armor/boot/b_gui_ig_i_a_boot_101.b_gui_ig_i_a_boot_101'</v>
      </c>
      <c r="V94" s="65" t="s">
        <v>4745</v>
      </c>
    </row>
    <row r="95" spans="1:22" ht="15.75" thickBot="1" x14ac:dyDescent="0.3">
      <c r="A95" s="65">
        <v>93</v>
      </c>
      <c r="B95" s="65">
        <f>HEX2DEC(A95+Items!$A$6)</f>
        <v>17825939</v>
      </c>
      <c r="C95" s="65" t="s">
        <v>4539</v>
      </c>
      <c r="D95" s="65">
        <v>31</v>
      </c>
      <c r="E95" s="65" t="s">
        <v>2384</v>
      </c>
      <c r="F95" s="65">
        <v>25</v>
      </c>
      <c r="G95" s="65">
        <v>0</v>
      </c>
      <c r="H95" s="65">
        <v>0</v>
      </c>
      <c r="I95" s="65">
        <v>0</v>
      </c>
      <c r="J95" s="65">
        <v>1</v>
      </c>
      <c r="K95" s="65">
        <v>1</v>
      </c>
      <c r="L95" s="65">
        <v>2</v>
      </c>
      <c r="M95" s="65" t="s">
        <v>4639</v>
      </c>
      <c r="N95" s="88" t="s">
        <v>4739</v>
      </c>
      <c r="O95" s="88" t="s">
        <v>4505</v>
      </c>
      <c r="P95" s="65" t="s">
        <v>4519</v>
      </c>
      <c r="Q95" s="65">
        <v>6</v>
      </c>
      <c r="R95" s="65">
        <v>25</v>
      </c>
      <c r="S95" s="65" t="str">
        <f t="shared" si="3"/>
        <v>DA_bo_un_bo_br_f_bone</v>
      </c>
      <c r="T95" s="65" t="str">
        <f t="shared" si="4"/>
        <v>/Game/DungeonSiege/Items/Armor/Boot/DA_bo_un_bo_br_f_bone</v>
      </c>
      <c r="U95" s="65" t="str">
        <f t="shared" si="5"/>
        <v>Texture2D'/Game/DungeonSiege/art/bitmaps/gui/in_game/inventory/armor/boot/b_gui_ig_i_a_boot_073.b_gui_ig_i_a_boot_073'</v>
      </c>
      <c r="V95" s="65" t="s">
        <v>4745</v>
      </c>
    </row>
    <row r="96" spans="1:22" ht="15.75" thickBot="1" x14ac:dyDescent="0.3">
      <c r="A96" s="65">
        <v>94</v>
      </c>
      <c r="B96" s="65">
        <f>HEX2DEC(A96+Items!$A$6)</f>
        <v>17825940</v>
      </c>
      <c r="C96" s="65" t="s">
        <v>4540</v>
      </c>
      <c r="D96" s="65">
        <v>28</v>
      </c>
      <c r="E96" s="65" t="s">
        <v>2384</v>
      </c>
      <c r="F96" s="65">
        <v>23</v>
      </c>
      <c r="G96" s="65">
        <v>0</v>
      </c>
      <c r="H96" s="65">
        <v>0</v>
      </c>
      <c r="I96" s="65">
        <v>0</v>
      </c>
      <c r="J96" s="65">
        <v>1</v>
      </c>
      <c r="K96" s="65">
        <v>1</v>
      </c>
      <c r="L96" s="65">
        <v>2</v>
      </c>
      <c r="M96" s="65" t="s">
        <v>4640</v>
      </c>
      <c r="N96" s="88" t="s">
        <v>4740</v>
      </c>
      <c r="O96" s="88" t="s">
        <v>4504</v>
      </c>
      <c r="P96" s="65" t="s">
        <v>4519</v>
      </c>
      <c r="Q96" s="65">
        <v>4</v>
      </c>
      <c r="R96" s="65">
        <v>22</v>
      </c>
      <c r="S96" s="65" t="str">
        <f t="shared" si="3"/>
        <v>DA_bo_un_bo_br_f_spider</v>
      </c>
      <c r="T96" s="65" t="str">
        <f t="shared" si="4"/>
        <v>/Game/DungeonSiege/Items/Armor/Boot/DA_bo_un_bo_br_f_spider</v>
      </c>
      <c r="U96" s="65" t="str">
        <f t="shared" si="5"/>
        <v>Texture2D'/Game/DungeonSiege/art/bitmaps/gui/in_game/inventory/armor/boot/b_gui_ig_i_a_boot_074.b_gui_ig_i_a_boot_074'</v>
      </c>
      <c r="V96" s="65" t="s">
        <v>4745</v>
      </c>
    </row>
    <row r="97" spans="1:22" ht="15.75" thickBot="1" x14ac:dyDescent="0.3">
      <c r="A97" s="65">
        <v>95</v>
      </c>
      <c r="B97" s="65">
        <f>HEX2DEC(A97+Items!$A$6)</f>
        <v>17825941</v>
      </c>
      <c r="C97" s="65" t="s">
        <v>4541</v>
      </c>
      <c r="D97" s="65">
        <v>33</v>
      </c>
      <c r="E97" s="65" t="s">
        <v>2384</v>
      </c>
      <c r="F97" s="65">
        <v>30</v>
      </c>
      <c r="G97" s="65">
        <v>0</v>
      </c>
      <c r="H97" s="65">
        <v>0</v>
      </c>
      <c r="I97" s="65">
        <v>0</v>
      </c>
      <c r="J97" s="65">
        <v>1</v>
      </c>
      <c r="K97" s="65">
        <v>1</v>
      </c>
      <c r="L97" s="65">
        <v>2</v>
      </c>
      <c r="M97" s="65" t="s">
        <v>4641</v>
      </c>
      <c r="N97" s="88" t="s">
        <v>4741</v>
      </c>
      <c r="O97" s="88" t="s">
        <v>4501</v>
      </c>
      <c r="P97" s="65" t="s">
        <v>4519</v>
      </c>
      <c r="Q97" s="65">
        <v>8</v>
      </c>
      <c r="R97" s="65">
        <v>34</v>
      </c>
      <c r="S97" s="65" t="str">
        <f t="shared" si="3"/>
        <v>DA_bo_un_bo_ch_r_green</v>
      </c>
      <c r="T97" s="65" t="str">
        <f t="shared" si="4"/>
        <v>/Game/DungeonSiege/Items/Armor/Boot/DA_bo_un_bo_ch_r_green</v>
      </c>
      <c r="U97" s="65" t="str">
        <f t="shared" si="5"/>
        <v>Texture2D'/Game/DungeonSiege/art/bitmaps/gui/in_game/inventory/armor/boot/b_gui_ig_i_a_boot_071.b_gui_ig_i_a_boot_071'</v>
      </c>
      <c r="V97" s="65" t="s">
        <v>4745</v>
      </c>
    </row>
    <row r="98" spans="1:22" ht="15.75" thickBot="1" x14ac:dyDescent="0.3">
      <c r="A98" s="65">
        <v>96</v>
      </c>
      <c r="B98" s="65">
        <f>HEX2DEC(A98+Items!$A$6)</f>
        <v>17825942</v>
      </c>
      <c r="C98" s="65" t="s">
        <v>4542</v>
      </c>
      <c r="D98" s="65">
        <v>37</v>
      </c>
      <c r="E98" s="65" t="s">
        <v>2384</v>
      </c>
      <c r="F98" s="65">
        <v>30</v>
      </c>
      <c r="G98" s="65">
        <v>0</v>
      </c>
      <c r="H98" s="65">
        <v>0</v>
      </c>
      <c r="I98" s="65">
        <v>0</v>
      </c>
      <c r="J98" s="65">
        <v>1</v>
      </c>
      <c r="K98" s="65">
        <v>1</v>
      </c>
      <c r="L98" s="65">
        <v>2</v>
      </c>
      <c r="M98" s="65" t="s">
        <v>4642</v>
      </c>
      <c r="N98" s="88" t="s">
        <v>4742</v>
      </c>
      <c r="O98" s="88" t="s">
        <v>4503</v>
      </c>
      <c r="P98" s="65" t="s">
        <v>4519</v>
      </c>
      <c r="Q98" s="65">
        <v>9</v>
      </c>
      <c r="R98" s="65">
        <v>36</v>
      </c>
      <c r="S98" s="65" t="str">
        <f t="shared" si="3"/>
        <v>DA_bo_un_bo_pl_f_crytstal</v>
      </c>
      <c r="T98" s="65" t="str">
        <f t="shared" si="4"/>
        <v>/Game/DungeonSiege/Items/Armor/Boot/DA_bo_un_bo_pl_f_crytstal</v>
      </c>
      <c r="U98" s="65" t="str">
        <f t="shared" si="5"/>
        <v>Texture2D'/Game/DungeonSiege/art/bitmaps/gui/in_game/inventory/armor/boot/b_gui_ig_i_a_boot_072.b_gui_ig_i_a_boot_072'</v>
      </c>
      <c r="V98" s="65" t="s">
        <v>4745</v>
      </c>
    </row>
    <row r="99" spans="1:22" ht="15.75" thickBot="1" x14ac:dyDescent="0.3">
      <c r="A99" s="65">
        <v>97</v>
      </c>
      <c r="B99" s="65">
        <f>HEX2DEC(A99+Items!$A$6)</f>
        <v>17825943</v>
      </c>
      <c r="C99" s="65" t="s">
        <v>4543</v>
      </c>
      <c r="D99" s="65">
        <v>57</v>
      </c>
      <c r="E99" s="65" t="s">
        <v>2384</v>
      </c>
      <c r="F99" s="65">
        <v>52</v>
      </c>
      <c r="G99" s="65">
        <v>0</v>
      </c>
      <c r="H99" s="65">
        <v>0</v>
      </c>
      <c r="I99" s="65">
        <v>0</v>
      </c>
      <c r="J99" s="65">
        <v>1</v>
      </c>
      <c r="K99" s="65">
        <v>1</v>
      </c>
      <c r="L99" s="65">
        <v>2</v>
      </c>
      <c r="M99" s="65" t="s">
        <v>4643</v>
      </c>
      <c r="N99" s="88" t="s">
        <v>4743</v>
      </c>
      <c r="O99" s="88" t="s">
        <v>4500</v>
      </c>
      <c r="P99" s="65" t="s">
        <v>4519</v>
      </c>
      <c r="Q99" s="65">
        <v>5</v>
      </c>
      <c r="R99" s="65">
        <v>42</v>
      </c>
      <c r="S99" s="65" t="str">
        <f t="shared" si="3"/>
        <v>DA_bo_un_bo_ro_m_molten</v>
      </c>
      <c r="T99" s="65" t="str">
        <f t="shared" si="4"/>
        <v>/Game/DungeonSiege/Items/Armor/Boot/DA_bo_un_bo_ro_m_molten</v>
      </c>
      <c r="U99" s="65" t="str">
        <f t="shared" si="5"/>
        <v>Texture2D'/Game/DungeonSiege/art/bitmaps/gui/in_game/inventory/armor/boot/b_gui_ig_i_a_boot_069.b_gui_ig_i_a_boot_069'</v>
      </c>
      <c r="V99" s="65" t="s">
        <v>4745</v>
      </c>
    </row>
    <row r="100" spans="1:22" ht="15.75" thickBot="1" x14ac:dyDescent="0.3">
      <c r="A100" s="65">
        <v>98</v>
      </c>
      <c r="B100" s="65">
        <f>HEX2DEC(A100+Items!$A$6)</f>
        <v>17825944</v>
      </c>
      <c r="C100" s="65" t="s">
        <v>4544</v>
      </c>
      <c r="D100" s="65">
        <v>50</v>
      </c>
      <c r="E100" s="65" t="s">
        <v>2384</v>
      </c>
      <c r="F100" s="65">
        <v>45</v>
      </c>
      <c r="G100" s="65">
        <v>0</v>
      </c>
      <c r="H100" s="65">
        <v>0</v>
      </c>
      <c r="I100" s="65">
        <v>0</v>
      </c>
      <c r="J100" s="65">
        <v>1</v>
      </c>
      <c r="K100" s="65">
        <v>1</v>
      </c>
      <c r="L100" s="65">
        <v>2</v>
      </c>
      <c r="M100" s="65" t="s">
        <v>4644</v>
      </c>
      <c r="N100" s="88" t="s">
        <v>4744</v>
      </c>
      <c r="O100" s="88" t="s">
        <v>4506</v>
      </c>
      <c r="P100" s="65" t="s">
        <v>4519</v>
      </c>
      <c r="Q100" s="65">
        <v>12</v>
      </c>
      <c r="R100" s="65">
        <v>40</v>
      </c>
      <c r="S100" s="65" t="str">
        <f t="shared" si="3"/>
        <v>DA_bo_un_bo_sc_f_dragon</v>
      </c>
      <c r="T100" s="65" t="str">
        <f t="shared" si="4"/>
        <v>/Game/DungeonSiege/Items/Armor/Boot/DA_bo_un_bo_sc_f_dragon</v>
      </c>
      <c r="U100" s="65" t="str">
        <f t="shared" si="5"/>
        <v>Texture2D'/Game/DungeonSiege/art/bitmaps/gui/in_game/inventory/armor/boot/b_gui_ig_i_a_boot_075.b_gui_ig_i_a_boot_075'</v>
      </c>
      <c r="V100" s="65" t="s">
        <v>4745</v>
      </c>
    </row>
    <row r="101" spans="1:22" ht="15.75" thickBot="1" x14ac:dyDescent="0.3">
      <c r="A101" s="65">
        <v>99</v>
      </c>
      <c r="B101" s="65">
        <f>HEX2DEC(A101+Items!$A$6)</f>
        <v>17825945</v>
      </c>
      <c r="C101" s="65" t="s">
        <v>4545</v>
      </c>
      <c r="D101" s="65">
        <v>4</v>
      </c>
      <c r="E101" s="65"/>
      <c r="F101" s="65"/>
      <c r="G101" s="65">
        <v>0</v>
      </c>
      <c r="H101" s="65">
        <v>0</v>
      </c>
      <c r="I101" s="65">
        <v>0</v>
      </c>
      <c r="J101" s="65">
        <v>1</v>
      </c>
      <c r="K101" s="65">
        <v>1</v>
      </c>
      <c r="L101" s="65">
        <v>2</v>
      </c>
      <c r="M101" s="65" t="s">
        <v>4645</v>
      </c>
      <c r="N101" s="88" t="s">
        <v>4650</v>
      </c>
      <c r="O101" s="88" t="s">
        <v>4502</v>
      </c>
      <c r="P101" s="65" t="s">
        <v>4519</v>
      </c>
      <c r="Q101" s="65">
        <v>3</v>
      </c>
      <c r="R101" s="65">
        <v>20</v>
      </c>
      <c r="S101" s="65" t="str">
        <f t="shared" si="3"/>
        <v>DA_bo_un_bo_sl_f_barbarian</v>
      </c>
      <c r="T101" s="65" t="str">
        <f t="shared" si="4"/>
        <v>/Game/DungeonSiege/Items/Armor/Boot/DA_bo_un_bo_sl_f_barbarian</v>
      </c>
      <c r="U101" s="65" t="str">
        <f t="shared" si="5"/>
        <v>Texture2D'/Game/DungeonSiege/art/bitmaps/gui/in_game/inventory/armor/boot/b_gui_ig_i_a_boot_070.b_gui_ig_i_a_boot_070'</v>
      </c>
      <c r="V101" s="65" t="s">
        <v>4745</v>
      </c>
    </row>
  </sheetData>
  <phoneticPr fontId="2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ExportBoots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1085850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84F69-7DEA-45C8-80CA-5A6FA31E68D1}">
  <sheetPr codeName="Sheet13"/>
  <dimension ref="A1:V129"/>
  <sheetViews>
    <sheetView zoomScale="175" zoomScaleNormal="175" workbookViewId="0">
      <selection activeCell="C8" sqref="C8"/>
    </sheetView>
  </sheetViews>
  <sheetFormatPr defaultRowHeight="15" x14ac:dyDescent="0.25"/>
  <cols>
    <col min="1" max="1" width="15.140625" customWidth="1"/>
    <col min="2" max="2" width="8.7109375" bestFit="1" customWidth="1"/>
    <col min="3" max="3" width="24" bestFit="1" customWidth="1"/>
    <col min="5" max="5" width="9" bestFit="1" customWidth="1"/>
    <col min="6" max="6" width="8.7109375" bestFit="1" customWidth="1"/>
    <col min="7" max="7" width="8.140625" bestFit="1" customWidth="1"/>
    <col min="8" max="8" width="11.7109375" customWidth="1"/>
    <col min="11" max="12" width="9.140625" style="23"/>
    <col min="13" max="13" width="25.5703125" bestFit="1" customWidth="1"/>
    <col min="14" max="16" width="25.5703125" style="23" customWidth="1"/>
    <col min="17" max="17" width="15.85546875" customWidth="1"/>
    <col min="18" max="18" width="16.85546875" customWidth="1"/>
    <col min="19" max="19" width="18.7109375" customWidth="1"/>
    <col min="20" max="20" width="45.28515625" bestFit="1" customWidth="1"/>
    <col min="21" max="21" width="82.140625" bestFit="1" customWidth="1"/>
    <col min="22" max="22" width="64.85546875" bestFit="1" customWidth="1"/>
  </cols>
  <sheetData>
    <row r="1" spans="1:22" ht="34.5" thickBot="1" x14ac:dyDescent="0.3">
      <c r="A1" s="69"/>
      <c r="B1" s="30" t="s">
        <v>28</v>
      </c>
      <c r="C1" s="30" t="s">
        <v>2912</v>
      </c>
      <c r="D1" s="30" t="s">
        <v>2916</v>
      </c>
      <c r="E1" s="30" t="s">
        <v>2906</v>
      </c>
      <c r="F1" s="30" t="s">
        <v>2907</v>
      </c>
      <c r="G1" s="30" t="s">
        <v>2908</v>
      </c>
      <c r="H1" s="30" t="s">
        <v>2909</v>
      </c>
      <c r="I1" s="30" t="s">
        <v>2910</v>
      </c>
      <c r="J1" s="30" t="s">
        <v>2911</v>
      </c>
      <c r="K1" s="67" t="s">
        <v>2502</v>
      </c>
      <c r="L1" s="67" t="s">
        <v>2501</v>
      </c>
      <c r="M1" s="30" t="s">
        <v>2495</v>
      </c>
      <c r="N1" s="30" t="s">
        <v>2496</v>
      </c>
      <c r="O1" s="68" t="s">
        <v>2497</v>
      </c>
      <c r="P1" s="30" t="s">
        <v>2498</v>
      </c>
      <c r="Q1" s="67" t="s">
        <v>2913</v>
      </c>
      <c r="R1" s="67" t="s">
        <v>2914</v>
      </c>
      <c r="S1" s="67" t="s">
        <v>335</v>
      </c>
      <c r="T1" s="67" t="s">
        <v>334</v>
      </c>
      <c r="U1" s="67" t="s">
        <v>671</v>
      </c>
      <c r="V1" s="67" t="s">
        <v>3059</v>
      </c>
    </row>
    <row r="2" spans="1:22" ht="15.75" thickBot="1" x14ac:dyDescent="0.3">
      <c r="A2" s="65">
        <v>0</v>
      </c>
      <c r="B2" s="65">
        <f>HEX2DEC(A2+Items!$A$7)</f>
        <v>18874368</v>
      </c>
      <c r="C2" s="65" t="s">
        <v>4200</v>
      </c>
      <c r="D2" s="65">
        <v>23</v>
      </c>
      <c r="E2" s="65" t="s">
        <v>2384</v>
      </c>
      <c r="F2" s="65">
        <v>36</v>
      </c>
      <c r="G2" s="65">
        <v>1</v>
      </c>
      <c r="H2" s="65"/>
      <c r="I2" s="65">
        <v>0</v>
      </c>
      <c r="J2" s="65">
        <v>0</v>
      </c>
      <c r="K2" s="65">
        <v>1</v>
      </c>
      <c r="L2" s="65">
        <v>2</v>
      </c>
      <c r="M2" s="65" t="s">
        <v>4227</v>
      </c>
      <c r="N2" s="65" t="s">
        <v>4355</v>
      </c>
      <c r="O2" s="70" t="s">
        <v>2513</v>
      </c>
      <c r="P2" s="69" t="s">
        <v>4519</v>
      </c>
      <c r="Q2" s="65"/>
      <c r="R2" s="65"/>
      <c r="S2" s="65" t="str">
        <f xml:space="preserve"> CONCATENATE("DA_",SUBSTITUTE(M2,":","_"))</f>
        <v>DA_gl_ga_ba_f_g_c_avg</v>
      </c>
      <c r="T2" s="65" t="str">
        <f>"/Game/DungeonSiege/Items/Armor/Glove/" &amp; S2</f>
        <v>/Game/DungeonSiege/Items/Armor/Glove/DA_gl_ga_ba_f_g_c_avg</v>
      </c>
      <c r="U2" s="65" t="str">
        <f>CONCATENATE("Texture2D'/Game/DungeonSiege/art/bitmaps/gui/in_game/inventory/armor/gauntlet/",N2,".",N2,"'")</f>
        <v>Texture2D'/Game/DungeonSiege/art/bitmaps/gui/in_game/inventory/armor/gauntlet/b_gui_ig_i_a_gntl_011.b_gui_ig_i_a_gntl_011'</v>
      </c>
      <c r="V2" s="65" t="s">
        <v>4479</v>
      </c>
    </row>
    <row r="3" spans="1:22" ht="15.75" thickBot="1" x14ac:dyDescent="0.3">
      <c r="A3" s="65">
        <v>1</v>
      </c>
      <c r="B3" s="65">
        <f>HEX2DEC(A3+Items!$A$7)</f>
        <v>18874369</v>
      </c>
      <c r="C3" s="65" t="s">
        <v>4200</v>
      </c>
      <c r="D3" s="65">
        <v>24</v>
      </c>
      <c r="E3" s="65" t="s">
        <v>2384</v>
      </c>
      <c r="F3" s="65">
        <v>37</v>
      </c>
      <c r="G3" s="65">
        <v>0</v>
      </c>
      <c r="H3" s="65">
        <v>1</v>
      </c>
      <c r="I3" s="65">
        <v>0</v>
      </c>
      <c r="J3" s="65">
        <v>0</v>
      </c>
      <c r="K3" s="65">
        <v>1</v>
      </c>
      <c r="L3" s="65">
        <v>2</v>
      </c>
      <c r="M3" s="65" t="s">
        <v>4228</v>
      </c>
      <c r="N3" s="65" t="s">
        <v>4356</v>
      </c>
      <c r="O3" s="70" t="s">
        <v>4480</v>
      </c>
      <c r="P3" s="69" t="s">
        <v>4519</v>
      </c>
      <c r="Q3" s="65">
        <v>2</v>
      </c>
      <c r="R3" s="65">
        <v>5</v>
      </c>
      <c r="S3" s="65" t="str">
        <f t="shared" ref="S3:S66" si="0" xml:space="preserve"> CONCATENATE("DA_",SUBSTITUTE(M3,":","_"))</f>
        <v>DA_gl_ga_ba_f_g_c_avg_c_fin</v>
      </c>
      <c r="T3" s="65" t="str">
        <f t="shared" ref="T3:T66" si="1">"/Game/DungeonSiege/Items/Armor/Glove/" &amp; S3</f>
        <v>/Game/DungeonSiege/Items/Armor/Glove/DA_gl_ga_ba_f_g_c_avg_c_fin</v>
      </c>
      <c r="U3" s="65" t="str">
        <f t="shared" ref="U3:U66" si="2">CONCATENATE("Texture2D'/Game/DungeonSiege/art/bitmaps/gui/in_game/inventory/armor/gauntlet/",N3,".",N3,"'")</f>
        <v>Texture2D'/Game/DungeonSiege/art/bitmaps/gui/in_game/inventory/armor/gauntlet/b_gui_ig_i_a_gntl_086.b_gui_ig_i_a_gntl_086'</v>
      </c>
      <c r="V3" s="65" t="s">
        <v>4479</v>
      </c>
    </row>
    <row r="4" spans="1:22" ht="15.75" thickBot="1" x14ac:dyDescent="0.3">
      <c r="A4" s="65">
        <v>2</v>
      </c>
      <c r="B4" s="65">
        <f>HEX2DEC(A4+Items!$A$7)</f>
        <v>18874370</v>
      </c>
      <c r="C4" s="65" t="s">
        <v>4200</v>
      </c>
      <c r="D4" s="65">
        <v>43</v>
      </c>
      <c r="E4" s="65" t="s">
        <v>2384</v>
      </c>
      <c r="F4" s="65">
        <v>58</v>
      </c>
      <c r="G4" s="65">
        <v>0</v>
      </c>
      <c r="H4" s="65">
        <v>1</v>
      </c>
      <c r="I4" s="65">
        <v>0</v>
      </c>
      <c r="J4" s="65">
        <v>0</v>
      </c>
      <c r="K4" s="65">
        <v>1</v>
      </c>
      <c r="L4" s="65">
        <v>2</v>
      </c>
      <c r="M4" s="65" t="s">
        <v>4229</v>
      </c>
      <c r="N4" s="65" t="s">
        <v>4383</v>
      </c>
      <c r="O4" s="70" t="s">
        <v>4481</v>
      </c>
      <c r="P4" s="69" t="s">
        <v>4519</v>
      </c>
      <c r="Q4" s="65">
        <v>12</v>
      </c>
      <c r="R4" s="65">
        <v>16</v>
      </c>
      <c r="S4" s="65" t="str">
        <f t="shared" si="0"/>
        <v>DA_gl_ga_ba_f_g_c_avg_c_mag</v>
      </c>
      <c r="T4" s="65" t="str">
        <f t="shared" si="1"/>
        <v>/Game/DungeonSiege/Items/Armor/Glove/DA_gl_ga_ba_f_g_c_avg_c_mag</v>
      </c>
      <c r="U4" s="65" t="str">
        <f t="shared" si="2"/>
        <v>Texture2D'/Game/DungeonSiege/art/bitmaps/gui/in_game/inventory/armor/gauntlet/b_gui_ig_i_a_gntl_088.b_gui_ig_i_a_gntl_088'</v>
      </c>
      <c r="V4" s="65" t="s">
        <v>4479</v>
      </c>
    </row>
    <row r="5" spans="1:22" ht="15.75" thickBot="1" x14ac:dyDescent="0.3">
      <c r="A5" s="65">
        <v>3</v>
      </c>
      <c r="B5" s="65">
        <f>HEX2DEC(A5+Items!$A$7)</f>
        <v>18874371</v>
      </c>
      <c r="C5" s="65" t="s">
        <v>4200</v>
      </c>
      <c r="D5" s="65">
        <v>33</v>
      </c>
      <c r="E5" s="65" t="s">
        <v>2384</v>
      </c>
      <c r="F5" s="65">
        <v>47</v>
      </c>
      <c r="G5" s="65">
        <v>0</v>
      </c>
      <c r="H5" s="65">
        <v>1</v>
      </c>
      <c r="I5" s="65">
        <v>0</v>
      </c>
      <c r="J5" s="65">
        <v>0</v>
      </c>
      <c r="K5" s="65">
        <v>1</v>
      </c>
      <c r="L5" s="65">
        <v>2</v>
      </c>
      <c r="M5" s="65" t="s">
        <v>4230</v>
      </c>
      <c r="N5" s="65" t="s">
        <v>4384</v>
      </c>
      <c r="O5" s="70" t="s">
        <v>4482</v>
      </c>
      <c r="P5" s="69" t="s">
        <v>4519</v>
      </c>
      <c r="Q5" s="65">
        <v>7</v>
      </c>
      <c r="R5" s="65">
        <v>13</v>
      </c>
      <c r="S5" s="65" t="str">
        <f t="shared" si="0"/>
        <v>DA_gl_ga_ba_f_g_c_avg_c_str</v>
      </c>
      <c r="T5" s="65" t="str">
        <f t="shared" si="1"/>
        <v>/Game/DungeonSiege/Items/Armor/Glove/DA_gl_ga_ba_f_g_c_avg_c_str</v>
      </c>
      <c r="U5" s="65" t="str">
        <f t="shared" si="2"/>
        <v>Texture2D'/Game/DungeonSiege/art/bitmaps/gui/in_game/inventory/armor/gauntlet/b_gui_ig_i_a_gntl_087.b_gui_ig_i_a_gntl_087'</v>
      </c>
      <c r="V5" s="65" t="s">
        <v>4479</v>
      </c>
    </row>
    <row r="6" spans="1:22" ht="15.75" thickBot="1" x14ac:dyDescent="0.3">
      <c r="A6" s="65">
        <v>4</v>
      </c>
      <c r="B6" s="65">
        <f>HEX2DEC(A6+Items!$A$7)</f>
        <v>18874372</v>
      </c>
      <c r="C6" s="65" t="s">
        <v>4200</v>
      </c>
      <c r="D6" s="65">
        <v>27</v>
      </c>
      <c r="E6" s="65" t="s">
        <v>2384</v>
      </c>
      <c r="F6" s="65">
        <v>40</v>
      </c>
      <c r="G6" s="65">
        <v>0</v>
      </c>
      <c r="H6" s="65">
        <v>1</v>
      </c>
      <c r="I6" s="65">
        <v>0</v>
      </c>
      <c r="J6" s="65">
        <v>0</v>
      </c>
      <c r="K6" s="65">
        <v>1</v>
      </c>
      <c r="L6" s="65">
        <v>2</v>
      </c>
      <c r="M6" s="65" t="s">
        <v>4231</v>
      </c>
      <c r="N6" s="65" t="s">
        <v>4385</v>
      </c>
      <c r="O6" s="70" t="s">
        <v>4483</v>
      </c>
      <c r="P6" s="69" t="s">
        <v>4519</v>
      </c>
      <c r="Q6" s="65">
        <v>2</v>
      </c>
      <c r="R6" s="65">
        <v>7</v>
      </c>
      <c r="S6" s="65" t="str">
        <f t="shared" si="0"/>
        <v>DA_gl_ga_ba_f_g_c_avg_o_avg</v>
      </c>
      <c r="T6" s="65" t="str">
        <f t="shared" si="1"/>
        <v>/Game/DungeonSiege/Items/Armor/Glove/DA_gl_ga_ba_f_g_c_avg_o_avg</v>
      </c>
      <c r="U6" s="65" t="str">
        <f t="shared" si="2"/>
        <v>Texture2D'/Game/DungeonSiege/art/bitmaps/gui/in_game/inventory/armor/gauntlet/b_gui_ig_i_a_gntl_089.b_gui_ig_i_a_gntl_089'</v>
      </c>
      <c r="V6" s="65" t="s">
        <v>4479</v>
      </c>
    </row>
    <row r="7" spans="1:22" ht="15.75" thickBot="1" x14ac:dyDescent="0.3">
      <c r="A7" s="65">
        <v>5</v>
      </c>
      <c r="B7" s="65">
        <f>HEX2DEC(A7+Items!$A$7)</f>
        <v>18874373</v>
      </c>
      <c r="C7" s="65" t="s">
        <v>4200</v>
      </c>
      <c r="D7" s="65">
        <v>29</v>
      </c>
      <c r="E7" s="65" t="s">
        <v>2384</v>
      </c>
      <c r="F7" s="65">
        <v>43</v>
      </c>
      <c r="G7" s="65">
        <v>0</v>
      </c>
      <c r="H7" s="65">
        <v>1</v>
      </c>
      <c r="I7" s="65">
        <v>0</v>
      </c>
      <c r="J7" s="65">
        <v>0</v>
      </c>
      <c r="K7" s="65">
        <v>1</v>
      </c>
      <c r="L7" s="65">
        <v>2</v>
      </c>
      <c r="M7" s="65" t="s">
        <v>4232</v>
      </c>
      <c r="N7" s="65" t="s">
        <v>4386</v>
      </c>
      <c r="O7" s="70" t="s">
        <v>4484</v>
      </c>
      <c r="P7" s="69" t="s">
        <v>4519</v>
      </c>
      <c r="Q7" s="65">
        <v>5</v>
      </c>
      <c r="R7" s="65">
        <v>11</v>
      </c>
      <c r="S7" s="65" t="str">
        <f t="shared" si="0"/>
        <v>DA_gl_ga_ba_f_g_c_avg_o_fin</v>
      </c>
      <c r="T7" s="65" t="str">
        <f t="shared" si="1"/>
        <v>/Game/DungeonSiege/Items/Armor/Glove/DA_gl_ga_ba_f_g_c_avg_o_fin</v>
      </c>
      <c r="U7" s="65" t="str">
        <f t="shared" si="2"/>
        <v>Texture2D'/Game/DungeonSiege/art/bitmaps/gui/in_game/inventory/armor/gauntlet/b_gui_ig_i_a_gntl_090.b_gui_ig_i_a_gntl_090'</v>
      </c>
      <c r="V7" s="65" t="s">
        <v>4479</v>
      </c>
    </row>
    <row r="8" spans="1:22" ht="15.75" thickBot="1" x14ac:dyDescent="0.3">
      <c r="A8" s="65">
        <v>6</v>
      </c>
      <c r="B8" s="65">
        <f>HEX2DEC(A8+Items!$A$7)</f>
        <v>18874374</v>
      </c>
      <c r="C8" s="65" t="s">
        <v>4200</v>
      </c>
      <c r="D8" s="65">
        <v>48</v>
      </c>
      <c r="E8" s="65" t="s">
        <v>2384</v>
      </c>
      <c r="F8" s="65">
        <v>63</v>
      </c>
      <c r="G8" s="65">
        <v>0</v>
      </c>
      <c r="H8" s="65">
        <v>1</v>
      </c>
      <c r="I8" s="65">
        <v>0</v>
      </c>
      <c r="J8" s="65">
        <v>0</v>
      </c>
      <c r="K8" s="65">
        <v>1</v>
      </c>
      <c r="L8" s="65">
        <v>2</v>
      </c>
      <c r="M8" s="65" t="s">
        <v>4233</v>
      </c>
      <c r="N8" s="65" t="s">
        <v>4387</v>
      </c>
      <c r="O8" s="70" t="s">
        <v>4485</v>
      </c>
      <c r="P8" s="69" t="s">
        <v>4519</v>
      </c>
      <c r="Q8" s="65">
        <v>14</v>
      </c>
      <c r="R8" s="65">
        <v>19</v>
      </c>
      <c r="S8" s="65" t="str">
        <f t="shared" si="0"/>
        <v>DA_gl_ga_ba_f_g_c_avg_o_mag</v>
      </c>
      <c r="T8" s="65" t="str">
        <f t="shared" si="1"/>
        <v>/Game/DungeonSiege/Items/Armor/Glove/DA_gl_ga_ba_f_g_c_avg_o_mag</v>
      </c>
      <c r="U8" s="65" t="str">
        <f t="shared" si="2"/>
        <v>Texture2D'/Game/DungeonSiege/art/bitmaps/gui/in_game/inventory/armor/gauntlet/b_gui_ig_i_a_gntl_092.b_gui_ig_i_a_gntl_092'</v>
      </c>
      <c r="V8" s="65" t="s">
        <v>4479</v>
      </c>
    </row>
    <row r="9" spans="1:22" ht="15.75" thickBot="1" x14ac:dyDescent="0.3">
      <c r="A9" s="65">
        <v>7</v>
      </c>
      <c r="B9" s="65">
        <f>HEX2DEC(A9+Items!$A$7)</f>
        <v>18874375</v>
      </c>
      <c r="C9" s="65" t="s">
        <v>4200</v>
      </c>
      <c r="D9" s="65">
        <v>38</v>
      </c>
      <c r="E9" s="65" t="s">
        <v>2384</v>
      </c>
      <c r="F9" s="65">
        <v>52</v>
      </c>
      <c r="G9" s="65">
        <v>0</v>
      </c>
      <c r="H9" s="65">
        <v>1</v>
      </c>
      <c r="I9" s="65">
        <v>0</v>
      </c>
      <c r="J9" s="65">
        <v>0</v>
      </c>
      <c r="K9" s="65">
        <v>1</v>
      </c>
      <c r="L9" s="65">
        <v>2</v>
      </c>
      <c r="M9" s="65" t="s">
        <v>4234</v>
      </c>
      <c r="N9" s="65" t="s">
        <v>4388</v>
      </c>
      <c r="O9" s="70" t="s">
        <v>4486</v>
      </c>
      <c r="P9" s="69" t="s">
        <v>4519</v>
      </c>
      <c r="Q9" s="65">
        <v>10</v>
      </c>
      <c r="R9" s="65">
        <v>15</v>
      </c>
      <c r="S9" s="65" t="str">
        <f t="shared" si="0"/>
        <v>DA_gl_ga_ba_f_g_c_avg_o_str</v>
      </c>
      <c r="T9" s="65" t="str">
        <f t="shared" si="1"/>
        <v>/Game/DungeonSiege/Items/Armor/Glove/DA_gl_ga_ba_f_g_c_avg_o_str</v>
      </c>
      <c r="U9" s="65" t="str">
        <f t="shared" si="2"/>
        <v>Texture2D'/Game/DungeonSiege/art/bitmaps/gui/in_game/inventory/armor/gauntlet/b_gui_ig_i_a_gntl_091.b_gui_ig_i_a_gntl_091'</v>
      </c>
      <c r="V9" s="65" t="s">
        <v>4479</v>
      </c>
    </row>
    <row r="10" spans="1:22" ht="15.75" thickBot="1" x14ac:dyDescent="0.3">
      <c r="A10" s="65">
        <v>8</v>
      </c>
      <c r="B10" s="65">
        <f>HEX2DEC(A10+Items!$A$7)</f>
        <v>18874376</v>
      </c>
      <c r="C10" s="65" t="s">
        <v>4201</v>
      </c>
      <c r="D10" s="65">
        <v>9</v>
      </c>
      <c r="E10" s="65" t="s">
        <v>2384</v>
      </c>
      <c r="F10" s="65">
        <v>20</v>
      </c>
      <c r="G10" s="65">
        <v>1</v>
      </c>
      <c r="H10" s="65">
        <v>0</v>
      </c>
      <c r="I10" s="65">
        <v>0</v>
      </c>
      <c r="J10" s="65">
        <v>0</v>
      </c>
      <c r="K10" s="65">
        <v>1</v>
      </c>
      <c r="L10" s="65">
        <v>2</v>
      </c>
      <c r="M10" s="65" t="s">
        <v>4235</v>
      </c>
      <c r="N10" s="65" t="s">
        <v>4389</v>
      </c>
      <c r="O10" s="70" t="s">
        <v>2787</v>
      </c>
      <c r="P10" s="69" t="s">
        <v>4519</v>
      </c>
      <c r="Q10" s="65"/>
      <c r="R10" s="65"/>
      <c r="S10" s="65" t="str">
        <f t="shared" si="0"/>
        <v>DA_gl_ga_bl_f_g_c_avg</v>
      </c>
      <c r="T10" s="65" t="str">
        <f t="shared" si="1"/>
        <v>/Game/DungeonSiege/Items/Armor/Glove/DA_gl_ga_bl_f_g_c_avg</v>
      </c>
      <c r="U10" s="65" t="str">
        <f t="shared" si="2"/>
        <v>Texture2D'/Game/DungeonSiege/art/bitmaps/gui/in_game/inventory/armor/gauntlet/b_gui_ig_i_a_gntl_024.b_gui_ig_i_a_gntl_024'</v>
      </c>
      <c r="V10" s="65" t="s">
        <v>4479</v>
      </c>
    </row>
    <row r="11" spans="1:22" ht="15.75" thickBot="1" x14ac:dyDescent="0.3">
      <c r="A11" s="65">
        <v>9</v>
      </c>
      <c r="B11" s="65">
        <f>HEX2DEC(A11+Items!$A$7)</f>
        <v>18874377</v>
      </c>
      <c r="C11" s="65" t="s">
        <v>4201</v>
      </c>
      <c r="D11" s="65">
        <v>11</v>
      </c>
      <c r="E11" s="65" t="s">
        <v>2384</v>
      </c>
      <c r="F11" s="65">
        <v>22</v>
      </c>
      <c r="G11" s="65">
        <v>0</v>
      </c>
      <c r="H11" s="65">
        <v>1</v>
      </c>
      <c r="I11" s="65">
        <v>0</v>
      </c>
      <c r="J11" s="65">
        <v>0</v>
      </c>
      <c r="K11" s="65">
        <v>1</v>
      </c>
      <c r="L11" s="65">
        <v>2</v>
      </c>
      <c r="M11" s="65" t="s">
        <v>4236</v>
      </c>
      <c r="N11" s="65" t="s">
        <v>4390</v>
      </c>
      <c r="O11" s="70" t="s">
        <v>2788</v>
      </c>
      <c r="P11" s="69" t="s">
        <v>4519</v>
      </c>
      <c r="Q11" s="65">
        <v>1</v>
      </c>
      <c r="R11" s="65">
        <v>2</v>
      </c>
      <c r="S11" s="65" t="str">
        <f t="shared" si="0"/>
        <v>DA_gl_ga_bl_f_g_c_avg_c_fin</v>
      </c>
      <c r="T11" s="65" t="str">
        <f t="shared" si="1"/>
        <v>/Game/DungeonSiege/Items/Armor/Glove/DA_gl_ga_bl_f_g_c_avg_c_fin</v>
      </c>
      <c r="U11" s="65" t="str">
        <f t="shared" si="2"/>
        <v>Texture2D'/Game/DungeonSiege/art/bitmaps/gui/in_game/inventory/armor/gauntlet/b_gui_ig_i_a_gntl_025.b_gui_ig_i_a_gntl_025'</v>
      </c>
      <c r="V11" s="65" t="s">
        <v>4479</v>
      </c>
    </row>
    <row r="12" spans="1:22" ht="15.75" thickBot="1" x14ac:dyDescent="0.3">
      <c r="A12" s="65">
        <v>10</v>
      </c>
      <c r="B12" s="65">
        <f>HEX2DEC(A12+Items!$A$7)</f>
        <v>18874384</v>
      </c>
      <c r="C12" s="65" t="s">
        <v>4201</v>
      </c>
      <c r="D12" s="65">
        <v>27</v>
      </c>
      <c r="E12" s="65" t="s">
        <v>2384</v>
      </c>
      <c r="F12" s="65">
        <v>40</v>
      </c>
      <c r="G12" s="65">
        <v>0</v>
      </c>
      <c r="H12" s="65">
        <v>1</v>
      </c>
      <c r="I12" s="65">
        <v>0</v>
      </c>
      <c r="J12" s="65">
        <v>0</v>
      </c>
      <c r="K12" s="65">
        <v>1</v>
      </c>
      <c r="L12" s="65">
        <v>2</v>
      </c>
      <c r="M12" s="65" t="s">
        <v>4237</v>
      </c>
      <c r="N12" s="65" t="s">
        <v>4391</v>
      </c>
      <c r="O12" s="70" t="s">
        <v>4487</v>
      </c>
      <c r="P12" s="69" t="s">
        <v>4519</v>
      </c>
      <c r="Q12" s="65">
        <v>7</v>
      </c>
      <c r="R12" s="65">
        <v>10</v>
      </c>
      <c r="S12" s="65" t="str">
        <f t="shared" si="0"/>
        <v>DA_gl_ga_bl_f_g_c_avg_c_mag</v>
      </c>
      <c r="T12" s="65" t="str">
        <f t="shared" si="1"/>
        <v>/Game/DungeonSiege/Items/Armor/Glove/DA_gl_ga_bl_f_g_c_avg_c_mag</v>
      </c>
      <c r="U12" s="65" t="str">
        <f t="shared" si="2"/>
        <v>Texture2D'/Game/DungeonSiege/art/bitmaps/gui/in_game/inventory/armor/gauntlet/b_gui_ig_i_a_gntl_027.b_gui_ig_i_a_gntl_027'</v>
      </c>
      <c r="V12" s="65" t="s">
        <v>4479</v>
      </c>
    </row>
    <row r="13" spans="1:22" ht="15.75" thickBot="1" x14ac:dyDescent="0.3">
      <c r="A13" s="65">
        <v>11</v>
      </c>
      <c r="B13" s="65">
        <f>HEX2DEC(A13+Items!$A$7)</f>
        <v>18874385</v>
      </c>
      <c r="C13" s="65" t="s">
        <v>4201</v>
      </c>
      <c r="D13" s="65">
        <v>19</v>
      </c>
      <c r="E13" s="65" t="s">
        <v>2384</v>
      </c>
      <c r="F13" s="65">
        <v>31</v>
      </c>
      <c r="G13" s="65">
        <v>0</v>
      </c>
      <c r="H13" s="65">
        <v>1</v>
      </c>
      <c r="I13" s="65">
        <v>0</v>
      </c>
      <c r="J13" s="65">
        <v>0</v>
      </c>
      <c r="K13" s="65">
        <v>1</v>
      </c>
      <c r="L13" s="65">
        <v>2</v>
      </c>
      <c r="M13" s="65" t="s">
        <v>4238</v>
      </c>
      <c r="N13" s="65" t="s">
        <v>4392</v>
      </c>
      <c r="O13" s="70" t="s">
        <v>2785</v>
      </c>
      <c r="P13" s="69" t="s">
        <v>4519</v>
      </c>
      <c r="Q13" s="65">
        <v>4</v>
      </c>
      <c r="R13" s="65">
        <v>7</v>
      </c>
      <c r="S13" s="65" t="str">
        <f t="shared" si="0"/>
        <v>DA_gl_ga_bl_f_g_c_avg_c_str</v>
      </c>
      <c r="T13" s="65" t="str">
        <f t="shared" si="1"/>
        <v>/Game/DungeonSiege/Items/Armor/Glove/DA_gl_ga_bl_f_g_c_avg_c_str</v>
      </c>
      <c r="U13" s="65" t="str">
        <f t="shared" si="2"/>
        <v>Texture2D'/Game/DungeonSiege/art/bitmaps/gui/in_game/inventory/armor/gauntlet/b_gui_ig_i_a_gntl_026.b_gui_ig_i_a_gntl_026'</v>
      </c>
      <c r="V13" s="65" t="s">
        <v>4479</v>
      </c>
    </row>
    <row r="14" spans="1:22" ht="15.75" thickBot="1" x14ac:dyDescent="0.3">
      <c r="A14" s="65">
        <v>12</v>
      </c>
      <c r="B14" s="65">
        <f>HEX2DEC(A14+Items!$A$7)</f>
        <v>18874386</v>
      </c>
      <c r="C14" s="65" t="s">
        <v>4201</v>
      </c>
      <c r="D14" s="65">
        <v>12</v>
      </c>
      <c r="E14" s="65" t="s">
        <v>2384</v>
      </c>
      <c r="F14" s="65">
        <v>24</v>
      </c>
      <c r="G14" s="65">
        <v>0</v>
      </c>
      <c r="H14" s="65">
        <v>1</v>
      </c>
      <c r="I14" s="65">
        <v>0</v>
      </c>
      <c r="J14" s="65">
        <v>0</v>
      </c>
      <c r="K14" s="65">
        <v>1</v>
      </c>
      <c r="L14" s="65">
        <v>2</v>
      </c>
      <c r="M14" s="65" t="s">
        <v>4239</v>
      </c>
      <c r="N14" s="65" t="s">
        <v>4393</v>
      </c>
      <c r="O14" s="70" t="s">
        <v>2790</v>
      </c>
      <c r="P14" s="69" t="s">
        <v>4519</v>
      </c>
      <c r="Q14" s="65">
        <v>1</v>
      </c>
      <c r="R14" s="65">
        <v>3</v>
      </c>
      <c r="S14" s="65" t="str">
        <f t="shared" si="0"/>
        <v>DA_gl_ga_bl_f_g_c_avg_o_avg</v>
      </c>
      <c r="T14" s="65" t="str">
        <f t="shared" si="1"/>
        <v>/Game/DungeonSiege/Items/Armor/Glove/DA_gl_ga_bl_f_g_c_avg_o_avg</v>
      </c>
      <c r="U14" s="65" t="str">
        <f t="shared" si="2"/>
        <v>Texture2D'/Game/DungeonSiege/art/bitmaps/gui/in_game/inventory/armor/gauntlet/b_gui_ig_i_a_gntl_028.b_gui_ig_i_a_gntl_028'</v>
      </c>
      <c r="V14" s="65" t="s">
        <v>4479</v>
      </c>
    </row>
    <row r="15" spans="1:22" ht="15.75" thickBot="1" x14ac:dyDescent="0.3">
      <c r="A15" s="65">
        <v>13</v>
      </c>
      <c r="B15" s="65">
        <f>HEX2DEC(A15+Items!$A$7)</f>
        <v>18874387</v>
      </c>
      <c r="C15" s="65" t="s">
        <v>4201</v>
      </c>
      <c r="D15" s="65">
        <v>15</v>
      </c>
      <c r="E15" s="65" t="s">
        <v>2384</v>
      </c>
      <c r="F15" s="65">
        <v>26</v>
      </c>
      <c r="G15" s="65">
        <v>0</v>
      </c>
      <c r="H15" s="65">
        <v>1</v>
      </c>
      <c r="I15" s="65">
        <v>0</v>
      </c>
      <c r="J15" s="65">
        <v>0</v>
      </c>
      <c r="K15" s="65">
        <v>1</v>
      </c>
      <c r="L15" s="65">
        <v>2</v>
      </c>
      <c r="M15" s="65" t="s">
        <v>4240</v>
      </c>
      <c r="N15" s="65" t="s">
        <v>4394</v>
      </c>
      <c r="O15" s="70" t="s">
        <v>2791</v>
      </c>
      <c r="P15" s="69" t="s">
        <v>4519</v>
      </c>
      <c r="Q15" s="65">
        <v>3</v>
      </c>
      <c r="R15" s="65">
        <v>5</v>
      </c>
      <c r="S15" s="65" t="str">
        <f t="shared" si="0"/>
        <v>DA_gl_ga_bl_f_g_c_avg_o_fin</v>
      </c>
      <c r="T15" s="65" t="str">
        <f t="shared" si="1"/>
        <v>/Game/DungeonSiege/Items/Armor/Glove/DA_gl_ga_bl_f_g_c_avg_o_fin</v>
      </c>
      <c r="U15" s="65" t="str">
        <f t="shared" si="2"/>
        <v>Texture2D'/Game/DungeonSiege/art/bitmaps/gui/in_game/inventory/armor/gauntlet/b_gui_ig_i_a_gntl_029.b_gui_ig_i_a_gntl_029'</v>
      </c>
      <c r="V15" s="65" t="s">
        <v>4479</v>
      </c>
    </row>
    <row r="16" spans="1:22" ht="15.75" thickBot="1" x14ac:dyDescent="0.3">
      <c r="A16" s="65">
        <v>14</v>
      </c>
      <c r="B16" s="65">
        <f>HEX2DEC(A16+Items!$A$7)</f>
        <v>18874388</v>
      </c>
      <c r="C16" s="65" t="s">
        <v>4201</v>
      </c>
      <c r="D16" s="65">
        <v>32</v>
      </c>
      <c r="E16" s="65" t="s">
        <v>2384</v>
      </c>
      <c r="F16" s="65">
        <v>45</v>
      </c>
      <c r="G16" s="65">
        <v>0</v>
      </c>
      <c r="H16" s="65">
        <v>1</v>
      </c>
      <c r="I16" s="65">
        <v>0</v>
      </c>
      <c r="J16" s="65">
        <v>0</v>
      </c>
      <c r="K16" s="65">
        <v>1</v>
      </c>
      <c r="L16" s="65">
        <v>2</v>
      </c>
      <c r="M16" s="65" t="s">
        <v>4241</v>
      </c>
      <c r="N16" s="65" t="s">
        <v>4395</v>
      </c>
      <c r="O16" s="70" t="s">
        <v>2793</v>
      </c>
      <c r="P16" s="69" t="s">
        <v>4519</v>
      </c>
      <c r="Q16" s="65">
        <v>9</v>
      </c>
      <c r="R16" s="65">
        <v>12</v>
      </c>
      <c r="S16" s="65" t="str">
        <f t="shared" si="0"/>
        <v>DA_gl_ga_bl_f_g_c_avg_o_mag</v>
      </c>
      <c r="T16" s="65" t="str">
        <f t="shared" si="1"/>
        <v>/Game/DungeonSiege/Items/Armor/Glove/DA_gl_ga_bl_f_g_c_avg_o_mag</v>
      </c>
      <c r="U16" s="65" t="str">
        <f t="shared" si="2"/>
        <v>Texture2D'/Game/DungeonSiege/art/bitmaps/gui/in_game/inventory/armor/gauntlet/b_gui_ig_i_a_gntl_031.b_gui_ig_i_a_gntl_031'</v>
      </c>
      <c r="V16" s="65" t="s">
        <v>4479</v>
      </c>
    </row>
    <row r="17" spans="1:22" ht="15.75" thickBot="1" x14ac:dyDescent="0.3">
      <c r="A17" s="65">
        <v>15</v>
      </c>
      <c r="B17" s="65">
        <f>HEX2DEC(A17+Items!$A$7)</f>
        <v>18874389</v>
      </c>
      <c r="C17" s="65" t="s">
        <v>4201</v>
      </c>
      <c r="D17" s="65">
        <v>23</v>
      </c>
      <c r="E17" s="65" t="s">
        <v>2384</v>
      </c>
      <c r="F17" s="65">
        <v>35</v>
      </c>
      <c r="G17" s="65">
        <v>0</v>
      </c>
      <c r="H17" s="65">
        <v>1</v>
      </c>
      <c r="I17" s="65">
        <v>0</v>
      </c>
      <c r="J17" s="65">
        <v>0</v>
      </c>
      <c r="K17" s="65">
        <v>1</v>
      </c>
      <c r="L17" s="65">
        <v>2</v>
      </c>
      <c r="M17" s="65" t="s">
        <v>4242</v>
      </c>
      <c r="N17" s="65" t="s">
        <v>4396</v>
      </c>
      <c r="O17" s="70" t="s">
        <v>2792</v>
      </c>
      <c r="P17" s="69" t="s">
        <v>4519</v>
      </c>
      <c r="Q17" s="65">
        <v>6</v>
      </c>
      <c r="R17" s="65">
        <v>9</v>
      </c>
      <c r="S17" s="65" t="str">
        <f t="shared" si="0"/>
        <v>DA_gl_ga_bl_f_g_c_avg_o_str</v>
      </c>
      <c r="T17" s="65" t="str">
        <f t="shared" si="1"/>
        <v>/Game/DungeonSiege/Items/Armor/Glove/DA_gl_ga_bl_f_g_c_avg_o_str</v>
      </c>
      <c r="U17" s="65" t="str">
        <f t="shared" si="2"/>
        <v>Texture2D'/Game/DungeonSiege/art/bitmaps/gui/in_game/inventory/armor/gauntlet/b_gui_ig_i_a_gntl_030.b_gui_ig_i_a_gntl_030'</v>
      </c>
      <c r="V17" s="65" t="s">
        <v>4479</v>
      </c>
    </row>
    <row r="18" spans="1:22" ht="15.75" thickBot="1" x14ac:dyDescent="0.3">
      <c r="A18" s="65">
        <v>16</v>
      </c>
      <c r="B18" s="65">
        <f>HEX2DEC(A18+Items!$A$7)</f>
        <v>18874390</v>
      </c>
      <c r="C18" s="65" t="s">
        <v>4202</v>
      </c>
      <c r="D18" s="65">
        <v>11</v>
      </c>
      <c r="E18" s="65" t="s">
        <v>2384</v>
      </c>
      <c r="F18" s="65">
        <v>22</v>
      </c>
      <c r="G18" s="65">
        <v>1</v>
      </c>
      <c r="H18" s="65">
        <v>0</v>
      </c>
      <c r="I18" s="65">
        <v>0</v>
      </c>
      <c r="J18" s="65">
        <v>0</v>
      </c>
      <c r="K18" s="65">
        <v>1</v>
      </c>
      <c r="L18" s="65">
        <v>2</v>
      </c>
      <c r="M18" s="65" t="s">
        <v>4243</v>
      </c>
      <c r="N18" s="65" t="s">
        <v>4397</v>
      </c>
      <c r="O18" s="70" t="s">
        <v>2503</v>
      </c>
      <c r="P18" s="69" t="s">
        <v>4519</v>
      </c>
      <c r="Q18" s="65"/>
      <c r="R18" s="65"/>
      <c r="S18" s="65" t="str">
        <f t="shared" si="0"/>
        <v>DA_gl_ga_br_f_g_c_avg</v>
      </c>
      <c r="T18" s="65" t="str">
        <f t="shared" si="1"/>
        <v>/Game/DungeonSiege/Items/Armor/Glove/DA_gl_ga_br_f_g_c_avg</v>
      </c>
      <c r="U18" s="65" t="str">
        <f t="shared" si="2"/>
        <v>Texture2D'/Game/DungeonSiege/art/bitmaps/gui/in_game/inventory/armor/gauntlet/b_gui_ig_i_a_gntl_009.b_gui_ig_i_a_gntl_009'</v>
      </c>
      <c r="V18" s="65" t="s">
        <v>4479</v>
      </c>
    </row>
    <row r="19" spans="1:22" ht="15.75" thickBot="1" x14ac:dyDescent="0.3">
      <c r="A19" s="65">
        <v>17</v>
      </c>
      <c r="B19" s="65">
        <f>HEX2DEC(A19+Items!$A$7)</f>
        <v>18874391</v>
      </c>
      <c r="C19" s="65" t="s">
        <v>4202</v>
      </c>
      <c r="D19" s="65">
        <v>12</v>
      </c>
      <c r="E19" s="65" t="s">
        <v>2384</v>
      </c>
      <c r="F19" s="65">
        <v>23</v>
      </c>
      <c r="G19" s="65">
        <v>0</v>
      </c>
      <c r="H19" s="65">
        <v>1</v>
      </c>
      <c r="I19" s="65">
        <v>0</v>
      </c>
      <c r="J19" s="65">
        <v>0</v>
      </c>
      <c r="K19" s="65">
        <v>1</v>
      </c>
      <c r="L19" s="65">
        <v>2</v>
      </c>
      <c r="M19" s="65" t="s">
        <v>4244</v>
      </c>
      <c r="N19" s="65" t="s">
        <v>4398</v>
      </c>
      <c r="O19" s="70" t="s">
        <v>4488</v>
      </c>
      <c r="P19" s="69" t="s">
        <v>4519</v>
      </c>
      <c r="Q19" s="65">
        <v>1</v>
      </c>
      <c r="R19" s="65">
        <v>2</v>
      </c>
      <c r="S19" s="65" t="str">
        <f t="shared" si="0"/>
        <v>DA_gl_ga_br_f_g_c_avg_c_fin</v>
      </c>
      <c r="T19" s="65" t="str">
        <f t="shared" si="1"/>
        <v>/Game/DungeonSiege/Items/Armor/Glove/DA_gl_ga_br_f_g_c_avg_c_fin</v>
      </c>
      <c r="U19" s="65" t="str">
        <f t="shared" si="2"/>
        <v>Texture2D'/Game/DungeonSiege/art/bitmaps/gui/in_game/inventory/armor/gauntlet/b_gui_ig_i_a_gntl_079.b_gui_ig_i_a_gntl_079'</v>
      </c>
      <c r="V19" s="65" t="s">
        <v>4479</v>
      </c>
    </row>
    <row r="20" spans="1:22" ht="15.75" thickBot="1" x14ac:dyDescent="0.3">
      <c r="A20" s="65">
        <v>18</v>
      </c>
      <c r="B20" s="65">
        <f>HEX2DEC(A20+Items!$A$7)</f>
        <v>18874392</v>
      </c>
      <c r="C20" s="65" t="s">
        <v>4202</v>
      </c>
      <c r="D20" s="65">
        <v>28</v>
      </c>
      <c r="E20" s="65" t="s">
        <v>2384</v>
      </c>
      <c r="F20" s="65">
        <v>42</v>
      </c>
      <c r="G20" s="65">
        <v>0</v>
      </c>
      <c r="H20" s="65">
        <v>1</v>
      </c>
      <c r="I20" s="65">
        <v>0</v>
      </c>
      <c r="J20" s="65">
        <v>0</v>
      </c>
      <c r="K20" s="65">
        <v>1</v>
      </c>
      <c r="L20" s="65">
        <v>2</v>
      </c>
      <c r="M20" s="65" t="s">
        <v>4245</v>
      </c>
      <c r="N20" s="65" t="s">
        <v>4399</v>
      </c>
      <c r="O20" s="70" t="s">
        <v>4489</v>
      </c>
      <c r="P20" s="69" t="s">
        <v>4519</v>
      </c>
      <c r="Q20" s="65">
        <v>8</v>
      </c>
      <c r="R20" s="65">
        <v>11</v>
      </c>
      <c r="S20" s="65" t="str">
        <f t="shared" si="0"/>
        <v>DA_gl_ga_br_f_g_c_avg_c_mag</v>
      </c>
      <c r="T20" s="65" t="str">
        <f t="shared" si="1"/>
        <v>/Game/DungeonSiege/Items/Armor/Glove/DA_gl_ga_br_f_g_c_avg_c_mag</v>
      </c>
      <c r="U20" s="65" t="str">
        <f t="shared" si="2"/>
        <v>Texture2D'/Game/DungeonSiege/art/bitmaps/gui/in_game/inventory/armor/gauntlet/b_gui_ig_i_a_gntl_081.b_gui_ig_i_a_gntl_081'</v>
      </c>
      <c r="V20" s="65" t="s">
        <v>4479</v>
      </c>
    </row>
    <row r="21" spans="1:22" ht="15.75" thickBot="1" x14ac:dyDescent="0.3">
      <c r="A21" s="65">
        <v>19</v>
      </c>
      <c r="B21" s="65">
        <f>HEX2DEC(A21+Items!$A$7)</f>
        <v>18874393</v>
      </c>
      <c r="C21" s="65" t="s">
        <v>4202</v>
      </c>
      <c r="D21" s="65">
        <v>20</v>
      </c>
      <c r="E21" s="65" t="s">
        <v>2384</v>
      </c>
      <c r="F21" s="65">
        <v>32</v>
      </c>
      <c r="G21" s="65">
        <v>0</v>
      </c>
      <c r="H21" s="65">
        <v>1</v>
      </c>
      <c r="I21" s="65">
        <v>0</v>
      </c>
      <c r="J21" s="65">
        <v>0</v>
      </c>
      <c r="K21" s="65">
        <v>1</v>
      </c>
      <c r="L21" s="65">
        <v>2</v>
      </c>
      <c r="M21" s="65" t="s">
        <v>4246</v>
      </c>
      <c r="N21" s="65" t="s">
        <v>4400</v>
      </c>
      <c r="O21" s="70" t="s">
        <v>4490</v>
      </c>
      <c r="P21" s="69" t="s">
        <v>4519</v>
      </c>
      <c r="Q21" s="65">
        <v>4</v>
      </c>
      <c r="R21" s="65">
        <v>8</v>
      </c>
      <c r="S21" s="65" t="str">
        <f t="shared" si="0"/>
        <v>DA_gl_ga_br_f_g_c_avg_c_str</v>
      </c>
      <c r="T21" s="65" t="str">
        <f t="shared" si="1"/>
        <v>/Game/DungeonSiege/Items/Armor/Glove/DA_gl_ga_br_f_g_c_avg_c_str</v>
      </c>
      <c r="U21" s="65" t="str">
        <f t="shared" si="2"/>
        <v>Texture2D'/Game/DungeonSiege/art/bitmaps/gui/in_game/inventory/armor/gauntlet/b_gui_ig_i_a_gntl_080.b_gui_ig_i_a_gntl_080'</v>
      </c>
      <c r="V21" s="65" t="s">
        <v>4479</v>
      </c>
    </row>
    <row r="22" spans="1:22" ht="15.75" thickBot="1" x14ac:dyDescent="0.3">
      <c r="A22" s="65">
        <v>20</v>
      </c>
      <c r="B22" s="65">
        <f>HEX2DEC(A22+Items!$A$7)</f>
        <v>18874400</v>
      </c>
      <c r="C22" s="65" t="s">
        <v>4202</v>
      </c>
      <c r="D22" s="65">
        <v>13</v>
      </c>
      <c r="E22" s="65" t="s">
        <v>2384</v>
      </c>
      <c r="F22" s="65">
        <v>25</v>
      </c>
      <c r="G22" s="65">
        <v>0</v>
      </c>
      <c r="H22" s="65">
        <v>1</v>
      </c>
      <c r="I22" s="65">
        <v>0</v>
      </c>
      <c r="J22" s="65">
        <v>0</v>
      </c>
      <c r="K22" s="65">
        <v>1</v>
      </c>
      <c r="L22" s="65">
        <v>2</v>
      </c>
      <c r="M22" s="65" t="s">
        <v>4247</v>
      </c>
      <c r="N22" s="65" t="s">
        <v>4401</v>
      </c>
      <c r="O22" s="70" t="s">
        <v>4491</v>
      </c>
      <c r="P22" s="69" t="s">
        <v>4519</v>
      </c>
      <c r="Q22" s="65">
        <v>1</v>
      </c>
      <c r="R22" s="65">
        <v>4</v>
      </c>
      <c r="S22" s="65" t="str">
        <f t="shared" si="0"/>
        <v>DA_gl_ga_br_f_g_c_avg_o_avg</v>
      </c>
      <c r="T22" s="65" t="str">
        <f t="shared" si="1"/>
        <v>/Game/DungeonSiege/Items/Armor/Glove/DA_gl_ga_br_f_g_c_avg_o_avg</v>
      </c>
      <c r="U22" s="65" t="str">
        <f t="shared" si="2"/>
        <v>Texture2D'/Game/DungeonSiege/art/bitmaps/gui/in_game/inventory/armor/gauntlet/b_gui_ig_i_a_gntl_082.b_gui_ig_i_a_gntl_082'</v>
      </c>
      <c r="V22" s="65" t="s">
        <v>4479</v>
      </c>
    </row>
    <row r="23" spans="1:22" ht="15.75" thickBot="1" x14ac:dyDescent="0.3">
      <c r="A23" s="65">
        <v>21</v>
      </c>
      <c r="B23" s="65">
        <f>HEX2DEC(A23+Items!$A$7)</f>
        <v>18874401</v>
      </c>
      <c r="C23" s="65" t="s">
        <v>4202</v>
      </c>
      <c r="D23" s="65">
        <v>16</v>
      </c>
      <c r="E23" s="65" t="s">
        <v>2384</v>
      </c>
      <c r="F23" s="65">
        <v>28</v>
      </c>
      <c r="G23" s="65">
        <v>0</v>
      </c>
      <c r="H23" s="65">
        <v>1</v>
      </c>
      <c r="I23" s="65">
        <v>0</v>
      </c>
      <c r="J23" s="65">
        <v>0</v>
      </c>
      <c r="K23" s="65">
        <v>1</v>
      </c>
      <c r="L23" s="65">
        <v>2</v>
      </c>
      <c r="M23" s="65" t="s">
        <v>4248</v>
      </c>
      <c r="N23" s="65" t="s">
        <v>4402</v>
      </c>
      <c r="O23" s="70" t="s">
        <v>4492</v>
      </c>
      <c r="P23" s="69" t="s">
        <v>4519</v>
      </c>
      <c r="Q23" s="65">
        <v>3</v>
      </c>
      <c r="R23" s="65">
        <v>6</v>
      </c>
      <c r="S23" s="65" t="str">
        <f t="shared" si="0"/>
        <v>DA_gl_ga_br_f_g_c_avg_o_fin</v>
      </c>
      <c r="T23" s="65" t="str">
        <f t="shared" si="1"/>
        <v>/Game/DungeonSiege/Items/Armor/Glove/DA_gl_ga_br_f_g_c_avg_o_fin</v>
      </c>
      <c r="U23" s="65" t="str">
        <f t="shared" si="2"/>
        <v>Texture2D'/Game/DungeonSiege/art/bitmaps/gui/in_game/inventory/armor/gauntlet/b_gui_ig_i_a_gntl_083.b_gui_ig_i_a_gntl_083'</v>
      </c>
      <c r="V23" s="65" t="s">
        <v>4479</v>
      </c>
    </row>
    <row r="24" spans="1:22" ht="15.75" thickBot="1" x14ac:dyDescent="0.3">
      <c r="A24" s="65">
        <v>22</v>
      </c>
      <c r="B24" s="65">
        <f>HEX2DEC(A24+Items!$A$7)</f>
        <v>18874402</v>
      </c>
      <c r="C24" s="65" t="s">
        <v>4202</v>
      </c>
      <c r="D24" s="65">
        <v>33</v>
      </c>
      <c r="E24" s="65" t="s">
        <v>2384</v>
      </c>
      <c r="F24" s="65">
        <v>47</v>
      </c>
      <c r="G24" s="65">
        <v>0</v>
      </c>
      <c r="H24" s="65">
        <v>1</v>
      </c>
      <c r="I24" s="65">
        <v>0</v>
      </c>
      <c r="J24" s="65">
        <v>0</v>
      </c>
      <c r="K24" s="65">
        <v>1</v>
      </c>
      <c r="L24" s="65">
        <v>2</v>
      </c>
      <c r="M24" s="65" t="s">
        <v>4249</v>
      </c>
      <c r="N24" s="65" t="s">
        <v>4403</v>
      </c>
      <c r="O24" s="70" t="s">
        <v>4493</v>
      </c>
      <c r="P24" s="69" t="s">
        <v>4519</v>
      </c>
      <c r="Q24" s="65">
        <v>10</v>
      </c>
      <c r="R24" s="65">
        <v>13</v>
      </c>
      <c r="S24" s="65" t="str">
        <f t="shared" si="0"/>
        <v>DA_gl_ga_br_f_g_c_avg_o_mag</v>
      </c>
      <c r="T24" s="65" t="str">
        <f t="shared" si="1"/>
        <v>/Game/DungeonSiege/Items/Armor/Glove/DA_gl_ga_br_f_g_c_avg_o_mag</v>
      </c>
      <c r="U24" s="65" t="str">
        <f t="shared" si="2"/>
        <v>Texture2D'/Game/DungeonSiege/art/bitmaps/gui/in_game/inventory/armor/gauntlet/b_gui_ig_i_a_gntl_085.b_gui_ig_i_a_gntl_085'</v>
      </c>
      <c r="V24" s="65" t="s">
        <v>4479</v>
      </c>
    </row>
    <row r="25" spans="1:22" ht="15.75" thickBot="1" x14ac:dyDescent="0.3">
      <c r="A25" s="65">
        <v>23</v>
      </c>
      <c r="B25" s="65">
        <f>HEX2DEC(A25+Items!$A$7)</f>
        <v>18874403</v>
      </c>
      <c r="C25" s="65" t="s">
        <v>4202</v>
      </c>
      <c r="D25" s="65">
        <v>24</v>
      </c>
      <c r="E25" s="65" t="s">
        <v>2384</v>
      </c>
      <c r="F25" s="65">
        <v>36</v>
      </c>
      <c r="G25" s="65">
        <v>0</v>
      </c>
      <c r="H25" s="65">
        <v>1</v>
      </c>
      <c r="I25" s="65">
        <v>0</v>
      </c>
      <c r="J25" s="65">
        <v>0</v>
      </c>
      <c r="K25" s="65">
        <v>1</v>
      </c>
      <c r="L25" s="65">
        <v>2</v>
      </c>
      <c r="M25" s="65" t="s">
        <v>4250</v>
      </c>
      <c r="N25" s="65" t="s">
        <v>4404</v>
      </c>
      <c r="O25" s="70" t="s">
        <v>4494</v>
      </c>
      <c r="P25" s="69" t="s">
        <v>4519</v>
      </c>
      <c r="Q25" s="65">
        <v>6</v>
      </c>
      <c r="R25" s="65">
        <v>9</v>
      </c>
      <c r="S25" s="65" t="str">
        <f t="shared" si="0"/>
        <v>DA_gl_ga_br_f_g_c_avg_o_str</v>
      </c>
      <c r="T25" s="65" t="str">
        <f t="shared" si="1"/>
        <v>/Game/DungeonSiege/Items/Armor/Glove/DA_gl_ga_br_f_g_c_avg_o_str</v>
      </c>
      <c r="U25" s="65" t="str">
        <f t="shared" si="2"/>
        <v>Texture2D'/Game/DungeonSiege/art/bitmaps/gui/in_game/inventory/armor/gauntlet/b_gui_ig_i_a_gntl_084.b_gui_ig_i_a_gntl_084'</v>
      </c>
      <c r="V25" s="65" t="s">
        <v>4479</v>
      </c>
    </row>
    <row r="26" spans="1:22" ht="15.75" thickBot="1" x14ac:dyDescent="0.3">
      <c r="A26" s="65">
        <v>24</v>
      </c>
      <c r="B26" s="65">
        <f>HEX2DEC(A26+Items!$A$7)</f>
        <v>18874404</v>
      </c>
      <c r="C26" s="65" t="s">
        <v>4203</v>
      </c>
      <c r="D26" s="65">
        <v>28</v>
      </c>
      <c r="E26" s="65" t="s">
        <v>2384</v>
      </c>
      <c r="F26" s="65">
        <v>41</v>
      </c>
      <c r="G26" s="65">
        <v>1</v>
      </c>
      <c r="H26" s="65">
        <v>1</v>
      </c>
      <c r="I26" s="65">
        <v>0</v>
      </c>
      <c r="J26" s="65">
        <v>0</v>
      </c>
      <c r="K26" s="65">
        <v>1</v>
      </c>
      <c r="L26" s="65">
        <v>2</v>
      </c>
      <c r="M26" s="65" t="s">
        <v>4251</v>
      </c>
      <c r="N26" s="65" t="s">
        <v>4405</v>
      </c>
      <c r="O26" s="70" t="s">
        <v>2508</v>
      </c>
      <c r="P26" s="69" t="s">
        <v>4519</v>
      </c>
      <c r="Q26" s="65">
        <v>0</v>
      </c>
      <c r="R26" s="65">
        <v>2</v>
      </c>
      <c r="S26" s="65" t="str">
        <f t="shared" si="0"/>
        <v>DA_gl_ga_fp_f_g_c_avg</v>
      </c>
      <c r="T26" s="65" t="str">
        <f t="shared" si="1"/>
        <v>/Game/DungeonSiege/Items/Armor/Glove/DA_gl_ga_fp_f_g_c_avg</v>
      </c>
      <c r="U26" s="65" t="str">
        <f t="shared" si="2"/>
        <v>Texture2D'/Game/DungeonSiege/art/bitmaps/gui/in_game/inventory/armor/gauntlet/b_gui_ig_i_a_gntl_005.b_gui_ig_i_a_gntl_005'</v>
      </c>
      <c r="V26" s="65" t="s">
        <v>4479</v>
      </c>
    </row>
    <row r="27" spans="1:22" ht="15.75" thickBot="1" x14ac:dyDescent="0.3">
      <c r="A27" s="65">
        <v>25</v>
      </c>
      <c r="B27" s="65">
        <f>HEX2DEC(A27+Items!$A$7)</f>
        <v>18874405</v>
      </c>
      <c r="C27" s="65" t="s">
        <v>4203</v>
      </c>
      <c r="D27" s="65">
        <v>30</v>
      </c>
      <c r="E27" s="65" t="s">
        <v>2384</v>
      </c>
      <c r="F27" s="65">
        <v>43</v>
      </c>
      <c r="G27" s="65">
        <v>0</v>
      </c>
      <c r="H27" s="65">
        <v>1</v>
      </c>
      <c r="I27" s="65">
        <v>0</v>
      </c>
      <c r="J27" s="65">
        <v>0</v>
      </c>
      <c r="K27" s="65">
        <v>1</v>
      </c>
      <c r="L27" s="65">
        <v>2</v>
      </c>
      <c r="M27" s="65" t="s">
        <v>4252</v>
      </c>
      <c r="N27" s="65" t="s">
        <v>4406</v>
      </c>
      <c r="O27" s="70" t="s">
        <v>2811</v>
      </c>
      <c r="P27" s="69" t="s">
        <v>4519</v>
      </c>
      <c r="Q27" s="65">
        <v>1</v>
      </c>
      <c r="R27" s="65">
        <v>6</v>
      </c>
      <c r="S27" s="65" t="str">
        <f t="shared" si="0"/>
        <v>DA_gl_ga_fp_f_g_c_avg_c_fin</v>
      </c>
      <c r="T27" s="65" t="str">
        <f t="shared" si="1"/>
        <v>/Game/DungeonSiege/Items/Armor/Glove/DA_gl_ga_fp_f_g_c_avg_c_fin</v>
      </c>
      <c r="U27" s="65" t="str">
        <f t="shared" si="2"/>
        <v>Texture2D'/Game/DungeonSiege/art/bitmaps/gui/in_game/inventory/armor/gauntlet/b_gui_ig_i_a_gntl_055.b_gui_ig_i_a_gntl_055'</v>
      </c>
      <c r="V27" s="65" t="s">
        <v>4479</v>
      </c>
    </row>
    <row r="28" spans="1:22" ht="15.75" thickBot="1" x14ac:dyDescent="0.3">
      <c r="A28" s="65">
        <v>26</v>
      </c>
      <c r="B28" s="65">
        <f>HEX2DEC(A28+Items!$A$7)</f>
        <v>18874406</v>
      </c>
      <c r="C28" s="65" t="s">
        <v>4203</v>
      </c>
      <c r="D28" s="65">
        <v>53</v>
      </c>
      <c r="E28" s="65" t="s">
        <v>2384</v>
      </c>
      <c r="F28" s="65">
        <v>70</v>
      </c>
      <c r="G28" s="65">
        <v>0</v>
      </c>
      <c r="H28" s="65">
        <v>1</v>
      </c>
      <c r="I28" s="65">
        <v>0</v>
      </c>
      <c r="J28" s="65">
        <v>0</v>
      </c>
      <c r="K28" s="65">
        <v>1</v>
      </c>
      <c r="L28" s="65">
        <v>2</v>
      </c>
      <c r="M28" s="65" t="s">
        <v>4253</v>
      </c>
      <c r="N28" s="65" t="s">
        <v>4407</v>
      </c>
      <c r="O28" s="70" t="s">
        <v>4495</v>
      </c>
      <c r="P28" s="69" t="s">
        <v>4519</v>
      </c>
      <c r="Q28" s="65">
        <v>15</v>
      </c>
      <c r="R28" s="65">
        <v>20</v>
      </c>
      <c r="S28" s="65" t="str">
        <f t="shared" si="0"/>
        <v>DA_gl_ga_fp_f_g_c_avg_c_mag</v>
      </c>
      <c r="T28" s="65" t="str">
        <f t="shared" si="1"/>
        <v>/Game/DungeonSiege/Items/Armor/Glove/DA_gl_ga_fp_f_g_c_avg_c_mag</v>
      </c>
      <c r="U28" s="65" t="str">
        <f t="shared" si="2"/>
        <v>Texture2D'/Game/DungeonSiege/art/bitmaps/gui/in_game/inventory/armor/gauntlet/b_gui_ig_i_a_gntl_057.b_gui_ig_i_a_gntl_057'</v>
      </c>
      <c r="V28" s="65" t="s">
        <v>4479</v>
      </c>
    </row>
    <row r="29" spans="1:22" ht="15.75" thickBot="1" x14ac:dyDescent="0.3">
      <c r="A29" s="65">
        <v>27</v>
      </c>
      <c r="B29" s="65">
        <f>HEX2DEC(A29+Items!$A$7)</f>
        <v>18874407</v>
      </c>
      <c r="C29" s="65" t="s">
        <v>4203</v>
      </c>
      <c r="D29" s="65">
        <v>43</v>
      </c>
      <c r="E29" s="65" t="s">
        <v>2384</v>
      </c>
      <c r="F29" s="65">
        <v>58</v>
      </c>
      <c r="G29" s="65">
        <v>0</v>
      </c>
      <c r="H29" s="65">
        <v>1</v>
      </c>
      <c r="I29" s="65">
        <v>0</v>
      </c>
      <c r="J29" s="65">
        <v>0</v>
      </c>
      <c r="K29" s="65">
        <v>1</v>
      </c>
      <c r="L29" s="65">
        <v>2</v>
      </c>
      <c r="M29" s="65" t="s">
        <v>4254</v>
      </c>
      <c r="N29" s="65" t="s">
        <v>4408</v>
      </c>
      <c r="O29" s="70" t="s">
        <v>2824</v>
      </c>
      <c r="P29" s="69" t="s">
        <v>4519</v>
      </c>
      <c r="Q29" s="65">
        <v>9</v>
      </c>
      <c r="R29" s="65">
        <v>16</v>
      </c>
      <c r="S29" s="65" t="str">
        <f t="shared" si="0"/>
        <v>DA_gl_ga_fp_f_g_c_avg_c_str</v>
      </c>
      <c r="T29" s="65" t="str">
        <f t="shared" si="1"/>
        <v>/Game/DungeonSiege/Items/Armor/Glove/DA_gl_ga_fp_f_g_c_avg_c_str</v>
      </c>
      <c r="U29" s="65" t="str">
        <f t="shared" si="2"/>
        <v>Texture2D'/Game/DungeonSiege/art/bitmaps/gui/in_game/inventory/armor/gauntlet/b_gui_ig_i_a_gntl_056.b_gui_ig_i_a_gntl_056'</v>
      </c>
      <c r="V29" s="65" t="s">
        <v>4479</v>
      </c>
    </row>
    <row r="30" spans="1:22" ht="15.75" thickBot="1" x14ac:dyDescent="0.3">
      <c r="A30" s="65">
        <v>28</v>
      </c>
      <c r="B30" s="65">
        <f>HEX2DEC(A30+Items!$A$7)</f>
        <v>18874408</v>
      </c>
      <c r="C30" s="65" t="s">
        <v>4203</v>
      </c>
      <c r="D30" s="65">
        <v>33</v>
      </c>
      <c r="E30" s="65" t="s">
        <v>2384</v>
      </c>
      <c r="F30" s="65">
        <v>47</v>
      </c>
      <c r="G30" s="65">
        <v>0</v>
      </c>
      <c r="H30" s="65">
        <v>1</v>
      </c>
      <c r="I30" s="65">
        <v>0</v>
      </c>
      <c r="J30" s="65">
        <v>0</v>
      </c>
      <c r="K30" s="65">
        <v>1</v>
      </c>
      <c r="L30" s="65">
        <v>2</v>
      </c>
      <c r="M30" s="65" t="s">
        <v>4255</v>
      </c>
      <c r="N30" s="65" t="s">
        <v>4405</v>
      </c>
      <c r="O30" s="70" t="s">
        <v>2508</v>
      </c>
      <c r="P30" s="69" t="s">
        <v>4519</v>
      </c>
      <c r="Q30" s="65">
        <v>4</v>
      </c>
      <c r="R30" s="65">
        <v>10</v>
      </c>
      <c r="S30" s="65" t="str">
        <f t="shared" si="0"/>
        <v>DA_gl_ga_fp_f_g_c_avg_o_avg</v>
      </c>
      <c r="T30" s="65" t="str">
        <f t="shared" si="1"/>
        <v>/Game/DungeonSiege/Items/Armor/Glove/DA_gl_ga_fp_f_g_c_avg_o_avg</v>
      </c>
      <c r="U30" s="65" t="str">
        <f t="shared" si="2"/>
        <v>Texture2D'/Game/DungeonSiege/art/bitmaps/gui/in_game/inventory/armor/gauntlet/b_gui_ig_i_a_gntl_005.b_gui_ig_i_a_gntl_005'</v>
      </c>
      <c r="V30" s="65" t="s">
        <v>4479</v>
      </c>
    </row>
    <row r="31" spans="1:22" ht="15.75" thickBot="1" x14ac:dyDescent="0.3">
      <c r="A31" s="65">
        <v>29</v>
      </c>
      <c r="B31" s="65">
        <f>HEX2DEC(A31+Items!$A$7)</f>
        <v>18874409</v>
      </c>
      <c r="C31" s="65" t="s">
        <v>4203</v>
      </c>
      <c r="D31" s="65">
        <v>38</v>
      </c>
      <c r="E31" s="65" t="s">
        <v>2384</v>
      </c>
      <c r="F31" s="65">
        <v>52</v>
      </c>
      <c r="G31" s="65">
        <v>0</v>
      </c>
      <c r="H31" s="65">
        <v>1</v>
      </c>
      <c r="I31" s="65">
        <v>0</v>
      </c>
      <c r="J31" s="65">
        <v>0</v>
      </c>
      <c r="K31" s="65">
        <v>1</v>
      </c>
      <c r="L31" s="65">
        <v>2</v>
      </c>
      <c r="M31" s="65" t="s">
        <v>4256</v>
      </c>
      <c r="N31" s="65" t="s">
        <v>4405</v>
      </c>
      <c r="O31" s="70" t="s">
        <v>2508</v>
      </c>
      <c r="P31" s="69" t="s">
        <v>4519</v>
      </c>
      <c r="Q31" s="65">
        <v>6</v>
      </c>
      <c r="R31" s="65">
        <v>13</v>
      </c>
      <c r="S31" s="65" t="str">
        <f t="shared" si="0"/>
        <v>DA_gl_ga_fp_f_g_c_avg_o_fin</v>
      </c>
      <c r="T31" s="65" t="str">
        <f t="shared" si="1"/>
        <v>/Game/DungeonSiege/Items/Armor/Glove/DA_gl_ga_fp_f_g_c_avg_o_fin</v>
      </c>
      <c r="U31" s="65" t="str">
        <f t="shared" si="2"/>
        <v>Texture2D'/Game/DungeonSiege/art/bitmaps/gui/in_game/inventory/armor/gauntlet/b_gui_ig_i_a_gntl_005.b_gui_ig_i_a_gntl_005'</v>
      </c>
      <c r="V31" s="65" t="s">
        <v>4479</v>
      </c>
    </row>
    <row r="32" spans="1:22" ht="15.75" thickBot="1" x14ac:dyDescent="0.3">
      <c r="A32" s="65">
        <v>30</v>
      </c>
      <c r="B32" s="65">
        <f>HEX2DEC(A32+Items!$A$7)</f>
        <v>18874416</v>
      </c>
      <c r="C32" s="65" t="s">
        <v>4203</v>
      </c>
      <c r="D32" s="65">
        <v>60</v>
      </c>
      <c r="E32" s="65" t="s">
        <v>2384</v>
      </c>
      <c r="F32" s="65">
        <v>77</v>
      </c>
      <c r="G32" s="65">
        <v>0</v>
      </c>
      <c r="H32" s="65">
        <v>1</v>
      </c>
      <c r="I32" s="65">
        <v>0</v>
      </c>
      <c r="J32" s="65">
        <v>0</v>
      </c>
      <c r="K32" s="65">
        <v>1</v>
      </c>
      <c r="L32" s="65">
        <v>2</v>
      </c>
      <c r="M32" s="65" t="s">
        <v>4257</v>
      </c>
      <c r="N32" s="65" t="s">
        <v>4405</v>
      </c>
      <c r="O32" s="70" t="s">
        <v>2508</v>
      </c>
      <c r="P32" s="69" t="s">
        <v>4519</v>
      </c>
      <c r="Q32" s="65">
        <v>17</v>
      </c>
      <c r="R32" s="65">
        <v>24</v>
      </c>
      <c r="S32" s="65" t="str">
        <f t="shared" si="0"/>
        <v>DA_gl_ga_fp_f_g_c_avg_o_mag</v>
      </c>
      <c r="T32" s="65" t="str">
        <f t="shared" si="1"/>
        <v>/Game/DungeonSiege/Items/Armor/Glove/DA_gl_ga_fp_f_g_c_avg_o_mag</v>
      </c>
      <c r="U32" s="65" t="str">
        <f t="shared" si="2"/>
        <v>Texture2D'/Game/DungeonSiege/art/bitmaps/gui/in_game/inventory/armor/gauntlet/b_gui_ig_i_a_gntl_005.b_gui_ig_i_a_gntl_005'</v>
      </c>
      <c r="V32" s="65" t="s">
        <v>4479</v>
      </c>
    </row>
    <row r="33" spans="1:22" ht="15.75" thickBot="1" x14ac:dyDescent="0.3">
      <c r="A33" s="65">
        <v>31</v>
      </c>
      <c r="B33" s="65">
        <f>HEX2DEC(A33+Items!$A$7)</f>
        <v>18874417</v>
      </c>
      <c r="C33" s="65" t="s">
        <v>4203</v>
      </c>
      <c r="D33" s="65">
        <v>48</v>
      </c>
      <c r="E33" s="65" t="s">
        <v>2384</v>
      </c>
      <c r="F33" s="65">
        <v>63</v>
      </c>
      <c r="G33" s="65">
        <v>0</v>
      </c>
      <c r="H33" s="65">
        <v>1</v>
      </c>
      <c r="I33" s="65">
        <v>0</v>
      </c>
      <c r="J33" s="65">
        <v>0</v>
      </c>
      <c r="K33" s="65">
        <v>1</v>
      </c>
      <c r="L33" s="65">
        <v>2</v>
      </c>
      <c r="M33" s="65" t="s">
        <v>4258</v>
      </c>
      <c r="N33" s="65" t="s">
        <v>4405</v>
      </c>
      <c r="O33" s="70" t="s">
        <v>2508</v>
      </c>
      <c r="P33" s="69" t="s">
        <v>4519</v>
      </c>
      <c r="Q33" s="65">
        <v>12</v>
      </c>
      <c r="R33" s="65">
        <v>18</v>
      </c>
      <c r="S33" s="65" t="str">
        <f t="shared" si="0"/>
        <v>DA_gl_ga_fp_f_g_c_avg_o_str</v>
      </c>
      <c r="T33" s="65" t="str">
        <f t="shared" si="1"/>
        <v>/Game/DungeonSiege/Items/Armor/Glove/DA_gl_ga_fp_f_g_c_avg_o_str</v>
      </c>
      <c r="U33" s="65" t="str">
        <f t="shared" si="2"/>
        <v>Texture2D'/Game/DungeonSiege/art/bitmaps/gui/in_game/inventory/armor/gauntlet/b_gui_ig_i_a_gntl_005.b_gui_ig_i_a_gntl_005'</v>
      </c>
      <c r="V33" s="65" t="s">
        <v>4479</v>
      </c>
    </row>
    <row r="34" spans="1:22" ht="15.75" thickBot="1" x14ac:dyDescent="0.3">
      <c r="A34" s="65">
        <v>32</v>
      </c>
      <c r="B34" s="65">
        <f>HEX2DEC(A34+Items!$A$7)</f>
        <v>18874418</v>
      </c>
      <c r="C34" s="65" t="s">
        <v>4204</v>
      </c>
      <c r="D34" s="65">
        <v>14</v>
      </c>
      <c r="E34" s="65" t="s">
        <v>2384</v>
      </c>
      <c r="F34" s="65">
        <v>26</v>
      </c>
      <c r="G34" s="65">
        <v>1</v>
      </c>
      <c r="H34" s="65">
        <v>0</v>
      </c>
      <c r="I34" s="65">
        <v>0</v>
      </c>
      <c r="J34" s="65">
        <v>0</v>
      </c>
      <c r="K34" s="65">
        <v>1</v>
      </c>
      <c r="L34" s="65">
        <v>2</v>
      </c>
      <c r="M34" s="65" t="s">
        <v>4259</v>
      </c>
      <c r="N34" s="65" t="s">
        <v>4409</v>
      </c>
      <c r="O34" s="70" t="s">
        <v>2512</v>
      </c>
      <c r="P34" s="69" t="s">
        <v>4519</v>
      </c>
      <c r="Q34" s="65"/>
      <c r="R34" s="65"/>
      <c r="S34" s="65" t="str">
        <f t="shared" si="0"/>
        <v>DA_gl_ga_sc_f_g_c_avg</v>
      </c>
      <c r="T34" s="65" t="str">
        <f t="shared" si="1"/>
        <v>/Game/DungeonSiege/Items/Armor/Glove/DA_gl_ga_sc_f_g_c_avg</v>
      </c>
      <c r="U34" s="65" t="str">
        <f t="shared" si="2"/>
        <v>Texture2D'/Game/DungeonSiege/art/bitmaps/gui/in_game/inventory/armor/gauntlet/b_gui_ig_i_a_gntl_010.b_gui_ig_i_a_gntl_010'</v>
      </c>
      <c r="V34" s="65" t="s">
        <v>4479</v>
      </c>
    </row>
    <row r="35" spans="1:22" ht="15.75" thickBot="1" x14ac:dyDescent="0.3">
      <c r="A35" s="65">
        <v>33</v>
      </c>
      <c r="B35" s="65">
        <f>HEX2DEC(A35+Items!$A$7)</f>
        <v>18874419</v>
      </c>
      <c r="C35" s="65" t="s">
        <v>4204</v>
      </c>
      <c r="D35" s="65">
        <v>16</v>
      </c>
      <c r="E35" s="65" t="s">
        <v>2384</v>
      </c>
      <c r="F35" s="65">
        <v>27</v>
      </c>
      <c r="G35" s="65">
        <v>0</v>
      </c>
      <c r="H35" s="65">
        <v>1</v>
      </c>
      <c r="I35" s="65">
        <v>0</v>
      </c>
      <c r="J35" s="65">
        <v>0</v>
      </c>
      <c r="K35" s="65">
        <v>1</v>
      </c>
      <c r="L35" s="65">
        <v>2</v>
      </c>
      <c r="M35" s="65" t="s">
        <v>4260</v>
      </c>
      <c r="N35" s="65" t="s">
        <v>4410</v>
      </c>
      <c r="O35" s="70" t="s">
        <v>2809</v>
      </c>
      <c r="P35" s="69" t="s">
        <v>4519</v>
      </c>
      <c r="Q35" s="65">
        <v>1</v>
      </c>
      <c r="R35" s="65">
        <v>3</v>
      </c>
      <c r="S35" s="65" t="str">
        <f t="shared" si="0"/>
        <v>DA_gl_ga_sc_f_g_c_avg_c_fin</v>
      </c>
      <c r="T35" s="65" t="str">
        <f t="shared" si="1"/>
        <v>/Game/DungeonSiege/Items/Armor/Glove/DA_gl_ga_sc_f_g_c_avg_c_fin</v>
      </c>
      <c r="U35" s="65" t="str">
        <f t="shared" si="2"/>
        <v>Texture2D'/Game/DungeonSiege/art/bitmaps/gui/in_game/inventory/armor/gauntlet/b_gui_ig_i_a_gntl_048.b_gui_ig_i_a_gntl_048'</v>
      </c>
      <c r="V35" s="65" t="s">
        <v>4479</v>
      </c>
    </row>
    <row r="36" spans="1:22" ht="15.75" thickBot="1" x14ac:dyDescent="0.3">
      <c r="A36" s="65">
        <v>34</v>
      </c>
      <c r="B36" s="65">
        <f>HEX2DEC(A36+Items!$A$7)</f>
        <v>18874420</v>
      </c>
      <c r="C36" s="65" t="s">
        <v>4204</v>
      </c>
      <c r="D36" s="65">
        <v>33</v>
      </c>
      <c r="E36" s="65" t="s">
        <v>2384</v>
      </c>
      <c r="F36" s="65">
        <v>47</v>
      </c>
      <c r="G36" s="65">
        <v>0</v>
      </c>
      <c r="H36" s="65">
        <v>1</v>
      </c>
      <c r="I36" s="65">
        <v>0</v>
      </c>
      <c r="J36" s="65">
        <v>0</v>
      </c>
      <c r="K36" s="65">
        <v>1</v>
      </c>
      <c r="L36" s="65">
        <v>2</v>
      </c>
      <c r="M36" s="65" t="s">
        <v>4261</v>
      </c>
      <c r="N36" s="65" t="s">
        <v>4411</v>
      </c>
      <c r="O36" s="70" t="s">
        <v>2804</v>
      </c>
      <c r="P36" s="69" t="s">
        <v>4519</v>
      </c>
      <c r="Q36" s="65">
        <v>9</v>
      </c>
      <c r="R36" s="65">
        <v>13</v>
      </c>
      <c r="S36" s="65" t="str">
        <f t="shared" si="0"/>
        <v>DA_gl_ga_sc_f_g_c_avg_c_mag</v>
      </c>
      <c r="T36" s="65" t="str">
        <f t="shared" si="1"/>
        <v>/Game/DungeonSiege/Items/Armor/Glove/DA_gl_ga_sc_f_g_c_avg_c_mag</v>
      </c>
      <c r="U36" s="65" t="str">
        <f t="shared" si="2"/>
        <v>Texture2D'/Game/DungeonSiege/art/bitmaps/gui/in_game/inventory/armor/gauntlet/b_gui_ig_i_a_gntl_050.b_gui_ig_i_a_gntl_050'</v>
      </c>
      <c r="V36" s="65" t="s">
        <v>4479</v>
      </c>
    </row>
    <row r="37" spans="1:22" ht="15.75" thickBot="1" x14ac:dyDescent="0.3">
      <c r="A37" s="65">
        <v>35</v>
      </c>
      <c r="B37" s="65">
        <f>HEX2DEC(A37+Items!$A$7)</f>
        <v>18874421</v>
      </c>
      <c r="C37" s="65" t="s">
        <v>4204</v>
      </c>
      <c r="D37" s="65">
        <v>24</v>
      </c>
      <c r="E37" s="65" t="s">
        <v>2384</v>
      </c>
      <c r="F37" s="65">
        <v>36</v>
      </c>
      <c r="G37" s="65">
        <v>0</v>
      </c>
      <c r="H37" s="65">
        <v>1</v>
      </c>
      <c r="I37" s="65">
        <v>0</v>
      </c>
      <c r="J37" s="65">
        <v>0</v>
      </c>
      <c r="K37" s="65">
        <v>1</v>
      </c>
      <c r="L37" s="65">
        <v>2</v>
      </c>
      <c r="M37" s="65" t="s">
        <v>4262</v>
      </c>
      <c r="N37" s="65" t="s">
        <v>4412</v>
      </c>
      <c r="O37" s="70" t="s">
        <v>2810</v>
      </c>
      <c r="P37" s="69" t="s">
        <v>4519</v>
      </c>
      <c r="Q37" s="65">
        <v>5</v>
      </c>
      <c r="R37" s="65">
        <v>9</v>
      </c>
      <c r="S37" s="65" t="str">
        <f t="shared" si="0"/>
        <v>DA_gl_ga_sc_f_g_c_avg_c_str</v>
      </c>
      <c r="T37" s="65" t="str">
        <f t="shared" si="1"/>
        <v>/Game/DungeonSiege/Items/Armor/Glove/DA_gl_ga_sc_f_g_c_avg_c_str</v>
      </c>
      <c r="U37" s="65" t="str">
        <f t="shared" si="2"/>
        <v>Texture2D'/Game/DungeonSiege/art/bitmaps/gui/in_game/inventory/armor/gauntlet/b_gui_ig_i_a_gntl_049.b_gui_ig_i_a_gntl_049'</v>
      </c>
      <c r="V37" s="65" t="s">
        <v>4479</v>
      </c>
    </row>
    <row r="38" spans="1:22" ht="15.75" thickBot="1" x14ac:dyDescent="0.3">
      <c r="A38" s="65">
        <v>36</v>
      </c>
      <c r="B38" s="65">
        <f>HEX2DEC(A38+Items!$A$7)</f>
        <v>18874422</v>
      </c>
      <c r="C38" s="65" t="s">
        <v>4204</v>
      </c>
      <c r="D38" s="65">
        <v>18</v>
      </c>
      <c r="E38" s="65" t="s">
        <v>2384</v>
      </c>
      <c r="F38" s="65">
        <v>30</v>
      </c>
      <c r="G38" s="65">
        <v>0</v>
      </c>
      <c r="H38" s="65">
        <v>1</v>
      </c>
      <c r="I38" s="65">
        <v>0</v>
      </c>
      <c r="J38" s="65">
        <v>0</v>
      </c>
      <c r="K38" s="65">
        <v>1</v>
      </c>
      <c r="L38" s="65">
        <v>2</v>
      </c>
      <c r="M38" s="65" t="s">
        <v>4263</v>
      </c>
      <c r="N38" s="65" t="s">
        <v>4413</v>
      </c>
      <c r="O38" s="70" t="s">
        <v>2825</v>
      </c>
      <c r="P38" s="69" t="s">
        <v>4519</v>
      </c>
      <c r="Q38" s="65">
        <v>2</v>
      </c>
      <c r="R38" s="65">
        <v>5</v>
      </c>
      <c r="S38" s="65" t="str">
        <f t="shared" si="0"/>
        <v>DA_gl_ga_sc_f_g_c_avg_o_avg</v>
      </c>
      <c r="T38" s="65" t="str">
        <f t="shared" si="1"/>
        <v>/Game/DungeonSiege/Items/Armor/Glove/DA_gl_ga_sc_f_g_c_avg_o_avg</v>
      </c>
      <c r="U38" s="65" t="str">
        <f t="shared" si="2"/>
        <v>Texture2D'/Game/DungeonSiege/art/bitmaps/gui/in_game/inventory/armor/gauntlet/b_gui_ig_i_a_gntl_051.b_gui_ig_i_a_gntl_051'</v>
      </c>
      <c r="V38" s="65" t="s">
        <v>4479</v>
      </c>
    </row>
    <row r="39" spans="1:22" ht="15.75" thickBot="1" x14ac:dyDescent="0.3">
      <c r="A39" s="65">
        <v>37</v>
      </c>
      <c r="B39" s="65">
        <f>HEX2DEC(A39+Items!$A$7)</f>
        <v>18874423</v>
      </c>
      <c r="C39" s="65" t="s">
        <v>4204</v>
      </c>
      <c r="D39" s="65">
        <v>20</v>
      </c>
      <c r="E39" s="65" t="s">
        <v>2384</v>
      </c>
      <c r="F39" s="65">
        <v>33</v>
      </c>
      <c r="G39" s="65">
        <v>0</v>
      </c>
      <c r="H39" s="65">
        <v>1</v>
      </c>
      <c r="I39" s="65">
        <v>0</v>
      </c>
      <c r="J39" s="65">
        <v>0</v>
      </c>
      <c r="K39" s="65">
        <v>1</v>
      </c>
      <c r="L39" s="65">
        <v>2</v>
      </c>
      <c r="M39" s="65" t="s">
        <v>4264</v>
      </c>
      <c r="N39" s="65" t="s">
        <v>4414</v>
      </c>
      <c r="O39" s="70" t="s">
        <v>2808</v>
      </c>
      <c r="P39" s="69" t="s">
        <v>4519</v>
      </c>
      <c r="Q39" s="65">
        <v>4</v>
      </c>
      <c r="R39" s="65">
        <v>7</v>
      </c>
      <c r="S39" s="65" t="str">
        <f t="shared" si="0"/>
        <v>DA_gl_ga_sc_f_g_c_avg_o_fin</v>
      </c>
      <c r="T39" s="65" t="str">
        <f t="shared" si="1"/>
        <v>/Game/DungeonSiege/Items/Armor/Glove/DA_gl_ga_sc_f_g_c_avg_o_fin</v>
      </c>
      <c r="U39" s="65" t="str">
        <f t="shared" si="2"/>
        <v>Texture2D'/Game/DungeonSiege/art/bitmaps/gui/in_game/inventory/armor/gauntlet/b_gui_ig_i_a_gntl_052.b_gui_ig_i_a_gntl_052'</v>
      </c>
      <c r="V39" s="65" t="s">
        <v>4479</v>
      </c>
    </row>
    <row r="40" spans="1:22" ht="15.75" thickBot="1" x14ac:dyDescent="0.3">
      <c r="A40" s="65">
        <v>38</v>
      </c>
      <c r="B40" s="65">
        <f>HEX2DEC(A40+Items!$A$7)</f>
        <v>18874424</v>
      </c>
      <c r="C40" s="65" t="s">
        <v>4204</v>
      </c>
      <c r="D40" s="65">
        <v>38</v>
      </c>
      <c r="E40" s="65" t="s">
        <v>2384</v>
      </c>
      <c r="F40" s="65">
        <v>52</v>
      </c>
      <c r="G40" s="65">
        <v>0</v>
      </c>
      <c r="H40" s="65">
        <v>1</v>
      </c>
      <c r="I40" s="65">
        <v>0</v>
      </c>
      <c r="J40" s="65">
        <v>0</v>
      </c>
      <c r="K40" s="65">
        <v>1</v>
      </c>
      <c r="L40" s="65">
        <v>2</v>
      </c>
      <c r="M40" s="65" t="s">
        <v>4265</v>
      </c>
      <c r="N40" s="65" t="s">
        <v>4415</v>
      </c>
      <c r="O40" s="70" t="s">
        <v>2812</v>
      </c>
      <c r="P40" s="69" t="s">
        <v>4519</v>
      </c>
      <c r="Q40" s="65">
        <v>11</v>
      </c>
      <c r="R40" s="65">
        <v>15</v>
      </c>
      <c r="S40" s="65" t="str">
        <f t="shared" si="0"/>
        <v>DA_gl_ga_sc_f_g_c_avg_o_mag</v>
      </c>
      <c r="T40" s="65" t="str">
        <f t="shared" si="1"/>
        <v>/Game/DungeonSiege/Items/Armor/Glove/DA_gl_ga_sc_f_g_c_avg_o_mag</v>
      </c>
      <c r="U40" s="65" t="str">
        <f t="shared" si="2"/>
        <v>Texture2D'/Game/DungeonSiege/art/bitmaps/gui/in_game/inventory/armor/gauntlet/b_gui_ig_i_a_gntl_054.b_gui_ig_i_a_gntl_054'</v>
      </c>
      <c r="V40" s="65" t="s">
        <v>4479</v>
      </c>
    </row>
    <row r="41" spans="1:22" ht="15.75" thickBot="1" x14ac:dyDescent="0.3">
      <c r="A41" s="65">
        <v>39</v>
      </c>
      <c r="B41" s="65">
        <f>HEX2DEC(A41+Items!$A$7)</f>
        <v>18874425</v>
      </c>
      <c r="C41" s="65" t="s">
        <v>4204</v>
      </c>
      <c r="D41" s="65">
        <v>28</v>
      </c>
      <c r="E41" s="65" t="s">
        <v>2384</v>
      </c>
      <c r="F41" s="65">
        <v>42</v>
      </c>
      <c r="G41" s="65">
        <v>0</v>
      </c>
      <c r="H41" s="65">
        <v>1</v>
      </c>
      <c r="I41" s="65">
        <v>0</v>
      </c>
      <c r="J41" s="65">
        <v>0</v>
      </c>
      <c r="K41" s="65">
        <v>1</v>
      </c>
      <c r="L41" s="65">
        <v>2</v>
      </c>
      <c r="M41" s="65" t="s">
        <v>4266</v>
      </c>
      <c r="N41" s="65" t="s">
        <v>4416</v>
      </c>
      <c r="O41" s="70" t="s">
        <v>2798</v>
      </c>
      <c r="P41" s="69" t="s">
        <v>4519</v>
      </c>
      <c r="Q41" s="65">
        <v>7</v>
      </c>
      <c r="R41" s="65">
        <v>11</v>
      </c>
      <c r="S41" s="65" t="str">
        <f t="shared" si="0"/>
        <v>DA_gl_ga_sc_f_g_c_avg_o_str</v>
      </c>
      <c r="T41" s="65" t="str">
        <f t="shared" si="1"/>
        <v>/Game/DungeonSiege/Items/Armor/Glove/DA_gl_ga_sc_f_g_c_avg_o_str</v>
      </c>
      <c r="U41" s="65" t="str">
        <f t="shared" si="2"/>
        <v>Texture2D'/Game/DungeonSiege/art/bitmaps/gui/in_game/inventory/armor/gauntlet/b_gui_ig_i_a_gntl_053.b_gui_ig_i_a_gntl_053'</v>
      </c>
      <c r="V41" s="65" t="s">
        <v>4479</v>
      </c>
    </row>
    <row r="42" spans="1:22" ht="15.75" thickBot="1" x14ac:dyDescent="0.3">
      <c r="A42" s="65">
        <v>40</v>
      </c>
      <c r="B42" s="65">
        <f>HEX2DEC(A42+Items!$A$7)</f>
        <v>18874432</v>
      </c>
      <c r="C42" s="65" t="s">
        <v>4205</v>
      </c>
      <c r="D42" s="65">
        <v>4</v>
      </c>
      <c r="E42" s="65" t="s">
        <v>2384</v>
      </c>
      <c r="F42" s="65">
        <v>15</v>
      </c>
      <c r="G42" s="65">
        <v>1</v>
      </c>
      <c r="H42" s="65">
        <v>0</v>
      </c>
      <c r="I42" s="65">
        <v>0</v>
      </c>
      <c r="J42" s="65">
        <v>0</v>
      </c>
      <c r="K42" s="65">
        <v>1</v>
      </c>
      <c r="L42" s="65">
        <v>2</v>
      </c>
      <c r="M42" s="65" t="s">
        <v>4267</v>
      </c>
      <c r="N42" s="65" t="s">
        <v>4417</v>
      </c>
      <c r="O42" s="70" t="s">
        <v>2517</v>
      </c>
      <c r="P42" s="69" t="s">
        <v>4519</v>
      </c>
      <c r="Q42" s="65"/>
      <c r="R42" s="65"/>
      <c r="S42" s="65" t="str">
        <f t="shared" si="0"/>
        <v>DA_gl_gl_bl_f_g_c_avg</v>
      </c>
      <c r="T42" s="65" t="str">
        <f t="shared" si="1"/>
        <v>/Game/DungeonSiege/Items/Armor/Glove/DA_gl_gl_bl_f_g_c_avg</v>
      </c>
      <c r="U42" s="65" t="str">
        <f t="shared" si="2"/>
        <v>Texture2D'/Game/DungeonSiege/art/bitmaps/gui/in_game/inventory/armor/gauntlet/b_gui_ig_i_a_gntl_016.b_gui_ig_i_a_gntl_016'</v>
      </c>
      <c r="V42" s="65" t="s">
        <v>4479</v>
      </c>
    </row>
    <row r="43" spans="1:22" ht="15.75" thickBot="1" x14ac:dyDescent="0.3">
      <c r="A43" s="65">
        <v>41</v>
      </c>
      <c r="B43" s="65">
        <f>HEX2DEC(A43+Items!$A$7)</f>
        <v>18874433</v>
      </c>
      <c r="C43" s="65" t="s">
        <v>4205</v>
      </c>
      <c r="D43" s="65">
        <v>6</v>
      </c>
      <c r="E43" s="65" t="s">
        <v>2384</v>
      </c>
      <c r="F43" s="65">
        <v>16</v>
      </c>
      <c r="G43" s="65">
        <v>0</v>
      </c>
      <c r="H43" s="65">
        <v>1</v>
      </c>
      <c r="I43" s="65">
        <v>0</v>
      </c>
      <c r="J43" s="65">
        <v>0</v>
      </c>
      <c r="K43" s="65">
        <v>1</v>
      </c>
      <c r="L43" s="65">
        <v>2</v>
      </c>
      <c r="M43" s="65" t="s">
        <v>4268</v>
      </c>
      <c r="N43" s="65" t="s">
        <v>4418</v>
      </c>
      <c r="O43" s="70" t="s">
        <v>2794</v>
      </c>
      <c r="P43" s="69" t="s">
        <v>4519</v>
      </c>
      <c r="Q43" s="65">
        <v>1</v>
      </c>
      <c r="R43" s="65">
        <v>3</v>
      </c>
      <c r="S43" s="65" t="str">
        <f t="shared" si="0"/>
        <v>DA_gl_gl_bl_f_g_c_avg_c_fin</v>
      </c>
      <c r="T43" s="65" t="str">
        <f t="shared" si="1"/>
        <v>/Game/DungeonSiege/Items/Armor/Glove/DA_gl_gl_bl_f_g_c_avg_c_fin</v>
      </c>
      <c r="U43" s="65" t="str">
        <f t="shared" si="2"/>
        <v>Texture2D'/Game/DungeonSiege/art/bitmaps/gui/in_game/inventory/armor/gauntlet/b_gui_ig_i_a_gntl_017.b_gui_ig_i_a_gntl_017'</v>
      </c>
      <c r="V43" s="65" t="s">
        <v>4479</v>
      </c>
    </row>
    <row r="44" spans="1:22" ht="15.75" thickBot="1" x14ac:dyDescent="0.3">
      <c r="A44" s="65">
        <v>42</v>
      </c>
      <c r="B44" s="65">
        <f>HEX2DEC(A44+Items!$A$7)</f>
        <v>18874434</v>
      </c>
      <c r="C44" s="65" t="s">
        <v>4205</v>
      </c>
      <c r="D44" s="65">
        <v>18</v>
      </c>
      <c r="E44" s="65" t="s">
        <v>2384</v>
      </c>
      <c r="F44" s="65">
        <v>30</v>
      </c>
      <c r="G44" s="65">
        <v>0</v>
      </c>
      <c r="H44" s="65">
        <v>1</v>
      </c>
      <c r="I44" s="65">
        <v>0</v>
      </c>
      <c r="J44" s="65">
        <v>0</v>
      </c>
      <c r="K44" s="65">
        <v>1</v>
      </c>
      <c r="L44" s="65">
        <v>2</v>
      </c>
      <c r="M44" s="65" t="s">
        <v>4269</v>
      </c>
      <c r="N44" s="65" t="s">
        <v>4419</v>
      </c>
      <c r="O44" s="70" t="s">
        <v>2779</v>
      </c>
      <c r="P44" s="69" t="s">
        <v>4519</v>
      </c>
      <c r="Q44" s="65">
        <v>6</v>
      </c>
      <c r="R44" s="65">
        <v>8</v>
      </c>
      <c r="S44" s="65" t="str">
        <f t="shared" si="0"/>
        <v>DA_gl_gl_bl_f_g_c_avg_c_mag</v>
      </c>
      <c r="T44" s="65" t="str">
        <f t="shared" si="1"/>
        <v>/Game/DungeonSiege/Items/Armor/Glove/DA_gl_gl_bl_f_g_c_avg_c_mag</v>
      </c>
      <c r="U44" s="65" t="str">
        <f t="shared" si="2"/>
        <v>Texture2D'/Game/DungeonSiege/art/bitmaps/gui/in_game/inventory/armor/gauntlet/b_gui_ig_i_a_gntl_019.b_gui_ig_i_a_gntl_019'</v>
      </c>
      <c r="V44" s="65" t="s">
        <v>4479</v>
      </c>
    </row>
    <row r="45" spans="1:22" ht="15.75" thickBot="1" x14ac:dyDescent="0.3">
      <c r="A45" s="65">
        <v>43</v>
      </c>
      <c r="B45" s="65">
        <f>HEX2DEC(A45+Items!$A$7)</f>
        <v>18874435</v>
      </c>
      <c r="C45" s="65" t="s">
        <v>4205</v>
      </c>
      <c r="D45" s="65">
        <v>11</v>
      </c>
      <c r="E45" s="65" t="s">
        <v>2384</v>
      </c>
      <c r="F45" s="65">
        <v>22</v>
      </c>
      <c r="G45" s="65">
        <v>0</v>
      </c>
      <c r="H45" s="65">
        <v>1</v>
      </c>
      <c r="I45" s="65">
        <v>0</v>
      </c>
      <c r="J45" s="65">
        <v>0</v>
      </c>
      <c r="K45" s="65">
        <v>1</v>
      </c>
      <c r="L45" s="65">
        <v>2</v>
      </c>
      <c r="M45" s="65" t="s">
        <v>4270</v>
      </c>
      <c r="N45" s="65" t="s">
        <v>4420</v>
      </c>
      <c r="O45" s="70" t="s">
        <v>2807</v>
      </c>
      <c r="P45" s="69" t="s">
        <v>4519</v>
      </c>
      <c r="Q45" s="65">
        <v>3</v>
      </c>
      <c r="R45" s="65">
        <v>5</v>
      </c>
      <c r="S45" s="65" t="str">
        <f t="shared" si="0"/>
        <v>DA_gl_gl_bl_f_g_c_avg_c_str</v>
      </c>
      <c r="T45" s="65" t="str">
        <f t="shared" si="1"/>
        <v>/Game/DungeonSiege/Items/Armor/Glove/DA_gl_gl_bl_f_g_c_avg_c_str</v>
      </c>
      <c r="U45" s="65" t="str">
        <f t="shared" si="2"/>
        <v>Texture2D'/Game/DungeonSiege/art/bitmaps/gui/in_game/inventory/armor/gauntlet/b_gui_ig_i_a_gntl_018.b_gui_ig_i_a_gntl_018'</v>
      </c>
      <c r="V45" s="65" t="s">
        <v>4479</v>
      </c>
    </row>
    <row r="46" spans="1:22" ht="15.75" thickBot="1" x14ac:dyDescent="0.3">
      <c r="A46" s="65">
        <v>44</v>
      </c>
      <c r="B46" s="65">
        <f>HEX2DEC(A46+Items!$A$7)</f>
        <v>18874436</v>
      </c>
      <c r="C46" s="65" t="s">
        <v>4205</v>
      </c>
      <c r="D46" s="65">
        <v>7</v>
      </c>
      <c r="E46" s="65" t="s">
        <v>2384</v>
      </c>
      <c r="F46" s="65">
        <v>18</v>
      </c>
      <c r="G46" s="65">
        <v>0</v>
      </c>
      <c r="H46" s="65">
        <v>1</v>
      </c>
      <c r="I46" s="65">
        <v>0</v>
      </c>
      <c r="J46" s="65">
        <v>0</v>
      </c>
      <c r="K46" s="65">
        <v>1</v>
      </c>
      <c r="L46" s="65">
        <v>2</v>
      </c>
      <c r="M46" s="65" t="s">
        <v>4271</v>
      </c>
      <c r="N46" s="65" t="s">
        <v>4421</v>
      </c>
      <c r="O46" s="70" t="s">
        <v>2780</v>
      </c>
      <c r="P46" s="69" t="s">
        <v>4519</v>
      </c>
      <c r="Q46" s="65">
        <v>2</v>
      </c>
      <c r="R46" s="65">
        <v>3</v>
      </c>
      <c r="S46" s="65" t="str">
        <f t="shared" si="0"/>
        <v>DA_gl_gl_bl_f_g_c_avg_o_avg</v>
      </c>
      <c r="T46" s="65" t="str">
        <f t="shared" si="1"/>
        <v>/Game/DungeonSiege/Items/Armor/Glove/DA_gl_gl_bl_f_g_c_avg_o_avg</v>
      </c>
      <c r="U46" s="65" t="str">
        <f t="shared" si="2"/>
        <v>Texture2D'/Game/DungeonSiege/art/bitmaps/gui/in_game/inventory/armor/gauntlet/b_gui_ig_i_a_gntl_020.b_gui_ig_i_a_gntl_020'</v>
      </c>
      <c r="V46" s="65" t="s">
        <v>4479</v>
      </c>
    </row>
    <row r="47" spans="1:22" ht="15.75" thickBot="1" x14ac:dyDescent="0.3">
      <c r="A47" s="65">
        <v>45</v>
      </c>
      <c r="B47" s="65">
        <f>HEX2DEC(A47+Items!$A$7)</f>
        <v>18874437</v>
      </c>
      <c r="C47" s="65" t="s">
        <v>4205</v>
      </c>
      <c r="D47" s="65">
        <v>9</v>
      </c>
      <c r="E47" s="65" t="s">
        <v>2384</v>
      </c>
      <c r="F47" s="65">
        <v>20</v>
      </c>
      <c r="G47" s="65">
        <v>0</v>
      </c>
      <c r="H47" s="65">
        <v>1</v>
      </c>
      <c r="I47" s="65">
        <v>0</v>
      </c>
      <c r="J47" s="65">
        <v>0</v>
      </c>
      <c r="K47" s="65">
        <v>1</v>
      </c>
      <c r="L47" s="65">
        <v>2</v>
      </c>
      <c r="M47" s="65" t="s">
        <v>4272</v>
      </c>
      <c r="N47" s="65" t="s">
        <v>4422</v>
      </c>
      <c r="O47" s="70" t="s">
        <v>2796</v>
      </c>
      <c r="P47" s="69" t="s">
        <v>4519</v>
      </c>
      <c r="Q47" s="65">
        <v>2</v>
      </c>
      <c r="R47" s="65">
        <v>4</v>
      </c>
      <c r="S47" s="65" t="str">
        <f t="shared" si="0"/>
        <v>DA_gl_gl_bl_f_g_c_avg_o_fin</v>
      </c>
      <c r="T47" s="65" t="str">
        <f t="shared" si="1"/>
        <v>/Game/DungeonSiege/Items/Armor/Glove/DA_gl_gl_bl_f_g_c_avg_o_fin</v>
      </c>
      <c r="U47" s="65" t="str">
        <f t="shared" si="2"/>
        <v>Texture2D'/Game/DungeonSiege/art/bitmaps/gui/in_game/inventory/armor/gauntlet/b_gui_ig_i_a_gntl_021.b_gui_ig_i_a_gntl_021'</v>
      </c>
      <c r="V47" s="65" t="s">
        <v>4479</v>
      </c>
    </row>
    <row r="48" spans="1:22" ht="15.75" thickBot="1" x14ac:dyDescent="0.3">
      <c r="A48" s="65">
        <v>46</v>
      </c>
      <c r="B48" s="65">
        <f>HEX2DEC(A48+Items!$A$7)</f>
        <v>18874438</v>
      </c>
      <c r="C48" s="65" t="s">
        <v>4205</v>
      </c>
      <c r="D48" s="65">
        <v>21</v>
      </c>
      <c r="E48" s="65" t="s">
        <v>2384</v>
      </c>
      <c r="F48" s="65">
        <v>34</v>
      </c>
      <c r="G48" s="65">
        <v>0</v>
      </c>
      <c r="H48" s="65">
        <v>1</v>
      </c>
      <c r="I48" s="65">
        <v>0</v>
      </c>
      <c r="J48" s="65">
        <v>0</v>
      </c>
      <c r="K48" s="65">
        <v>1</v>
      </c>
      <c r="L48" s="65">
        <v>2</v>
      </c>
      <c r="M48" s="65" t="s">
        <v>4273</v>
      </c>
      <c r="N48" s="65" t="s">
        <v>4423</v>
      </c>
      <c r="O48" s="70" t="s">
        <v>2786</v>
      </c>
      <c r="P48" s="69" t="s">
        <v>4519</v>
      </c>
      <c r="Q48" s="65">
        <v>7</v>
      </c>
      <c r="R48" s="65">
        <v>8</v>
      </c>
      <c r="S48" s="65" t="str">
        <f t="shared" si="0"/>
        <v>DA_gl_gl_bl_f_g_c_avg_o_mag</v>
      </c>
      <c r="T48" s="65" t="str">
        <f t="shared" si="1"/>
        <v>/Game/DungeonSiege/Items/Armor/Glove/DA_gl_gl_bl_f_g_c_avg_o_mag</v>
      </c>
      <c r="U48" s="65" t="str">
        <f t="shared" si="2"/>
        <v>Texture2D'/Game/DungeonSiege/art/bitmaps/gui/in_game/inventory/armor/gauntlet/b_gui_ig_i_a_gntl_023.b_gui_ig_i_a_gntl_023'</v>
      </c>
      <c r="V48" s="65" t="s">
        <v>4479</v>
      </c>
    </row>
    <row r="49" spans="1:22" ht="15.75" thickBot="1" x14ac:dyDescent="0.3">
      <c r="A49" s="65">
        <v>47</v>
      </c>
      <c r="B49" s="65">
        <f>HEX2DEC(A49+Items!$A$7)</f>
        <v>18874439</v>
      </c>
      <c r="C49" s="65" t="s">
        <v>4205</v>
      </c>
      <c r="D49" s="65">
        <v>14</v>
      </c>
      <c r="E49" s="65" t="s">
        <v>2384</v>
      </c>
      <c r="F49" s="65">
        <v>26</v>
      </c>
      <c r="G49" s="65">
        <v>0</v>
      </c>
      <c r="H49" s="65">
        <v>1</v>
      </c>
      <c r="I49" s="65">
        <v>0</v>
      </c>
      <c r="J49" s="65">
        <v>0</v>
      </c>
      <c r="K49" s="65">
        <v>1</v>
      </c>
      <c r="L49" s="65">
        <v>2</v>
      </c>
      <c r="M49" s="65" t="s">
        <v>4274</v>
      </c>
      <c r="N49" s="65" t="s">
        <v>4424</v>
      </c>
      <c r="O49" s="70" t="s">
        <v>2783</v>
      </c>
      <c r="P49" s="69" t="s">
        <v>4519</v>
      </c>
      <c r="Q49" s="65">
        <v>4</v>
      </c>
      <c r="R49" s="65">
        <v>6</v>
      </c>
      <c r="S49" s="65" t="str">
        <f t="shared" si="0"/>
        <v>DA_gl_gl_bl_f_g_c_avg_o_str</v>
      </c>
      <c r="T49" s="65" t="str">
        <f t="shared" si="1"/>
        <v>/Game/DungeonSiege/Items/Armor/Glove/DA_gl_gl_bl_f_g_c_avg_o_str</v>
      </c>
      <c r="U49" s="65" t="str">
        <f t="shared" si="2"/>
        <v>Texture2D'/Game/DungeonSiege/art/bitmaps/gui/in_game/inventory/armor/gauntlet/b_gui_ig_i_a_gntl_022.b_gui_ig_i_a_gntl_022'</v>
      </c>
      <c r="V49" s="65" t="s">
        <v>4479</v>
      </c>
    </row>
    <row r="50" spans="1:22" ht="15.75" thickBot="1" x14ac:dyDescent="0.3">
      <c r="A50" s="65">
        <v>48</v>
      </c>
      <c r="B50" s="65">
        <f>HEX2DEC(A50+Items!$A$7)</f>
        <v>18874440</v>
      </c>
      <c r="C50" s="65" t="s">
        <v>4206</v>
      </c>
      <c r="D50" s="65">
        <v>9</v>
      </c>
      <c r="E50" s="65" t="s">
        <v>2384</v>
      </c>
      <c r="F50" s="65">
        <v>20</v>
      </c>
      <c r="G50" s="65">
        <v>1</v>
      </c>
      <c r="H50" s="65">
        <v>0</v>
      </c>
      <c r="I50" s="65">
        <v>0</v>
      </c>
      <c r="J50" s="65">
        <v>0</v>
      </c>
      <c r="K50" s="65">
        <v>1</v>
      </c>
      <c r="L50" s="65">
        <v>2</v>
      </c>
      <c r="M50" s="65" t="s">
        <v>4275</v>
      </c>
      <c r="N50" s="65" t="s">
        <v>4425</v>
      </c>
      <c r="O50" s="70" t="s">
        <v>2511</v>
      </c>
      <c r="P50" s="69" t="s">
        <v>4519</v>
      </c>
      <c r="Q50" s="65"/>
      <c r="R50" s="65"/>
      <c r="S50" s="65" t="str">
        <f t="shared" si="0"/>
        <v>DA_gl_gl_br_f_g_c_avg</v>
      </c>
      <c r="T50" s="65" t="str">
        <f t="shared" si="1"/>
        <v>/Game/DungeonSiege/Items/Armor/Glove/DA_gl_gl_br_f_g_c_avg</v>
      </c>
      <c r="U50" s="65" t="str">
        <f t="shared" si="2"/>
        <v>Texture2D'/Game/DungeonSiege/art/bitmaps/gui/in_game/inventory/armor/gauntlet/b_gui_ig_i_a_gntl_008.b_gui_ig_i_a_gntl_008'</v>
      </c>
      <c r="V50" s="65" t="s">
        <v>4479</v>
      </c>
    </row>
    <row r="51" spans="1:22" ht="15.75" thickBot="1" x14ac:dyDescent="0.3">
      <c r="A51" s="65">
        <v>49</v>
      </c>
      <c r="B51" s="65">
        <f>HEX2DEC(A51+Items!$A$7)</f>
        <v>18874441</v>
      </c>
      <c r="C51" s="65" t="s">
        <v>4206</v>
      </c>
      <c r="D51" s="65">
        <v>11</v>
      </c>
      <c r="E51" s="65" t="s">
        <v>2384</v>
      </c>
      <c r="F51" s="65">
        <v>22</v>
      </c>
      <c r="G51" s="65">
        <v>0</v>
      </c>
      <c r="H51" s="65">
        <v>1</v>
      </c>
      <c r="I51" s="65">
        <v>0</v>
      </c>
      <c r="J51" s="65">
        <v>0</v>
      </c>
      <c r="K51" s="65">
        <v>1</v>
      </c>
      <c r="L51" s="65">
        <v>2</v>
      </c>
      <c r="M51" s="65" t="s">
        <v>4276</v>
      </c>
      <c r="N51" s="65" t="s">
        <v>4426</v>
      </c>
      <c r="O51" s="70" t="s">
        <v>4496</v>
      </c>
      <c r="P51" s="69" t="s">
        <v>4519</v>
      </c>
      <c r="Q51" s="65">
        <v>1</v>
      </c>
      <c r="R51" s="65">
        <v>2</v>
      </c>
      <c r="S51" s="65" t="str">
        <f t="shared" si="0"/>
        <v>DA_gl_gl_br_f_g_c_avg_c_fin</v>
      </c>
      <c r="T51" s="65" t="str">
        <f t="shared" si="1"/>
        <v>/Game/DungeonSiege/Items/Armor/Glove/DA_gl_gl_br_f_g_c_avg_c_fin</v>
      </c>
      <c r="U51" s="65" t="str">
        <f t="shared" si="2"/>
        <v>Texture2D'/Game/DungeonSiege/art/bitmaps/gui/in_game/inventory/armor/gauntlet/b_gui_ig_i_a_gntl_065.b_gui_ig_i_a_gntl_065'</v>
      </c>
      <c r="V51" s="65" t="s">
        <v>4479</v>
      </c>
    </row>
    <row r="52" spans="1:22" ht="15.75" thickBot="1" x14ac:dyDescent="0.3">
      <c r="A52" s="65">
        <v>50</v>
      </c>
      <c r="B52" s="65">
        <f>HEX2DEC(A52+Items!$A$7)</f>
        <v>18874448</v>
      </c>
      <c r="C52" s="65" t="s">
        <v>4206</v>
      </c>
      <c r="D52" s="65">
        <v>27</v>
      </c>
      <c r="E52" s="65" t="s">
        <v>2384</v>
      </c>
      <c r="F52" s="65">
        <v>40</v>
      </c>
      <c r="G52" s="65">
        <v>0</v>
      </c>
      <c r="H52" s="65">
        <v>1</v>
      </c>
      <c r="I52" s="65">
        <v>0</v>
      </c>
      <c r="J52" s="65">
        <v>0</v>
      </c>
      <c r="K52" s="65">
        <v>1</v>
      </c>
      <c r="L52" s="65">
        <v>2</v>
      </c>
      <c r="M52" s="65" t="s">
        <v>4277</v>
      </c>
      <c r="N52" s="65" t="s">
        <v>4427</v>
      </c>
      <c r="O52" s="70" t="s">
        <v>4497</v>
      </c>
      <c r="P52" s="69" t="s">
        <v>4519</v>
      </c>
      <c r="Q52" s="65">
        <v>7</v>
      </c>
      <c r="R52" s="65">
        <v>10</v>
      </c>
      <c r="S52" s="65" t="str">
        <f t="shared" si="0"/>
        <v>DA_gl_gl_br_f_g_c_avg_c_mag</v>
      </c>
      <c r="T52" s="65" t="str">
        <f t="shared" si="1"/>
        <v>/Game/DungeonSiege/Items/Armor/Glove/DA_gl_gl_br_f_g_c_avg_c_mag</v>
      </c>
      <c r="U52" s="65" t="str">
        <f t="shared" si="2"/>
        <v>Texture2D'/Game/DungeonSiege/art/bitmaps/gui/in_game/inventory/armor/gauntlet/b_gui_ig_i_a_gntl_067.b_gui_ig_i_a_gntl_067'</v>
      </c>
      <c r="V52" s="65" t="s">
        <v>4479</v>
      </c>
    </row>
    <row r="53" spans="1:22" ht="15.75" thickBot="1" x14ac:dyDescent="0.3">
      <c r="A53" s="65">
        <v>51</v>
      </c>
      <c r="B53" s="65">
        <f>HEX2DEC(A53+Items!$A$7)</f>
        <v>18874449</v>
      </c>
      <c r="C53" s="65" t="s">
        <v>4206</v>
      </c>
      <c r="D53" s="65">
        <v>19</v>
      </c>
      <c r="E53" s="65" t="s">
        <v>2384</v>
      </c>
      <c r="F53" s="65">
        <v>31</v>
      </c>
      <c r="G53" s="65">
        <v>0</v>
      </c>
      <c r="H53" s="65">
        <v>1</v>
      </c>
      <c r="I53" s="65">
        <v>0</v>
      </c>
      <c r="J53" s="65">
        <v>0</v>
      </c>
      <c r="K53" s="65">
        <v>1</v>
      </c>
      <c r="L53" s="65">
        <v>2</v>
      </c>
      <c r="M53" s="65" t="s">
        <v>4278</v>
      </c>
      <c r="N53" s="65" t="s">
        <v>4428</v>
      </c>
      <c r="O53" s="70" t="s">
        <v>4498</v>
      </c>
      <c r="P53" s="69" t="s">
        <v>4519</v>
      </c>
      <c r="Q53" s="65">
        <v>4</v>
      </c>
      <c r="R53" s="65">
        <v>7</v>
      </c>
      <c r="S53" s="65" t="str">
        <f t="shared" si="0"/>
        <v>DA_gl_gl_br_f_g_c_avg_c_str</v>
      </c>
      <c r="T53" s="65" t="str">
        <f t="shared" si="1"/>
        <v>/Game/DungeonSiege/Items/Armor/Glove/DA_gl_gl_br_f_g_c_avg_c_str</v>
      </c>
      <c r="U53" s="65" t="str">
        <f t="shared" si="2"/>
        <v>Texture2D'/Game/DungeonSiege/art/bitmaps/gui/in_game/inventory/armor/gauntlet/b_gui_ig_i_a_gntl_066.b_gui_ig_i_a_gntl_066'</v>
      </c>
      <c r="V53" s="65" t="s">
        <v>4479</v>
      </c>
    </row>
    <row r="54" spans="1:22" ht="15.75" thickBot="1" x14ac:dyDescent="0.3">
      <c r="A54" s="65">
        <v>52</v>
      </c>
      <c r="B54" s="65">
        <f>HEX2DEC(A54+Items!$A$7)</f>
        <v>18874450</v>
      </c>
      <c r="C54" s="65" t="s">
        <v>4206</v>
      </c>
      <c r="D54" s="65">
        <v>12</v>
      </c>
      <c r="E54" s="65" t="s">
        <v>2384</v>
      </c>
      <c r="F54" s="65">
        <v>24</v>
      </c>
      <c r="G54" s="65">
        <v>0</v>
      </c>
      <c r="H54" s="65">
        <v>1</v>
      </c>
      <c r="I54" s="65">
        <v>0</v>
      </c>
      <c r="J54" s="65">
        <v>0</v>
      </c>
      <c r="K54" s="65">
        <v>1</v>
      </c>
      <c r="L54" s="65">
        <v>2</v>
      </c>
      <c r="M54" s="65" t="s">
        <v>4279</v>
      </c>
      <c r="N54" s="65" t="s">
        <v>4429</v>
      </c>
      <c r="O54" s="70" t="s">
        <v>4499</v>
      </c>
      <c r="P54" s="69" t="s">
        <v>4519</v>
      </c>
      <c r="Q54" s="65">
        <v>1</v>
      </c>
      <c r="R54" s="65">
        <v>3</v>
      </c>
      <c r="S54" s="65" t="str">
        <f t="shared" si="0"/>
        <v>DA_gl_gl_br_f_g_c_avg_o_avg</v>
      </c>
      <c r="T54" s="65" t="str">
        <f t="shared" si="1"/>
        <v>/Game/DungeonSiege/Items/Armor/Glove/DA_gl_gl_br_f_g_c_avg_o_avg</v>
      </c>
      <c r="U54" s="65" t="str">
        <f t="shared" si="2"/>
        <v>Texture2D'/Game/DungeonSiege/art/bitmaps/gui/in_game/inventory/armor/gauntlet/b_gui_ig_i_a_gntl_068.b_gui_ig_i_a_gntl_068'</v>
      </c>
      <c r="V54" s="65" t="s">
        <v>4479</v>
      </c>
    </row>
    <row r="55" spans="1:22" ht="15.75" thickBot="1" x14ac:dyDescent="0.3">
      <c r="A55" s="65">
        <v>53</v>
      </c>
      <c r="B55" s="65">
        <f>HEX2DEC(A55+Items!$A$7)</f>
        <v>18874451</v>
      </c>
      <c r="C55" s="65" t="s">
        <v>4206</v>
      </c>
      <c r="D55" s="65">
        <v>15</v>
      </c>
      <c r="E55" s="65" t="s">
        <v>2384</v>
      </c>
      <c r="F55" s="65">
        <v>26</v>
      </c>
      <c r="G55" s="65">
        <v>0</v>
      </c>
      <c r="H55" s="65">
        <v>1</v>
      </c>
      <c r="I55" s="65">
        <v>0</v>
      </c>
      <c r="J55" s="65">
        <v>0</v>
      </c>
      <c r="K55" s="65">
        <v>1</v>
      </c>
      <c r="L55" s="65">
        <v>2</v>
      </c>
      <c r="M55" s="65" t="s">
        <v>4280</v>
      </c>
      <c r="N55" s="65" t="s">
        <v>4430</v>
      </c>
      <c r="O55" s="70" t="s">
        <v>4500</v>
      </c>
      <c r="P55" s="69" t="s">
        <v>4519</v>
      </c>
      <c r="Q55" s="65">
        <v>3</v>
      </c>
      <c r="R55" s="65">
        <v>5</v>
      </c>
      <c r="S55" s="65" t="str">
        <f t="shared" si="0"/>
        <v>DA_gl_gl_br_f_g_c_avg_o_fin</v>
      </c>
      <c r="T55" s="65" t="str">
        <f t="shared" si="1"/>
        <v>/Game/DungeonSiege/Items/Armor/Glove/DA_gl_gl_br_f_g_c_avg_o_fin</v>
      </c>
      <c r="U55" s="65" t="str">
        <f t="shared" si="2"/>
        <v>Texture2D'/Game/DungeonSiege/art/bitmaps/gui/in_game/inventory/armor/gauntlet/b_gui_ig_i_a_gntl_069.b_gui_ig_i_a_gntl_069'</v>
      </c>
      <c r="V55" s="65" t="s">
        <v>4479</v>
      </c>
    </row>
    <row r="56" spans="1:22" ht="15.75" thickBot="1" x14ac:dyDescent="0.3">
      <c r="A56" s="65">
        <v>54</v>
      </c>
      <c r="B56" s="65">
        <f>HEX2DEC(A56+Items!$A$7)</f>
        <v>18874452</v>
      </c>
      <c r="C56" s="65" t="s">
        <v>4206</v>
      </c>
      <c r="D56" s="65">
        <v>32</v>
      </c>
      <c r="E56" s="65" t="s">
        <v>2384</v>
      </c>
      <c r="F56" s="65">
        <v>45</v>
      </c>
      <c r="G56" s="65">
        <v>0</v>
      </c>
      <c r="H56" s="65">
        <v>1</v>
      </c>
      <c r="I56" s="65">
        <v>0</v>
      </c>
      <c r="J56" s="65">
        <v>0</v>
      </c>
      <c r="K56" s="65">
        <v>1</v>
      </c>
      <c r="L56" s="65">
        <v>2</v>
      </c>
      <c r="M56" s="65" t="s">
        <v>4281</v>
      </c>
      <c r="N56" s="65" t="s">
        <v>4431</v>
      </c>
      <c r="O56" s="70" t="s">
        <v>4501</v>
      </c>
      <c r="P56" s="69" t="s">
        <v>4519</v>
      </c>
      <c r="Q56" s="65">
        <v>9</v>
      </c>
      <c r="R56" s="65">
        <v>12</v>
      </c>
      <c r="S56" s="65" t="str">
        <f t="shared" si="0"/>
        <v>DA_gl_gl_br_f_g_c_avg_o_mag</v>
      </c>
      <c r="T56" s="65" t="str">
        <f t="shared" si="1"/>
        <v>/Game/DungeonSiege/Items/Armor/Glove/DA_gl_gl_br_f_g_c_avg_o_mag</v>
      </c>
      <c r="U56" s="65" t="str">
        <f t="shared" si="2"/>
        <v>Texture2D'/Game/DungeonSiege/art/bitmaps/gui/in_game/inventory/armor/gauntlet/b_gui_ig_i_a_gntl_071.b_gui_ig_i_a_gntl_071'</v>
      </c>
      <c r="V56" s="65" t="s">
        <v>4479</v>
      </c>
    </row>
    <row r="57" spans="1:22" ht="15.75" thickBot="1" x14ac:dyDescent="0.3">
      <c r="A57" s="65">
        <v>55</v>
      </c>
      <c r="B57" s="65">
        <f>HEX2DEC(A57+Items!$A$7)</f>
        <v>18874453</v>
      </c>
      <c r="C57" s="65" t="s">
        <v>4206</v>
      </c>
      <c r="D57" s="65">
        <v>23</v>
      </c>
      <c r="E57" s="65" t="s">
        <v>2384</v>
      </c>
      <c r="F57" s="65">
        <v>35</v>
      </c>
      <c r="G57" s="65">
        <v>0</v>
      </c>
      <c r="H57" s="65">
        <v>1</v>
      </c>
      <c r="I57" s="65">
        <v>0</v>
      </c>
      <c r="J57" s="65">
        <v>0</v>
      </c>
      <c r="K57" s="65">
        <v>1</v>
      </c>
      <c r="L57" s="65">
        <v>2</v>
      </c>
      <c r="M57" s="65" t="s">
        <v>4282</v>
      </c>
      <c r="N57" s="65" t="s">
        <v>4432</v>
      </c>
      <c r="O57" s="70" t="s">
        <v>4502</v>
      </c>
      <c r="P57" s="69" t="s">
        <v>4519</v>
      </c>
      <c r="Q57" s="65">
        <v>6</v>
      </c>
      <c r="R57" s="65">
        <v>9</v>
      </c>
      <c r="S57" s="65" t="str">
        <f t="shared" si="0"/>
        <v>DA_gl_gl_br_f_g_c_avg_o_str</v>
      </c>
      <c r="T57" s="65" t="str">
        <f t="shared" si="1"/>
        <v>/Game/DungeonSiege/Items/Armor/Glove/DA_gl_gl_br_f_g_c_avg_o_str</v>
      </c>
      <c r="U57" s="65" t="str">
        <f t="shared" si="2"/>
        <v>Texture2D'/Game/DungeonSiege/art/bitmaps/gui/in_game/inventory/armor/gauntlet/b_gui_ig_i_a_gntl_070.b_gui_ig_i_a_gntl_070'</v>
      </c>
      <c r="V57" s="65" t="s">
        <v>4479</v>
      </c>
    </row>
    <row r="58" spans="1:22" ht="15.75" thickBot="1" x14ac:dyDescent="0.3">
      <c r="A58" s="65">
        <v>56</v>
      </c>
      <c r="B58" s="65">
        <f>HEX2DEC(A58+Items!$A$7)</f>
        <v>18874454</v>
      </c>
      <c r="C58" s="65" t="s">
        <v>4207</v>
      </c>
      <c r="D58" s="65">
        <v>14</v>
      </c>
      <c r="E58" s="65" t="s">
        <v>2384</v>
      </c>
      <c r="F58" s="65">
        <v>26</v>
      </c>
      <c r="G58" s="65">
        <v>1</v>
      </c>
      <c r="H58" s="65">
        <v>1</v>
      </c>
      <c r="I58" s="65">
        <v>0</v>
      </c>
      <c r="J58" s="65">
        <v>0</v>
      </c>
      <c r="K58" s="65">
        <v>1</v>
      </c>
      <c r="L58" s="65">
        <v>2</v>
      </c>
      <c r="M58" s="65" t="s">
        <v>4283</v>
      </c>
      <c r="N58" s="65" t="s">
        <v>4433</v>
      </c>
      <c r="O58" s="70" t="s">
        <v>2795</v>
      </c>
      <c r="P58" s="69" t="s">
        <v>4519</v>
      </c>
      <c r="Q58" s="65">
        <v>0</v>
      </c>
      <c r="R58" s="65">
        <v>1</v>
      </c>
      <c r="S58" s="65" t="str">
        <f t="shared" si="0"/>
        <v>DA_gl_gl_ch_f_g_c_avg</v>
      </c>
      <c r="T58" s="65" t="str">
        <f t="shared" si="1"/>
        <v>/Game/DungeonSiege/Items/Armor/Glove/DA_gl_gl_ch_f_g_c_avg</v>
      </c>
      <c r="U58" s="65" t="str">
        <f t="shared" si="2"/>
        <v>Texture2D'/Game/DungeonSiege/art/bitmaps/gui/in_game/inventory/armor/gauntlet/b_gui_ig_i_a_gntl_003.b_gui_ig_i_a_gntl_003'</v>
      </c>
      <c r="V58" s="65" t="s">
        <v>4479</v>
      </c>
    </row>
    <row r="59" spans="1:22" ht="15.75" thickBot="1" x14ac:dyDescent="0.3">
      <c r="A59" s="65">
        <v>57</v>
      </c>
      <c r="B59" s="65">
        <f>HEX2DEC(A59+Items!$A$7)</f>
        <v>18874455</v>
      </c>
      <c r="C59" s="65" t="s">
        <v>4207</v>
      </c>
      <c r="D59" s="65">
        <v>16</v>
      </c>
      <c r="E59" s="65" t="s">
        <v>2384</v>
      </c>
      <c r="F59" s="65">
        <v>28</v>
      </c>
      <c r="G59" s="65">
        <v>0</v>
      </c>
      <c r="H59" s="65">
        <v>1</v>
      </c>
      <c r="I59" s="65">
        <v>0</v>
      </c>
      <c r="J59" s="65">
        <v>0</v>
      </c>
      <c r="K59" s="65">
        <v>1</v>
      </c>
      <c r="L59" s="65">
        <v>2</v>
      </c>
      <c r="M59" s="65" t="s">
        <v>4284</v>
      </c>
      <c r="N59" s="65" t="s">
        <v>4434</v>
      </c>
      <c r="O59" s="70" t="s">
        <v>2822</v>
      </c>
      <c r="P59" s="69" t="s">
        <v>4519</v>
      </c>
      <c r="Q59" s="65">
        <v>1</v>
      </c>
      <c r="R59" s="65">
        <v>3</v>
      </c>
      <c r="S59" s="65" t="str">
        <f t="shared" si="0"/>
        <v>DA_gl_gl_ch_f_g_c_avg_c_fin</v>
      </c>
      <c r="T59" s="65" t="str">
        <f t="shared" si="1"/>
        <v>/Game/DungeonSiege/Items/Armor/Glove/DA_gl_gl_ch_f_g_c_avg_c_fin</v>
      </c>
      <c r="U59" s="65" t="str">
        <f t="shared" si="2"/>
        <v>Texture2D'/Game/DungeonSiege/art/bitmaps/gui/in_game/inventory/armor/gauntlet/b_gui_ig_i_a_gntl_041.b_gui_ig_i_a_gntl_041'</v>
      </c>
      <c r="V59" s="65" t="s">
        <v>4479</v>
      </c>
    </row>
    <row r="60" spans="1:22" ht="15.75" thickBot="1" x14ac:dyDescent="0.3">
      <c r="A60" s="65">
        <v>58</v>
      </c>
      <c r="B60" s="65">
        <f>HEX2DEC(A60+Items!$A$7)</f>
        <v>18874456</v>
      </c>
      <c r="C60" s="65" t="s">
        <v>4207</v>
      </c>
      <c r="D60" s="65">
        <v>39</v>
      </c>
      <c r="E60" s="65" t="s">
        <v>2384</v>
      </c>
      <c r="F60" s="65">
        <v>53</v>
      </c>
      <c r="G60" s="65">
        <v>0</v>
      </c>
      <c r="H60" s="65">
        <v>1</v>
      </c>
      <c r="I60" s="65">
        <v>0</v>
      </c>
      <c r="J60" s="65">
        <v>0</v>
      </c>
      <c r="K60" s="65">
        <v>1</v>
      </c>
      <c r="L60" s="65">
        <v>2</v>
      </c>
      <c r="M60" s="65" t="s">
        <v>4285</v>
      </c>
      <c r="N60" s="65" t="s">
        <v>4435</v>
      </c>
      <c r="O60" s="70" t="s">
        <v>2814</v>
      </c>
      <c r="P60" s="69" t="s">
        <v>4519</v>
      </c>
      <c r="Q60" s="65">
        <v>11</v>
      </c>
      <c r="R60" s="65">
        <v>15</v>
      </c>
      <c r="S60" s="65" t="str">
        <f t="shared" si="0"/>
        <v>DA_gl_gl_ch_f_g_c_avg_c_mag</v>
      </c>
      <c r="T60" s="65" t="str">
        <f t="shared" si="1"/>
        <v>/Game/DungeonSiege/Items/Armor/Glove/DA_gl_gl_ch_f_g_c_avg_c_mag</v>
      </c>
      <c r="U60" s="65" t="str">
        <f t="shared" si="2"/>
        <v>Texture2D'/Game/DungeonSiege/art/bitmaps/gui/in_game/inventory/armor/gauntlet/b_gui_ig_i_a_gntl_043.b_gui_ig_i_a_gntl_043'</v>
      </c>
      <c r="V60" s="65" t="s">
        <v>4479</v>
      </c>
    </row>
    <row r="61" spans="1:22" ht="15.75" thickBot="1" x14ac:dyDescent="0.3">
      <c r="A61" s="65">
        <v>59</v>
      </c>
      <c r="B61" s="65">
        <f>HEX2DEC(A61+Items!$A$7)</f>
        <v>18874457</v>
      </c>
      <c r="C61" s="65" t="s">
        <v>4207</v>
      </c>
      <c r="D61" s="65">
        <v>28</v>
      </c>
      <c r="E61" s="65" t="s">
        <v>2384</v>
      </c>
      <c r="F61" s="65">
        <v>41</v>
      </c>
      <c r="G61" s="65">
        <v>0</v>
      </c>
      <c r="H61" s="65">
        <v>1</v>
      </c>
      <c r="I61" s="65">
        <v>0</v>
      </c>
      <c r="J61" s="65">
        <v>0</v>
      </c>
      <c r="K61" s="65">
        <v>1</v>
      </c>
      <c r="L61" s="65">
        <v>2</v>
      </c>
      <c r="M61" s="65" t="s">
        <v>4286</v>
      </c>
      <c r="N61" s="65" t="s">
        <v>4436</v>
      </c>
      <c r="O61" s="70" t="s">
        <v>2813</v>
      </c>
      <c r="P61" s="69" t="s">
        <v>4519</v>
      </c>
      <c r="Q61" s="65">
        <v>6</v>
      </c>
      <c r="R61" s="65">
        <v>10</v>
      </c>
      <c r="S61" s="65" t="str">
        <f t="shared" si="0"/>
        <v>DA_gl_gl_ch_f_g_c_avg_c_str</v>
      </c>
      <c r="T61" s="65" t="str">
        <f t="shared" si="1"/>
        <v>/Game/DungeonSiege/Items/Armor/Glove/DA_gl_gl_ch_f_g_c_avg_c_str</v>
      </c>
      <c r="U61" s="65" t="str">
        <f t="shared" si="2"/>
        <v>Texture2D'/Game/DungeonSiege/art/bitmaps/gui/in_game/inventory/armor/gauntlet/b_gui_ig_i_a_gntl_042.b_gui_ig_i_a_gntl_042'</v>
      </c>
      <c r="V61" s="65" t="s">
        <v>4479</v>
      </c>
    </row>
    <row r="62" spans="1:22" ht="15.75" thickBot="1" x14ac:dyDescent="0.3">
      <c r="A62" s="65">
        <v>60</v>
      </c>
      <c r="B62" s="65">
        <f>HEX2DEC(A62+Items!$A$7)</f>
        <v>18874464</v>
      </c>
      <c r="C62" s="65" t="s">
        <v>4207</v>
      </c>
      <c r="D62" s="65">
        <v>20</v>
      </c>
      <c r="E62" s="65" t="s">
        <v>2384</v>
      </c>
      <c r="F62" s="65">
        <v>32</v>
      </c>
      <c r="G62" s="65">
        <v>0</v>
      </c>
      <c r="H62" s="65">
        <v>1</v>
      </c>
      <c r="I62" s="65">
        <v>0</v>
      </c>
      <c r="J62" s="65">
        <v>0</v>
      </c>
      <c r="K62" s="65">
        <v>1</v>
      </c>
      <c r="L62" s="65">
        <v>2</v>
      </c>
      <c r="M62" s="65" t="s">
        <v>4287</v>
      </c>
      <c r="N62" s="65" t="s">
        <v>4437</v>
      </c>
      <c r="O62" s="70" t="s">
        <v>2818</v>
      </c>
      <c r="P62" s="69" t="s">
        <v>4519</v>
      </c>
      <c r="Q62" s="65">
        <v>2</v>
      </c>
      <c r="R62" s="65">
        <v>6</v>
      </c>
      <c r="S62" s="65" t="str">
        <f t="shared" si="0"/>
        <v>DA_gl_gl_ch_f_g_c_avg_o_avg</v>
      </c>
      <c r="T62" s="65" t="str">
        <f t="shared" si="1"/>
        <v>/Game/DungeonSiege/Items/Armor/Glove/DA_gl_gl_ch_f_g_c_avg_o_avg</v>
      </c>
      <c r="U62" s="65" t="str">
        <f t="shared" si="2"/>
        <v>Texture2D'/Game/DungeonSiege/art/bitmaps/gui/in_game/inventory/armor/gauntlet/b_gui_ig_i_a_gntl_044.b_gui_ig_i_a_gntl_044'</v>
      </c>
      <c r="V62" s="65" t="s">
        <v>4479</v>
      </c>
    </row>
    <row r="63" spans="1:22" ht="15.75" thickBot="1" x14ac:dyDescent="0.3">
      <c r="A63" s="65">
        <v>61</v>
      </c>
      <c r="B63" s="65">
        <f>HEX2DEC(A63+Items!$A$7)</f>
        <v>18874465</v>
      </c>
      <c r="C63" s="65" t="s">
        <v>4207</v>
      </c>
      <c r="D63" s="65">
        <v>23</v>
      </c>
      <c r="E63" s="65" t="s">
        <v>2384</v>
      </c>
      <c r="F63" s="65">
        <v>36</v>
      </c>
      <c r="G63" s="65">
        <v>0</v>
      </c>
      <c r="H63" s="65">
        <v>1</v>
      </c>
      <c r="I63" s="65">
        <v>0</v>
      </c>
      <c r="J63" s="65">
        <v>0</v>
      </c>
      <c r="K63" s="65">
        <v>1</v>
      </c>
      <c r="L63" s="65">
        <v>2</v>
      </c>
      <c r="M63" s="65" t="s">
        <v>4288</v>
      </c>
      <c r="N63" s="65" t="s">
        <v>4438</v>
      </c>
      <c r="O63" s="70" t="s">
        <v>2817</v>
      </c>
      <c r="P63" s="69" t="s">
        <v>4519</v>
      </c>
      <c r="Q63" s="65">
        <v>4</v>
      </c>
      <c r="R63" s="65">
        <v>8</v>
      </c>
      <c r="S63" s="65" t="str">
        <f t="shared" si="0"/>
        <v>DA_gl_gl_ch_f_g_c_avg_o_fin</v>
      </c>
      <c r="T63" s="65" t="str">
        <f t="shared" si="1"/>
        <v>/Game/DungeonSiege/Items/Armor/Glove/DA_gl_gl_ch_f_g_c_avg_o_fin</v>
      </c>
      <c r="U63" s="65" t="str">
        <f t="shared" si="2"/>
        <v>Texture2D'/Game/DungeonSiege/art/bitmaps/gui/in_game/inventory/armor/gauntlet/b_gui_ig_i_a_gntl_045.b_gui_ig_i_a_gntl_045'</v>
      </c>
      <c r="V63" s="65" t="s">
        <v>4479</v>
      </c>
    </row>
    <row r="64" spans="1:22" ht="15.75" thickBot="1" x14ac:dyDescent="0.3">
      <c r="A64" s="65">
        <v>62</v>
      </c>
      <c r="B64" s="65">
        <f>HEX2DEC(A64+Items!$A$7)</f>
        <v>18874466</v>
      </c>
      <c r="C64" s="65" t="s">
        <v>4207</v>
      </c>
      <c r="D64" s="65">
        <v>45</v>
      </c>
      <c r="E64" s="65" t="s">
        <v>2384</v>
      </c>
      <c r="F64" s="65">
        <v>60</v>
      </c>
      <c r="G64" s="65">
        <v>0</v>
      </c>
      <c r="H64" s="65">
        <v>1</v>
      </c>
      <c r="I64" s="65">
        <v>0</v>
      </c>
      <c r="J64" s="65">
        <v>0</v>
      </c>
      <c r="K64" s="65">
        <v>1</v>
      </c>
      <c r="L64" s="65">
        <v>2</v>
      </c>
      <c r="M64" s="65" t="s">
        <v>4289</v>
      </c>
      <c r="N64" s="65" t="s">
        <v>4439</v>
      </c>
      <c r="O64" s="70" t="s">
        <v>2820</v>
      </c>
      <c r="P64" s="69" t="s">
        <v>4519</v>
      </c>
      <c r="Q64" s="65">
        <v>13</v>
      </c>
      <c r="R64" s="65">
        <v>18</v>
      </c>
      <c r="S64" s="65" t="str">
        <f t="shared" si="0"/>
        <v>DA_gl_gl_ch_f_g_c_avg_o_mag</v>
      </c>
      <c r="T64" s="65" t="str">
        <f t="shared" si="1"/>
        <v>/Game/DungeonSiege/Items/Armor/Glove/DA_gl_gl_ch_f_g_c_avg_o_mag</v>
      </c>
      <c r="U64" s="65" t="str">
        <f t="shared" si="2"/>
        <v>Texture2D'/Game/DungeonSiege/art/bitmaps/gui/in_game/inventory/armor/gauntlet/b_gui_ig_i_a_gntl_047.b_gui_ig_i_a_gntl_047'</v>
      </c>
      <c r="V64" s="65" t="s">
        <v>4479</v>
      </c>
    </row>
    <row r="65" spans="1:22" ht="15.75" thickBot="1" x14ac:dyDescent="0.3">
      <c r="A65" s="65">
        <v>63</v>
      </c>
      <c r="B65" s="65">
        <f>HEX2DEC(A65+Items!$A$7)</f>
        <v>18874467</v>
      </c>
      <c r="C65" s="65" t="s">
        <v>4207</v>
      </c>
      <c r="D65" s="65">
        <v>33</v>
      </c>
      <c r="E65" s="65" t="s">
        <v>2384</v>
      </c>
      <c r="F65" s="65">
        <v>47</v>
      </c>
      <c r="G65" s="65">
        <v>0</v>
      </c>
      <c r="H65" s="65">
        <v>1</v>
      </c>
      <c r="I65" s="65">
        <v>0</v>
      </c>
      <c r="J65" s="65">
        <v>0</v>
      </c>
      <c r="K65" s="65">
        <v>1</v>
      </c>
      <c r="L65" s="65">
        <v>2</v>
      </c>
      <c r="M65" s="65" t="s">
        <v>4290</v>
      </c>
      <c r="N65" s="65" t="s">
        <v>4440</v>
      </c>
      <c r="O65" s="70" t="s">
        <v>2819</v>
      </c>
      <c r="P65" s="69" t="s">
        <v>4519</v>
      </c>
      <c r="Q65" s="65">
        <v>8</v>
      </c>
      <c r="R65" s="65">
        <v>13</v>
      </c>
      <c r="S65" s="65" t="str">
        <f t="shared" si="0"/>
        <v>DA_gl_gl_ch_f_g_c_avg_o_str</v>
      </c>
      <c r="T65" s="65" t="str">
        <f t="shared" si="1"/>
        <v>/Game/DungeonSiege/Items/Armor/Glove/DA_gl_gl_ch_f_g_c_avg_o_str</v>
      </c>
      <c r="U65" s="65" t="str">
        <f t="shared" si="2"/>
        <v>Texture2D'/Game/DungeonSiege/art/bitmaps/gui/in_game/inventory/armor/gauntlet/b_gui_ig_i_a_gntl_046.b_gui_ig_i_a_gntl_046'</v>
      </c>
      <c r="V65" s="65" t="s">
        <v>4479</v>
      </c>
    </row>
    <row r="66" spans="1:22" ht="15.75" thickBot="1" x14ac:dyDescent="0.3">
      <c r="A66" s="65">
        <v>64</v>
      </c>
      <c r="B66" s="65">
        <f>HEX2DEC(A66+Items!$A$7)</f>
        <v>18874468</v>
      </c>
      <c r="C66" s="65" t="s">
        <v>4208</v>
      </c>
      <c r="D66" s="65">
        <v>2</v>
      </c>
      <c r="E66" s="65"/>
      <c r="F66" s="65"/>
      <c r="G66" s="65">
        <v>1</v>
      </c>
      <c r="H66" s="65">
        <v>0</v>
      </c>
      <c r="I66" s="65">
        <v>0</v>
      </c>
      <c r="J66" s="65">
        <v>0</v>
      </c>
      <c r="K66" s="65">
        <v>1</v>
      </c>
      <c r="L66" s="65">
        <v>2</v>
      </c>
      <c r="M66" s="65" t="s">
        <v>4291</v>
      </c>
      <c r="N66" s="65" t="s">
        <v>4441</v>
      </c>
      <c r="O66" s="70" t="s">
        <v>2514</v>
      </c>
      <c r="P66" s="69" t="s">
        <v>4519</v>
      </c>
      <c r="Q66" s="65"/>
      <c r="R66" s="65"/>
      <c r="S66" s="65" t="str">
        <f t="shared" si="0"/>
        <v>DA_gl_gl_le_f_g_c_avg</v>
      </c>
      <c r="T66" s="65" t="str">
        <f t="shared" si="1"/>
        <v>/Game/DungeonSiege/Items/Armor/Glove/DA_gl_gl_le_f_g_c_avg</v>
      </c>
      <c r="U66" s="65" t="str">
        <f t="shared" si="2"/>
        <v>Texture2D'/Game/DungeonSiege/art/bitmaps/gui/in_game/inventory/armor/gauntlet/b_gui_ig_i_a_gntl_012.b_gui_ig_i_a_gntl_012'</v>
      </c>
      <c r="V66" s="65" t="s">
        <v>4479</v>
      </c>
    </row>
    <row r="67" spans="1:22" ht="15.75" thickBot="1" x14ac:dyDescent="0.3">
      <c r="A67" s="65">
        <v>65</v>
      </c>
      <c r="B67" s="65">
        <f>HEX2DEC(A67+Items!$A$7)</f>
        <v>18874469</v>
      </c>
      <c r="C67" s="65" t="s">
        <v>4208</v>
      </c>
      <c r="D67" s="65">
        <v>3</v>
      </c>
      <c r="E67" s="65" t="s">
        <v>2384</v>
      </c>
      <c r="F67" s="65">
        <v>13</v>
      </c>
      <c r="G67" s="65">
        <v>0</v>
      </c>
      <c r="H67" s="65">
        <v>1</v>
      </c>
      <c r="I67" s="65">
        <v>0</v>
      </c>
      <c r="J67" s="65">
        <v>0</v>
      </c>
      <c r="K67" s="65">
        <v>1</v>
      </c>
      <c r="L67" s="65">
        <v>2</v>
      </c>
      <c r="M67" s="65" t="s">
        <v>4292</v>
      </c>
      <c r="N67" s="65" t="s">
        <v>4442</v>
      </c>
      <c r="O67" s="70" t="s">
        <v>2801</v>
      </c>
      <c r="P67" s="69" t="s">
        <v>4519</v>
      </c>
      <c r="Q67" s="65">
        <v>1</v>
      </c>
      <c r="R67" s="65">
        <v>2</v>
      </c>
      <c r="S67" s="65" t="str">
        <f t="shared" ref="S67:S129" si="3" xml:space="preserve"> CONCATENATE("DA_",SUBSTITUTE(M67,":","_"))</f>
        <v>DA_gl_gl_le_f_g_c_avg_c_fin</v>
      </c>
      <c r="T67" s="65" t="str">
        <f t="shared" ref="T67:T129" si="4">"/Game/DungeonSiege/Items/Armor/Glove/" &amp; S67</f>
        <v>/Game/DungeonSiege/Items/Armor/Glove/DA_gl_gl_le_f_g_c_avg_c_fin</v>
      </c>
      <c r="U67" s="65" t="str">
        <f t="shared" ref="U67:U129" si="5">CONCATENATE("Texture2D'/Game/DungeonSiege/art/bitmaps/gui/in_game/inventory/armor/gauntlet/",N67,".",N67,"'")</f>
        <v>Texture2D'/Game/DungeonSiege/art/bitmaps/gui/in_game/inventory/armor/gauntlet/b_gui_ig_i_a_gntl_034.b_gui_ig_i_a_gntl_034'</v>
      </c>
      <c r="V67" s="65" t="s">
        <v>4479</v>
      </c>
    </row>
    <row r="68" spans="1:22" ht="15.75" thickBot="1" x14ac:dyDescent="0.3">
      <c r="A68" s="65">
        <v>66</v>
      </c>
      <c r="B68" s="65">
        <f>HEX2DEC(A68+Items!$A$7)</f>
        <v>18874470</v>
      </c>
      <c r="C68" s="65" t="s">
        <v>4208</v>
      </c>
      <c r="D68" s="65">
        <v>15</v>
      </c>
      <c r="E68" s="65" t="s">
        <v>2384</v>
      </c>
      <c r="F68" s="65">
        <v>27</v>
      </c>
      <c r="G68" s="65">
        <v>0</v>
      </c>
      <c r="H68" s="65">
        <v>1</v>
      </c>
      <c r="I68" s="65">
        <v>0</v>
      </c>
      <c r="J68" s="65">
        <v>0</v>
      </c>
      <c r="K68" s="65">
        <v>1</v>
      </c>
      <c r="L68" s="65">
        <v>2</v>
      </c>
      <c r="M68" s="65" t="s">
        <v>4293</v>
      </c>
      <c r="N68" s="65" t="s">
        <v>4443</v>
      </c>
      <c r="O68" s="70" t="s">
        <v>2802</v>
      </c>
      <c r="P68" s="69" t="s">
        <v>4519</v>
      </c>
      <c r="Q68" s="65">
        <v>5</v>
      </c>
      <c r="R68" s="65">
        <v>6</v>
      </c>
      <c r="S68" s="65" t="str">
        <f t="shared" si="3"/>
        <v>DA_gl_gl_le_f_g_c_avg_c_mag</v>
      </c>
      <c r="T68" s="65" t="str">
        <f t="shared" si="4"/>
        <v>/Game/DungeonSiege/Items/Armor/Glove/DA_gl_gl_le_f_g_c_avg_c_mag</v>
      </c>
      <c r="U68" s="65" t="str">
        <f t="shared" si="5"/>
        <v>Texture2D'/Game/DungeonSiege/art/bitmaps/gui/in_game/inventory/armor/gauntlet/b_gui_ig_i_a_gntl_036.b_gui_ig_i_a_gntl_036'</v>
      </c>
      <c r="V68" s="65" t="s">
        <v>4479</v>
      </c>
    </row>
    <row r="69" spans="1:22" ht="15.75" thickBot="1" x14ac:dyDescent="0.3">
      <c r="A69" s="65">
        <v>67</v>
      </c>
      <c r="B69" s="65">
        <f>HEX2DEC(A69+Items!$A$7)</f>
        <v>18874471</v>
      </c>
      <c r="C69" s="65" t="s">
        <v>4208</v>
      </c>
      <c r="D69" s="65">
        <v>9</v>
      </c>
      <c r="E69" s="65" t="s">
        <v>2384</v>
      </c>
      <c r="F69" s="65">
        <v>20</v>
      </c>
      <c r="G69" s="65">
        <v>0</v>
      </c>
      <c r="H69" s="65">
        <v>1</v>
      </c>
      <c r="I69" s="65">
        <v>0</v>
      </c>
      <c r="J69" s="65">
        <v>0</v>
      </c>
      <c r="K69" s="65">
        <v>1</v>
      </c>
      <c r="L69" s="65">
        <v>2</v>
      </c>
      <c r="M69" s="65" t="s">
        <v>4294</v>
      </c>
      <c r="N69" s="65" t="s">
        <v>4444</v>
      </c>
      <c r="O69" s="70" t="s">
        <v>2784</v>
      </c>
      <c r="P69" s="69" t="s">
        <v>4519</v>
      </c>
      <c r="Q69" s="65">
        <v>2</v>
      </c>
      <c r="R69" s="65">
        <v>4</v>
      </c>
      <c r="S69" s="65" t="str">
        <f t="shared" si="3"/>
        <v>DA_gl_gl_le_f_g_c_avg_c_str</v>
      </c>
      <c r="T69" s="65" t="str">
        <f t="shared" si="4"/>
        <v>/Game/DungeonSiege/Items/Armor/Glove/DA_gl_gl_le_f_g_c_avg_c_str</v>
      </c>
      <c r="U69" s="65" t="str">
        <f t="shared" si="5"/>
        <v>Texture2D'/Game/DungeonSiege/art/bitmaps/gui/in_game/inventory/armor/gauntlet/b_gui_ig_i_a_gntl_035.b_gui_ig_i_a_gntl_035'</v>
      </c>
      <c r="V69" s="65" t="s">
        <v>4479</v>
      </c>
    </row>
    <row r="70" spans="1:22" ht="15.75" thickBot="1" x14ac:dyDescent="0.3">
      <c r="A70" s="65">
        <v>68</v>
      </c>
      <c r="B70" s="65">
        <f>HEX2DEC(A70+Items!$A$7)</f>
        <v>18874472</v>
      </c>
      <c r="C70" s="65" t="s">
        <v>4208</v>
      </c>
      <c r="D70" s="65">
        <v>4</v>
      </c>
      <c r="E70" s="65" t="s">
        <v>2384</v>
      </c>
      <c r="F70" s="65">
        <v>15</v>
      </c>
      <c r="G70" s="65">
        <v>0</v>
      </c>
      <c r="H70" s="65">
        <v>1</v>
      </c>
      <c r="I70" s="65">
        <v>0</v>
      </c>
      <c r="J70" s="65">
        <v>0</v>
      </c>
      <c r="K70" s="65">
        <v>1</v>
      </c>
      <c r="L70" s="65">
        <v>2</v>
      </c>
      <c r="M70" s="65" t="s">
        <v>4295</v>
      </c>
      <c r="N70" s="65" t="s">
        <v>4445</v>
      </c>
      <c r="O70" s="70" t="s">
        <v>2803</v>
      </c>
      <c r="P70" s="69" t="s">
        <v>4519</v>
      </c>
      <c r="Q70" s="65">
        <v>1</v>
      </c>
      <c r="R70" s="65">
        <v>2</v>
      </c>
      <c r="S70" s="65" t="str">
        <f t="shared" si="3"/>
        <v>DA_gl_gl_le_f_g_c_avg_o_avg</v>
      </c>
      <c r="T70" s="65" t="str">
        <f t="shared" si="4"/>
        <v>/Game/DungeonSiege/Items/Armor/Glove/DA_gl_gl_le_f_g_c_avg_o_avg</v>
      </c>
      <c r="U70" s="65" t="str">
        <f t="shared" si="5"/>
        <v>Texture2D'/Game/DungeonSiege/art/bitmaps/gui/in_game/inventory/armor/gauntlet/b_gui_ig_i_a_gntl_037.b_gui_ig_i_a_gntl_037'</v>
      </c>
      <c r="V70" s="65" t="s">
        <v>4479</v>
      </c>
    </row>
    <row r="71" spans="1:22" ht="15.75" thickBot="1" x14ac:dyDescent="0.3">
      <c r="A71" s="65">
        <v>69</v>
      </c>
      <c r="B71" s="65">
        <f>HEX2DEC(A71+Items!$A$7)</f>
        <v>18874473</v>
      </c>
      <c r="C71" s="65" t="s">
        <v>4208</v>
      </c>
      <c r="D71" s="65">
        <v>7</v>
      </c>
      <c r="E71" s="65" t="s">
        <v>2384</v>
      </c>
      <c r="F71" s="65">
        <v>17</v>
      </c>
      <c r="G71" s="65">
        <v>0</v>
      </c>
      <c r="H71" s="65">
        <v>1</v>
      </c>
      <c r="I71" s="65">
        <v>0</v>
      </c>
      <c r="J71" s="65">
        <v>0</v>
      </c>
      <c r="K71" s="65">
        <v>1</v>
      </c>
      <c r="L71" s="65">
        <v>2</v>
      </c>
      <c r="M71" s="65" t="s">
        <v>4296</v>
      </c>
      <c r="N71" s="65" t="s">
        <v>4446</v>
      </c>
      <c r="O71" s="70" t="s">
        <v>2805</v>
      </c>
      <c r="P71" s="69" t="s">
        <v>4519</v>
      </c>
      <c r="Q71" s="65">
        <v>1</v>
      </c>
      <c r="R71" s="65">
        <v>3</v>
      </c>
      <c r="S71" s="65" t="str">
        <f t="shared" si="3"/>
        <v>DA_gl_gl_le_f_g_c_avg_o_fin</v>
      </c>
      <c r="T71" s="65" t="str">
        <f t="shared" si="4"/>
        <v>/Game/DungeonSiege/Items/Armor/Glove/DA_gl_gl_le_f_g_c_avg_o_fin</v>
      </c>
      <c r="U71" s="65" t="str">
        <f t="shared" si="5"/>
        <v>Texture2D'/Game/DungeonSiege/art/bitmaps/gui/in_game/inventory/armor/gauntlet/b_gui_ig_i_a_gntl_038.b_gui_ig_i_a_gntl_038'</v>
      </c>
      <c r="V71" s="65" t="s">
        <v>4479</v>
      </c>
    </row>
    <row r="72" spans="1:22" ht="15.75" thickBot="1" x14ac:dyDescent="0.3">
      <c r="A72" s="65">
        <v>70</v>
      </c>
      <c r="B72" s="65">
        <f>HEX2DEC(A72+Items!$A$7)</f>
        <v>18874480</v>
      </c>
      <c r="C72" s="65" t="s">
        <v>4208</v>
      </c>
      <c r="D72" s="65">
        <v>19</v>
      </c>
      <c r="E72" s="65" t="s">
        <v>2384</v>
      </c>
      <c r="F72" s="65">
        <v>31</v>
      </c>
      <c r="G72" s="65">
        <v>0</v>
      </c>
      <c r="H72" s="65">
        <v>1</v>
      </c>
      <c r="I72" s="65">
        <v>0</v>
      </c>
      <c r="J72" s="65">
        <v>0</v>
      </c>
      <c r="K72" s="65">
        <v>1</v>
      </c>
      <c r="L72" s="65">
        <v>2</v>
      </c>
      <c r="M72" s="65" t="s">
        <v>4297</v>
      </c>
      <c r="N72" s="65" t="s">
        <v>4447</v>
      </c>
      <c r="O72" s="70" t="s">
        <v>2821</v>
      </c>
      <c r="P72" s="69" t="s">
        <v>4519</v>
      </c>
      <c r="Q72" s="65">
        <v>6</v>
      </c>
      <c r="R72" s="65">
        <v>7</v>
      </c>
      <c r="S72" s="65" t="str">
        <f t="shared" si="3"/>
        <v>DA_gl_gl_le_f_g_c_avg_o_mag</v>
      </c>
      <c r="T72" s="65" t="str">
        <f t="shared" si="4"/>
        <v>/Game/DungeonSiege/Items/Armor/Glove/DA_gl_gl_le_f_g_c_avg_o_mag</v>
      </c>
      <c r="U72" s="65" t="str">
        <f t="shared" si="5"/>
        <v>Texture2D'/Game/DungeonSiege/art/bitmaps/gui/in_game/inventory/armor/gauntlet/b_gui_ig_i_a_gntl_040.b_gui_ig_i_a_gntl_040'</v>
      </c>
      <c r="V72" s="65" t="s">
        <v>4479</v>
      </c>
    </row>
    <row r="73" spans="1:22" ht="15.75" thickBot="1" x14ac:dyDescent="0.3">
      <c r="A73" s="65">
        <v>71</v>
      </c>
      <c r="B73" s="65">
        <f>HEX2DEC(A73+Items!$A$7)</f>
        <v>18874481</v>
      </c>
      <c r="C73" s="65" t="s">
        <v>4208</v>
      </c>
      <c r="D73" s="65">
        <v>12</v>
      </c>
      <c r="E73" s="65" t="s">
        <v>2384</v>
      </c>
      <c r="F73" s="65">
        <v>23</v>
      </c>
      <c r="G73" s="65">
        <v>0</v>
      </c>
      <c r="H73" s="65">
        <v>1</v>
      </c>
      <c r="I73" s="65">
        <v>0</v>
      </c>
      <c r="J73" s="65">
        <v>0</v>
      </c>
      <c r="K73" s="65">
        <v>1</v>
      </c>
      <c r="L73" s="65">
        <v>2</v>
      </c>
      <c r="M73" s="65" t="s">
        <v>4298</v>
      </c>
      <c r="N73" s="65" t="s">
        <v>4448</v>
      </c>
      <c r="O73" s="70" t="s">
        <v>2823</v>
      </c>
      <c r="P73" s="69" t="s">
        <v>4519</v>
      </c>
      <c r="Q73" s="65">
        <v>4</v>
      </c>
      <c r="R73" s="65">
        <v>5</v>
      </c>
      <c r="S73" s="65" t="str">
        <f t="shared" si="3"/>
        <v>DA_gl_gl_le_f_g_c_avg_o_str</v>
      </c>
      <c r="T73" s="65" t="str">
        <f t="shared" si="4"/>
        <v>/Game/DungeonSiege/Items/Armor/Glove/DA_gl_gl_le_f_g_c_avg_o_str</v>
      </c>
      <c r="U73" s="65" t="str">
        <f t="shared" si="5"/>
        <v>Texture2D'/Game/DungeonSiege/art/bitmaps/gui/in_game/inventory/armor/gauntlet/b_gui_ig_i_a_gntl_039.b_gui_ig_i_a_gntl_039'</v>
      </c>
      <c r="V73" s="65" t="s">
        <v>4479</v>
      </c>
    </row>
    <row r="74" spans="1:22" ht="15.75" thickBot="1" x14ac:dyDescent="0.3">
      <c r="A74" s="65">
        <v>72</v>
      </c>
      <c r="B74" s="65">
        <f>HEX2DEC(A74+Items!$A$7)</f>
        <v>18874482</v>
      </c>
      <c r="C74" s="65" t="s">
        <v>4209</v>
      </c>
      <c r="D74" s="65">
        <v>11</v>
      </c>
      <c r="E74" s="65" t="s">
        <v>2384</v>
      </c>
      <c r="F74" s="65">
        <v>22</v>
      </c>
      <c r="G74" s="65">
        <v>1</v>
      </c>
      <c r="H74" s="65">
        <v>0</v>
      </c>
      <c r="I74" s="65">
        <v>0</v>
      </c>
      <c r="J74" s="65">
        <v>0</v>
      </c>
      <c r="K74" s="65">
        <v>1</v>
      </c>
      <c r="L74" s="65">
        <v>2</v>
      </c>
      <c r="M74" s="65" t="s">
        <v>4299</v>
      </c>
      <c r="N74" s="65" t="s">
        <v>4449</v>
      </c>
      <c r="O74" s="70" t="s">
        <v>2507</v>
      </c>
      <c r="P74" s="69" t="s">
        <v>4519</v>
      </c>
      <c r="Q74" s="65"/>
      <c r="R74" s="65"/>
      <c r="S74" s="65" t="str">
        <f t="shared" si="3"/>
        <v>DA_gl_gl_sc_f_g_c_avg</v>
      </c>
      <c r="T74" s="65" t="str">
        <f t="shared" si="4"/>
        <v>/Game/DungeonSiege/Items/Armor/Glove/DA_gl_gl_sc_f_g_c_avg</v>
      </c>
      <c r="U74" s="65" t="str">
        <f t="shared" si="5"/>
        <v>Texture2D'/Game/DungeonSiege/art/bitmaps/gui/in_game/inventory/armor/gauntlet/b_gui_ig_i_a_gntl_004.b_gui_ig_i_a_gntl_004'</v>
      </c>
      <c r="V74" s="65" t="s">
        <v>4479</v>
      </c>
    </row>
    <row r="75" spans="1:22" ht="15.75" thickBot="1" x14ac:dyDescent="0.3">
      <c r="A75" s="65">
        <v>73</v>
      </c>
      <c r="B75" s="65">
        <f>HEX2DEC(A75+Items!$A$7)</f>
        <v>18874483</v>
      </c>
      <c r="C75" s="65" t="s">
        <v>4209</v>
      </c>
      <c r="D75" s="65">
        <v>12</v>
      </c>
      <c r="E75" s="65" t="s">
        <v>2384</v>
      </c>
      <c r="F75" s="65">
        <v>24</v>
      </c>
      <c r="G75" s="65">
        <v>0</v>
      </c>
      <c r="H75" s="65">
        <v>1</v>
      </c>
      <c r="I75" s="65">
        <v>0</v>
      </c>
      <c r="J75" s="65">
        <v>0</v>
      </c>
      <c r="K75" s="65">
        <v>1</v>
      </c>
      <c r="L75" s="65">
        <v>2</v>
      </c>
      <c r="M75" s="65" t="s">
        <v>4300</v>
      </c>
      <c r="N75" s="65" t="s">
        <v>4450</v>
      </c>
      <c r="O75" s="70" t="s">
        <v>4503</v>
      </c>
      <c r="P75" s="69" t="s">
        <v>4519</v>
      </c>
      <c r="Q75" s="65">
        <v>1</v>
      </c>
      <c r="R75" s="65">
        <v>3</v>
      </c>
      <c r="S75" s="65" t="str">
        <f t="shared" si="3"/>
        <v>DA_gl_gl_sc_f_g_c_avg_c_fin</v>
      </c>
      <c r="T75" s="65" t="str">
        <f t="shared" si="4"/>
        <v>/Game/DungeonSiege/Items/Armor/Glove/DA_gl_gl_sc_f_g_c_avg_c_fin</v>
      </c>
      <c r="U75" s="65" t="str">
        <f t="shared" si="5"/>
        <v>Texture2D'/Game/DungeonSiege/art/bitmaps/gui/in_game/inventory/armor/gauntlet/b_gui_ig_i_a_gntl_072.b_gui_ig_i_a_gntl_072'</v>
      </c>
      <c r="V75" s="65" t="s">
        <v>4479</v>
      </c>
    </row>
    <row r="76" spans="1:22" ht="15.75" thickBot="1" x14ac:dyDescent="0.3">
      <c r="A76" s="65">
        <v>74</v>
      </c>
      <c r="B76" s="65">
        <f>HEX2DEC(A76+Items!$A$7)</f>
        <v>18874484</v>
      </c>
      <c r="C76" s="65" t="s">
        <v>4209</v>
      </c>
      <c r="D76" s="65">
        <v>29</v>
      </c>
      <c r="E76" s="65" t="s">
        <v>2384</v>
      </c>
      <c r="F76" s="65">
        <v>42</v>
      </c>
      <c r="G76" s="65">
        <v>0</v>
      </c>
      <c r="H76" s="65">
        <v>1</v>
      </c>
      <c r="I76" s="65">
        <v>0</v>
      </c>
      <c r="J76" s="65">
        <v>0</v>
      </c>
      <c r="K76" s="65">
        <v>1</v>
      </c>
      <c r="L76" s="65">
        <v>2</v>
      </c>
      <c r="M76" s="65" t="s">
        <v>4301</v>
      </c>
      <c r="N76" s="65" t="s">
        <v>4451</v>
      </c>
      <c r="O76" s="70" t="s">
        <v>4504</v>
      </c>
      <c r="P76" s="69" t="s">
        <v>4519</v>
      </c>
      <c r="Q76" s="65">
        <v>8</v>
      </c>
      <c r="R76" s="65">
        <v>11</v>
      </c>
      <c r="S76" s="65" t="str">
        <f t="shared" si="3"/>
        <v>DA_gl_gl_sc_f_g_c_avg_c_mag</v>
      </c>
      <c r="T76" s="65" t="str">
        <f t="shared" si="4"/>
        <v>/Game/DungeonSiege/Items/Armor/Glove/DA_gl_gl_sc_f_g_c_avg_c_mag</v>
      </c>
      <c r="U76" s="65" t="str">
        <f t="shared" si="5"/>
        <v>Texture2D'/Game/DungeonSiege/art/bitmaps/gui/in_game/inventory/armor/gauntlet/b_gui_ig_i_a_gntl_074.b_gui_ig_i_a_gntl_074'</v>
      </c>
      <c r="V76" s="65" t="s">
        <v>4479</v>
      </c>
    </row>
    <row r="77" spans="1:22" ht="15.75" thickBot="1" x14ac:dyDescent="0.3">
      <c r="A77" s="65">
        <v>75</v>
      </c>
      <c r="B77" s="65">
        <f>HEX2DEC(A77+Items!$A$7)</f>
        <v>18874485</v>
      </c>
      <c r="C77" s="65" t="s">
        <v>4209</v>
      </c>
      <c r="D77" s="65">
        <v>20</v>
      </c>
      <c r="E77" s="65" t="s">
        <v>2384</v>
      </c>
      <c r="F77" s="65">
        <v>33</v>
      </c>
      <c r="G77" s="65">
        <v>0</v>
      </c>
      <c r="H77" s="65">
        <v>1</v>
      </c>
      <c r="I77" s="65">
        <v>0</v>
      </c>
      <c r="J77" s="65">
        <v>0</v>
      </c>
      <c r="K77" s="65">
        <v>1</v>
      </c>
      <c r="L77" s="65">
        <v>2</v>
      </c>
      <c r="M77" s="65" t="s">
        <v>4302</v>
      </c>
      <c r="N77" s="65" t="s">
        <v>4452</v>
      </c>
      <c r="O77" s="70" t="s">
        <v>4505</v>
      </c>
      <c r="P77" s="69" t="s">
        <v>4519</v>
      </c>
      <c r="Q77" s="65">
        <v>4</v>
      </c>
      <c r="R77" s="65">
        <v>8</v>
      </c>
      <c r="S77" s="65" t="str">
        <f t="shared" si="3"/>
        <v>DA_gl_gl_sc_f_g_c_avg_c_str</v>
      </c>
      <c r="T77" s="65" t="str">
        <f t="shared" si="4"/>
        <v>/Game/DungeonSiege/Items/Armor/Glove/DA_gl_gl_sc_f_g_c_avg_c_str</v>
      </c>
      <c r="U77" s="65" t="str">
        <f t="shared" si="5"/>
        <v>Texture2D'/Game/DungeonSiege/art/bitmaps/gui/in_game/inventory/armor/gauntlet/b_gui_ig_i_a_gntl_073.b_gui_ig_i_a_gntl_073'</v>
      </c>
      <c r="V77" s="65" t="s">
        <v>4479</v>
      </c>
    </row>
    <row r="78" spans="1:22" ht="15.75" thickBot="1" x14ac:dyDescent="0.3">
      <c r="A78" s="65">
        <v>76</v>
      </c>
      <c r="B78" s="65">
        <f>HEX2DEC(A78+Items!$A$7)</f>
        <v>18874486</v>
      </c>
      <c r="C78" s="65" t="s">
        <v>4209</v>
      </c>
      <c r="D78" s="65">
        <v>14</v>
      </c>
      <c r="E78" s="65" t="s">
        <v>2384</v>
      </c>
      <c r="F78" s="65">
        <v>26</v>
      </c>
      <c r="G78" s="65">
        <v>0</v>
      </c>
      <c r="H78" s="65">
        <v>1</v>
      </c>
      <c r="I78" s="65">
        <v>0</v>
      </c>
      <c r="J78" s="65">
        <v>0</v>
      </c>
      <c r="K78" s="65">
        <v>1</v>
      </c>
      <c r="L78" s="65">
        <v>2</v>
      </c>
      <c r="M78" s="65" t="s">
        <v>4303</v>
      </c>
      <c r="N78" s="65" t="s">
        <v>4453</v>
      </c>
      <c r="O78" s="70" t="s">
        <v>4506</v>
      </c>
      <c r="P78" s="69" t="s">
        <v>4519</v>
      </c>
      <c r="Q78" s="65">
        <v>1</v>
      </c>
      <c r="R78" s="65">
        <v>4</v>
      </c>
      <c r="S78" s="65" t="str">
        <f t="shared" si="3"/>
        <v>DA_gl_gl_sc_f_g_c_avg_o_avg</v>
      </c>
      <c r="T78" s="65" t="str">
        <f t="shared" si="4"/>
        <v>/Game/DungeonSiege/Items/Armor/Glove/DA_gl_gl_sc_f_g_c_avg_o_avg</v>
      </c>
      <c r="U78" s="65" t="str">
        <f t="shared" si="5"/>
        <v>Texture2D'/Game/DungeonSiege/art/bitmaps/gui/in_game/inventory/armor/gauntlet/b_gui_ig_i_a_gntl_075.b_gui_ig_i_a_gntl_075'</v>
      </c>
      <c r="V78" s="65" t="s">
        <v>4479</v>
      </c>
    </row>
    <row r="79" spans="1:22" ht="15.75" thickBot="1" x14ac:dyDescent="0.3">
      <c r="A79" s="65">
        <v>77</v>
      </c>
      <c r="B79" s="65">
        <f>HEX2DEC(A79+Items!$A$7)</f>
        <v>18874487</v>
      </c>
      <c r="C79" s="65" t="s">
        <v>4209</v>
      </c>
      <c r="D79" s="65">
        <v>17</v>
      </c>
      <c r="E79" s="65" t="s">
        <v>2384</v>
      </c>
      <c r="F79" s="65">
        <v>29</v>
      </c>
      <c r="G79" s="65">
        <v>0</v>
      </c>
      <c r="H79" s="65">
        <v>1</v>
      </c>
      <c r="I79" s="65">
        <v>0</v>
      </c>
      <c r="J79" s="65">
        <v>0</v>
      </c>
      <c r="K79" s="65">
        <v>1</v>
      </c>
      <c r="L79" s="65">
        <v>2</v>
      </c>
      <c r="M79" s="65" t="s">
        <v>4304</v>
      </c>
      <c r="N79" s="65" t="s">
        <v>4454</v>
      </c>
      <c r="O79" s="70" t="s">
        <v>2816</v>
      </c>
      <c r="P79" s="69" t="s">
        <v>4519</v>
      </c>
      <c r="Q79" s="65">
        <v>3</v>
      </c>
      <c r="R79" s="65">
        <v>6</v>
      </c>
      <c r="S79" s="65" t="str">
        <f t="shared" si="3"/>
        <v>DA_gl_gl_sc_f_g_c_avg_o_fin</v>
      </c>
      <c r="T79" s="65" t="str">
        <f t="shared" si="4"/>
        <v>/Game/DungeonSiege/Items/Armor/Glove/DA_gl_gl_sc_f_g_c_avg_o_fin</v>
      </c>
      <c r="U79" s="65" t="str">
        <f t="shared" si="5"/>
        <v>Texture2D'/Game/DungeonSiege/art/bitmaps/gui/in_game/inventory/armor/gauntlet/b_gui_ig_i_a_gntl_076.b_gui_ig_i_a_gntl_076'</v>
      </c>
      <c r="V79" s="65" t="s">
        <v>4479</v>
      </c>
    </row>
    <row r="80" spans="1:22" ht="15.75" thickBot="1" x14ac:dyDescent="0.3">
      <c r="A80" s="65">
        <v>78</v>
      </c>
      <c r="B80" s="65">
        <f>HEX2DEC(A80+Items!$A$7)</f>
        <v>18874488</v>
      </c>
      <c r="C80" s="65" t="s">
        <v>4209</v>
      </c>
      <c r="D80" s="65">
        <v>34</v>
      </c>
      <c r="E80" s="65" t="s">
        <v>2384</v>
      </c>
      <c r="F80" s="65">
        <v>48</v>
      </c>
      <c r="G80" s="65">
        <v>0</v>
      </c>
      <c r="H80" s="65">
        <v>1</v>
      </c>
      <c r="I80" s="65">
        <v>0</v>
      </c>
      <c r="J80" s="65">
        <v>0</v>
      </c>
      <c r="K80" s="65">
        <v>1</v>
      </c>
      <c r="L80" s="65">
        <v>2</v>
      </c>
      <c r="M80" s="65" t="s">
        <v>4305</v>
      </c>
      <c r="N80" s="65" t="s">
        <v>4455</v>
      </c>
      <c r="O80" s="70" t="s">
        <v>2826</v>
      </c>
      <c r="P80" s="69" t="s">
        <v>4519</v>
      </c>
      <c r="Q80" s="65">
        <v>10</v>
      </c>
      <c r="R80" s="65">
        <v>13</v>
      </c>
      <c r="S80" s="65" t="str">
        <f t="shared" si="3"/>
        <v>DA_gl_gl_sc_f_g_c_avg_o_mag</v>
      </c>
      <c r="T80" s="65" t="str">
        <f t="shared" si="4"/>
        <v>/Game/DungeonSiege/Items/Armor/Glove/DA_gl_gl_sc_f_g_c_avg_o_mag</v>
      </c>
      <c r="U80" s="65" t="str">
        <f t="shared" si="5"/>
        <v>Texture2D'/Game/DungeonSiege/art/bitmaps/gui/in_game/inventory/armor/gauntlet/b_gui_ig_i_a_gntl_078.b_gui_ig_i_a_gntl_078'</v>
      </c>
      <c r="V80" s="65" t="s">
        <v>4479</v>
      </c>
    </row>
    <row r="81" spans="1:22" ht="15.75" thickBot="1" x14ac:dyDescent="0.3">
      <c r="A81" s="65">
        <v>79</v>
      </c>
      <c r="B81" s="65">
        <f>HEX2DEC(A81+Items!$A$7)</f>
        <v>18874489</v>
      </c>
      <c r="C81" s="65" t="s">
        <v>4209</v>
      </c>
      <c r="D81" s="65">
        <v>24</v>
      </c>
      <c r="E81" s="65" t="s">
        <v>2384</v>
      </c>
      <c r="F81" s="65">
        <v>37</v>
      </c>
      <c r="G81" s="65">
        <v>0</v>
      </c>
      <c r="H81" s="65">
        <v>1</v>
      </c>
      <c r="I81" s="65">
        <v>0</v>
      </c>
      <c r="J81" s="65">
        <v>0</v>
      </c>
      <c r="K81" s="65">
        <v>1</v>
      </c>
      <c r="L81" s="65">
        <v>2</v>
      </c>
      <c r="M81" s="65" t="s">
        <v>4306</v>
      </c>
      <c r="N81" s="65" t="s">
        <v>4456</v>
      </c>
      <c r="O81" s="70" t="s">
        <v>2815</v>
      </c>
      <c r="P81" s="69" t="s">
        <v>4519</v>
      </c>
      <c r="Q81" s="65">
        <v>6</v>
      </c>
      <c r="R81" s="65">
        <v>9</v>
      </c>
      <c r="S81" s="65" t="str">
        <f t="shared" si="3"/>
        <v>DA_gl_gl_sc_f_g_c_avg_o_str</v>
      </c>
      <c r="T81" s="65" t="str">
        <f t="shared" si="4"/>
        <v>/Game/DungeonSiege/Items/Armor/Glove/DA_gl_gl_sc_f_g_c_avg_o_str</v>
      </c>
      <c r="U81" s="65" t="str">
        <f t="shared" si="5"/>
        <v>Texture2D'/Game/DungeonSiege/art/bitmaps/gui/in_game/inventory/armor/gauntlet/b_gui_ig_i_a_gntl_077.b_gui_ig_i_a_gntl_077'</v>
      </c>
      <c r="V81" s="65" t="s">
        <v>4479</v>
      </c>
    </row>
    <row r="82" spans="1:22" ht="15.75" thickBot="1" x14ac:dyDescent="0.3">
      <c r="A82" s="65">
        <v>80</v>
      </c>
      <c r="B82" s="65">
        <f>HEX2DEC(A82+Items!$A$7)</f>
        <v>18874496</v>
      </c>
      <c r="C82" s="65" t="s">
        <v>4210</v>
      </c>
      <c r="D82" s="65">
        <v>3</v>
      </c>
      <c r="E82" s="65" t="s">
        <v>2384</v>
      </c>
      <c r="F82" s="65">
        <v>13</v>
      </c>
      <c r="G82" s="65">
        <v>1</v>
      </c>
      <c r="H82" s="65">
        <v>0</v>
      </c>
      <c r="I82" s="65">
        <v>0</v>
      </c>
      <c r="J82" s="65">
        <v>0</v>
      </c>
      <c r="K82" s="65">
        <v>1</v>
      </c>
      <c r="L82" s="65">
        <v>2</v>
      </c>
      <c r="M82" s="65" t="s">
        <v>4307</v>
      </c>
      <c r="N82" s="65" t="s">
        <v>4457</v>
      </c>
      <c r="O82" s="70" t="s">
        <v>2504</v>
      </c>
      <c r="P82" s="69" t="s">
        <v>4519</v>
      </c>
      <c r="Q82" s="65"/>
      <c r="R82" s="65"/>
      <c r="S82" s="65" t="str">
        <f t="shared" si="3"/>
        <v>DA_gl_gl_sl_f_g_c_avg</v>
      </c>
      <c r="T82" s="65" t="str">
        <f t="shared" si="4"/>
        <v>/Game/DungeonSiege/Items/Armor/Glove/DA_gl_gl_sl_f_g_c_avg</v>
      </c>
      <c r="U82" s="65" t="str">
        <f t="shared" si="5"/>
        <v>Texture2D'/Game/DungeonSiege/art/bitmaps/gui/in_game/inventory/armor/gauntlet/b_gui_ig_i_a_gntl_002.b_gui_ig_i_a_gntl_002'</v>
      </c>
      <c r="V82" s="65" t="s">
        <v>4479</v>
      </c>
    </row>
    <row r="83" spans="1:22" ht="15.75" thickBot="1" x14ac:dyDescent="0.3">
      <c r="A83" s="65">
        <v>81</v>
      </c>
      <c r="B83" s="65">
        <f>HEX2DEC(A83+Items!$A$7)</f>
        <v>18874497</v>
      </c>
      <c r="C83" s="65" t="s">
        <v>4210</v>
      </c>
      <c r="D83" s="65">
        <v>4</v>
      </c>
      <c r="E83" s="65" t="s">
        <v>2384</v>
      </c>
      <c r="F83" s="65">
        <v>14</v>
      </c>
      <c r="G83" s="65">
        <v>0</v>
      </c>
      <c r="H83" s="65">
        <v>1</v>
      </c>
      <c r="I83" s="65">
        <v>0</v>
      </c>
      <c r="J83" s="65">
        <v>0</v>
      </c>
      <c r="K83" s="65">
        <v>1</v>
      </c>
      <c r="L83" s="65">
        <v>2</v>
      </c>
      <c r="M83" s="65" t="s">
        <v>4308</v>
      </c>
      <c r="N83" s="65" t="s">
        <v>4458</v>
      </c>
      <c r="O83" s="70" t="s">
        <v>4507</v>
      </c>
      <c r="P83" s="69" t="s">
        <v>4519</v>
      </c>
      <c r="Q83" s="65">
        <v>1</v>
      </c>
      <c r="R83" s="65">
        <v>2</v>
      </c>
      <c r="S83" s="65" t="str">
        <f t="shared" si="3"/>
        <v>DA_gl_gl_sl_f_g_c_avg_c_fin</v>
      </c>
      <c r="T83" s="65" t="str">
        <f t="shared" si="4"/>
        <v>/Game/DungeonSiege/Items/Armor/Glove/DA_gl_gl_sl_f_g_c_avg_c_fin</v>
      </c>
      <c r="U83" s="65" t="str">
        <f t="shared" si="5"/>
        <v>Texture2D'/Game/DungeonSiege/art/bitmaps/gui/in_game/inventory/armor/gauntlet/b_gui_ig_i_a_gntl_058.b_gui_ig_i_a_gntl_058'</v>
      </c>
      <c r="V83" s="65" t="s">
        <v>4479</v>
      </c>
    </row>
    <row r="84" spans="1:22" ht="15.75" thickBot="1" x14ac:dyDescent="0.3">
      <c r="A84" s="65">
        <v>82</v>
      </c>
      <c r="B84" s="65">
        <f>HEX2DEC(A84+Items!$A$7)</f>
        <v>18874498</v>
      </c>
      <c r="C84" s="65" t="s">
        <v>4210</v>
      </c>
      <c r="D84" s="65">
        <v>16</v>
      </c>
      <c r="E84" s="65" t="s">
        <v>2384</v>
      </c>
      <c r="F84" s="65">
        <v>28</v>
      </c>
      <c r="G84" s="65">
        <v>0</v>
      </c>
      <c r="H84" s="65">
        <v>1</v>
      </c>
      <c r="I84" s="65">
        <v>0</v>
      </c>
      <c r="J84" s="65">
        <v>0</v>
      </c>
      <c r="K84" s="65">
        <v>1</v>
      </c>
      <c r="L84" s="65">
        <v>2</v>
      </c>
      <c r="M84" s="65" t="s">
        <v>4309</v>
      </c>
      <c r="N84" s="65" t="s">
        <v>4459</v>
      </c>
      <c r="O84" s="70" t="s">
        <v>4508</v>
      </c>
      <c r="P84" s="69" t="s">
        <v>4519</v>
      </c>
      <c r="Q84" s="65">
        <v>5</v>
      </c>
      <c r="R84" s="65">
        <v>7</v>
      </c>
      <c r="S84" s="65" t="str">
        <f t="shared" si="3"/>
        <v>DA_gl_gl_sl_f_g_c_avg_c_mag</v>
      </c>
      <c r="T84" s="65" t="str">
        <f t="shared" si="4"/>
        <v>/Game/DungeonSiege/Items/Armor/Glove/DA_gl_gl_sl_f_g_c_avg_c_mag</v>
      </c>
      <c r="U84" s="65" t="str">
        <f t="shared" si="5"/>
        <v>Texture2D'/Game/DungeonSiege/art/bitmaps/gui/in_game/inventory/armor/gauntlet/b_gui_ig_i_a_gntl_060.b_gui_ig_i_a_gntl_060'</v>
      </c>
      <c r="V84" s="65" t="s">
        <v>4479</v>
      </c>
    </row>
    <row r="85" spans="1:22" ht="15.75" thickBot="1" x14ac:dyDescent="0.3">
      <c r="A85" s="65">
        <v>83</v>
      </c>
      <c r="B85" s="65">
        <f>HEX2DEC(A85+Items!$A$7)</f>
        <v>18874499</v>
      </c>
      <c r="C85" s="65" t="s">
        <v>4210</v>
      </c>
      <c r="D85" s="65">
        <v>10</v>
      </c>
      <c r="E85" s="65" t="s">
        <v>2384</v>
      </c>
      <c r="F85" s="65">
        <v>21</v>
      </c>
      <c r="G85" s="65">
        <v>0</v>
      </c>
      <c r="H85" s="65">
        <v>1</v>
      </c>
      <c r="I85" s="65">
        <v>0</v>
      </c>
      <c r="J85" s="65">
        <v>0</v>
      </c>
      <c r="K85" s="65">
        <v>1</v>
      </c>
      <c r="L85" s="65">
        <v>2</v>
      </c>
      <c r="M85" s="65" t="s">
        <v>4310</v>
      </c>
      <c r="N85" s="65" t="s">
        <v>4460</v>
      </c>
      <c r="O85" s="70" t="s">
        <v>4509</v>
      </c>
      <c r="P85" s="69" t="s">
        <v>4519</v>
      </c>
      <c r="Q85" s="65">
        <v>3</v>
      </c>
      <c r="R85" s="65">
        <v>5</v>
      </c>
      <c r="S85" s="65" t="str">
        <f t="shared" si="3"/>
        <v>DA_gl_gl_sl_f_g_c_avg_c_str</v>
      </c>
      <c r="T85" s="65" t="str">
        <f t="shared" si="4"/>
        <v>/Game/DungeonSiege/Items/Armor/Glove/DA_gl_gl_sl_f_g_c_avg_c_str</v>
      </c>
      <c r="U85" s="65" t="str">
        <f t="shared" si="5"/>
        <v>Texture2D'/Game/DungeonSiege/art/bitmaps/gui/in_game/inventory/armor/gauntlet/b_gui_ig_i_a_gntl_059.b_gui_ig_i_a_gntl_059'</v>
      </c>
      <c r="V85" s="65" t="s">
        <v>4479</v>
      </c>
    </row>
    <row r="86" spans="1:22" ht="15.75" thickBot="1" x14ac:dyDescent="0.3">
      <c r="A86" s="65">
        <v>84</v>
      </c>
      <c r="B86" s="65">
        <f>HEX2DEC(A86+Items!$A$7)</f>
        <v>18874500</v>
      </c>
      <c r="C86" s="65" t="s">
        <v>4210</v>
      </c>
      <c r="D86" s="65">
        <v>6</v>
      </c>
      <c r="E86" s="65" t="s">
        <v>2384</v>
      </c>
      <c r="F86" s="65">
        <v>16</v>
      </c>
      <c r="G86" s="65">
        <v>0</v>
      </c>
      <c r="H86" s="65">
        <v>1</v>
      </c>
      <c r="I86" s="65">
        <v>0</v>
      </c>
      <c r="J86" s="65">
        <v>0</v>
      </c>
      <c r="K86" s="65">
        <v>1</v>
      </c>
      <c r="L86" s="65">
        <v>2</v>
      </c>
      <c r="M86" s="65" t="s">
        <v>4311</v>
      </c>
      <c r="N86" s="65" t="s">
        <v>4461</v>
      </c>
      <c r="O86" s="70" t="s">
        <v>4510</v>
      </c>
      <c r="P86" s="69" t="s">
        <v>4519</v>
      </c>
      <c r="Q86" s="65">
        <v>1</v>
      </c>
      <c r="R86" s="65">
        <v>3</v>
      </c>
      <c r="S86" s="65" t="str">
        <f t="shared" si="3"/>
        <v>DA_gl_gl_sl_f_g_c_avg_o_avg</v>
      </c>
      <c r="T86" s="65" t="str">
        <f t="shared" si="4"/>
        <v>/Game/DungeonSiege/Items/Armor/Glove/DA_gl_gl_sl_f_g_c_avg_o_avg</v>
      </c>
      <c r="U86" s="65" t="str">
        <f t="shared" si="5"/>
        <v>Texture2D'/Game/DungeonSiege/art/bitmaps/gui/in_game/inventory/armor/gauntlet/b_gui_ig_i_a_gntl_061.b_gui_ig_i_a_gntl_061'</v>
      </c>
      <c r="V86" s="65" t="s">
        <v>4479</v>
      </c>
    </row>
    <row r="87" spans="1:22" ht="15.75" thickBot="1" x14ac:dyDescent="0.3">
      <c r="A87" s="65">
        <v>85</v>
      </c>
      <c r="B87" s="65">
        <f>HEX2DEC(A87+Items!$A$7)</f>
        <v>18874501</v>
      </c>
      <c r="C87" s="65" t="s">
        <v>4210</v>
      </c>
      <c r="D87" s="65">
        <v>8</v>
      </c>
      <c r="E87" s="65" t="s">
        <v>2384</v>
      </c>
      <c r="F87" s="65">
        <v>18</v>
      </c>
      <c r="G87" s="65">
        <v>0</v>
      </c>
      <c r="H87" s="65">
        <v>1</v>
      </c>
      <c r="I87" s="65">
        <v>0</v>
      </c>
      <c r="J87" s="65">
        <v>0</v>
      </c>
      <c r="K87" s="65">
        <v>1</v>
      </c>
      <c r="L87" s="65">
        <v>2</v>
      </c>
      <c r="M87" s="65" t="s">
        <v>4312</v>
      </c>
      <c r="N87" s="65" t="s">
        <v>4462</v>
      </c>
      <c r="O87" s="70" t="s">
        <v>4511</v>
      </c>
      <c r="P87" s="69" t="s">
        <v>4519</v>
      </c>
      <c r="Q87" s="65">
        <v>2</v>
      </c>
      <c r="R87" s="65">
        <v>3</v>
      </c>
      <c r="S87" s="65" t="str">
        <f t="shared" si="3"/>
        <v>DA_gl_gl_sl_f_g_c_avg_o_fin</v>
      </c>
      <c r="T87" s="65" t="str">
        <f t="shared" si="4"/>
        <v>/Game/DungeonSiege/Items/Armor/Glove/DA_gl_gl_sl_f_g_c_avg_o_fin</v>
      </c>
      <c r="U87" s="65" t="str">
        <f t="shared" si="5"/>
        <v>Texture2D'/Game/DungeonSiege/art/bitmaps/gui/in_game/inventory/armor/gauntlet/b_gui_ig_i_a_gntl_062.b_gui_ig_i_a_gntl_062'</v>
      </c>
      <c r="V87" s="65" t="s">
        <v>4479</v>
      </c>
    </row>
    <row r="88" spans="1:22" ht="15.75" thickBot="1" x14ac:dyDescent="0.3">
      <c r="A88" s="65">
        <v>86</v>
      </c>
      <c r="B88" s="65">
        <f>HEX2DEC(A88+Items!$A$7)</f>
        <v>18874502</v>
      </c>
      <c r="C88" s="65" t="s">
        <v>4210</v>
      </c>
      <c r="D88" s="65">
        <v>20</v>
      </c>
      <c r="E88" s="65" t="s">
        <v>2384</v>
      </c>
      <c r="F88" s="65">
        <v>32</v>
      </c>
      <c r="G88" s="65">
        <v>0</v>
      </c>
      <c r="H88" s="65">
        <v>1</v>
      </c>
      <c r="I88" s="65">
        <v>0</v>
      </c>
      <c r="J88" s="65">
        <v>0</v>
      </c>
      <c r="K88" s="65">
        <v>1</v>
      </c>
      <c r="L88" s="65">
        <v>2</v>
      </c>
      <c r="M88" s="65" t="s">
        <v>4313</v>
      </c>
      <c r="N88" s="65" t="s">
        <v>4464</v>
      </c>
      <c r="O88" s="70" t="s">
        <v>4512</v>
      </c>
      <c r="P88" s="69" t="s">
        <v>4519</v>
      </c>
      <c r="Q88" s="65">
        <v>6</v>
      </c>
      <c r="R88" s="65">
        <v>8</v>
      </c>
      <c r="S88" s="65" t="str">
        <f t="shared" si="3"/>
        <v>DA_gl_gl_sl_f_g_c_avg_o_mag</v>
      </c>
      <c r="T88" s="65" t="str">
        <f t="shared" si="4"/>
        <v>/Game/DungeonSiege/Items/Armor/Glove/DA_gl_gl_sl_f_g_c_avg_o_mag</v>
      </c>
      <c r="U88" s="65" t="str">
        <f t="shared" si="5"/>
        <v>Texture2D'/Game/DungeonSiege/art/bitmaps/gui/in_game/inventory/armor/gauntlet/b_gui_ig_i_a_gntl_064.b_gui_ig_i_a_gntl_064'</v>
      </c>
      <c r="V88" s="65" t="s">
        <v>4479</v>
      </c>
    </row>
    <row r="89" spans="1:22" ht="15.75" thickBot="1" x14ac:dyDescent="0.3">
      <c r="A89" s="65">
        <v>87</v>
      </c>
      <c r="B89" s="65">
        <f>HEX2DEC(A89+Items!$A$7)</f>
        <v>18874503</v>
      </c>
      <c r="C89" s="65" t="s">
        <v>4210</v>
      </c>
      <c r="D89" s="65">
        <v>13</v>
      </c>
      <c r="E89" s="65" t="s">
        <v>2384</v>
      </c>
      <c r="F89" s="65">
        <v>24</v>
      </c>
      <c r="G89" s="65">
        <v>0</v>
      </c>
      <c r="H89" s="65">
        <v>1</v>
      </c>
      <c r="I89" s="65">
        <v>0</v>
      </c>
      <c r="J89" s="65">
        <v>0</v>
      </c>
      <c r="K89" s="65">
        <v>1</v>
      </c>
      <c r="L89" s="65">
        <v>2</v>
      </c>
      <c r="M89" s="65" t="s">
        <v>4314</v>
      </c>
      <c r="N89" s="65" t="s">
        <v>4463</v>
      </c>
      <c r="O89" s="70" t="s">
        <v>4513</v>
      </c>
      <c r="P89" s="69" t="s">
        <v>4519</v>
      </c>
      <c r="Q89" s="65">
        <v>4</v>
      </c>
      <c r="R89" s="65">
        <v>6</v>
      </c>
      <c r="S89" s="65" t="str">
        <f t="shared" si="3"/>
        <v>DA_gl_gl_sl_f_g_c_avg_o_str</v>
      </c>
      <c r="T89" s="65" t="str">
        <f t="shared" si="4"/>
        <v>/Game/DungeonSiege/Items/Armor/Glove/DA_gl_gl_sl_f_g_c_avg_o_str</v>
      </c>
      <c r="U89" s="65" t="str">
        <f t="shared" si="5"/>
        <v>Texture2D'/Game/DungeonSiege/art/bitmaps/gui/in_game/inventory/armor/gauntlet/b_gui_ig_i_a_gntl_063.b_gui_ig_i_a_gntl_063'</v>
      </c>
      <c r="V89" s="65" t="s">
        <v>4479</v>
      </c>
    </row>
    <row r="90" spans="1:22" ht="15.75" thickBot="1" x14ac:dyDescent="0.3">
      <c r="A90" s="65">
        <v>88</v>
      </c>
      <c r="B90" s="65">
        <f>HEX2DEC(A90+Items!$A$7)</f>
        <v>18874504</v>
      </c>
      <c r="C90" s="65" t="s">
        <v>4211</v>
      </c>
      <c r="D90" s="65">
        <v>26</v>
      </c>
      <c r="E90" s="65" t="s">
        <v>2384</v>
      </c>
      <c r="F90" s="65">
        <v>38</v>
      </c>
      <c r="G90" s="65">
        <v>0</v>
      </c>
      <c r="H90" s="65">
        <v>0</v>
      </c>
      <c r="I90" s="65">
        <v>1</v>
      </c>
      <c r="J90" s="65">
        <v>1</v>
      </c>
      <c r="K90" s="65">
        <v>1</v>
      </c>
      <c r="L90" s="65">
        <v>2</v>
      </c>
      <c r="M90" s="65" t="s">
        <v>4315</v>
      </c>
      <c r="N90" s="65" t="s">
        <v>4380</v>
      </c>
      <c r="O90" s="70" t="s">
        <v>4480</v>
      </c>
      <c r="P90" s="69" t="s">
        <v>4519</v>
      </c>
      <c r="Q90" s="65">
        <v>2</v>
      </c>
      <c r="R90" s="65">
        <v>5</v>
      </c>
      <c r="S90" s="65" t="str">
        <f t="shared" si="3"/>
        <v>DA_gl_ra_ga_ba_f_g_c_fin</v>
      </c>
      <c r="T90" s="65" t="str">
        <f t="shared" si="4"/>
        <v>/Game/DungeonSiege/Items/Armor/Glove/DA_gl_ra_ga_ba_f_g_c_fin</v>
      </c>
      <c r="U90" s="65" t="str">
        <f t="shared" si="5"/>
        <v>Texture2D'/Game/DungeonSiege/art/bitmaps/gui/in_game/inventory/armor/gauntlet/b_gui_ig_i_a_gntl_123.b_gui_ig_i_a_gntl_123'</v>
      </c>
      <c r="V90" s="65" t="s">
        <v>4479</v>
      </c>
    </row>
    <row r="91" spans="1:22" ht="15.75" thickBot="1" x14ac:dyDescent="0.3">
      <c r="A91" s="65">
        <v>89</v>
      </c>
      <c r="B91" s="65">
        <f>HEX2DEC(A91+Items!$A$7)</f>
        <v>18874505</v>
      </c>
      <c r="C91" s="65" t="s">
        <v>4211</v>
      </c>
      <c r="D91" s="65">
        <v>44</v>
      </c>
      <c r="E91" s="65" t="s">
        <v>2384</v>
      </c>
      <c r="F91" s="65">
        <v>58</v>
      </c>
      <c r="G91" s="65">
        <v>0</v>
      </c>
      <c r="H91" s="65">
        <v>0</v>
      </c>
      <c r="I91" s="65">
        <v>1</v>
      </c>
      <c r="J91" s="65">
        <v>1</v>
      </c>
      <c r="K91" s="65">
        <v>1</v>
      </c>
      <c r="L91" s="65">
        <v>2</v>
      </c>
      <c r="M91" s="65" t="s">
        <v>4316</v>
      </c>
      <c r="N91" s="65" t="s">
        <v>4465</v>
      </c>
      <c r="O91" s="70" t="s">
        <v>4481</v>
      </c>
      <c r="P91" s="69" t="s">
        <v>4519</v>
      </c>
      <c r="Q91" s="65">
        <v>12</v>
      </c>
      <c r="R91" s="65">
        <v>17</v>
      </c>
      <c r="S91" s="65" t="str">
        <f t="shared" si="3"/>
        <v>DA_gl_ra_ga_ba_f_g_c_fin_c_mag</v>
      </c>
      <c r="T91" s="65" t="str">
        <f t="shared" si="4"/>
        <v>/Game/DungeonSiege/Items/Armor/Glove/DA_gl_ra_ga_ba_f_g_c_fin_c_mag</v>
      </c>
      <c r="U91" s="65" t="str">
        <f t="shared" si="5"/>
        <v>Texture2D'/Game/DungeonSiege/art/bitmaps/gui/in_game/inventory/armor/gauntlet/b_gui_ig_i_a_gntl_127.b_gui_ig_i_a_gntl_127'</v>
      </c>
      <c r="V91" s="65" t="s">
        <v>4479</v>
      </c>
    </row>
    <row r="92" spans="1:22" ht="15.75" thickBot="1" x14ac:dyDescent="0.3">
      <c r="A92" s="65">
        <v>90</v>
      </c>
      <c r="B92" s="65">
        <f>HEX2DEC(A92+Items!$A$7)</f>
        <v>18874512</v>
      </c>
      <c r="C92" s="65" t="s">
        <v>4211</v>
      </c>
      <c r="D92" s="65">
        <v>36</v>
      </c>
      <c r="E92" s="65" t="s">
        <v>2384</v>
      </c>
      <c r="F92" s="65">
        <v>49</v>
      </c>
      <c r="G92" s="65">
        <v>0</v>
      </c>
      <c r="H92" s="65">
        <v>0</v>
      </c>
      <c r="I92" s="65">
        <v>1</v>
      </c>
      <c r="J92" s="65">
        <v>1</v>
      </c>
      <c r="K92" s="65">
        <v>1</v>
      </c>
      <c r="L92" s="65">
        <v>2</v>
      </c>
      <c r="M92" s="65" t="s">
        <v>4317</v>
      </c>
      <c r="N92" s="65" t="s">
        <v>4382</v>
      </c>
      <c r="O92" s="70" t="s">
        <v>4482</v>
      </c>
      <c r="P92" s="69" t="s">
        <v>4519</v>
      </c>
      <c r="Q92" s="65">
        <v>7</v>
      </c>
      <c r="R92" s="65">
        <v>14</v>
      </c>
      <c r="S92" s="65" t="str">
        <f t="shared" si="3"/>
        <v>DA_gl_ra_ga_ba_f_g_c_fin_c_str</v>
      </c>
      <c r="T92" s="65" t="str">
        <f t="shared" si="4"/>
        <v>/Game/DungeonSiege/Items/Armor/Glove/DA_gl_ra_ga_ba_f_g_c_fin_c_str</v>
      </c>
      <c r="U92" s="65" t="str">
        <f t="shared" si="5"/>
        <v>Texture2D'/Game/DungeonSiege/art/bitmaps/gui/in_game/inventory/armor/gauntlet/b_gui_ig_i_a_gntl_125.b_gui_ig_i_a_gntl_125'</v>
      </c>
      <c r="V92" s="65" t="s">
        <v>4479</v>
      </c>
    </row>
    <row r="93" spans="1:22" ht="15.75" thickBot="1" x14ac:dyDescent="0.3">
      <c r="A93" s="65">
        <v>91</v>
      </c>
      <c r="B93" s="65">
        <f>HEX2DEC(A93+Items!$A$7)</f>
        <v>18874513</v>
      </c>
      <c r="C93" s="65" t="s">
        <v>4211</v>
      </c>
      <c r="D93" s="65">
        <v>31</v>
      </c>
      <c r="E93" s="65" t="s">
        <v>2384</v>
      </c>
      <c r="F93" s="65">
        <v>43</v>
      </c>
      <c r="G93" s="65">
        <v>0</v>
      </c>
      <c r="H93" s="65">
        <v>0</v>
      </c>
      <c r="I93" s="65">
        <v>1</v>
      </c>
      <c r="J93" s="65">
        <v>1</v>
      </c>
      <c r="K93" s="65">
        <v>1</v>
      </c>
      <c r="L93" s="65">
        <v>2</v>
      </c>
      <c r="M93" s="65" t="s">
        <v>4318</v>
      </c>
      <c r="N93" s="65" t="s">
        <v>4381</v>
      </c>
      <c r="O93" s="70" t="s">
        <v>4484</v>
      </c>
      <c r="P93" s="69" t="s">
        <v>4519</v>
      </c>
      <c r="Q93" s="65">
        <v>5</v>
      </c>
      <c r="R93" s="65">
        <v>11</v>
      </c>
      <c r="S93" s="65" t="str">
        <f t="shared" si="3"/>
        <v>DA_gl_ra_ga_ba_f_g_c_fin_o_fin</v>
      </c>
      <c r="T93" s="65" t="str">
        <f t="shared" si="4"/>
        <v>/Game/DungeonSiege/Items/Armor/Glove/DA_gl_ra_ga_ba_f_g_c_fin_o_fin</v>
      </c>
      <c r="U93" s="65" t="str">
        <f t="shared" si="5"/>
        <v>Texture2D'/Game/DungeonSiege/art/bitmaps/gui/in_game/inventory/armor/gauntlet/b_gui_ig_i_a_gntl_124.b_gui_ig_i_a_gntl_124'</v>
      </c>
      <c r="V93" s="65" t="s">
        <v>4479</v>
      </c>
    </row>
    <row r="94" spans="1:22" ht="15.75" thickBot="1" x14ac:dyDescent="0.3">
      <c r="A94" s="65">
        <v>92</v>
      </c>
      <c r="B94" s="65">
        <f>HEX2DEC(A94+Items!$A$7)</f>
        <v>18874514</v>
      </c>
      <c r="C94" s="65" t="s">
        <v>4211</v>
      </c>
      <c r="D94" s="65">
        <v>40</v>
      </c>
      <c r="E94" s="65" t="s">
        <v>2384</v>
      </c>
      <c r="F94" s="65">
        <v>53</v>
      </c>
      <c r="G94" s="65">
        <v>0</v>
      </c>
      <c r="H94" s="65">
        <v>0</v>
      </c>
      <c r="I94" s="65">
        <v>1</v>
      </c>
      <c r="J94" s="65">
        <v>1</v>
      </c>
      <c r="K94" s="65">
        <v>1</v>
      </c>
      <c r="L94" s="65">
        <v>2</v>
      </c>
      <c r="M94" s="65" t="s">
        <v>4319</v>
      </c>
      <c r="N94" s="65" t="s">
        <v>4466</v>
      </c>
      <c r="O94" s="70" t="s">
        <v>4486</v>
      </c>
      <c r="P94" s="69" t="s">
        <v>4519</v>
      </c>
      <c r="Q94" s="65">
        <v>10</v>
      </c>
      <c r="R94" s="65">
        <v>15</v>
      </c>
      <c r="S94" s="65" t="str">
        <f t="shared" si="3"/>
        <v>DA_gl_ra_ga_ba_f_g_c_fin_o_str</v>
      </c>
      <c r="T94" s="65" t="str">
        <f t="shared" si="4"/>
        <v>/Game/DungeonSiege/Items/Armor/Glove/DA_gl_ra_ga_ba_f_g_c_fin_o_str</v>
      </c>
      <c r="U94" s="65" t="str">
        <f t="shared" si="5"/>
        <v>Texture2D'/Game/DungeonSiege/art/bitmaps/gui/in_game/inventory/armor/gauntlet/b_gui_ig_i_a_gntl_126.b_gui_ig_i_a_gntl_126'</v>
      </c>
      <c r="V94" s="65" t="s">
        <v>4479</v>
      </c>
    </row>
    <row r="95" spans="1:22" ht="15.75" thickBot="1" x14ac:dyDescent="0.3">
      <c r="A95" s="65">
        <v>93</v>
      </c>
      <c r="B95" s="65">
        <f>HEX2DEC(A95+Items!$A$7)</f>
        <v>18874515</v>
      </c>
      <c r="C95" s="65" t="s">
        <v>4212</v>
      </c>
      <c r="D95" s="65">
        <v>13</v>
      </c>
      <c r="E95" s="65" t="s">
        <v>2384</v>
      </c>
      <c r="F95" s="65">
        <v>23</v>
      </c>
      <c r="G95" s="65">
        <v>0</v>
      </c>
      <c r="H95" s="65">
        <v>0</v>
      </c>
      <c r="I95" s="65">
        <v>1</v>
      </c>
      <c r="J95" s="65">
        <v>1</v>
      </c>
      <c r="K95" s="65">
        <v>1</v>
      </c>
      <c r="L95" s="65">
        <v>2</v>
      </c>
      <c r="M95" s="65" t="s">
        <v>4320</v>
      </c>
      <c r="N95" s="65" t="s">
        <v>4373</v>
      </c>
      <c r="O95" s="70" t="s">
        <v>2788</v>
      </c>
      <c r="P95" s="69" t="s">
        <v>4519</v>
      </c>
      <c r="Q95" s="65">
        <v>1</v>
      </c>
      <c r="R95" s="65">
        <v>3</v>
      </c>
      <c r="S95" s="65" t="str">
        <f t="shared" si="3"/>
        <v>DA_gl_ra_ga_bl_f_g_c_fin</v>
      </c>
      <c r="T95" s="65" t="str">
        <f t="shared" si="4"/>
        <v>/Game/DungeonSiege/Items/Armor/Glove/DA_gl_ra_ga_bl_f_g_c_fin</v>
      </c>
      <c r="U95" s="65" t="str">
        <f t="shared" si="5"/>
        <v>Texture2D'/Game/DungeonSiege/art/bitmaps/gui/in_game/inventory/armor/gauntlet/b_gui_ig_i_a_gntl_116.b_gui_ig_i_a_gntl_116'</v>
      </c>
      <c r="V95" s="65" t="s">
        <v>4479</v>
      </c>
    </row>
    <row r="96" spans="1:22" ht="15.75" thickBot="1" x14ac:dyDescent="0.3">
      <c r="A96" s="65">
        <v>94</v>
      </c>
      <c r="B96" s="65">
        <f>HEX2DEC(A96+Items!$A$7)</f>
        <v>18874516</v>
      </c>
      <c r="C96" s="65" t="s">
        <v>4212</v>
      </c>
      <c r="D96" s="65">
        <v>16</v>
      </c>
      <c r="E96" s="65" t="s">
        <v>2384</v>
      </c>
      <c r="F96" s="65">
        <v>27</v>
      </c>
      <c r="G96" s="65">
        <v>0</v>
      </c>
      <c r="H96" s="65">
        <v>0</v>
      </c>
      <c r="I96" s="65">
        <v>1</v>
      </c>
      <c r="J96" s="65">
        <v>1</v>
      </c>
      <c r="K96" s="65">
        <v>1</v>
      </c>
      <c r="L96" s="65">
        <v>2</v>
      </c>
      <c r="M96" s="65" t="s">
        <v>4321</v>
      </c>
      <c r="N96" s="65" t="s">
        <v>4374</v>
      </c>
      <c r="O96" s="70" t="s">
        <v>2791</v>
      </c>
      <c r="P96" s="69" t="s">
        <v>4519</v>
      </c>
      <c r="Q96" s="65">
        <v>3</v>
      </c>
      <c r="R96" s="65">
        <v>6</v>
      </c>
      <c r="S96" s="65" t="str">
        <f t="shared" si="3"/>
        <v>DA_gl_ra_ga_bl_f_g_c_fin_o_fin</v>
      </c>
      <c r="T96" s="65" t="str">
        <f t="shared" si="4"/>
        <v>/Game/DungeonSiege/Items/Armor/Glove/DA_gl_ra_ga_bl_f_g_c_fin_o_fin</v>
      </c>
      <c r="U96" s="65" t="str">
        <f t="shared" si="5"/>
        <v>Texture2D'/Game/DungeonSiege/art/bitmaps/gui/in_game/inventory/armor/gauntlet/b_gui_ig_i_a_gntl_117.b_gui_ig_i_a_gntl_117'</v>
      </c>
      <c r="V96" s="65" t="s">
        <v>4479</v>
      </c>
    </row>
    <row r="97" spans="1:22" ht="15.75" thickBot="1" x14ac:dyDescent="0.3">
      <c r="A97" s="65">
        <v>95</v>
      </c>
      <c r="B97" s="65">
        <f>HEX2DEC(A97+Items!$A$7)</f>
        <v>18874517</v>
      </c>
      <c r="C97" s="65" t="s">
        <v>4213</v>
      </c>
      <c r="D97" s="65">
        <v>13</v>
      </c>
      <c r="E97" s="65" t="s">
        <v>2384</v>
      </c>
      <c r="F97" s="65">
        <v>24</v>
      </c>
      <c r="G97" s="65">
        <v>0</v>
      </c>
      <c r="H97" s="65">
        <v>0</v>
      </c>
      <c r="I97" s="65">
        <v>1</v>
      </c>
      <c r="J97" s="65">
        <v>1</v>
      </c>
      <c r="K97" s="65">
        <v>1</v>
      </c>
      <c r="L97" s="65">
        <v>2</v>
      </c>
      <c r="M97" s="65" t="s">
        <v>4322</v>
      </c>
      <c r="N97" s="65" t="s">
        <v>4375</v>
      </c>
      <c r="O97" s="70" t="s">
        <v>4488</v>
      </c>
      <c r="P97" s="69" t="s">
        <v>4519</v>
      </c>
      <c r="Q97" s="65">
        <v>1</v>
      </c>
      <c r="R97" s="65">
        <v>3</v>
      </c>
      <c r="S97" s="65" t="str">
        <f t="shared" si="3"/>
        <v>DA_gl_ra_ga_br_f_g_c_fin</v>
      </c>
      <c r="T97" s="65" t="str">
        <f t="shared" si="4"/>
        <v>/Game/DungeonSiege/Items/Armor/Glove/DA_gl_ra_ga_br_f_g_c_fin</v>
      </c>
      <c r="U97" s="65" t="str">
        <f t="shared" si="5"/>
        <v>Texture2D'/Game/DungeonSiege/art/bitmaps/gui/in_game/inventory/armor/gauntlet/b_gui_ig_i_a_gntl_118.b_gui_ig_i_a_gntl_118'</v>
      </c>
      <c r="V97" s="65" t="s">
        <v>4479</v>
      </c>
    </row>
    <row r="98" spans="1:22" ht="15.75" thickBot="1" x14ac:dyDescent="0.3">
      <c r="A98" s="65">
        <v>96</v>
      </c>
      <c r="B98" s="65">
        <f>HEX2DEC(A98+Items!$A$7)</f>
        <v>18874518</v>
      </c>
      <c r="C98" s="65" t="s">
        <v>4213</v>
      </c>
      <c r="D98" s="65">
        <v>18</v>
      </c>
      <c r="E98" s="65" t="s">
        <v>2384</v>
      </c>
      <c r="F98" s="65">
        <v>29</v>
      </c>
      <c r="G98" s="65">
        <v>0</v>
      </c>
      <c r="H98" s="65">
        <v>0</v>
      </c>
      <c r="I98" s="65">
        <v>1</v>
      </c>
      <c r="J98" s="65">
        <v>1</v>
      </c>
      <c r="K98" s="65">
        <v>1</v>
      </c>
      <c r="L98" s="65">
        <v>2</v>
      </c>
      <c r="M98" s="65" t="s">
        <v>4323</v>
      </c>
      <c r="N98" s="65" t="s">
        <v>4376</v>
      </c>
      <c r="O98" s="70" t="s">
        <v>4492</v>
      </c>
      <c r="P98" s="69" t="s">
        <v>4519</v>
      </c>
      <c r="Q98" s="65">
        <v>3</v>
      </c>
      <c r="R98" s="65">
        <v>7</v>
      </c>
      <c r="S98" s="65" t="str">
        <f t="shared" si="3"/>
        <v>DA_gl_ra_ga_br_f_g_c_fin_o_fin</v>
      </c>
      <c r="T98" s="65" t="str">
        <f t="shared" si="4"/>
        <v>/Game/DungeonSiege/Items/Armor/Glove/DA_gl_ra_ga_br_f_g_c_fin_o_fin</v>
      </c>
      <c r="U98" s="65" t="str">
        <f t="shared" si="5"/>
        <v>Texture2D'/Game/DungeonSiege/art/bitmaps/gui/in_game/inventory/armor/gauntlet/b_gui_ig_i_a_gntl_119.b_gui_ig_i_a_gntl_119'</v>
      </c>
      <c r="V98" s="65" t="s">
        <v>4479</v>
      </c>
    </row>
    <row r="99" spans="1:22" ht="15.75" thickBot="1" x14ac:dyDescent="0.3">
      <c r="A99" s="65">
        <v>97</v>
      </c>
      <c r="B99" s="65">
        <f>HEX2DEC(A99+Items!$A$7)</f>
        <v>18874519</v>
      </c>
      <c r="C99" s="65" t="s">
        <v>4213</v>
      </c>
      <c r="D99" s="65">
        <v>35</v>
      </c>
      <c r="E99" s="65" t="s">
        <v>2384</v>
      </c>
      <c r="F99" s="65">
        <v>48</v>
      </c>
      <c r="G99" s="65">
        <v>0</v>
      </c>
      <c r="H99" s="65">
        <v>0</v>
      </c>
      <c r="I99" s="65">
        <v>1</v>
      </c>
      <c r="J99" s="65">
        <v>1</v>
      </c>
      <c r="K99" s="65">
        <v>1</v>
      </c>
      <c r="L99" s="65">
        <v>2</v>
      </c>
      <c r="M99" s="65" t="s">
        <v>4324</v>
      </c>
      <c r="N99" s="65" t="s">
        <v>4377</v>
      </c>
      <c r="O99" s="70" t="s">
        <v>4493</v>
      </c>
      <c r="P99" s="69" t="s">
        <v>4519</v>
      </c>
      <c r="Q99" s="65">
        <v>10</v>
      </c>
      <c r="R99" s="65">
        <v>14</v>
      </c>
      <c r="S99" s="65" t="str">
        <f t="shared" si="3"/>
        <v>DA_gl_ra_ga_br_f_g_c_fin_o_mag</v>
      </c>
      <c r="T99" s="65" t="str">
        <f t="shared" si="4"/>
        <v>/Game/DungeonSiege/Items/Armor/Glove/DA_gl_ra_ga_br_f_g_c_fin_o_mag</v>
      </c>
      <c r="U99" s="65" t="str">
        <f t="shared" si="5"/>
        <v>Texture2D'/Game/DungeonSiege/art/bitmaps/gui/in_game/inventory/armor/gauntlet/b_gui_ig_i_a_gntl_120.b_gui_ig_i_a_gntl_120'</v>
      </c>
      <c r="V99" s="65" t="s">
        <v>4479</v>
      </c>
    </row>
    <row r="100" spans="1:22" ht="15.75" thickBot="1" x14ac:dyDescent="0.3">
      <c r="A100" s="65">
        <v>98</v>
      </c>
      <c r="B100" s="65">
        <f>HEX2DEC(A100+Items!$A$7)</f>
        <v>18874520</v>
      </c>
      <c r="C100" s="65" t="s">
        <v>4214</v>
      </c>
      <c r="D100" s="65">
        <v>35</v>
      </c>
      <c r="E100" s="65" t="s">
        <v>2384</v>
      </c>
      <c r="F100" s="65">
        <v>49</v>
      </c>
      <c r="G100" s="65">
        <v>0</v>
      </c>
      <c r="H100" s="65">
        <v>0</v>
      </c>
      <c r="I100" s="65">
        <v>1</v>
      </c>
      <c r="J100" s="65">
        <v>1</v>
      </c>
      <c r="K100" s="65">
        <v>1</v>
      </c>
      <c r="L100" s="65">
        <v>2</v>
      </c>
      <c r="M100" s="65" t="s">
        <v>4325</v>
      </c>
      <c r="N100" s="65" t="s">
        <v>4467</v>
      </c>
      <c r="O100" s="70" t="s">
        <v>2508</v>
      </c>
      <c r="P100" s="69" t="s">
        <v>4519</v>
      </c>
      <c r="Q100" s="65">
        <v>8</v>
      </c>
      <c r="R100" s="65">
        <v>15</v>
      </c>
      <c r="S100" s="65" t="str">
        <f t="shared" si="3"/>
        <v>DA_gl_ra_ga_fp_f_g_o_avg</v>
      </c>
      <c r="T100" s="65" t="str">
        <f t="shared" si="4"/>
        <v>/Game/DungeonSiege/Items/Armor/Glove/DA_gl_ra_ga_fp_f_g_o_avg</v>
      </c>
      <c r="U100" s="65" t="str">
        <f t="shared" si="5"/>
        <v>Texture2D'/Game/DungeonSiege/art/bitmaps/gui/in_game/inventory/armor/gauntlet/b_gui_ig_i_a_gntl_129.b_gui_ig_i_a_gntl_129'</v>
      </c>
      <c r="V100" s="65" t="s">
        <v>4479</v>
      </c>
    </row>
    <row r="101" spans="1:22" ht="15.75" thickBot="1" x14ac:dyDescent="0.3">
      <c r="A101" s="65">
        <v>99</v>
      </c>
      <c r="B101" s="65">
        <f>HEX2DEC(A101+Items!$A$7)</f>
        <v>18874521</v>
      </c>
      <c r="C101" s="65" t="s">
        <v>4214</v>
      </c>
      <c r="D101" s="65">
        <v>31</v>
      </c>
      <c r="E101" s="65" t="s">
        <v>2384</v>
      </c>
      <c r="F101" s="65">
        <v>44</v>
      </c>
      <c r="G101" s="65">
        <v>0</v>
      </c>
      <c r="H101" s="65">
        <v>0</v>
      </c>
      <c r="I101" s="65">
        <v>1</v>
      </c>
      <c r="J101" s="65">
        <v>1</v>
      </c>
      <c r="K101" s="65">
        <v>1</v>
      </c>
      <c r="L101" s="65">
        <v>2</v>
      </c>
      <c r="M101" s="65" t="s">
        <v>4326</v>
      </c>
      <c r="N101" s="65" t="s">
        <v>4468</v>
      </c>
      <c r="O101" s="70" t="s">
        <v>2811</v>
      </c>
      <c r="P101" s="69" t="s">
        <v>4519</v>
      </c>
      <c r="Q101" s="65">
        <v>8</v>
      </c>
      <c r="R101" s="65">
        <v>21</v>
      </c>
      <c r="S101" s="65" t="str">
        <f t="shared" si="3"/>
        <v>DA_gl_ra_ga_fp_f_g_o_avg_c_fin</v>
      </c>
      <c r="T101" s="65" t="str">
        <f t="shared" si="4"/>
        <v>/Game/DungeonSiege/Items/Armor/Glove/DA_gl_ra_ga_fp_f_g_o_avg_c_fin</v>
      </c>
      <c r="U101" s="65" t="str">
        <f t="shared" si="5"/>
        <v>Texture2D'/Game/DungeonSiege/art/bitmaps/gui/in_game/inventory/armor/gauntlet/b_gui_ig_i_a_gntl_128.b_gui_ig_i_a_gntl_128'</v>
      </c>
      <c r="V101" s="65" t="s">
        <v>4479</v>
      </c>
    </row>
    <row r="102" spans="1:22" ht="15.75" thickBot="1" x14ac:dyDescent="0.3">
      <c r="A102" s="65">
        <v>100</v>
      </c>
      <c r="B102" s="65">
        <f>HEX2DEC(A102+Items!$A$7)</f>
        <v>18874624</v>
      </c>
      <c r="C102" s="65" t="s">
        <v>4214</v>
      </c>
      <c r="D102" s="65">
        <v>47</v>
      </c>
      <c r="E102" s="65" t="s">
        <v>2384</v>
      </c>
      <c r="F102" s="65">
        <v>63</v>
      </c>
      <c r="G102" s="65">
        <v>0</v>
      </c>
      <c r="H102" s="65">
        <v>0</v>
      </c>
      <c r="I102" s="65">
        <v>1</v>
      </c>
      <c r="J102" s="65">
        <v>1</v>
      </c>
      <c r="K102" s="65">
        <v>1</v>
      </c>
      <c r="L102" s="65">
        <v>2</v>
      </c>
      <c r="M102" s="65" t="s">
        <v>4327</v>
      </c>
      <c r="N102" s="65" t="s">
        <v>4469</v>
      </c>
      <c r="O102" s="70" t="s">
        <v>2824</v>
      </c>
      <c r="P102" s="69" t="s">
        <v>4519</v>
      </c>
      <c r="Q102" s="65">
        <v>13</v>
      </c>
      <c r="R102" s="65">
        <v>71</v>
      </c>
      <c r="S102" s="65" t="str">
        <f t="shared" si="3"/>
        <v>DA_gl_ra_ga_fp_f_g_o_avg_c_str</v>
      </c>
      <c r="T102" s="65" t="str">
        <f t="shared" si="4"/>
        <v>/Game/DungeonSiege/Items/Armor/Glove/DA_gl_ra_ga_fp_f_g_o_avg_c_str</v>
      </c>
      <c r="U102" s="65" t="str">
        <f t="shared" si="5"/>
        <v>Texture2D'/Game/DungeonSiege/art/bitmaps/gui/in_game/inventory/armor/gauntlet/b_gui_ig_i_a_gntl_131.b_gui_ig_i_a_gntl_131'</v>
      </c>
      <c r="V102" s="65" t="s">
        <v>4479</v>
      </c>
    </row>
    <row r="103" spans="1:22" ht="15.75" thickBot="1" x14ac:dyDescent="0.3">
      <c r="A103" s="65">
        <v>101</v>
      </c>
      <c r="B103" s="65">
        <f>HEX2DEC(A103+Items!$A$7)</f>
        <v>18874625</v>
      </c>
      <c r="C103" s="65" t="s">
        <v>4214</v>
      </c>
      <c r="D103" s="65">
        <v>40</v>
      </c>
      <c r="E103" s="65" t="s">
        <v>2384</v>
      </c>
      <c r="F103" s="65">
        <v>54</v>
      </c>
      <c r="G103" s="65">
        <v>0</v>
      </c>
      <c r="H103" s="65">
        <v>0</v>
      </c>
      <c r="I103" s="65">
        <v>1</v>
      </c>
      <c r="J103" s="65">
        <v>1</v>
      </c>
      <c r="K103" s="65">
        <v>1</v>
      </c>
      <c r="L103" s="65">
        <v>2</v>
      </c>
      <c r="M103" s="65" t="s">
        <v>4328</v>
      </c>
      <c r="N103" s="65" t="s">
        <v>4470</v>
      </c>
      <c r="O103" s="70" t="s">
        <v>2508</v>
      </c>
      <c r="P103" s="69" t="s">
        <v>4519</v>
      </c>
      <c r="Q103" s="65">
        <v>11</v>
      </c>
      <c r="R103" s="65">
        <v>49</v>
      </c>
      <c r="S103" s="65" t="str">
        <f t="shared" si="3"/>
        <v>DA_gl_ra_ga_fp_f_g_o_avg_o_fin</v>
      </c>
      <c r="T103" s="65" t="str">
        <f t="shared" si="4"/>
        <v>/Game/DungeonSiege/Items/Armor/Glove/DA_gl_ra_ga_fp_f_g_o_avg_o_fin</v>
      </c>
      <c r="U103" s="65" t="str">
        <f t="shared" si="5"/>
        <v>Texture2D'/Game/DungeonSiege/art/bitmaps/gui/in_game/inventory/armor/gauntlet/b_gui_ig_i_a_gntl_130.b_gui_ig_i_a_gntl_130'</v>
      </c>
      <c r="V103" s="65" t="s">
        <v>4479</v>
      </c>
    </row>
    <row r="104" spans="1:22" ht="15.75" thickBot="1" x14ac:dyDescent="0.3">
      <c r="A104" s="65">
        <v>102</v>
      </c>
      <c r="B104" s="65">
        <f>HEX2DEC(A104+Items!$A$7)</f>
        <v>18874626</v>
      </c>
      <c r="C104" s="65" t="s">
        <v>4214</v>
      </c>
      <c r="D104" s="65">
        <v>55</v>
      </c>
      <c r="E104" s="65" t="s">
        <v>2384</v>
      </c>
      <c r="F104" s="65">
        <v>71</v>
      </c>
      <c r="G104" s="65">
        <v>0</v>
      </c>
      <c r="H104" s="65">
        <v>0</v>
      </c>
      <c r="I104" s="65">
        <v>1</v>
      </c>
      <c r="J104" s="65">
        <v>1</v>
      </c>
      <c r="K104" s="65">
        <v>1</v>
      </c>
      <c r="L104" s="65">
        <v>2</v>
      </c>
      <c r="M104" s="65" t="s">
        <v>4329</v>
      </c>
      <c r="N104" s="65" t="s">
        <v>4471</v>
      </c>
      <c r="O104" s="70" t="s">
        <v>2508</v>
      </c>
      <c r="P104" s="69" t="s">
        <v>4519</v>
      </c>
      <c r="Q104" s="65">
        <v>15</v>
      </c>
      <c r="R104" s="65">
        <v>112</v>
      </c>
      <c r="S104" s="65" t="str">
        <f t="shared" si="3"/>
        <v>DA_gl_ra_ga_fp_f_g_o_avg_o_str</v>
      </c>
      <c r="T104" s="65" t="str">
        <f t="shared" si="4"/>
        <v>/Game/DungeonSiege/Items/Armor/Glove/DA_gl_ra_ga_fp_f_g_o_avg_o_str</v>
      </c>
      <c r="U104" s="65" t="str">
        <f t="shared" si="5"/>
        <v>Texture2D'/Game/DungeonSiege/art/bitmaps/gui/in_game/inventory/armor/gauntlet/b_gui_ig_i_a_gntl_132.b_gui_ig_i_a_gntl_132'</v>
      </c>
      <c r="V104" s="65" t="s">
        <v>4479</v>
      </c>
    </row>
    <row r="105" spans="1:22" ht="15.75" thickBot="1" x14ac:dyDescent="0.3">
      <c r="A105" s="65">
        <v>103</v>
      </c>
      <c r="B105" s="65">
        <f>HEX2DEC(A105+Items!$A$7)</f>
        <v>18874627</v>
      </c>
      <c r="C105" s="65" t="s">
        <v>4215</v>
      </c>
      <c r="D105" s="65">
        <v>17</v>
      </c>
      <c r="E105" s="65" t="s">
        <v>2384</v>
      </c>
      <c r="F105" s="65">
        <v>28</v>
      </c>
      <c r="G105" s="65">
        <v>0</v>
      </c>
      <c r="H105" s="65">
        <v>0</v>
      </c>
      <c r="I105" s="65">
        <v>1</v>
      </c>
      <c r="J105" s="65">
        <v>1</v>
      </c>
      <c r="K105" s="65">
        <v>1</v>
      </c>
      <c r="L105" s="65">
        <v>2</v>
      </c>
      <c r="M105" s="65" t="s">
        <v>4330</v>
      </c>
      <c r="N105" s="65" t="s">
        <v>4378</v>
      </c>
      <c r="O105" s="70" t="s">
        <v>2809</v>
      </c>
      <c r="P105" s="69" t="s">
        <v>4519</v>
      </c>
      <c r="Q105" s="65">
        <v>1</v>
      </c>
      <c r="R105" s="65">
        <v>4</v>
      </c>
      <c r="S105" s="65" t="str">
        <f t="shared" si="3"/>
        <v>DA_gl_ra_ga_sc_f_g_c_fin</v>
      </c>
      <c r="T105" s="65" t="str">
        <f t="shared" si="4"/>
        <v>/Game/DungeonSiege/Items/Armor/Glove/DA_gl_ra_ga_sc_f_g_c_fin</v>
      </c>
      <c r="U105" s="65" t="str">
        <f t="shared" si="5"/>
        <v>Texture2D'/Game/DungeonSiege/art/bitmaps/gui/in_game/inventory/armor/gauntlet/b_gui_ig_i_a_gntl_121.b_gui_ig_i_a_gntl_121'</v>
      </c>
      <c r="V105" s="65" t="s">
        <v>4479</v>
      </c>
    </row>
    <row r="106" spans="1:22" ht="15.75" thickBot="1" x14ac:dyDescent="0.3">
      <c r="A106" s="65">
        <v>104</v>
      </c>
      <c r="B106" s="65">
        <f>HEX2DEC(A106+Items!$A$7)</f>
        <v>18874628</v>
      </c>
      <c r="C106" s="65" t="s">
        <v>4215</v>
      </c>
      <c r="D106" s="65">
        <v>22</v>
      </c>
      <c r="E106" s="65" t="s">
        <v>2384</v>
      </c>
      <c r="F106" s="65">
        <v>33</v>
      </c>
      <c r="G106" s="65">
        <v>0</v>
      </c>
      <c r="H106" s="65">
        <v>0</v>
      </c>
      <c r="I106" s="65">
        <v>1</v>
      </c>
      <c r="J106" s="65">
        <v>1</v>
      </c>
      <c r="K106" s="65">
        <v>1</v>
      </c>
      <c r="L106" s="65">
        <v>2</v>
      </c>
      <c r="M106" s="65" t="s">
        <v>4331</v>
      </c>
      <c r="N106" s="65" t="s">
        <v>4379</v>
      </c>
      <c r="O106" s="70" t="s">
        <v>2808</v>
      </c>
      <c r="P106" s="69" t="s">
        <v>4519</v>
      </c>
      <c r="Q106" s="65">
        <v>4</v>
      </c>
      <c r="R106" s="65">
        <v>8</v>
      </c>
      <c r="S106" s="65" t="str">
        <f t="shared" si="3"/>
        <v>DA_gl_ra_ga_sc_f_g_c_fin_o_fin</v>
      </c>
      <c r="T106" s="65" t="str">
        <f t="shared" si="4"/>
        <v>/Game/DungeonSiege/Items/Armor/Glove/DA_gl_ra_ga_sc_f_g_c_fin_o_fin</v>
      </c>
      <c r="U106" s="65" t="str">
        <f t="shared" si="5"/>
        <v>Texture2D'/Game/DungeonSiege/art/bitmaps/gui/in_game/inventory/armor/gauntlet/b_gui_ig_i_a_gntl_122.b_gui_ig_i_a_gntl_122'</v>
      </c>
      <c r="V106" s="65" t="s">
        <v>4479</v>
      </c>
    </row>
    <row r="107" spans="1:22" ht="15.75" thickBot="1" x14ac:dyDescent="0.3">
      <c r="A107" s="65">
        <v>105</v>
      </c>
      <c r="B107" s="65">
        <f>HEX2DEC(A107+Items!$A$7)</f>
        <v>18874629</v>
      </c>
      <c r="C107" s="65" t="s">
        <v>4216</v>
      </c>
      <c r="D107" s="65">
        <v>7</v>
      </c>
      <c r="E107" s="65" t="s">
        <v>2384</v>
      </c>
      <c r="F107" s="65">
        <v>17</v>
      </c>
      <c r="G107" s="65">
        <v>0</v>
      </c>
      <c r="H107" s="65">
        <v>0</v>
      </c>
      <c r="I107" s="65">
        <v>1</v>
      </c>
      <c r="J107" s="65">
        <v>1</v>
      </c>
      <c r="K107" s="65">
        <v>1</v>
      </c>
      <c r="L107" s="65">
        <v>2</v>
      </c>
      <c r="M107" s="65" t="s">
        <v>4332</v>
      </c>
      <c r="N107" s="65" t="s">
        <v>4359</v>
      </c>
      <c r="O107" s="70" t="s">
        <v>2517</v>
      </c>
      <c r="P107" s="69" t="s">
        <v>4519</v>
      </c>
      <c r="Q107" s="65">
        <v>2</v>
      </c>
      <c r="R107" s="65">
        <v>4</v>
      </c>
      <c r="S107" s="65" t="str">
        <f t="shared" si="3"/>
        <v>DA_gl_ra_gl_bl_f_g_c_fin</v>
      </c>
      <c r="T107" s="65" t="str">
        <f t="shared" si="4"/>
        <v>/Game/DungeonSiege/Items/Armor/Glove/DA_gl_ra_gl_bl_f_g_c_fin</v>
      </c>
      <c r="U107" s="65" t="str">
        <f t="shared" si="5"/>
        <v>Texture2D'/Game/DungeonSiege/art/bitmaps/gui/in_game/inventory/armor/gauntlet/b_gui_ig_i_a_gntl_102.b_gui_ig_i_a_gntl_102'</v>
      </c>
      <c r="V107" s="65" t="s">
        <v>4479</v>
      </c>
    </row>
    <row r="108" spans="1:22" ht="15.75" thickBot="1" x14ac:dyDescent="0.3">
      <c r="A108" s="65">
        <v>106</v>
      </c>
      <c r="B108" s="65">
        <f>HEX2DEC(A108+Items!$A$7)</f>
        <v>18874630</v>
      </c>
      <c r="C108" s="65" t="s">
        <v>4216</v>
      </c>
      <c r="D108" s="65">
        <v>11</v>
      </c>
      <c r="E108" s="65" t="s">
        <v>2384</v>
      </c>
      <c r="F108" s="65">
        <v>20</v>
      </c>
      <c r="G108" s="65">
        <v>0</v>
      </c>
      <c r="H108" s="65">
        <v>0</v>
      </c>
      <c r="I108" s="65">
        <v>1</v>
      </c>
      <c r="J108" s="65">
        <v>1</v>
      </c>
      <c r="K108" s="65">
        <v>1</v>
      </c>
      <c r="L108" s="65">
        <v>2</v>
      </c>
      <c r="M108" s="65" t="s">
        <v>4333</v>
      </c>
      <c r="N108" s="65" t="s">
        <v>4360</v>
      </c>
      <c r="O108" s="70" t="s">
        <v>2796</v>
      </c>
      <c r="P108" s="69" t="s">
        <v>4519</v>
      </c>
      <c r="Q108" s="65">
        <v>2</v>
      </c>
      <c r="R108" s="65">
        <v>5</v>
      </c>
      <c r="S108" s="65" t="str">
        <f t="shared" si="3"/>
        <v>DA_gl_ra_gl_bl_f_g_c_fin_o_fin</v>
      </c>
      <c r="T108" s="65" t="str">
        <f t="shared" si="4"/>
        <v>/Game/DungeonSiege/Items/Armor/Glove/DA_gl_ra_gl_bl_f_g_c_fin_o_fin</v>
      </c>
      <c r="U108" s="65" t="str">
        <f t="shared" si="5"/>
        <v>Texture2D'/Game/DungeonSiege/art/bitmaps/gui/in_game/inventory/armor/gauntlet/b_gui_ig_i_a_gntl_103.b_gui_ig_i_a_gntl_103'</v>
      </c>
      <c r="V108" s="65" t="s">
        <v>4479</v>
      </c>
    </row>
    <row r="109" spans="1:22" ht="15.75" thickBot="1" x14ac:dyDescent="0.3">
      <c r="A109" s="65">
        <v>107</v>
      </c>
      <c r="B109" s="65">
        <f>HEX2DEC(A109+Items!$A$7)</f>
        <v>18874631</v>
      </c>
      <c r="C109" s="65" t="s">
        <v>4217</v>
      </c>
      <c r="D109" s="65">
        <v>12</v>
      </c>
      <c r="E109" s="65" t="s">
        <v>2384</v>
      </c>
      <c r="F109" s="65">
        <v>22</v>
      </c>
      <c r="G109" s="65">
        <v>0</v>
      </c>
      <c r="H109" s="65">
        <v>0</v>
      </c>
      <c r="I109" s="65">
        <v>1</v>
      </c>
      <c r="J109" s="65">
        <v>1</v>
      </c>
      <c r="K109" s="65">
        <v>1</v>
      </c>
      <c r="L109" s="65">
        <v>2</v>
      </c>
      <c r="M109" s="65" t="s">
        <v>4334</v>
      </c>
      <c r="N109" s="65" t="s">
        <v>4361</v>
      </c>
      <c r="O109" s="70" t="s">
        <v>4496</v>
      </c>
      <c r="P109" s="69" t="s">
        <v>4519</v>
      </c>
      <c r="Q109" s="65">
        <v>1</v>
      </c>
      <c r="R109" s="65">
        <v>2</v>
      </c>
      <c r="S109" s="65" t="str">
        <f t="shared" si="3"/>
        <v>DA_gl_ra_gl_br_f_g_c_fin</v>
      </c>
      <c r="T109" s="65" t="str">
        <f t="shared" si="4"/>
        <v>/Game/DungeonSiege/Items/Armor/Glove/DA_gl_ra_gl_br_f_g_c_fin</v>
      </c>
      <c r="U109" s="65" t="str">
        <f t="shared" si="5"/>
        <v>Texture2D'/Game/DungeonSiege/art/bitmaps/gui/in_game/inventory/armor/gauntlet/b_gui_ig_i_a_gntl_104.b_gui_ig_i_a_gntl_104'</v>
      </c>
      <c r="V109" s="65" t="s">
        <v>4479</v>
      </c>
    </row>
    <row r="110" spans="1:22" ht="15.75" thickBot="1" x14ac:dyDescent="0.3">
      <c r="A110" s="65">
        <v>108</v>
      </c>
      <c r="B110" s="65">
        <f>HEX2DEC(A110+Items!$A$7)</f>
        <v>18874632</v>
      </c>
      <c r="C110" s="65" t="s">
        <v>4217</v>
      </c>
      <c r="D110" s="65">
        <v>16</v>
      </c>
      <c r="E110" s="65" t="s">
        <v>2384</v>
      </c>
      <c r="F110" s="65">
        <v>27</v>
      </c>
      <c r="G110" s="65">
        <v>0</v>
      </c>
      <c r="H110" s="65">
        <v>0</v>
      </c>
      <c r="I110" s="65">
        <v>1</v>
      </c>
      <c r="J110" s="65">
        <v>1</v>
      </c>
      <c r="K110" s="65">
        <v>1</v>
      </c>
      <c r="L110" s="65">
        <v>2</v>
      </c>
      <c r="M110" s="65" t="s">
        <v>4335</v>
      </c>
      <c r="N110" s="65" t="s">
        <v>4362</v>
      </c>
      <c r="O110" s="70" t="s">
        <v>4500</v>
      </c>
      <c r="P110" s="69" t="s">
        <v>4519</v>
      </c>
      <c r="Q110" s="65">
        <v>3</v>
      </c>
      <c r="R110" s="65">
        <v>6</v>
      </c>
      <c r="S110" s="65" t="str">
        <f t="shared" si="3"/>
        <v>DA_gl_ra_gl_br_f_g_c_fin_o_fin</v>
      </c>
      <c r="T110" s="65" t="str">
        <f t="shared" si="4"/>
        <v>/Game/DungeonSiege/Items/Armor/Glove/DA_gl_ra_gl_br_f_g_c_fin_o_fin</v>
      </c>
      <c r="U110" s="65" t="str">
        <f t="shared" si="5"/>
        <v>Texture2D'/Game/DungeonSiege/art/bitmaps/gui/in_game/inventory/armor/gauntlet/b_gui_ig_i_a_gntl_105.b_gui_ig_i_a_gntl_105'</v>
      </c>
      <c r="V110" s="65" t="s">
        <v>4479</v>
      </c>
    </row>
    <row r="111" spans="1:22" ht="15.75" thickBot="1" x14ac:dyDescent="0.3">
      <c r="A111" s="65">
        <v>109</v>
      </c>
      <c r="B111" s="65">
        <f>HEX2DEC(A111+Items!$A$7)</f>
        <v>18874633</v>
      </c>
      <c r="C111" s="65" t="s">
        <v>4217</v>
      </c>
      <c r="D111" s="65">
        <v>33</v>
      </c>
      <c r="E111" s="65" t="s">
        <v>2384</v>
      </c>
      <c r="F111" s="65">
        <v>46</v>
      </c>
      <c r="G111" s="65">
        <v>0</v>
      </c>
      <c r="H111" s="65">
        <v>0</v>
      </c>
      <c r="I111" s="65">
        <v>1</v>
      </c>
      <c r="J111" s="65">
        <v>1</v>
      </c>
      <c r="K111" s="65">
        <v>1</v>
      </c>
      <c r="L111" s="65">
        <v>2</v>
      </c>
      <c r="M111" s="65" t="s">
        <v>4336</v>
      </c>
      <c r="N111" s="65" t="s">
        <v>4364</v>
      </c>
      <c r="O111" s="70" t="s">
        <v>4501</v>
      </c>
      <c r="P111" s="69" t="s">
        <v>4519</v>
      </c>
      <c r="Q111" s="65">
        <v>10</v>
      </c>
      <c r="R111" s="65">
        <v>13</v>
      </c>
      <c r="S111" s="65" t="str">
        <f t="shared" si="3"/>
        <v>DA_gl_ra_gl_br_f_g_c_fin_o_mag</v>
      </c>
      <c r="T111" s="65" t="str">
        <f t="shared" si="4"/>
        <v>/Game/DungeonSiege/Items/Armor/Glove/DA_gl_ra_gl_br_f_g_c_fin_o_mag</v>
      </c>
      <c r="U111" s="65" t="str">
        <f t="shared" si="5"/>
        <v>Texture2D'/Game/DungeonSiege/art/bitmaps/gui/in_game/inventory/armor/gauntlet/b_gui_ig_i_a_gntl_107.b_gui_ig_i_a_gntl_107'</v>
      </c>
      <c r="V111" s="65" t="s">
        <v>4479</v>
      </c>
    </row>
    <row r="112" spans="1:22" ht="15.75" thickBot="1" x14ac:dyDescent="0.3">
      <c r="A112" s="65">
        <v>110</v>
      </c>
      <c r="B112" s="65">
        <f>HEX2DEC(A112+Items!$A$7)</f>
        <v>18874640</v>
      </c>
      <c r="C112" s="65" t="s">
        <v>4217</v>
      </c>
      <c r="D112" s="65">
        <v>24</v>
      </c>
      <c r="E112" s="65" t="s">
        <v>2384</v>
      </c>
      <c r="F112" s="65">
        <v>36</v>
      </c>
      <c r="G112" s="65">
        <v>0</v>
      </c>
      <c r="H112" s="65">
        <v>0</v>
      </c>
      <c r="I112" s="65">
        <v>1</v>
      </c>
      <c r="J112" s="65">
        <v>1</v>
      </c>
      <c r="K112" s="65">
        <v>1</v>
      </c>
      <c r="L112" s="65">
        <v>2</v>
      </c>
      <c r="M112" s="65" t="s">
        <v>4337</v>
      </c>
      <c r="N112" s="65" t="s">
        <v>4363</v>
      </c>
      <c r="O112" s="70" t="s">
        <v>4502</v>
      </c>
      <c r="P112" s="69" t="s">
        <v>4519</v>
      </c>
      <c r="Q112" s="65">
        <v>6</v>
      </c>
      <c r="R112" s="65">
        <v>9</v>
      </c>
      <c r="S112" s="65" t="str">
        <f t="shared" si="3"/>
        <v>DA_gl_ra_gl_br_f_g_c_fin_o_str</v>
      </c>
      <c r="T112" s="65" t="str">
        <f t="shared" si="4"/>
        <v>/Game/DungeonSiege/Items/Armor/Glove/DA_gl_ra_gl_br_f_g_c_fin_o_str</v>
      </c>
      <c r="U112" s="65" t="str">
        <f t="shared" si="5"/>
        <v>Texture2D'/Game/DungeonSiege/art/bitmaps/gui/in_game/inventory/armor/gauntlet/b_gui_ig_i_a_gntl_106.b_gui_ig_i_a_gntl_106'</v>
      </c>
      <c r="V112" s="65" t="s">
        <v>4479</v>
      </c>
    </row>
    <row r="113" spans="1:22" ht="15.75" thickBot="1" x14ac:dyDescent="0.3">
      <c r="A113" s="65">
        <v>111</v>
      </c>
      <c r="B113" s="65">
        <f>HEX2DEC(A113+Items!$A$7)</f>
        <v>18874641</v>
      </c>
      <c r="C113" s="65" t="s">
        <v>4218</v>
      </c>
      <c r="D113" s="65">
        <v>18</v>
      </c>
      <c r="E113" s="65" t="s">
        <v>2384</v>
      </c>
      <c r="F113" s="65">
        <v>29</v>
      </c>
      <c r="G113" s="65">
        <v>0</v>
      </c>
      <c r="H113" s="65">
        <v>0</v>
      </c>
      <c r="I113" s="65">
        <v>1</v>
      </c>
      <c r="J113" s="65">
        <v>1</v>
      </c>
      <c r="K113" s="65">
        <v>1</v>
      </c>
      <c r="L113" s="65">
        <v>2</v>
      </c>
      <c r="M113" s="65" t="s">
        <v>4338</v>
      </c>
      <c r="N113" s="65" t="s">
        <v>4368</v>
      </c>
      <c r="O113" s="70" t="s">
        <v>2822</v>
      </c>
      <c r="P113" s="69" t="s">
        <v>4519</v>
      </c>
      <c r="Q113" s="65">
        <v>1</v>
      </c>
      <c r="R113" s="65">
        <v>4</v>
      </c>
      <c r="S113" s="65" t="str">
        <f t="shared" si="3"/>
        <v>DA_gl_ra_gl_ch_f_g_c_fin</v>
      </c>
      <c r="T113" s="65" t="str">
        <f t="shared" si="4"/>
        <v>/Game/DungeonSiege/Items/Armor/Glove/DA_gl_ra_gl_ch_f_g_c_fin</v>
      </c>
      <c r="U113" s="65" t="str">
        <f t="shared" si="5"/>
        <v>Texture2D'/Game/DungeonSiege/art/bitmaps/gui/in_game/inventory/armor/gauntlet/b_gui_ig_i_a_gntl_111.b_gui_ig_i_a_gntl_111'</v>
      </c>
      <c r="V113" s="65" t="s">
        <v>4479</v>
      </c>
    </row>
    <row r="114" spans="1:22" ht="15.75" thickBot="1" x14ac:dyDescent="0.3">
      <c r="A114" s="65">
        <v>112</v>
      </c>
      <c r="B114" s="65">
        <f>HEX2DEC(A114+Items!$A$7)</f>
        <v>18874642</v>
      </c>
      <c r="C114" s="65" t="s">
        <v>4218</v>
      </c>
      <c r="D114" s="65">
        <v>40</v>
      </c>
      <c r="E114" s="65" t="s">
        <v>2384</v>
      </c>
      <c r="F114" s="65">
        <v>54</v>
      </c>
      <c r="G114" s="65">
        <v>0</v>
      </c>
      <c r="H114" s="65">
        <v>0</v>
      </c>
      <c r="I114" s="65">
        <v>1</v>
      </c>
      <c r="J114" s="65">
        <v>1</v>
      </c>
      <c r="K114" s="65">
        <v>1</v>
      </c>
      <c r="L114" s="65">
        <v>2</v>
      </c>
      <c r="M114" s="65" t="s">
        <v>4339</v>
      </c>
      <c r="N114" s="65" t="s">
        <v>4372</v>
      </c>
      <c r="O114" s="70" t="s">
        <v>2814</v>
      </c>
      <c r="P114" s="69" t="s">
        <v>4519</v>
      </c>
      <c r="Q114" s="65">
        <v>11</v>
      </c>
      <c r="R114" s="65">
        <v>15</v>
      </c>
      <c r="S114" s="65" t="str">
        <f t="shared" si="3"/>
        <v>DA_gl_ra_gl_ch_f_g_c_fin_c_mag</v>
      </c>
      <c r="T114" s="65" t="str">
        <f t="shared" si="4"/>
        <v>/Game/DungeonSiege/Items/Armor/Glove/DA_gl_ra_gl_ch_f_g_c_fin_c_mag</v>
      </c>
      <c r="U114" s="65" t="str">
        <f t="shared" si="5"/>
        <v>Texture2D'/Game/DungeonSiege/art/bitmaps/gui/in_game/inventory/armor/gauntlet/b_gui_ig_i_a_gntl_115.b_gui_ig_i_a_gntl_115'</v>
      </c>
      <c r="V114" s="65" t="s">
        <v>4479</v>
      </c>
    </row>
    <row r="115" spans="1:22" ht="15.75" thickBot="1" x14ac:dyDescent="0.3">
      <c r="A115" s="65">
        <v>113</v>
      </c>
      <c r="B115" s="65">
        <f>HEX2DEC(A115+Items!$A$7)</f>
        <v>18874643</v>
      </c>
      <c r="C115" s="65" t="s">
        <v>4218</v>
      </c>
      <c r="D115" s="65">
        <v>29</v>
      </c>
      <c r="E115" s="65" t="s">
        <v>2384</v>
      </c>
      <c r="F115" s="65">
        <v>42</v>
      </c>
      <c r="G115" s="65">
        <v>0</v>
      </c>
      <c r="H115" s="65">
        <v>0</v>
      </c>
      <c r="I115" s="65">
        <v>1</v>
      </c>
      <c r="J115" s="65">
        <v>1</v>
      </c>
      <c r="K115" s="65">
        <v>1</v>
      </c>
      <c r="L115" s="65">
        <v>2</v>
      </c>
      <c r="M115" s="65" t="s">
        <v>4340</v>
      </c>
      <c r="N115" s="65" t="s">
        <v>4370</v>
      </c>
      <c r="O115" s="70" t="s">
        <v>2813</v>
      </c>
      <c r="P115" s="69" t="s">
        <v>4519</v>
      </c>
      <c r="Q115" s="65">
        <v>6</v>
      </c>
      <c r="R115" s="65">
        <v>11</v>
      </c>
      <c r="S115" s="65" t="str">
        <f t="shared" si="3"/>
        <v>DA_gl_ra_gl_ch_f_g_c_fin_c_str</v>
      </c>
      <c r="T115" s="65" t="str">
        <f t="shared" si="4"/>
        <v>/Game/DungeonSiege/Items/Armor/Glove/DA_gl_ra_gl_ch_f_g_c_fin_c_str</v>
      </c>
      <c r="U115" s="65" t="str">
        <f t="shared" si="5"/>
        <v>Texture2D'/Game/DungeonSiege/art/bitmaps/gui/in_game/inventory/armor/gauntlet/b_gui_ig_i_a_gntl_113.b_gui_ig_i_a_gntl_113'</v>
      </c>
      <c r="V115" s="65" t="s">
        <v>4479</v>
      </c>
    </row>
    <row r="116" spans="1:22" ht="15.75" thickBot="1" x14ac:dyDescent="0.3">
      <c r="A116" s="65">
        <v>114</v>
      </c>
      <c r="B116" s="65">
        <f>HEX2DEC(A116+Items!$A$7)</f>
        <v>18874644</v>
      </c>
      <c r="C116" s="65" t="s">
        <v>4218</v>
      </c>
      <c r="D116" s="65">
        <v>25</v>
      </c>
      <c r="E116" s="65" t="s">
        <v>2384</v>
      </c>
      <c r="F116" s="65">
        <v>36</v>
      </c>
      <c r="G116" s="65">
        <v>0</v>
      </c>
      <c r="H116" s="65">
        <v>0</v>
      </c>
      <c r="I116" s="65">
        <v>1</v>
      </c>
      <c r="J116" s="65">
        <v>1</v>
      </c>
      <c r="K116" s="65">
        <v>1</v>
      </c>
      <c r="L116" s="65">
        <v>2</v>
      </c>
      <c r="M116" s="65" t="s">
        <v>4341</v>
      </c>
      <c r="N116" s="65" t="s">
        <v>4369</v>
      </c>
      <c r="O116" s="70" t="s">
        <v>2817</v>
      </c>
      <c r="P116" s="69" t="s">
        <v>4519</v>
      </c>
      <c r="Q116" s="65">
        <v>4</v>
      </c>
      <c r="R116" s="65">
        <v>9</v>
      </c>
      <c r="S116" s="65" t="str">
        <f t="shared" si="3"/>
        <v>DA_gl_ra_gl_ch_f_g_c_fin_o_fin</v>
      </c>
      <c r="T116" s="65" t="str">
        <f t="shared" si="4"/>
        <v>/Game/DungeonSiege/Items/Armor/Glove/DA_gl_ra_gl_ch_f_g_c_fin_o_fin</v>
      </c>
      <c r="U116" s="65" t="str">
        <f t="shared" si="5"/>
        <v>Texture2D'/Game/DungeonSiege/art/bitmaps/gui/in_game/inventory/armor/gauntlet/b_gui_ig_i_a_gntl_112.b_gui_ig_i_a_gntl_112'</v>
      </c>
      <c r="V116" s="65" t="s">
        <v>4479</v>
      </c>
    </row>
    <row r="117" spans="1:22" ht="15.75" thickBot="1" x14ac:dyDescent="0.3">
      <c r="A117" s="65">
        <v>115</v>
      </c>
      <c r="B117" s="65">
        <f>HEX2DEC(A117+Items!$A$7)</f>
        <v>18874645</v>
      </c>
      <c r="C117" s="65" t="s">
        <v>4218</v>
      </c>
      <c r="D117" s="65">
        <v>35</v>
      </c>
      <c r="E117" s="65" t="s">
        <v>2384</v>
      </c>
      <c r="F117" s="65">
        <v>47</v>
      </c>
      <c r="G117" s="65">
        <v>0</v>
      </c>
      <c r="H117" s="65">
        <v>0</v>
      </c>
      <c r="I117" s="65">
        <v>1</v>
      </c>
      <c r="J117" s="65">
        <v>1</v>
      </c>
      <c r="K117" s="65">
        <v>1</v>
      </c>
      <c r="L117" s="65">
        <v>2</v>
      </c>
      <c r="M117" s="65" t="s">
        <v>4342</v>
      </c>
      <c r="N117" s="65" t="s">
        <v>4371</v>
      </c>
      <c r="O117" s="70" t="s">
        <v>2819</v>
      </c>
      <c r="P117" s="69" t="s">
        <v>4519</v>
      </c>
      <c r="Q117" s="65">
        <v>9</v>
      </c>
      <c r="R117" s="65">
        <v>13</v>
      </c>
      <c r="S117" s="65" t="str">
        <f t="shared" si="3"/>
        <v>DA_gl_ra_gl_ch_f_g_c_fin_o_str</v>
      </c>
      <c r="T117" s="65" t="str">
        <f t="shared" si="4"/>
        <v>/Game/DungeonSiege/Items/Armor/Glove/DA_gl_ra_gl_ch_f_g_c_fin_o_str</v>
      </c>
      <c r="U117" s="65" t="str">
        <f t="shared" si="5"/>
        <v>Texture2D'/Game/DungeonSiege/art/bitmaps/gui/in_game/inventory/armor/gauntlet/b_gui_ig_i_a_gntl_114.b_gui_ig_i_a_gntl_114'</v>
      </c>
      <c r="V117" s="65" t="s">
        <v>4479</v>
      </c>
    </row>
    <row r="118" spans="1:22" ht="15.75" thickBot="1" x14ac:dyDescent="0.3">
      <c r="A118" s="65">
        <v>116</v>
      </c>
      <c r="B118" s="65">
        <f>HEX2DEC(A118+Items!$A$7)</f>
        <v>18874646</v>
      </c>
      <c r="C118" s="65" t="s">
        <v>4219</v>
      </c>
      <c r="D118" s="65">
        <v>4</v>
      </c>
      <c r="E118" s="65" t="s">
        <v>2384</v>
      </c>
      <c r="F118" s="65">
        <v>13</v>
      </c>
      <c r="G118" s="65">
        <v>0</v>
      </c>
      <c r="H118" s="65">
        <v>0</v>
      </c>
      <c r="I118" s="65">
        <v>1</v>
      </c>
      <c r="J118" s="65">
        <v>1</v>
      </c>
      <c r="K118" s="65">
        <v>1</v>
      </c>
      <c r="L118" s="65">
        <v>2</v>
      </c>
      <c r="M118" s="65" t="s">
        <v>4343</v>
      </c>
      <c r="N118" s="65" t="s">
        <v>4472</v>
      </c>
      <c r="O118" s="70" t="s">
        <v>2801</v>
      </c>
      <c r="P118" s="69" t="s">
        <v>4519</v>
      </c>
      <c r="Q118" s="65">
        <v>1</v>
      </c>
      <c r="R118" s="65">
        <v>3</v>
      </c>
      <c r="S118" s="65" t="str">
        <f t="shared" si="3"/>
        <v>DA_gl_ra_gl_le_f_g_c_fin</v>
      </c>
      <c r="T118" s="65" t="str">
        <f t="shared" si="4"/>
        <v>/Game/DungeonSiege/Items/Armor/Glove/DA_gl_ra_gl_le_f_g_c_fin</v>
      </c>
      <c r="U118" s="65" t="str">
        <f t="shared" si="5"/>
        <v>Texture2D'/Game/DungeonSiege/art/bitmaps/gui/in_game/inventory/armor/gauntlet/b_gui_ig_i_a_gntl_098.b_gui_ig_i_a_gntl_098'</v>
      </c>
      <c r="V118" s="65" t="s">
        <v>4479</v>
      </c>
    </row>
    <row r="119" spans="1:22" ht="15.75" thickBot="1" x14ac:dyDescent="0.3">
      <c r="A119" s="65">
        <v>117</v>
      </c>
      <c r="B119" s="65">
        <f>HEX2DEC(A119+Items!$A$7)</f>
        <v>18874647</v>
      </c>
      <c r="C119" s="65" t="s">
        <v>4219</v>
      </c>
      <c r="D119" s="65">
        <v>8</v>
      </c>
      <c r="E119" s="65" t="s">
        <v>2384</v>
      </c>
      <c r="F119" s="65">
        <v>18</v>
      </c>
      <c r="G119" s="65">
        <v>0</v>
      </c>
      <c r="H119" s="65">
        <v>0</v>
      </c>
      <c r="I119" s="65">
        <v>1</v>
      </c>
      <c r="J119" s="65">
        <v>1</v>
      </c>
      <c r="K119" s="65">
        <v>1</v>
      </c>
      <c r="L119" s="65">
        <v>2</v>
      </c>
      <c r="M119" s="65" t="s">
        <v>4344</v>
      </c>
      <c r="N119" s="65" t="s">
        <v>4473</v>
      </c>
      <c r="O119" s="70" t="s">
        <v>2805</v>
      </c>
      <c r="P119" s="69" t="s">
        <v>4519</v>
      </c>
      <c r="Q119" s="65">
        <v>2</v>
      </c>
      <c r="R119" s="65">
        <v>4</v>
      </c>
      <c r="S119" s="65" t="str">
        <f t="shared" si="3"/>
        <v>DA_gl_ra_gl_le_f_g_c_fin_o_fin</v>
      </c>
      <c r="T119" s="65" t="str">
        <f t="shared" si="4"/>
        <v>/Game/DungeonSiege/Items/Armor/Glove/DA_gl_ra_gl_le_f_g_c_fin_o_fin</v>
      </c>
      <c r="U119" s="65" t="str">
        <f t="shared" si="5"/>
        <v>Texture2D'/Game/DungeonSiege/art/bitmaps/gui/in_game/inventory/armor/gauntlet/b_gui_ig_i_a_gntl_099.b_gui_ig_i_a_gntl_099'</v>
      </c>
      <c r="V119" s="65" t="s">
        <v>4479</v>
      </c>
    </row>
    <row r="120" spans="1:22" ht="15.75" thickBot="1" x14ac:dyDescent="0.3">
      <c r="A120" s="65">
        <v>118</v>
      </c>
      <c r="B120" s="65">
        <f>HEX2DEC(A120+Items!$A$7)</f>
        <v>18874648</v>
      </c>
      <c r="C120" s="65" t="s">
        <v>4220</v>
      </c>
      <c r="D120" s="65">
        <v>13</v>
      </c>
      <c r="E120" s="65" t="s">
        <v>2384</v>
      </c>
      <c r="F120" s="65">
        <v>24</v>
      </c>
      <c r="G120" s="65">
        <v>0</v>
      </c>
      <c r="H120" s="65">
        <v>0</v>
      </c>
      <c r="I120" s="65">
        <v>1</v>
      </c>
      <c r="J120" s="65">
        <v>1</v>
      </c>
      <c r="K120" s="65">
        <v>1</v>
      </c>
      <c r="L120" s="65">
        <v>2</v>
      </c>
      <c r="M120" s="65" t="s">
        <v>4345</v>
      </c>
      <c r="N120" s="65" t="s">
        <v>4365</v>
      </c>
      <c r="O120" s="70" t="s">
        <v>4503</v>
      </c>
      <c r="P120" s="69" t="s">
        <v>4519</v>
      </c>
      <c r="Q120" s="65">
        <v>1</v>
      </c>
      <c r="R120" s="65">
        <v>3</v>
      </c>
      <c r="S120" s="65" t="str">
        <f t="shared" si="3"/>
        <v>DA_gl_ra_gl_sc_f_g_c_fin</v>
      </c>
      <c r="T120" s="65" t="str">
        <f t="shared" si="4"/>
        <v>/Game/DungeonSiege/Items/Armor/Glove/DA_gl_ra_gl_sc_f_g_c_fin</v>
      </c>
      <c r="U120" s="65" t="str">
        <f t="shared" si="5"/>
        <v>Texture2D'/Game/DungeonSiege/art/bitmaps/gui/in_game/inventory/armor/gauntlet/b_gui_ig_i_a_gntl_108.b_gui_ig_i_a_gntl_108'</v>
      </c>
      <c r="V120" s="65" t="s">
        <v>4479</v>
      </c>
    </row>
    <row r="121" spans="1:22" ht="15.75" thickBot="1" x14ac:dyDescent="0.3">
      <c r="A121" s="65">
        <v>119</v>
      </c>
      <c r="B121" s="65">
        <f>HEX2DEC(A121+Items!$A$7)</f>
        <v>18874649</v>
      </c>
      <c r="C121" s="65" t="s">
        <v>4220</v>
      </c>
      <c r="D121" s="65">
        <v>19</v>
      </c>
      <c r="E121" s="65" t="s">
        <v>2384</v>
      </c>
      <c r="F121" s="65">
        <v>29</v>
      </c>
      <c r="G121" s="65">
        <v>0</v>
      </c>
      <c r="H121" s="65">
        <v>0</v>
      </c>
      <c r="I121" s="65">
        <v>1</v>
      </c>
      <c r="J121" s="65">
        <v>1</v>
      </c>
      <c r="K121" s="65">
        <v>1</v>
      </c>
      <c r="L121" s="65">
        <v>2</v>
      </c>
      <c r="M121" s="65" t="s">
        <v>4346</v>
      </c>
      <c r="N121" s="65" t="s">
        <v>4366</v>
      </c>
      <c r="O121" s="70" t="s">
        <v>2816</v>
      </c>
      <c r="P121" s="69" t="s">
        <v>4519</v>
      </c>
      <c r="Q121" s="65">
        <v>3</v>
      </c>
      <c r="R121" s="65">
        <v>7</v>
      </c>
      <c r="S121" s="65" t="str">
        <f t="shared" si="3"/>
        <v>DA_gl_ra_gl_sc_f_g_c_fin_o_fin</v>
      </c>
      <c r="T121" s="65" t="str">
        <f t="shared" si="4"/>
        <v>/Game/DungeonSiege/Items/Armor/Glove/DA_gl_ra_gl_sc_f_g_c_fin_o_fin</v>
      </c>
      <c r="U121" s="65" t="str">
        <f t="shared" si="5"/>
        <v>Texture2D'/Game/DungeonSiege/art/bitmaps/gui/in_game/inventory/armor/gauntlet/b_gui_ig_i_a_gntl_109.b_gui_ig_i_a_gntl_109'</v>
      </c>
      <c r="V121" s="65" t="s">
        <v>4479</v>
      </c>
    </row>
    <row r="122" spans="1:22" ht="15.75" thickBot="1" x14ac:dyDescent="0.3">
      <c r="A122" s="65">
        <v>120</v>
      </c>
      <c r="B122" s="65">
        <f>HEX2DEC(A122+Items!$A$7)</f>
        <v>18874656</v>
      </c>
      <c r="C122" s="65" t="s">
        <v>4220</v>
      </c>
      <c r="D122" s="65">
        <v>26</v>
      </c>
      <c r="E122" s="65" t="s">
        <v>2384</v>
      </c>
      <c r="F122" s="65">
        <v>38</v>
      </c>
      <c r="G122" s="65">
        <v>0</v>
      </c>
      <c r="H122" s="65">
        <v>0</v>
      </c>
      <c r="I122" s="65">
        <v>1</v>
      </c>
      <c r="J122" s="65">
        <v>1</v>
      </c>
      <c r="K122" s="65">
        <v>1</v>
      </c>
      <c r="L122" s="65">
        <v>2</v>
      </c>
      <c r="M122" s="65" t="s">
        <v>4347</v>
      </c>
      <c r="N122" s="65" t="s">
        <v>4367</v>
      </c>
      <c r="O122" s="70" t="s">
        <v>2815</v>
      </c>
      <c r="P122" s="69" t="s">
        <v>4519</v>
      </c>
      <c r="Q122" s="65">
        <v>7</v>
      </c>
      <c r="R122" s="65">
        <v>10</v>
      </c>
      <c r="S122" s="65" t="str">
        <f t="shared" si="3"/>
        <v>DA_gl_ra_gl_sc_f_g_c_fin_o_str</v>
      </c>
      <c r="T122" s="65" t="str">
        <f t="shared" si="4"/>
        <v>/Game/DungeonSiege/Items/Armor/Glove/DA_gl_ra_gl_sc_f_g_c_fin_o_str</v>
      </c>
      <c r="U122" s="65" t="str">
        <f t="shared" si="5"/>
        <v>Texture2D'/Game/DungeonSiege/art/bitmaps/gui/in_game/inventory/armor/gauntlet/b_gui_ig_i_a_gntl_110.b_gui_ig_i_a_gntl_110'</v>
      </c>
      <c r="V122" s="65" t="s">
        <v>4479</v>
      </c>
    </row>
    <row r="123" spans="1:22" ht="15.75" thickBot="1" x14ac:dyDescent="0.3">
      <c r="A123" s="65">
        <v>121</v>
      </c>
      <c r="B123" s="65">
        <f>HEX2DEC(A123+Items!$A$7)</f>
        <v>18874657</v>
      </c>
      <c r="C123" s="65" t="s">
        <v>4221</v>
      </c>
      <c r="D123" s="65">
        <v>6</v>
      </c>
      <c r="E123" s="65" t="s">
        <v>2384</v>
      </c>
      <c r="F123" s="65">
        <v>15</v>
      </c>
      <c r="G123" s="65">
        <v>0</v>
      </c>
      <c r="H123" s="65">
        <v>0</v>
      </c>
      <c r="I123" s="65">
        <v>1</v>
      </c>
      <c r="J123" s="65">
        <v>1</v>
      </c>
      <c r="K123" s="65">
        <v>1</v>
      </c>
      <c r="L123" s="65">
        <v>2</v>
      </c>
      <c r="M123" s="65" t="s">
        <v>4348</v>
      </c>
      <c r="N123" s="65" t="s">
        <v>4357</v>
      </c>
      <c r="O123" s="70" t="s">
        <v>4507</v>
      </c>
      <c r="P123" s="69" t="s">
        <v>4519</v>
      </c>
      <c r="Q123" s="65">
        <v>1</v>
      </c>
      <c r="R123" s="65">
        <v>3</v>
      </c>
      <c r="S123" s="65" t="str">
        <f t="shared" si="3"/>
        <v>DA_gl_ra_gl_sl_f_g_c_fin</v>
      </c>
      <c r="T123" s="65" t="str">
        <f t="shared" si="4"/>
        <v>/Game/DungeonSiege/Items/Armor/Glove/DA_gl_ra_gl_sl_f_g_c_fin</v>
      </c>
      <c r="U123" s="65" t="str">
        <f t="shared" si="5"/>
        <v>Texture2D'/Game/DungeonSiege/art/bitmaps/gui/in_game/inventory/armor/gauntlet/b_gui_ig_i_a_gntl_100.b_gui_ig_i_a_gntl_100'</v>
      </c>
      <c r="V123" s="65" t="s">
        <v>4479</v>
      </c>
    </row>
    <row r="124" spans="1:22" ht="15.75" thickBot="1" x14ac:dyDescent="0.3">
      <c r="A124" s="65">
        <v>122</v>
      </c>
      <c r="B124" s="65">
        <f>HEX2DEC(A124+Items!$A$7)</f>
        <v>18874658</v>
      </c>
      <c r="C124" s="65" t="s">
        <v>4221</v>
      </c>
      <c r="D124" s="65">
        <v>9</v>
      </c>
      <c r="E124" s="65" t="s">
        <v>2384</v>
      </c>
      <c r="F124" s="65">
        <v>18</v>
      </c>
      <c r="G124" s="65">
        <v>0</v>
      </c>
      <c r="H124" s="65">
        <v>0</v>
      </c>
      <c r="I124" s="65">
        <v>1</v>
      </c>
      <c r="J124" s="65">
        <v>1</v>
      </c>
      <c r="K124" s="65">
        <v>1</v>
      </c>
      <c r="L124" s="65">
        <v>2</v>
      </c>
      <c r="M124" s="65" t="s">
        <v>4349</v>
      </c>
      <c r="N124" s="65" t="s">
        <v>4358</v>
      </c>
      <c r="O124" s="70" t="s">
        <v>4511</v>
      </c>
      <c r="P124" s="69" t="s">
        <v>4519</v>
      </c>
      <c r="Q124" s="65">
        <v>2</v>
      </c>
      <c r="R124" s="65">
        <v>4</v>
      </c>
      <c r="S124" s="65" t="str">
        <f t="shared" si="3"/>
        <v>DA_gl_ra_gl_sl_f_g_c_fin_o_fin</v>
      </c>
      <c r="T124" s="65" t="str">
        <f t="shared" si="4"/>
        <v>/Game/DungeonSiege/Items/Armor/Glove/DA_gl_ra_gl_sl_f_g_c_fin_o_fin</v>
      </c>
      <c r="U124" s="65" t="str">
        <f t="shared" si="5"/>
        <v>Texture2D'/Game/DungeonSiege/art/bitmaps/gui/in_game/inventory/armor/gauntlet/b_gui_ig_i_a_gntl_101.b_gui_ig_i_a_gntl_101'</v>
      </c>
      <c r="V124" s="65" t="s">
        <v>4479</v>
      </c>
    </row>
    <row r="125" spans="1:22" ht="15.75" thickBot="1" x14ac:dyDescent="0.3">
      <c r="A125" s="65">
        <v>123</v>
      </c>
      <c r="B125" s="65">
        <f>HEX2DEC(A125+Items!$A$7)</f>
        <v>18874659</v>
      </c>
      <c r="C125" s="65" t="s">
        <v>4222</v>
      </c>
      <c r="D125" s="65">
        <v>24</v>
      </c>
      <c r="E125" s="65" t="s">
        <v>2384</v>
      </c>
      <c r="F125" s="65">
        <v>25</v>
      </c>
      <c r="G125" s="65">
        <v>0</v>
      </c>
      <c r="H125" s="65">
        <v>0</v>
      </c>
      <c r="I125" s="65">
        <v>0</v>
      </c>
      <c r="J125" s="65">
        <v>1</v>
      </c>
      <c r="K125" s="65">
        <v>1</v>
      </c>
      <c r="L125" s="65">
        <v>2</v>
      </c>
      <c r="M125" s="65" t="s">
        <v>4350</v>
      </c>
      <c r="N125" s="65" t="s">
        <v>4474</v>
      </c>
      <c r="O125" s="70" t="s">
        <v>4514</v>
      </c>
      <c r="P125" s="69" t="s">
        <v>4519</v>
      </c>
      <c r="Q125" s="65">
        <v>3</v>
      </c>
      <c r="R125" s="65">
        <v>19</v>
      </c>
      <c r="S125" s="65" t="str">
        <f t="shared" si="3"/>
        <v>DA_gl_un_gl_br_f_spider</v>
      </c>
      <c r="T125" s="65" t="str">
        <f t="shared" si="4"/>
        <v>/Game/DungeonSiege/Items/Armor/Glove/DA_gl_un_gl_br_f_spider</v>
      </c>
      <c r="U125" s="65" t="str">
        <f t="shared" si="5"/>
        <v>Texture2D'/Game/DungeonSiege/art/bitmaps/gui/in_game/inventory/armor/gauntlet/b_gui_ig_i_a_gntl_096.b_gui_ig_i_a_gntl_096'</v>
      </c>
      <c r="V125" s="65" t="s">
        <v>4479</v>
      </c>
    </row>
    <row r="126" spans="1:22" ht="15.75" thickBot="1" x14ac:dyDescent="0.3">
      <c r="A126" s="65">
        <v>124</v>
      </c>
      <c r="B126" s="65">
        <f>HEX2DEC(A126+Items!$A$7)</f>
        <v>18874660</v>
      </c>
      <c r="C126" s="65" t="s">
        <v>4223</v>
      </c>
      <c r="D126" s="65">
        <v>28</v>
      </c>
      <c r="E126" s="65" t="s">
        <v>2384</v>
      </c>
      <c r="F126" s="65">
        <v>29</v>
      </c>
      <c r="G126" s="65">
        <v>0</v>
      </c>
      <c r="H126" s="65">
        <v>0</v>
      </c>
      <c r="I126" s="65">
        <v>0</v>
      </c>
      <c r="J126" s="65">
        <v>1</v>
      </c>
      <c r="K126" s="65">
        <v>1</v>
      </c>
      <c r="L126" s="65">
        <v>2</v>
      </c>
      <c r="M126" s="65" t="s">
        <v>4351</v>
      </c>
      <c r="N126" s="65" t="s">
        <v>4475</v>
      </c>
      <c r="O126" s="70" t="s">
        <v>4515</v>
      </c>
      <c r="P126" s="69" t="s">
        <v>4519</v>
      </c>
      <c r="Q126" s="65">
        <v>4</v>
      </c>
      <c r="R126" s="65">
        <v>20</v>
      </c>
      <c r="S126" s="65" t="str">
        <f t="shared" si="3"/>
        <v>DA_gl_un_gl_ch_r_green</v>
      </c>
      <c r="T126" s="65" t="str">
        <f t="shared" si="4"/>
        <v>/Game/DungeonSiege/Items/Armor/Glove/DA_gl_un_gl_ch_r_green</v>
      </c>
      <c r="U126" s="65" t="str">
        <f t="shared" si="5"/>
        <v>Texture2D'/Game/DungeonSiege/art/bitmaps/gui/in_game/inventory/armor/gauntlet/b_gui_ig_i_a_gntl_094.b_gui_ig_i_a_gntl_094'</v>
      </c>
      <c r="V126" s="65" t="s">
        <v>4479</v>
      </c>
    </row>
    <row r="127" spans="1:22" ht="15.75" thickBot="1" x14ac:dyDescent="0.3">
      <c r="A127" s="65">
        <v>125</v>
      </c>
      <c r="B127" s="65">
        <f>HEX2DEC(A127+Items!$A$7)</f>
        <v>18874661</v>
      </c>
      <c r="C127" s="65" t="s">
        <v>4224</v>
      </c>
      <c r="D127" s="65">
        <v>32</v>
      </c>
      <c r="E127" s="65" t="s">
        <v>2384</v>
      </c>
      <c r="F127" s="65">
        <v>31</v>
      </c>
      <c r="G127" s="65">
        <v>0</v>
      </c>
      <c r="H127" s="65">
        <v>0</v>
      </c>
      <c r="I127" s="65">
        <v>0</v>
      </c>
      <c r="J127" s="65">
        <v>1</v>
      </c>
      <c r="K127" s="65">
        <v>1</v>
      </c>
      <c r="L127" s="65">
        <v>2</v>
      </c>
      <c r="M127" s="65" t="s">
        <v>4352</v>
      </c>
      <c r="N127" s="65" t="s">
        <v>4476</v>
      </c>
      <c r="O127" s="70" t="s">
        <v>4516</v>
      </c>
      <c r="P127" s="69" t="s">
        <v>4519</v>
      </c>
      <c r="Q127" s="65">
        <v>3</v>
      </c>
      <c r="R127" s="65">
        <v>25</v>
      </c>
      <c r="S127" s="65" t="str">
        <f t="shared" si="3"/>
        <v>DA_gl_un_gl_pl_f_crystal</v>
      </c>
      <c r="T127" s="65" t="str">
        <f t="shared" si="4"/>
        <v>/Game/DungeonSiege/Items/Armor/Glove/DA_gl_un_gl_pl_f_crystal</v>
      </c>
      <c r="U127" s="65" t="str">
        <f t="shared" si="5"/>
        <v>Texture2D'/Game/DungeonSiege/art/bitmaps/gui/in_game/inventory/armor/gauntlet/b_gui_ig_i_a_gntl_095.b_gui_ig_i_a_gntl_095'</v>
      </c>
      <c r="V127" s="65" t="s">
        <v>4479</v>
      </c>
    </row>
    <row r="128" spans="1:22" ht="15.75" thickBot="1" x14ac:dyDescent="0.3">
      <c r="A128" s="65">
        <v>126</v>
      </c>
      <c r="B128" s="65">
        <f>HEX2DEC(A128+Items!$A$7)</f>
        <v>18874662</v>
      </c>
      <c r="C128" s="65" t="s">
        <v>4225</v>
      </c>
      <c r="D128" s="65">
        <v>49</v>
      </c>
      <c r="E128" s="65" t="s">
        <v>2384</v>
      </c>
      <c r="F128" s="65">
        <v>51</v>
      </c>
      <c r="G128" s="65">
        <v>0</v>
      </c>
      <c r="H128" s="65">
        <v>0</v>
      </c>
      <c r="I128" s="65">
        <v>0</v>
      </c>
      <c r="J128" s="65">
        <v>1</v>
      </c>
      <c r="K128" s="65">
        <v>1</v>
      </c>
      <c r="L128" s="65">
        <v>2</v>
      </c>
      <c r="M128" s="65" t="s">
        <v>4353</v>
      </c>
      <c r="N128" s="65" t="s">
        <v>4477</v>
      </c>
      <c r="O128" s="70" t="s">
        <v>4517</v>
      </c>
      <c r="P128" s="69" t="s">
        <v>4519</v>
      </c>
      <c r="Q128" s="65">
        <v>7</v>
      </c>
      <c r="R128" s="65">
        <v>38</v>
      </c>
      <c r="S128" s="65" t="str">
        <f t="shared" si="3"/>
        <v>DA_gl_un_gl_ro_m_molten</v>
      </c>
      <c r="T128" s="65" t="str">
        <f t="shared" si="4"/>
        <v>/Game/DungeonSiege/Items/Armor/Glove/DA_gl_un_gl_ro_m_molten</v>
      </c>
      <c r="U128" s="65" t="str">
        <f t="shared" si="5"/>
        <v>Texture2D'/Game/DungeonSiege/art/bitmaps/gui/in_game/inventory/armor/gauntlet/b_gui_ig_i_a_gntl_093.b_gui_ig_i_a_gntl_093'</v>
      </c>
      <c r="V128" s="65" t="s">
        <v>4479</v>
      </c>
    </row>
    <row r="129" spans="1:22" ht="15.75" thickBot="1" x14ac:dyDescent="0.3">
      <c r="A129" s="65">
        <v>127</v>
      </c>
      <c r="B129" s="65">
        <f>HEX2DEC(A129+Items!$A$7)</f>
        <v>18874663</v>
      </c>
      <c r="C129" s="65" t="s">
        <v>4226</v>
      </c>
      <c r="D129" s="65">
        <v>43</v>
      </c>
      <c r="E129" s="65" t="s">
        <v>2384</v>
      </c>
      <c r="F129" s="65">
        <v>45</v>
      </c>
      <c r="G129" s="65">
        <v>0</v>
      </c>
      <c r="H129" s="65">
        <v>0</v>
      </c>
      <c r="I129" s="65">
        <v>0</v>
      </c>
      <c r="J129" s="65">
        <v>1</v>
      </c>
      <c r="K129" s="65">
        <v>1</v>
      </c>
      <c r="L129" s="65">
        <v>2</v>
      </c>
      <c r="M129" s="65" t="s">
        <v>4354</v>
      </c>
      <c r="N129" s="65" t="s">
        <v>4478</v>
      </c>
      <c r="O129" s="70" t="s">
        <v>4518</v>
      </c>
      <c r="P129" s="69" t="s">
        <v>4519</v>
      </c>
      <c r="Q129" s="65">
        <v>5</v>
      </c>
      <c r="R129" s="65">
        <v>35</v>
      </c>
      <c r="S129" s="65" t="str">
        <f t="shared" si="3"/>
        <v>DA_gl_un_gl_sc_f_dragon</v>
      </c>
      <c r="T129" s="65" t="str">
        <f t="shared" si="4"/>
        <v>/Game/DungeonSiege/Items/Armor/Glove/DA_gl_un_gl_sc_f_dragon</v>
      </c>
      <c r="U129" s="65" t="str">
        <f t="shared" si="5"/>
        <v>Texture2D'/Game/DungeonSiege/art/bitmaps/gui/in_game/inventory/armor/gauntlet/b_gui_ig_i_a_gntl_097.b_gui_ig_i_a_gntl_097'</v>
      </c>
      <c r="V129" s="65" t="s">
        <v>4479</v>
      </c>
    </row>
  </sheetData>
  <phoneticPr fontId="2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ExportGloves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0</xdr:col>
                    <xdr:colOff>1009650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DDB7E-BD76-4AAF-9E3E-40A46A208F79}">
  <sheetPr codeName="Sheet3"/>
  <dimension ref="A1:H26"/>
  <sheetViews>
    <sheetView workbookViewId="0"/>
  </sheetViews>
  <sheetFormatPr defaultRowHeight="15" x14ac:dyDescent="0.25"/>
  <cols>
    <col min="1" max="1" width="16.140625" style="1" customWidth="1"/>
    <col min="2" max="2" width="18.28515625" style="1" customWidth="1"/>
    <col min="3" max="3" width="12.140625" customWidth="1"/>
    <col min="4" max="4" width="19.5703125" customWidth="1"/>
    <col min="5" max="5" width="13.42578125" customWidth="1"/>
    <col min="6" max="6" width="29.140625" bestFit="1" customWidth="1"/>
    <col min="7" max="7" width="67.5703125" bestFit="1" customWidth="1"/>
    <col min="8" max="8" width="123.140625" bestFit="1" customWidth="1"/>
  </cols>
  <sheetData>
    <row r="1" spans="1:8" ht="15.75" thickBot="1" x14ac:dyDescent="0.3">
      <c r="A1" s="30"/>
      <c r="B1" s="30" t="s">
        <v>28</v>
      </c>
      <c r="C1" s="30" t="s">
        <v>0</v>
      </c>
      <c r="D1" s="30" t="s">
        <v>2</v>
      </c>
      <c r="E1" s="30" t="s">
        <v>1</v>
      </c>
      <c r="F1" s="30" t="s">
        <v>335</v>
      </c>
      <c r="G1" s="30" t="s">
        <v>334</v>
      </c>
      <c r="H1" s="30" t="s">
        <v>671</v>
      </c>
    </row>
    <row r="2" spans="1:8" ht="15.75" thickBot="1" x14ac:dyDescent="0.3">
      <c r="A2" s="69">
        <v>0</v>
      </c>
      <c r="B2" s="69">
        <f>HEX2DEC(Items!$A$15+A2)</f>
        <v>69206016</v>
      </c>
      <c r="C2" s="65" t="s">
        <v>3</v>
      </c>
      <c r="D2" s="65">
        <v>0</v>
      </c>
      <c r="E2" s="65">
        <v>0</v>
      </c>
      <c r="F2" s="65" t="str">
        <f t="shared" ref="F2:F18" si="0">"DA_SpellBook_"&amp; SUBSTITUTE(C2," ","")</f>
        <v>DA_SpellBook_Symbol</v>
      </c>
      <c r="G2" s="65" t="str">
        <f>"/Game/DungeonSiege/Items/SpellBooks/"&amp;F2</f>
        <v>/Game/DungeonSiege/Items/SpellBooks/DA_SpellBook_Symbol</v>
      </c>
      <c r="H2" s="65" t="s">
        <v>672</v>
      </c>
    </row>
    <row r="3" spans="1:8" ht="15.75" thickBot="1" x14ac:dyDescent="0.3">
      <c r="A3" s="69">
        <v>1</v>
      </c>
      <c r="B3" s="69">
        <f>HEX2DEC(Items!$A$15+A3)</f>
        <v>69206017</v>
      </c>
      <c r="C3" s="65" t="s">
        <v>4</v>
      </c>
      <c r="D3" s="65">
        <v>10</v>
      </c>
      <c r="E3" s="65">
        <v>10</v>
      </c>
      <c r="F3" s="65" t="str">
        <f t="shared" si="0"/>
        <v>DA_SpellBook_Wizard</v>
      </c>
      <c r="G3" s="65" t="str">
        <f t="shared" ref="G3:G26" si="1">"/Game/DungeonSiege/Items/SpellBooks/"&amp;F3</f>
        <v>/Game/DungeonSiege/Items/SpellBooks/DA_SpellBook_Wizard</v>
      </c>
      <c r="H3" s="65" t="str">
        <f>_xlfn.CONCAT("Texture2D'/Game/DungeonSiege/art/bitmaps/gui/in_game/inventory/items/b_gui_ig_i_it_magic-book-", TEXT(A3+3,"00"),".b_gui_ig_i_it_magic-book-", TEXT(A3+3,"00"),"'")</f>
        <v>Texture2D'/Game/DungeonSiege/art/bitmaps/gui/in_game/inventory/items/b_gui_ig_i_it_magic-book-04.b_gui_ig_i_it_magic-book-04'</v>
      </c>
    </row>
    <row r="4" spans="1:8" ht="15.75" thickBot="1" x14ac:dyDescent="0.3">
      <c r="A4" s="69">
        <v>2</v>
      </c>
      <c r="B4" s="69">
        <f>HEX2DEC(Items!$A$15+A4)</f>
        <v>69206018</v>
      </c>
      <c r="C4" s="65" t="s">
        <v>5</v>
      </c>
      <c r="D4" s="65">
        <v>12</v>
      </c>
      <c r="E4" s="65">
        <v>20</v>
      </c>
      <c r="F4" s="65" t="str">
        <f t="shared" si="0"/>
        <v>DA_SpellBook_Runes</v>
      </c>
      <c r="G4" s="65" t="str">
        <f t="shared" si="1"/>
        <v>/Game/DungeonSiege/Items/SpellBooks/DA_SpellBook_Runes</v>
      </c>
      <c r="H4" s="65" t="str">
        <f t="shared" ref="H4:H26" si="2">_xlfn.CONCAT("Texture2D'/Game/DungeonSiege/art/bitmaps/gui/in_game/inventory/items/b_gui_ig_i_it_magic-book-", TEXT(A4+3,"00"),".b_gui_ig_i_it_magic-book-", TEXT(A4+3,"00"),"'")</f>
        <v>Texture2D'/Game/DungeonSiege/art/bitmaps/gui/in_game/inventory/items/b_gui_ig_i_it_magic-book-05.b_gui_ig_i_it_magic-book-05'</v>
      </c>
    </row>
    <row r="5" spans="1:8" ht="15.75" thickBot="1" x14ac:dyDescent="0.3">
      <c r="A5" s="69">
        <v>3</v>
      </c>
      <c r="B5" s="69">
        <f>HEX2DEC(Items!$A$15+A5)</f>
        <v>69206019</v>
      </c>
      <c r="C5" s="65" t="s">
        <v>6</v>
      </c>
      <c r="D5" s="65">
        <v>13</v>
      </c>
      <c r="E5" s="65">
        <v>30</v>
      </c>
      <c r="F5" s="65" t="str">
        <f t="shared" si="0"/>
        <v>DA_SpellBook_Medusa</v>
      </c>
      <c r="G5" s="65" t="str">
        <f t="shared" si="1"/>
        <v>/Game/DungeonSiege/Items/SpellBooks/DA_SpellBook_Medusa</v>
      </c>
      <c r="H5" s="65" t="str">
        <f t="shared" si="2"/>
        <v>Texture2D'/Game/DungeonSiege/art/bitmaps/gui/in_game/inventory/items/b_gui_ig_i_it_magic-book-06.b_gui_ig_i_it_magic-book-06'</v>
      </c>
    </row>
    <row r="6" spans="1:8" ht="15.75" thickBot="1" x14ac:dyDescent="0.3">
      <c r="A6" s="69">
        <v>4</v>
      </c>
      <c r="B6" s="69">
        <f>HEX2DEC(Items!$A$15+A6)</f>
        <v>69206020</v>
      </c>
      <c r="C6" s="65" t="s">
        <v>7</v>
      </c>
      <c r="D6" s="65">
        <v>16</v>
      </c>
      <c r="E6" s="65">
        <v>40</v>
      </c>
      <c r="F6" s="65" t="str">
        <f t="shared" si="0"/>
        <v>DA_SpellBook_Face</v>
      </c>
      <c r="G6" s="65" t="str">
        <f t="shared" si="1"/>
        <v>/Game/DungeonSiege/Items/SpellBooks/DA_SpellBook_Face</v>
      </c>
      <c r="H6" s="65" t="str">
        <f t="shared" si="2"/>
        <v>Texture2D'/Game/DungeonSiege/art/bitmaps/gui/in_game/inventory/items/b_gui_ig_i_it_magic-book-07.b_gui_ig_i_it_magic-book-07'</v>
      </c>
    </row>
    <row r="7" spans="1:8" ht="15.75" thickBot="1" x14ac:dyDescent="0.3">
      <c r="A7" s="69">
        <v>5</v>
      </c>
      <c r="B7" s="69">
        <f>HEX2DEC(Items!$A$15+A7)</f>
        <v>69206021</v>
      </c>
      <c r="C7" s="65" t="s">
        <v>8</v>
      </c>
      <c r="D7" s="65">
        <v>18</v>
      </c>
      <c r="E7" s="65">
        <v>50</v>
      </c>
      <c r="F7" s="65" t="str">
        <f t="shared" si="0"/>
        <v>DA_SpellBook_Embossed</v>
      </c>
      <c r="G7" s="65" t="str">
        <f t="shared" si="1"/>
        <v>/Game/DungeonSiege/Items/SpellBooks/DA_SpellBook_Embossed</v>
      </c>
      <c r="H7" s="65" t="str">
        <f t="shared" si="2"/>
        <v>Texture2D'/Game/DungeonSiege/art/bitmaps/gui/in_game/inventory/items/b_gui_ig_i_it_magic-book-08.b_gui_ig_i_it_magic-book-08'</v>
      </c>
    </row>
    <row r="8" spans="1:8" ht="15.75" thickBot="1" x14ac:dyDescent="0.3">
      <c r="A8" s="69">
        <v>6</v>
      </c>
      <c r="B8" s="69">
        <f>HEX2DEC(Items!$A$15+A8)</f>
        <v>69206022</v>
      </c>
      <c r="C8" s="65" t="s">
        <v>9</v>
      </c>
      <c r="D8" s="65">
        <v>0</v>
      </c>
      <c r="E8" s="65">
        <v>60</v>
      </c>
      <c r="F8" s="65" t="str">
        <f t="shared" si="0"/>
        <v>DA_SpellBook_Lips</v>
      </c>
      <c r="G8" s="65" t="str">
        <f t="shared" si="1"/>
        <v>/Game/DungeonSiege/Items/SpellBooks/DA_SpellBook_Lips</v>
      </c>
      <c r="H8" s="65" t="str">
        <f t="shared" si="2"/>
        <v>Texture2D'/Game/DungeonSiege/art/bitmaps/gui/in_game/inventory/items/b_gui_ig_i_it_magic-book-09.b_gui_ig_i_it_magic-book-09'</v>
      </c>
    </row>
    <row r="9" spans="1:8" ht="15.75" thickBot="1" x14ac:dyDescent="0.3">
      <c r="A9" s="69">
        <v>7</v>
      </c>
      <c r="B9" s="69">
        <f>HEX2DEC(Items!$A$15+A9)</f>
        <v>69206023</v>
      </c>
      <c r="C9" s="65" t="s">
        <v>10</v>
      </c>
      <c r="D9" s="65">
        <v>20</v>
      </c>
      <c r="E9" s="65">
        <v>70</v>
      </c>
      <c r="F9" s="65" t="str">
        <f t="shared" si="0"/>
        <v>DA_SpellBook_Fiery</v>
      </c>
      <c r="G9" s="65" t="str">
        <f t="shared" si="1"/>
        <v>/Game/DungeonSiege/Items/SpellBooks/DA_SpellBook_Fiery</v>
      </c>
      <c r="H9" s="65" t="str">
        <f t="shared" si="2"/>
        <v>Texture2D'/Game/DungeonSiege/art/bitmaps/gui/in_game/inventory/items/b_gui_ig_i_it_magic-book-10.b_gui_ig_i_it_magic-book-10'</v>
      </c>
    </row>
    <row r="10" spans="1:8" ht="15.75" thickBot="1" x14ac:dyDescent="0.3">
      <c r="A10" s="69">
        <v>8</v>
      </c>
      <c r="B10" s="69">
        <f>HEX2DEC(Items!$A$15+A10)</f>
        <v>69206024</v>
      </c>
      <c r="C10" s="65" t="s">
        <v>11</v>
      </c>
      <c r="D10" s="65">
        <v>26</v>
      </c>
      <c r="E10" s="65">
        <v>80</v>
      </c>
      <c r="F10" s="65" t="str">
        <f t="shared" si="0"/>
        <v>DA_SpellBook_Bejeweled</v>
      </c>
      <c r="G10" s="65" t="str">
        <f t="shared" si="1"/>
        <v>/Game/DungeonSiege/Items/SpellBooks/DA_SpellBook_Bejeweled</v>
      </c>
      <c r="H10" s="65" t="str">
        <f t="shared" si="2"/>
        <v>Texture2D'/Game/DungeonSiege/art/bitmaps/gui/in_game/inventory/items/b_gui_ig_i_it_magic-book-11.b_gui_ig_i_it_magic-book-11'</v>
      </c>
    </row>
    <row r="11" spans="1:8" ht="15.75" thickBot="1" x14ac:dyDescent="0.3">
      <c r="A11" s="69">
        <v>9</v>
      </c>
      <c r="B11" s="69">
        <f>HEX2DEC(Items!$A$15+A11)</f>
        <v>69206025</v>
      </c>
      <c r="C11" s="65" t="s">
        <v>12</v>
      </c>
      <c r="D11" s="65">
        <v>30</v>
      </c>
      <c r="E11" s="65">
        <v>90</v>
      </c>
      <c r="F11" s="65" t="str">
        <f t="shared" si="0"/>
        <v>DA_SpellBook_Ornate</v>
      </c>
      <c r="G11" s="65" t="str">
        <f t="shared" si="1"/>
        <v>/Game/DungeonSiege/Items/SpellBooks/DA_SpellBook_Ornate</v>
      </c>
      <c r="H11" s="65" t="str">
        <f t="shared" si="2"/>
        <v>Texture2D'/Game/DungeonSiege/art/bitmaps/gui/in_game/inventory/items/b_gui_ig_i_it_magic-book-12.b_gui_ig_i_it_magic-book-12'</v>
      </c>
    </row>
    <row r="12" spans="1:8" ht="15.75" thickBot="1" x14ac:dyDescent="0.3">
      <c r="A12" s="69">
        <v>10</v>
      </c>
      <c r="B12" s="69">
        <f>HEX2DEC(Items!$A$15+A12)</f>
        <v>69206032</v>
      </c>
      <c r="C12" s="65" t="s">
        <v>13</v>
      </c>
      <c r="D12" s="65">
        <v>33</v>
      </c>
      <c r="E12" s="65">
        <v>100</v>
      </c>
      <c r="F12" s="65" t="str">
        <f t="shared" si="0"/>
        <v>DA_SpellBook_Town</v>
      </c>
      <c r="G12" s="65" t="str">
        <f t="shared" si="1"/>
        <v>/Game/DungeonSiege/Items/SpellBooks/DA_SpellBook_Town</v>
      </c>
      <c r="H12" s="65" t="str">
        <f t="shared" si="2"/>
        <v>Texture2D'/Game/DungeonSiege/art/bitmaps/gui/in_game/inventory/items/b_gui_ig_i_it_magic-book-13.b_gui_ig_i_it_magic-book-13'</v>
      </c>
    </row>
    <row r="13" spans="1:8" ht="15.75" thickBot="1" x14ac:dyDescent="0.3">
      <c r="A13" s="69">
        <v>11</v>
      </c>
      <c r="B13" s="69">
        <f>HEX2DEC(Items!$A$15+A13)</f>
        <v>69206033</v>
      </c>
      <c r="C13" s="65" t="s">
        <v>14</v>
      </c>
      <c r="D13" s="65">
        <v>35</v>
      </c>
      <c r="E13" s="65">
        <v>110</v>
      </c>
      <c r="F13" s="65" t="str">
        <f t="shared" si="0"/>
        <v>DA_SpellBook_Runic</v>
      </c>
      <c r="G13" s="65" t="str">
        <f t="shared" si="1"/>
        <v>/Game/DungeonSiege/Items/SpellBooks/DA_SpellBook_Runic</v>
      </c>
      <c r="H13" s="65" t="str">
        <f t="shared" si="2"/>
        <v>Texture2D'/Game/DungeonSiege/art/bitmaps/gui/in_game/inventory/items/b_gui_ig_i_it_magic-book-14.b_gui_ig_i_it_magic-book-14'</v>
      </c>
    </row>
    <row r="14" spans="1:8" ht="15.75" thickBot="1" x14ac:dyDescent="0.3">
      <c r="A14" s="69">
        <v>12</v>
      </c>
      <c r="B14" s="69">
        <f>HEX2DEC(Items!$A$15+A14)</f>
        <v>69206034</v>
      </c>
      <c r="C14" s="65" t="s">
        <v>15</v>
      </c>
      <c r="D14" s="65">
        <v>38</v>
      </c>
      <c r="E14" s="65">
        <v>120</v>
      </c>
      <c r="F14" s="65" t="str">
        <f t="shared" si="0"/>
        <v>DA_SpellBook_Phoenix</v>
      </c>
      <c r="G14" s="65" t="str">
        <f t="shared" si="1"/>
        <v>/Game/DungeonSiege/Items/SpellBooks/DA_SpellBook_Phoenix</v>
      </c>
      <c r="H14" s="65" t="str">
        <f t="shared" si="2"/>
        <v>Texture2D'/Game/DungeonSiege/art/bitmaps/gui/in_game/inventory/items/b_gui_ig_i_it_magic-book-15.b_gui_ig_i_it_magic-book-15'</v>
      </c>
    </row>
    <row r="15" spans="1:8" ht="15.75" thickBot="1" x14ac:dyDescent="0.3">
      <c r="A15" s="69">
        <v>13</v>
      </c>
      <c r="B15" s="69">
        <f>HEX2DEC(Items!$A$15+A15)</f>
        <v>69206035</v>
      </c>
      <c r="C15" s="65" t="s">
        <v>16</v>
      </c>
      <c r="D15" s="65">
        <v>40</v>
      </c>
      <c r="E15" s="65">
        <v>130</v>
      </c>
      <c r="F15" s="65" t="str">
        <f t="shared" si="0"/>
        <v>DA_SpellBook_EvilEye</v>
      </c>
      <c r="G15" s="65" t="str">
        <f t="shared" si="1"/>
        <v>/Game/DungeonSiege/Items/SpellBooks/DA_SpellBook_EvilEye</v>
      </c>
      <c r="H15" s="65" t="str">
        <f t="shared" si="2"/>
        <v>Texture2D'/Game/DungeonSiege/art/bitmaps/gui/in_game/inventory/items/b_gui_ig_i_it_magic-book-16.b_gui_ig_i_it_magic-book-16'</v>
      </c>
    </row>
    <row r="16" spans="1:8" ht="15.75" thickBot="1" x14ac:dyDescent="0.3">
      <c r="A16" s="69">
        <v>14</v>
      </c>
      <c r="B16" s="69">
        <f>HEX2DEC(Items!$A$15+A16)</f>
        <v>69206036</v>
      </c>
      <c r="C16" s="65" t="s">
        <v>17</v>
      </c>
      <c r="D16" s="65">
        <v>44</v>
      </c>
      <c r="E16" s="65">
        <v>140</v>
      </c>
      <c r="F16" s="65" t="str">
        <f t="shared" si="0"/>
        <v>DA_SpellBook_Sunray</v>
      </c>
      <c r="G16" s="65" t="str">
        <f t="shared" si="1"/>
        <v>/Game/DungeonSiege/Items/SpellBooks/DA_SpellBook_Sunray</v>
      </c>
      <c r="H16" s="65" t="str">
        <f t="shared" si="2"/>
        <v>Texture2D'/Game/DungeonSiege/art/bitmaps/gui/in_game/inventory/items/b_gui_ig_i_it_magic-book-17.b_gui_ig_i_it_magic-book-17'</v>
      </c>
    </row>
    <row r="17" spans="1:8" ht="15.75" thickBot="1" x14ac:dyDescent="0.3">
      <c r="A17" s="69">
        <v>15</v>
      </c>
      <c r="B17" s="69">
        <f>HEX2DEC(Items!$A$15+A17)</f>
        <v>69206037</v>
      </c>
      <c r="C17" s="65" t="s">
        <v>18</v>
      </c>
      <c r="D17" s="65">
        <v>49</v>
      </c>
      <c r="E17" s="65">
        <v>150</v>
      </c>
      <c r="F17" s="65" t="str">
        <f t="shared" si="0"/>
        <v>DA_SpellBook_Celestial</v>
      </c>
      <c r="G17" s="65" t="str">
        <f t="shared" si="1"/>
        <v>/Game/DungeonSiege/Items/SpellBooks/DA_SpellBook_Celestial</v>
      </c>
      <c r="H17" s="65" t="str">
        <f t="shared" si="2"/>
        <v>Texture2D'/Game/DungeonSiege/art/bitmaps/gui/in_game/inventory/items/b_gui_ig_i_it_magic-book-18.b_gui_ig_i_it_magic-book-18'</v>
      </c>
    </row>
    <row r="18" spans="1:8" ht="15.75" thickBot="1" x14ac:dyDescent="0.3">
      <c r="A18" s="69">
        <v>16</v>
      </c>
      <c r="B18" s="69">
        <f>HEX2DEC(Items!$A$15+A18)</f>
        <v>69206038</v>
      </c>
      <c r="C18" s="65" t="s">
        <v>19</v>
      </c>
      <c r="D18" s="65">
        <v>52</v>
      </c>
      <c r="E18" s="65">
        <v>160</v>
      </c>
      <c r="F18" s="65" t="str">
        <f t="shared" si="0"/>
        <v>DA_SpellBook_Skull</v>
      </c>
      <c r="G18" s="65" t="str">
        <f t="shared" si="1"/>
        <v>/Game/DungeonSiege/Items/SpellBooks/DA_SpellBook_Skull</v>
      </c>
      <c r="H18" s="65" t="str">
        <f t="shared" si="2"/>
        <v>Texture2D'/Game/DungeonSiege/art/bitmaps/gui/in_game/inventory/items/b_gui_ig_i_it_magic-book-19.b_gui_ig_i_it_magic-book-19'</v>
      </c>
    </row>
    <row r="19" spans="1:8" ht="15.75" thickBot="1" x14ac:dyDescent="0.3">
      <c r="A19" s="69">
        <v>17</v>
      </c>
      <c r="B19" s="69">
        <f>HEX2DEC(Items!$A$15+A19)</f>
        <v>69206039</v>
      </c>
      <c r="C19" s="65" t="s">
        <v>20</v>
      </c>
      <c r="D19" s="65">
        <v>54</v>
      </c>
      <c r="E19" s="65">
        <v>170</v>
      </c>
      <c r="F19" s="65" t="str">
        <f>"DA_SpellBook_"&amp; SUBSTITUTE(C19," ","")</f>
        <v>DA_SpellBook_CoatOfArms</v>
      </c>
      <c r="G19" s="65" t="str">
        <f t="shared" si="1"/>
        <v>/Game/DungeonSiege/Items/SpellBooks/DA_SpellBook_CoatOfArms</v>
      </c>
      <c r="H19" s="65" t="str">
        <f t="shared" si="2"/>
        <v>Texture2D'/Game/DungeonSiege/art/bitmaps/gui/in_game/inventory/items/b_gui_ig_i_it_magic-book-20.b_gui_ig_i_it_magic-book-20'</v>
      </c>
    </row>
    <row r="20" spans="1:8" ht="15.75" thickBot="1" x14ac:dyDescent="0.3">
      <c r="A20" s="69">
        <v>18</v>
      </c>
      <c r="B20" s="69">
        <f>HEX2DEC(Items!$A$15+A20)</f>
        <v>69206040</v>
      </c>
      <c r="C20" s="65" t="s">
        <v>21</v>
      </c>
      <c r="D20" s="65">
        <v>56</v>
      </c>
      <c r="E20" s="65">
        <v>180</v>
      </c>
      <c r="F20" s="65" t="str">
        <f t="shared" ref="F20:F26" si="3">"DA_SpellBook_"&amp; SUBSTITUTE(C20," ","")</f>
        <v>DA_SpellBook_Flowers</v>
      </c>
      <c r="G20" s="65" t="str">
        <f t="shared" si="1"/>
        <v>/Game/DungeonSiege/Items/SpellBooks/DA_SpellBook_Flowers</v>
      </c>
      <c r="H20" s="65" t="str">
        <f t="shared" si="2"/>
        <v>Texture2D'/Game/DungeonSiege/art/bitmaps/gui/in_game/inventory/items/b_gui_ig_i_it_magic-book-21.b_gui_ig_i_it_magic-book-21'</v>
      </c>
    </row>
    <row r="21" spans="1:8" ht="15.75" thickBot="1" x14ac:dyDescent="0.3">
      <c r="A21" s="69">
        <v>19</v>
      </c>
      <c r="B21" s="69">
        <f>HEX2DEC(Items!$A$15+A21)</f>
        <v>69206041</v>
      </c>
      <c r="C21" s="65" t="s">
        <v>22</v>
      </c>
      <c r="D21" s="65">
        <v>59</v>
      </c>
      <c r="E21" s="65">
        <v>190</v>
      </c>
      <c r="F21" s="65" t="str">
        <f t="shared" si="3"/>
        <v>DA_SpellBook_Lightning</v>
      </c>
      <c r="G21" s="65" t="str">
        <f t="shared" si="1"/>
        <v>/Game/DungeonSiege/Items/SpellBooks/DA_SpellBook_Lightning</v>
      </c>
      <c r="H21" s="65" t="str">
        <f t="shared" si="2"/>
        <v>Texture2D'/Game/DungeonSiege/art/bitmaps/gui/in_game/inventory/items/b_gui_ig_i_it_magic-book-22.b_gui_ig_i_it_magic-book-22'</v>
      </c>
    </row>
    <row r="22" spans="1:8" ht="15.75" thickBot="1" x14ac:dyDescent="0.3">
      <c r="A22" s="69">
        <v>20</v>
      </c>
      <c r="B22" s="69">
        <f>HEX2DEC(Items!$A$15+A22)</f>
        <v>69206048</v>
      </c>
      <c r="C22" s="65" t="s">
        <v>23</v>
      </c>
      <c r="D22" s="65">
        <v>60</v>
      </c>
      <c r="E22" s="65">
        <v>200</v>
      </c>
      <c r="F22" s="65" t="str">
        <f t="shared" si="3"/>
        <v>DA_SpellBook_BrokenHeart</v>
      </c>
      <c r="G22" s="65" t="str">
        <f t="shared" si="1"/>
        <v>/Game/DungeonSiege/Items/SpellBooks/DA_SpellBook_BrokenHeart</v>
      </c>
      <c r="H22" s="65" t="str">
        <f t="shared" si="2"/>
        <v>Texture2D'/Game/DungeonSiege/art/bitmaps/gui/in_game/inventory/items/b_gui_ig_i_it_magic-book-23.b_gui_ig_i_it_magic-book-23'</v>
      </c>
    </row>
    <row r="23" spans="1:8" ht="15.75" thickBot="1" x14ac:dyDescent="0.3">
      <c r="A23" s="69">
        <v>21</v>
      </c>
      <c r="B23" s="69">
        <f>HEX2DEC(Items!$A$15+A23)</f>
        <v>69206049</v>
      </c>
      <c r="C23" s="65" t="s">
        <v>24</v>
      </c>
      <c r="D23" s="65">
        <v>62</v>
      </c>
      <c r="E23" s="65">
        <v>210</v>
      </c>
      <c r="F23" s="65" t="str">
        <f t="shared" si="3"/>
        <v>DA_SpellBook_Celtic</v>
      </c>
      <c r="G23" s="65" t="str">
        <f t="shared" si="1"/>
        <v>/Game/DungeonSiege/Items/SpellBooks/DA_SpellBook_Celtic</v>
      </c>
      <c r="H23" s="65" t="str">
        <f t="shared" si="2"/>
        <v>Texture2D'/Game/DungeonSiege/art/bitmaps/gui/in_game/inventory/items/b_gui_ig_i_it_magic-book-24.b_gui_ig_i_it_magic-book-24'</v>
      </c>
    </row>
    <row r="24" spans="1:8" ht="15.75" thickBot="1" x14ac:dyDescent="0.3">
      <c r="A24" s="69">
        <v>22</v>
      </c>
      <c r="B24" s="69">
        <f>HEX2DEC(Items!$A$15+A24)</f>
        <v>69206050</v>
      </c>
      <c r="C24" s="65" t="s">
        <v>25</v>
      </c>
      <c r="D24" s="65">
        <v>65</v>
      </c>
      <c r="E24" s="65">
        <v>220</v>
      </c>
      <c r="F24" s="65" t="str">
        <f t="shared" si="3"/>
        <v>DA_SpellBook_Cathedral</v>
      </c>
      <c r="G24" s="65" t="str">
        <f t="shared" si="1"/>
        <v>/Game/DungeonSiege/Items/SpellBooks/DA_SpellBook_Cathedral</v>
      </c>
      <c r="H24" s="65" t="str">
        <f t="shared" si="2"/>
        <v>Texture2D'/Game/DungeonSiege/art/bitmaps/gui/in_game/inventory/items/b_gui_ig_i_it_magic-book-25.b_gui_ig_i_it_magic-book-25'</v>
      </c>
    </row>
    <row r="25" spans="1:8" ht="15.75" thickBot="1" x14ac:dyDescent="0.3">
      <c r="A25" s="69">
        <v>23</v>
      </c>
      <c r="B25" s="69">
        <f>HEX2DEC(Items!$A$15+A25)</f>
        <v>69206051</v>
      </c>
      <c r="C25" s="65" t="s">
        <v>26</v>
      </c>
      <c r="D25" s="65">
        <v>67</v>
      </c>
      <c r="E25" s="65">
        <v>230</v>
      </c>
      <c r="F25" s="65" t="str">
        <f t="shared" si="3"/>
        <v>DA_SpellBook_ChamberofStars</v>
      </c>
      <c r="G25" s="65" t="str">
        <f t="shared" si="1"/>
        <v>/Game/DungeonSiege/Items/SpellBooks/DA_SpellBook_ChamberofStars</v>
      </c>
      <c r="H25" s="65" t="str">
        <f t="shared" si="2"/>
        <v>Texture2D'/Game/DungeonSiege/art/bitmaps/gui/in_game/inventory/items/b_gui_ig_i_it_magic-book-26.b_gui_ig_i_it_magic-book-26'</v>
      </c>
    </row>
    <row r="26" spans="1:8" ht="15.75" thickBot="1" x14ac:dyDescent="0.3">
      <c r="A26" s="69">
        <v>24</v>
      </c>
      <c r="B26" s="69">
        <f>HEX2DEC(Items!$A$15+A26)</f>
        <v>69206052</v>
      </c>
      <c r="C26" s="65" t="s">
        <v>27</v>
      </c>
      <c r="D26" s="65">
        <v>70</v>
      </c>
      <c r="E26" s="65">
        <v>240</v>
      </c>
      <c r="F26" s="65" t="str">
        <f t="shared" si="3"/>
        <v>DA_SpellBook_Rusted</v>
      </c>
      <c r="G26" s="65" t="str">
        <f t="shared" si="1"/>
        <v>/Game/DungeonSiege/Items/SpellBooks/DA_SpellBook_Rusted</v>
      </c>
      <c r="H26" s="65" t="str">
        <f t="shared" si="2"/>
        <v>Texture2D'/Game/DungeonSiege/art/bitmaps/gui/in_game/inventory/items/b_gui_ig_i_it_magic-book-27.b_gui_ig_i_it_magic-book-27'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xportSpellBooks">
                <anchor moveWithCells="1" sizeWithCells="1">
                  <from>
                    <xdr:col>0</xdr:col>
                    <xdr:colOff>28575</xdr:colOff>
                    <xdr:row>0</xdr:row>
                    <xdr:rowOff>47625</xdr:rowOff>
                  </from>
                  <to>
                    <xdr:col>0</xdr:col>
                    <xdr:colOff>933450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8E039-C85D-4585-A505-F76051663EB7}">
  <sheetPr codeName="Sheet4"/>
  <dimension ref="A1:J72"/>
  <sheetViews>
    <sheetView workbookViewId="0"/>
  </sheetViews>
  <sheetFormatPr defaultRowHeight="15" x14ac:dyDescent="0.25"/>
  <cols>
    <col min="1" max="1" width="17.42578125" customWidth="1"/>
    <col min="2" max="2" width="14.28515625" style="1" customWidth="1"/>
    <col min="3" max="3" width="102.42578125" bestFit="1" customWidth="1"/>
    <col min="4" max="4" width="27.7109375" bestFit="1" customWidth="1"/>
    <col min="5" max="5" width="26" bestFit="1" customWidth="1"/>
    <col min="6" max="6" width="66.5703125" style="22" customWidth="1"/>
    <col min="7" max="7" width="14" bestFit="1" customWidth="1"/>
    <col min="8" max="8" width="17.140625" bestFit="1" customWidth="1"/>
    <col min="9" max="9" width="109.140625" style="22" bestFit="1" customWidth="1"/>
    <col min="10" max="10" width="129.42578125" style="22" bestFit="1" customWidth="1"/>
  </cols>
  <sheetData>
    <row r="1" spans="1:10" ht="15.75" thickBot="1" x14ac:dyDescent="0.3">
      <c r="A1" s="67"/>
      <c r="B1" s="30" t="s">
        <v>28</v>
      </c>
      <c r="C1" s="67" t="s">
        <v>334</v>
      </c>
      <c r="D1" s="67" t="s">
        <v>335</v>
      </c>
      <c r="E1" s="67" t="s">
        <v>401</v>
      </c>
      <c r="F1" s="67" t="s">
        <v>402</v>
      </c>
      <c r="G1" s="67" t="s">
        <v>403</v>
      </c>
      <c r="H1" s="67" t="s">
        <v>404</v>
      </c>
      <c r="I1" s="67" t="s">
        <v>405</v>
      </c>
      <c r="J1" s="67" t="s">
        <v>406</v>
      </c>
    </row>
    <row r="2" spans="1:10" ht="15.75" thickBot="1" x14ac:dyDescent="0.3">
      <c r="A2" s="65">
        <v>0</v>
      </c>
      <c r="B2" s="65">
        <f>HEX2DEC(Items!$A$11+CombatMagic!A2)</f>
        <v>50331648</v>
      </c>
      <c r="C2" s="65" t="s">
        <v>407</v>
      </c>
      <c r="D2" s="65" t="s">
        <v>408</v>
      </c>
      <c r="E2" s="65" t="s">
        <v>409</v>
      </c>
      <c r="F2" s="65" t="s">
        <v>410</v>
      </c>
      <c r="G2" s="65">
        <v>12</v>
      </c>
      <c r="H2" s="65">
        <v>499</v>
      </c>
      <c r="I2" s="65" t="s">
        <v>2917</v>
      </c>
      <c r="J2" s="65" t="s">
        <v>2988</v>
      </c>
    </row>
    <row r="3" spans="1:10" ht="15.75" thickBot="1" x14ac:dyDescent="0.3">
      <c r="A3" s="65">
        <v>1</v>
      </c>
      <c r="B3" s="65">
        <f>HEX2DEC(Items!$A$11+CombatMagic!A3)</f>
        <v>50331649</v>
      </c>
      <c r="C3" s="65" t="s">
        <v>411</v>
      </c>
      <c r="D3" s="65" t="s">
        <v>412</v>
      </c>
      <c r="E3" s="65" t="s">
        <v>413</v>
      </c>
      <c r="F3" s="65" t="s">
        <v>414</v>
      </c>
      <c r="G3" s="65">
        <v>1</v>
      </c>
      <c r="H3" s="65">
        <v>17</v>
      </c>
      <c r="I3" s="65" t="s">
        <v>2918</v>
      </c>
      <c r="J3" s="65" t="s">
        <v>2989</v>
      </c>
    </row>
    <row r="4" spans="1:10" ht="15.75" thickBot="1" x14ac:dyDescent="0.3">
      <c r="A4" s="65">
        <v>2</v>
      </c>
      <c r="B4" s="65">
        <f>HEX2DEC(Items!$A$11+CombatMagic!A4)</f>
        <v>50331650</v>
      </c>
      <c r="C4" s="65" t="s">
        <v>415</v>
      </c>
      <c r="D4" s="65" t="s">
        <v>416</v>
      </c>
      <c r="E4" s="65" t="s">
        <v>417</v>
      </c>
      <c r="F4" s="65" t="s">
        <v>418</v>
      </c>
      <c r="G4" s="65">
        <v>10</v>
      </c>
      <c r="H4" s="65">
        <v>352</v>
      </c>
      <c r="I4" s="65" t="s">
        <v>2919</v>
      </c>
      <c r="J4" s="65" t="s">
        <v>2990</v>
      </c>
    </row>
    <row r="5" spans="1:10" ht="15.75" thickBot="1" x14ac:dyDescent="0.3">
      <c r="A5" s="65">
        <v>3</v>
      </c>
      <c r="B5" s="65">
        <f>HEX2DEC(Items!$A$11+CombatMagic!A5)</f>
        <v>50331651</v>
      </c>
      <c r="C5" s="65" t="s">
        <v>419</v>
      </c>
      <c r="D5" s="65" t="s">
        <v>420</v>
      </c>
      <c r="E5" s="65" t="s">
        <v>420</v>
      </c>
      <c r="F5" s="65" t="s">
        <v>421</v>
      </c>
      <c r="G5" s="65">
        <v>98</v>
      </c>
      <c r="H5" s="65">
        <v>967555</v>
      </c>
      <c r="I5" s="65" t="s">
        <v>2920</v>
      </c>
      <c r="J5" s="65" t="s">
        <v>2991</v>
      </c>
    </row>
    <row r="6" spans="1:10" ht="15.75" thickBot="1" x14ac:dyDescent="0.3">
      <c r="A6" s="65">
        <v>4</v>
      </c>
      <c r="B6" s="65">
        <f>HEX2DEC(Items!$A$11+CombatMagic!A6)</f>
        <v>50331652</v>
      </c>
      <c r="C6" s="65" t="s">
        <v>422</v>
      </c>
      <c r="D6" s="65" t="s">
        <v>423</v>
      </c>
      <c r="E6" s="65" t="s">
        <v>423</v>
      </c>
      <c r="F6" s="65" t="s">
        <v>424</v>
      </c>
      <c r="G6" s="65">
        <v>60</v>
      </c>
      <c r="H6" s="65">
        <v>168888</v>
      </c>
      <c r="I6" s="65" t="s">
        <v>2921</v>
      </c>
      <c r="J6" s="65" t="s">
        <v>2992</v>
      </c>
    </row>
    <row r="7" spans="1:10" ht="15.75" thickBot="1" x14ac:dyDescent="0.3">
      <c r="A7" s="65">
        <v>5</v>
      </c>
      <c r="B7" s="65">
        <f>HEX2DEC(Items!$A$11+CombatMagic!A7)</f>
        <v>50331653</v>
      </c>
      <c r="C7" s="65" t="s">
        <v>425</v>
      </c>
      <c r="D7" s="65" t="s">
        <v>426</v>
      </c>
      <c r="E7" s="65" t="s">
        <v>426</v>
      </c>
      <c r="F7" s="65" t="s">
        <v>427</v>
      </c>
      <c r="G7" s="65">
        <v>100</v>
      </c>
      <c r="H7" s="65">
        <v>998779</v>
      </c>
      <c r="I7" s="65" t="s">
        <v>2922</v>
      </c>
      <c r="J7" s="65" t="s">
        <v>2993</v>
      </c>
    </row>
    <row r="8" spans="1:10" ht="15.75" thickBot="1" x14ac:dyDescent="0.3">
      <c r="A8" s="65">
        <v>6</v>
      </c>
      <c r="B8" s="65">
        <f>HEX2DEC(Items!$A$11+CombatMagic!A8)</f>
        <v>50331654</v>
      </c>
      <c r="C8" s="65" t="s">
        <v>428</v>
      </c>
      <c r="D8" s="65" t="s">
        <v>429</v>
      </c>
      <c r="E8" s="65" t="s">
        <v>430</v>
      </c>
      <c r="F8" s="65" t="s">
        <v>431</v>
      </c>
      <c r="G8" s="65">
        <v>1</v>
      </c>
      <c r="H8" s="65">
        <v>15</v>
      </c>
      <c r="I8" s="65" t="s">
        <v>2923</v>
      </c>
      <c r="J8" s="65" t="s">
        <v>2994</v>
      </c>
    </row>
    <row r="9" spans="1:10" ht="15.75" thickBot="1" x14ac:dyDescent="0.3">
      <c r="A9" s="65">
        <v>7</v>
      </c>
      <c r="B9" s="65">
        <f>HEX2DEC(Items!$A$11+CombatMagic!A9)</f>
        <v>50331655</v>
      </c>
      <c r="C9" s="65" t="s">
        <v>432</v>
      </c>
      <c r="D9" s="65" t="s">
        <v>433</v>
      </c>
      <c r="E9" s="65" t="s">
        <v>434</v>
      </c>
      <c r="F9" s="65" t="s">
        <v>435</v>
      </c>
      <c r="G9" s="65">
        <v>96</v>
      </c>
      <c r="H9" s="65">
        <v>912745</v>
      </c>
      <c r="I9" s="65" t="s">
        <v>2924</v>
      </c>
      <c r="J9" s="65" t="s">
        <v>2995</v>
      </c>
    </row>
    <row r="10" spans="1:10" ht="15.75" thickBot="1" x14ac:dyDescent="0.3">
      <c r="A10" s="65">
        <v>8</v>
      </c>
      <c r="B10" s="65">
        <f>HEX2DEC(Items!$A$11+CombatMagic!A10)</f>
        <v>50331656</v>
      </c>
      <c r="C10" s="65" t="s">
        <v>436</v>
      </c>
      <c r="D10" s="65" t="s">
        <v>437</v>
      </c>
      <c r="E10" s="65" t="s">
        <v>438</v>
      </c>
      <c r="F10" s="65" t="s">
        <v>439</v>
      </c>
      <c r="G10" s="65">
        <v>44</v>
      </c>
      <c r="H10" s="65">
        <v>50234</v>
      </c>
      <c r="I10" s="65" t="s">
        <v>2925</v>
      </c>
      <c r="J10" s="65" t="s">
        <v>2996</v>
      </c>
    </row>
    <row r="11" spans="1:10" ht="15.75" thickBot="1" x14ac:dyDescent="0.3">
      <c r="A11" s="65">
        <v>9</v>
      </c>
      <c r="B11" s="65">
        <f>HEX2DEC(Items!$A$11+CombatMagic!A11)</f>
        <v>50331657</v>
      </c>
      <c r="C11" s="65" t="s">
        <v>440</v>
      </c>
      <c r="D11" s="65" t="s">
        <v>441</v>
      </c>
      <c r="E11" s="65" t="s">
        <v>441</v>
      </c>
      <c r="F11" s="65" t="s">
        <v>442</v>
      </c>
      <c r="G11" s="65">
        <v>26</v>
      </c>
      <c r="H11" s="65">
        <v>5263</v>
      </c>
      <c r="I11" s="65" t="s">
        <v>2926</v>
      </c>
      <c r="J11" s="65" t="s">
        <v>2997</v>
      </c>
    </row>
    <row r="12" spans="1:10" ht="15.75" thickBot="1" x14ac:dyDescent="0.3">
      <c r="A12" s="65">
        <v>10</v>
      </c>
      <c r="B12" s="65">
        <f>HEX2DEC(Items!$A$11+CombatMagic!A12)</f>
        <v>50331664</v>
      </c>
      <c r="C12" s="65" t="s">
        <v>443</v>
      </c>
      <c r="D12" s="65" t="s">
        <v>444</v>
      </c>
      <c r="E12" s="65" t="s">
        <v>445</v>
      </c>
      <c r="F12" s="65" t="s">
        <v>446</v>
      </c>
      <c r="G12" s="65">
        <v>90</v>
      </c>
      <c r="H12" s="65">
        <v>708591</v>
      </c>
      <c r="I12" s="65" t="s">
        <v>2927</v>
      </c>
      <c r="J12" s="65" t="s">
        <v>2998</v>
      </c>
    </row>
    <row r="13" spans="1:10" ht="15.75" thickBot="1" x14ac:dyDescent="0.3">
      <c r="A13" s="65">
        <v>11</v>
      </c>
      <c r="B13" s="65">
        <f>HEX2DEC(Items!$A$11+CombatMagic!A13)</f>
        <v>50331665</v>
      </c>
      <c r="C13" s="65" t="s">
        <v>447</v>
      </c>
      <c r="D13" s="65" t="s">
        <v>448</v>
      </c>
      <c r="E13" s="65" t="s">
        <v>449</v>
      </c>
      <c r="F13" s="65" t="s">
        <v>450</v>
      </c>
      <c r="G13" s="65">
        <v>24</v>
      </c>
      <c r="H13" s="65">
        <v>7122</v>
      </c>
      <c r="I13" s="65" t="s">
        <v>2928</v>
      </c>
      <c r="J13" s="65" t="s">
        <v>2999</v>
      </c>
    </row>
    <row r="14" spans="1:10" ht="15.75" thickBot="1" x14ac:dyDescent="0.3">
      <c r="A14" s="65">
        <v>12</v>
      </c>
      <c r="B14" s="65">
        <f>HEX2DEC(Items!$A$11+CombatMagic!A14)</f>
        <v>50331666</v>
      </c>
      <c r="C14" s="65" t="s">
        <v>451</v>
      </c>
      <c r="D14" s="65" t="s">
        <v>452</v>
      </c>
      <c r="E14" s="65" t="s">
        <v>453</v>
      </c>
      <c r="F14" s="65" t="s">
        <v>454</v>
      </c>
      <c r="G14" s="65">
        <v>104</v>
      </c>
      <c r="H14" s="65">
        <v>1599600</v>
      </c>
      <c r="I14" s="65" t="s">
        <v>2929</v>
      </c>
      <c r="J14" s="65" t="s">
        <v>3000</v>
      </c>
    </row>
    <row r="15" spans="1:10" ht="15.75" thickBot="1" x14ac:dyDescent="0.3">
      <c r="A15" s="65">
        <v>13</v>
      </c>
      <c r="B15" s="65">
        <f>HEX2DEC(Items!$A$11+CombatMagic!A15)</f>
        <v>50331667</v>
      </c>
      <c r="C15" s="65" t="s">
        <v>455</v>
      </c>
      <c r="D15" s="65" t="s">
        <v>456</v>
      </c>
      <c r="E15" s="65" t="s">
        <v>457</v>
      </c>
      <c r="F15" s="65" t="s">
        <v>458</v>
      </c>
      <c r="G15" s="65">
        <v>20</v>
      </c>
      <c r="H15" s="65">
        <v>2512</v>
      </c>
      <c r="I15" s="65" t="s">
        <v>2930</v>
      </c>
      <c r="J15" s="65" t="s">
        <v>3001</v>
      </c>
    </row>
    <row r="16" spans="1:10" ht="15.75" thickBot="1" x14ac:dyDescent="0.3">
      <c r="A16" s="65">
        <v>14</v>
      </c>
      <c r="B16" s="65">
        <f>HEX2DEC(Items!$A$11+CombatMagic!A16)</f>
        <v>50331668</v>
      </c>
      <c r="C16" s="65" t="s">
        <v>459</v>
      </c>
      <c r="D16" s="65" t="s">
        <v>460</v>
      </c>
      <c r="E16" s="65" t="s">
        <v>461</v>
      </c>
      <c r="F16" s="65" t="s">
        <v>462</v>
      </c>
      <c r="G16" s="65">
        <v>3</v>
      </c>
      <c r="H16" s="65">
        <v>25</v>
      </c>
      <c r="I16" s="65" t="s">
        <v>2931</v>
      </c>
      <c r="J16" s="65" t="s">
        <v>3002</v>
      </c>
    </row>
    <row r="17" spans="1:10" ht="15.75" thickBot="1" x14ac:dyDescent="0.3">
      <c r="A17" s="65">
        <v>15</v>
      </c>
      <c r="B17" s="65">
        <f>HEX2DEC(Items!$A$11+CombatMagic!A17)</f>
        <v>50331669</v>
      </c>
      <c r="C17" s="65" t="s">
        <v>463</v>
      </c>
      <c r="D17" s="65" t="s">
        <v>464</v>
      </c>
      <c r="E17" s="65" t="s">
        <v>465</v>
      </c>
      <c r="F17" s="65" t="s">
        <v>466</v>
      </c>
      <c r="G17" s="65">
        <v>26</v>
      </c>
      <c r="H17" s="65">
        <v>8041</v>
      </c>
      <c r="I17" s="65" t="s">
        <v>2932</v>
      </c>
      <c r="J17" s="65" t="s">
        <v>3003</v>
      </c>
    </row>
    <row r="18" spans="1:10" ht="15.75" thickBot="1" x14ac:dyDescent="0.3">
      <c r="A18" s="65">
        <v>16</v>
      </c>
      <c r="B18" s="65">
        <f>HEX2DEC(Items!$A$11+CombatMagic!A18)</f>
        <v>50331670</v>
      </c>
      <c r="C18" s="65" t="s">
        <v>467</v>
      </c>
      <c r="D18" s="65" t="s">
        <v>468</v>
      </c>
      <c r="E18" s="65" t="s">
        <v>469</v>
      </c>
      <c r="F18" s="65" t="s">
        <v>470</v>
      </c>
      <c r="G18" s="65">
        <v>32</v>
      </c>
      <c r="H18" s="65">
        <v>19357</v>
      </c>
      <c r="I18" s="65" t="s">
        <v>2933</v>
      </c>
      <c r="J18" s="65" t="s">
        <v>3004</v>
      </c>
    </row>
    <row r="19" spans="1:10" ht="15.75" thickBot="1" x14ac:dyDescent="0.3">
      <c r="A19" s="65">
        <v>17</v>
      </c>
      <c r="B19" s="65">
        <f>HEX2DEC(Items!$A$11+CombatMagic!A19)</f>
        <v>50331671</v>
      </c>
      <c r="C19" s="65" t="s">
        <v>471</v>
      </c>
      <c r="D19" s="65" t="s">
        <v>472</v>
      </c>
      <c r="E19" s="65" t="s">
        <v>472</v>
      </c>
      <c r="F19" s="65" t="s">
        <v>473</v>
      </c>
      <c r="G19" s="65">
        <v>20</v>
      </c>
      <c r="H19" s="65">
        <v>3684</v>
      </c>
      <c r="I19" s="65" t="s">
        <v>2934</v>
      </c>
      <c r="J19" s="65" t="s">
        <v>3005</v>
      </c>
    </row>
    <row r="20" spans="1:10" ht="15.75" thickBot="1" x14ac:dyDescent="0.3">
      <c r="A20" s="65">
        <v>18</v>
      </c>
      <c r="B20" s="65">
        <f>HEX2DEC(Items!$A$11+CombatMagic!A20)</f>
        <v>50331672</v>
      </c>
      <c r="C20" s="65" t="s">
        <v>474</v>
      </c>
      <c r="D20" s="65" t="s">
        <v>475</v>
      </c>
      <c r="E20" s="65" t="s">
        <v>476</v>
      </c>
      <c r="F20" s="65" t="s">
        <v>477</v>
      </c>
      <c r="G20" s="65">
        <v>84</v>
      </c>
      <c r="H20" s="65">
        <v>528779</v>
      </c>
      <c r="I20" s="65" t="s">
        <v>2935</v>
      </c>
      <c r="J20" s="65" t="s">
        <v>3006</v>
      </c>
    </row>
    <row r="21" spans="1:10" ht="15.75" thickBot="1" x14ac:dyDescent="0.3">
      <c r="A21" s="65">
        <v>19</v>
      </c>
      <c r="B21" s="65">
        <f>HEX2DEC(Items!$A$11+CombatMagic!A21)</f>
        <v>50331673</v>
      </c>
      <c r="C21" s="65" t="s">
        <v>478</v>
      </c>
      <c r="D21" s="65" t="s">
        <v>479</v>
      </c>
      <c r="E21" s="65" t="s">
        <v>479</v>
      </c>
      <c r="F21" s="65" t="s">
        <v>480</v>
      </c>
      <c r="G21" s="65">
        <v>90</v>
      </c>
      <c r="H21" s="65">
        <v>691787</v>
      </c>
      <c r="I21" s="65" t="s">
        <v>2936</v>
      </c>
      <c r="J21" s="65" t="s">
        <v>3007</v>
      </c>
    </row>
    <row r="22" spans="1:10" ht="15.75" thickBot="1" x14ac:dyDescent="0.3">
      <c r="A22" s="65">
        <v>20</v>
      </c>
      <c r="B22" s="65">
        <f>HEX2DEC(Items!$A$11+CombatMagic!A22)</f>
        <v>50331680</v>
      </c>
      <c r="C22" s="65" t="s">
        <v>481</v>
      </c>
      <c r="D22" s="65" t="s">
        <v>482</v>
      </c>
      <c r="E22" s="65" t="s">
        <v>482</v>
      </c>
      <c r="F22" s="65" t="s">
        <v>483</v>
      </c>
      <c r="G22" s="65">
        <v>70</v>
      </c>
      <c r="H22" s="65">
        <v>300555</v>
      </c>
      <c r="I22" s="65" t="s">
        <v>2937</v>
      </c>
      <c r="J22" s="65" t="s">
        <v>3008</v>
      </c>
    </row>
    <row r="23" spans="1:10" ht="15.75" thickBot="1" x14ac:dyDescent="0.3">
      <c r="A23" s="65">
        <v>21</v>
      </c>
      <c r="B23" s="65">
        <f>HEX2DEC(Items!$A$11+CombatMagic!A23)</f>
        <v>50331681</v>
      </c>
      <c r="C23" s="65" t="s">
        <v>484</v>
      </c>
      <c r="D23" s="65" t="s">
        <v>485</v>
      </c>
      <c r="E23" s="65" t="s">
        <v>485</v>
      </c>
      <c r="F23" s="65" t="s">
        <v>486</v>
      </c>
      <c r="G23" s="65">
        <v>48</v>
      </c>
      <c r="H23" s="65">
        <v>79528</v>
      </c>
      <c r="I23" s="65" t="s">
        <v>2938</v>
      </c>
      <c r="J23" s="65" t="s">
        <v>3009</v>
      </c>
    </row>
    <row r="24" spans="1:10" ht="15.75" thickBot="1" x14ac:dyDescent="0.3">
      <c r="A24" s="65">
        <v>22</v>
      </c>
      <c r="B24" s="65">
        <f>HEX2DEC(Items!$A$11+CombatMagic!A24)</f>
        <v>50331682</v>
      </c>
      <c r="C24" s="65" t="s">
        <v>487</v>
      </c>
      <c r="D24" s="65" t="s">
        <v>488</v>
      </c>
      <c r="E24" s="65" t="s">
        <v>488</v>
      </c>
      <c r="F24" s="65" t="s">
        <v>489</v>
      </c>
      <c r="G24" s="65">
        <v>0</v>
      </c>
      <c r="H24" s="65">
        <v>8</v>
      </c>
      <c r="I24" s="65" t="s">
        <v>2939</v>
      </c>
      <c r="J24" s="65" t="s">
        <v>3010</v>
      </c>
    </row>
    <row r="25" spans="1:10" ht="15.75" thickBot="1" x14ac:dyDescent="0.3">
      <c r="A25" s="65">
        <v>23</v>
      </c>
      <c r="B25" s="65">
        <f>HEX2DEC(Items!$A$11+CombatMagic!A25)</f>
        <v>50331683</v>
      </c>
      <c r="C25" s="65" t="s">
        <v>490</v>
      </c>
      <c r="D25" s="65" t="s">
        <v>491</v>
      </c>
      <c r="E25" s="65" t="s">
        <v>492</v>
      </c>
      <c r="F25" s="65" t="s">
        <v>493</v>
      </c>
      <c r="G25" s="65">
        <v>63</v>
      </c>
      <c r="H25" s="65">
        <v>13596</v>
      </c>
      <c r="I25" s="65" t="s">
        <v>2940</v>
      </c>
      <c r="J25" s="65" t="s">
        <v>3011</v>
      </c>
    </row>
    <row r="26" spans="1:10" ht="15.75" thickBot="1" x14ac:dyDescent="0.3">
      <c r="A26" s="65">
        <v>24</v>
      </c>
      <c r="B26" s="65">
        <f>HEX2DEC(Items!$A$11+CombatMagic!A26)</f>
        <v>50331684</v>
      </c>
      <c r="C26" s="65" t="s">
        <v>494</v>
      </c>
      <c r="D26" s="65" t="s">
        <v>495</v>
      </c>
      <c r="E26" s="65" t="s">
        <v>495</v>
      </c>
      <c r="F26" s="65" t="s">
        <v>496</v>
      </c>
      <c r="G26" s="65">
        <v>16</v>
      </c>
      <c r="H26" s="65">
        <v>1723</v>
      </c>
      <c r="I26" s="65" t="s">
        <v>2941</v>
      </c>
      <c r="J26" s="65" t="s">
        <v>3012</v>
      </c>
    </row>
    <row r="27" spans="1:10" ht="15.75" thickBot="1" x14ac:dyDescent="0.3">
      <c r="A27" s="65">
        <v>25</v>
      </c>
      <c r="B27" s="65">
        <f>HEX2DEC(Items!$A$11+CombatMagic!A27)</f>
        <v>50331685</v>
      </c>
      <c r="C27" s="65" t="s">
        <v>497</v>
      </c>
      <c r="D27" s="65" t="s">
        <v>498</v>
      </c>
      <c r="E27" s="65" t="s">
        <v>498</v>
      </c>
      <c r="F27" s="65" t="s">
        <v>499</v>
      </c>
      <c r="G27" s="65">
        <v>4</v>
      </c>
      <c r="H27" s="65">
        <v>35</v>
      </c>
      <c r="I27" s="65" t="s">
        <v>2942</v>
      </c>
      <c r="J27" s="65" t="s">
        <v>3013</v>
      </c>
    </row>
    <row r="28" spans="1:10" ht="15.75" thickBot="1" x14ac:dyDescent="0.3">
      <c r="A28" s="65">
        <v>26</v>
      </c>
      <c r="B28" s="65">
        <f>HEX2DEC(Items!$A$11+CombatMagic!A28)</f>
        <v>50331686</v>
      </c>
      <c r="C28" s="65" t="s">
        <v>500</v>
      </c>
      <c r="D28" s="65" t="s">
        <v>501</v>
      </c>
      <c r="E28" s="65" t="s">
        <v>501</v>
      </c>
      <c r="F28" s="65" t="s">
        <v>502</v>
      </c>
      <c r="G28" s="65">
        <v>8</v>
      </c>
      <c r="H28" s="65">
        <v>197</v>
      </c>
      <c r="I28" s="65" t="s">
        <v>2943</v>
      </c>
      <c r="J28" s="65" t="s">
        <v>3014</v>
      </c>
    </row>
    <row r="29" spans="1:10" ht="15.75" thickBot="1" x14ac:dyDescent="0.3">
      <c r="A29" s="65">
        <v>27</v>
      </c>
      <c r="B29" s="65">
        <f>HEX2DEC(Items!$A$11+CombatMagic!A29)</f>
        <v>50331687</v>
      </c>
      <c r="C29" s="65" t="s">
        <v>503</v>
      </c>
      <c r="D29" s="65" t="s">
        <v>504</v>
      </c>
      <c r="E29" s="65" t="s">
        <v>505</v>
      </c>
      <c r="F29" s="65" t="s">
        <v>506</v>
      </c>
      <c r="G29" s="65">
        <v>52</v>
      </c>
      <c r="H29" s="65">
        <v>79482</v>
      </c>
      <c r="I29" s="65" t="s">
        <v>2944</v>
      </c>
      <c r="J29" s="65" t="s">
        <v>3015</v>
      </c>
    </row>
    <row r="30" spans="1:10" ht="15.75" thickBot="1" x14ac:dyDescent="0.3">
      <c r="A30" s="65">
        <v>28</v>
      </c>
      <c r="B30" s="65">
        <f>HEX2DEC(Items!$A$11+CombatMagic!A30)</f>
        <v>50331688</v>
      </c>
      <c r="C30" s="65" t="s">
        <v>507</v>
      </c>
      <c r="D30" s="65" t="s">
        <v>508</v>
      </c>
      <c r="E30" s="65" t="s">
        <v>509</v>
      </c>
      <c r="F30" s="65" t="s">
        <v>510</v>
      </c>
      <c r="G30" s="65">
        <v>32</v>
      </c>
      <c r="H30" s="65">
        <v>13946</v>
      </c>
      <c r="I30" s="65" t="s">
        <v>2945</v>
      </c>
      <c r="J30" s="65" t="s">
        <v>3016</v>
      </c>
    </row>
    <row r="31" spans="1:10" ht="15.75" thickBot="1" x14ac:dyDescent="0.3">
      <c r="A31" s="65">
        <v>29</v>
      </c>
      <c r="B31" s="65">
        <f>HEX2DEC(Items!$A$11+CombatMagic!A31)</f>
        <v>50331689</v>
      </c>
      <c r="C31" s="65" t="s">
        <v>511</v>
      </c>
      <c r="D31" s="65" t="s">
        <v>512</v>
      </c>
      <c r="E31" s="65" t="s">
        <v>512</v>
      </c>
      <c r="F31" s="65" t="s">
        <v>513</v>
      </c>
      <c r="G31" s="65">
        <v>88</v>
      </c>
      <c r="H31" s="65">
        <v>530288</v>
      </c>
      <c r="I31" s="65" t="s">
        <v>2946</v>
      </c>
      <c r="J31" s="65" t="s">
        <v>3017</v>
      </c>
    </row>
    <row r="32" spans="1:10" ht="15.75" thickBot="1" x14ac:dyDescent="0.3">
      <c r="A32" s="65">
        <v>30</v>
      </c>
      <c r="B32" s="65">
        <f>HEX2DEC(Items!$A$11+CombatMagic!A32)</f>
        <v>50331696</v>
      </c>
      <c r="C32" s="65" t="s">
        <v>514</v>
      </c>
      <c r="D32" s="65" t="s">
        <v>515</v>
      </c>
      <c r="E32" s="65" t="s">
        <v>515</v>
      </c>
      <c r="F32" s="65" t="s">
        <v>516</v>
      </c>
      <c r="G32" s="65">
        <v>54</v>
      </c>
      <c r="H32" s="65">
        <v>115874</v>
      </c>
      <c r="I32" s="65" t="s">
        <v>2947</v>
      </c>
      <c r="J32" s="65" t="s">
        <v>3018</v>
      </c>
    </row>
    <row r="33" spans="1:10" ht="15.75" thickBot="1" x14ac:dyDescent="0.3">
      <c r="A33" s="65">
        <v>31</v>
      </c>
      <c r="B33" s="65">
        <f>HEX2DEC(Items!$A$11+CombatMagic!A33)</f>
        <v>50331697</v>
      </c>
      <c r="C33" s="65" t="s">
        <v>517</v>
      </c>
      <c r="D33" s="65" t="s">
        <v>518</v>
      </c>
      <c r="E33" s="65" t="s">
        <v>519</v>
      </c>
      <c r="F33" s="65" t="s">
        <v>520</v>
      </c>
      <c r="G33" s="65">
        <v>2</v>
      </c>
      <c r="H33" s="65">
        <v>20</v>
      </c>
      <c r="I33" s="65" t="s">
        <v>2948</v>
      </c>
      <c r="J33" s="65" t="s">
        <v>3019</v>
      </c>
    </row>
    <row r="34" spans="1:10" ht="15.75" thickBot="1" x14ac:dyDescent="0.3">
      <c r="A34" s="65">
        <v>32</v>
      </c>
      <c r="B34" s="65">
        <f>HEX2DEC(Items!$A$11+CombatMagic!A34)</f>
        <v>50331698</v>
      </c>
      <c r="C34" s="65" t="s">
        <v>521</v>
      </c>
      <c r="D34" s="65" t="s">
        <v>522</v>
      </c>
      <c r="E34" s="65" t="s">
        <v>522</v>
      </c>
      <c r="F34" s="65" t="s">
        <v>523</v>
      </c>
      <c r="G34" s="65">
        <v>80</v>
      </c>
      <c r="H34" s="65">
        <v>350123</v>
      </c>
      <c r="I34" s="65" t="s">
        <v>2949</v>
      </c>
      <c r="J34" s="65" t="s">
        <v>3020</v>
      </c>
    </row>
    <row r="35" spans="1:10" ht="15.75" thickBot="1" x14ac:dyDescent="0.3">
      <c r="A35" s="65">
        <v>33</v>
      </c>
      <c r="B35" s="65">
        <f>HEX2DEC(Items!$A$11+CombatMagic!A35)</f>
        <v>50331699</v>
      </c>
      <c r="C35" s="65" t="s">
        <v>524</v>
      </c>
      <c r="D35" s="65" t="s">
        <v>525</v>
      </c>
      <c r="E35" s="65" t="s">
        <v>526</v>
      </c>
      <c r="F35" s="65" t="s">
        <v>527</v>
      </c>
      <c r="G35" s="65">
        <v>9</v>
      </c>
      <c r="H35" s="65">
        <v>158</v>
      </c>
      <c r="I35" s="65" t="s">
        <v>2950</v>
      </c>
      <c r="J35" s="65" t="s">
        <v>3021</v>
      </c>
    </row>
    <row r="36" spans="1:10" ht="15.75" thickBot="1" x14ac:dyDescent="0.3">
      <c r="A36" s="65">
        <v>34</v>
      </c>
      <c r="B36" s="65">
        <f>HEX2DEC(Items!$A$11+CombatMagic!A36)</f>
        <v>50331700</v>
      </c>
      <c r="C36" s="65" t="s">
        <v>528</v>
      </c>
      <c r="D36" s="65" t="s">
        <v>529</v>
      </c>
      <c r="E36" s="65" t="s">
        <v>530</v>
      </c>
      <c r="F36" s="65" t="s">
        <v>531</v>
      </c>
      <c r="G36" s="65">
        <v>36</v>
      </c>
      <c r="H36" s="65">
        <v>26853</v>
      </c>
      <c r="I36" s="65" t="s">
        <v>2951</v>
      </c>
      <c r="J36" s="65" t="s">
        <v>3022</v>
      </c>
    </row>
    <row r="37" spans="1:10" ht="15.75" thickBot="1" x14ac:dyDescent="0.3">
      <c r="A37" s="65">
        <v>35</v>
      </c>
      <c r="B37" s="65">
        <f>HEX2DEC(Items!$A$11+CombatMagic!A37)</f>
        <v>50331701</v>
      </c>
      <c r="C37" s="65" t="s">
        <v>532</v>
      </c>
      <c r="D37" s="65" t="s">
        <v>533</v>
      </c>
      <c r="E37" s="65" t="s">
        <v>533</v>
      </c>
      <c r="F37" s="65" t="s">
        <v>534</v>
      </c>
      <c r="G37" s="65">
        <v>66</v>
      </c>
      <c r="H37" s="65">
        <v>241851</v>
      </c>
      <c r="I37" s="65" t="s">
        <v>2952</v>
      </c>
      <c r="J37" s="65" t="s">
        <v>3023</v>
      </c>
    </row>
    <row r="38" spans="1:10" ht="15.75" thickBot="1" x14ac:dyDescent="0.3">
      <c r="A38" s="65">
        <v>36</v>
      </c>
      <c r="B38" s="65">
        <f>HEX2DEC(Items!$A$11+CombatMagic!A38)</f>
        <v>50331702</v>
      </c>
      <c r="C38" s="65" t="s">
        <v>535</v>
      </c>
      <c r="D38" s="65" t="s">
        <v>536</v>
      </c>
      <c r="E38" s="65" t="s">
        <v>537</v>
      </c>
      <c r="F38" s="65" t="s">
        <v>538</v>
      </c>
      <c r="G38" s="65">
        <v>102</v>
      </c>
      <c r="H38" s="65">
        <v>1125557</v>
      </c>
      <c r="I38" s="65" t="s">
        <v>2953</v>
      </c>
      <c r="J38" s="65" t="s">
        <v>3024</v>
      </c>
    </row>
    <row r="39" spans="1:10" ht="15.75" thickBot="1" x14ac:dyDescent="0.3">
      <c r="A39" s="65">
        <v>37</v>
      </c>
      <c r="B39" s="65">
        <f>HEX2DEC(Items!$A$11+CombatMagic!A39)</f>
        <v>50331703</v>
      </c>
      <c r="C39" s="65" t="s">
        <v>539</v>
      </c>
      <c r="D39" s="65" t="s">
        <v>540</v>
      </c>
      <c r="E39" s="65" t="s">
        <v>541</v>
      </c>
      <c r="F39" s="65" t="s">
        <v>542</v>
      </c>
      <c r="G39" s="65">
        <v>34</v>
      </c>
      <c r="H39" s="65">
        <v>890</v>
      </c>
      <c r="I39" s="65" t="s">
        <v>2954</v>
      </c>
      <c r="J39" s="65" t="s">
        <v>3025</v>
      </c>
    </row>
    <row r="40" spans="1:10" ht="15.75" thickBot="1" x14ac:dyDescent="0.3">
      <c r="A40" s="65">
        <v>38</v>
      </c>
      <c r="B40" s="65">
        <f>HEX2DEC(Items!$A$11+CombatMagic!A40)</f>
        <v>50331704</v>
      </c>
      <c r="C40" s="65" t="s">
        <v>543</v>
      </c>
      <c r="D40" s="65" t="s">
        <v>544</v>
      </c>
      <c r="E40" s="65" t="s">
        <v>545</v>
      </c>
      <c r="F40" s="65" t="s">
        <v>546</v>
      </c>
      <c r="G40" s="65">
        <v>38</v>
      </c>
      <c r="H40" s="65">
        <v>30128</v>
      </c>
      <c r="I40" s="65" t="s">
        <v>2955</v>
      </c>
      <c r="J40" s="65" t="s">
        <v>3026</v>
      </c>
    </row>
    <row r="41" spans="1:10" ht="15.75" thickBot="1" x14ac:dyDescent="0.3">
      <c r="A41" s="65">
        <v>39</v>
      </c>
      <c r="B41" s="65">
        <f>HEX2DEC(Items!$A$11+CombatMagic!A41)</f>
        <v>50331705</v>
      </c>
      <c r="C41" s="65" t="s">
        <v>547</v>
      </c>
      <c r="D41" s="65" t="s">
        <v>548</v>
      </c>
      <c r="E41" s="65" t="s">
        <v>548</v>
      </c>
      <c r="F41" s="65" t="s">
        <v>549</v>
      </c>
      <c r="G41" s="65">
        <v>42</v>
      </c>
      <c r="H41" s="65">
        <v>49583</v>
      </c>
      <c r="I41" s="65" t="s">
        <v>2956</v>
      </c>
      <c r="J41" s="65" t="s">
        <v>3027</v>
      </c>
    </row>
    <row r="42" spans="1:10" ht="15.75" thickBot="1" x14ac:dyDescent="0.3">
      <c r="A42" s="65">
        <v>40</v>
      </c>
      <c r="B42" s="65">
        <f>HEX2DEC(Items!$A$11+CombatMagic!A42)</f>
        <v>50331712</v>
      </c>
      <c r="C42" s="65" t="s">
        <v>550</v>
      </c>
      <c r="D42" s="65" t="s">
        <v>551</v>
      </c>
      <c r="E42" s="65" t="s">
        <v>552</v>
      </c>
      <c r="F42" s="65" t="s">
        <v>553</v>
      </c>
      <c r="G42" s="65">
        <v>78</v>
      </c>
      <c r="H42" s="65">
        <v>421001</v>
      </c>
      <c r="I42" s="65" t="s">
        <v>2957</v>
      </c>
      <c r="J42" s="65" t="s">
        <v>3028</v>
      </c>
    </row>
    <row r="43" spans="1:10" ht="15.75" thickBot="1" x14ac:dyDescent="0.3">
      <c r="A43" s="65">
        <v>41</v>
      </c>
      <c r="B43" s="65">
        <f>HEX2DEC(Items!$A$11+CombatMagic!A43)</f>
        <v>50331713</v>
      </c>
      <c r="C43" s="65" t="s">
        <v>554</v>
      </c>
      <c r="D43" s="65" t="s">
        <v>555</v>
      </c>
      <c r="E43" s="65" t="s">
        <v>556</v>
      </c>
      <c r="F43" s="65" t="s">
        <v>557</v>
      </c>
      <c r="G43" s="65">
        <v>72</v>
      </c>
      <c r="H43" s="65">
        <v>330529</v>
      </c>
      <c r="I43" s="65" t="s">
        <v>2958</v>
      </c>
      <c r="J43" s="65" t="s">
        <v>3029</v>
      </c>
    </row>
    <row r="44" spans="1:10" ht="15.75" thickBot="1" x14ac:dyDescent="0.3">
      <c r="A44" s="65">
        <v>42</v>
      </c>
      <c r="B44" s="65">
        <f>HEX2DEC(Items!$A$11+CombatMagic!A44)</f>
        <v>50331714</v>
      </c>
      <c r="C44" s="65" t="s">
        <v>558</v>
      </c>
      <c r="D44" s="65" t="s">
        <v>559</v>
      </c>
      <c r="E44" s="65" t="s">
        <v>559</v>
      </c>
      <c r="F44" s="65" t="s">
        <v>560</v>
      </c>
      <c r="G44" s="65">
        <v>3</v>
      </c>
      <c r="H44" s="65">
        <v>22</v>
      </c>
      <c r="I44" s="65" t="s">
        <v>2959</v>
      </c>
      <c r="J44" s="65" t="s">
        <v>3030</v>
      </c>
    </row>
    <row r="45" spans="1:10" ht="15.75" thickBot="1" x14ac:dyDescent="0.3">
      <c r="A45" s="65">
        <v>43</v>
      </c>
      <c r="B45" s="65">
        <f>HEX2DEC(Items!$A$11+CombatMagic!A45)</f>
        <v>50331715</v>
      </c>
      <c r="C45" s="65" t="s">
        <v>561</v>
      </c>
      <c r="D45" s="65" t="s">
        <v>562</v>
      </c>
      <c r="E45" s="65" t="s">
        <v>562</v>
      </c>
      <c r="F45" s="65" t="s">
        <v>563</v>
      </c>
      <c r="G45" s="65">
        <v>24</v>
      </c>
      <c r="H45" s="65">
        <v>7523</v>
      </c>
      <c r="I45" s="65" t="s">
        <v>2960</v>
      </c>
      <c r="J45" s="65" t="s">
        <v>3031</v>
      </c>
    </row>
    <row r="46" spans="1:10" ht="15.75" thickBot="1" x14ac:dyDescent="0.3">
      <c r="A46" s="65">
        <v>44</v>
      </c>
      <c r="B46" s="65">
        <f>HEX2DEC(Items!$A$11+CombatMagic!A46)</f>
        <v>50331716</v>
      </c>
      <c r="C46" s="65" t="s">
        <v>564</v>
      </c>
      <c r="D46" s="65" t="s">
        <v>565</v>
      </c>
      <c r="E46" s="65" t="s">
        <v>565</v>
      </c>
      <c r="F46" s="65" t="s">
        <v>566</v>
      </c>
      <c r="G46" s="65">
        <v>5</v>
      </c>
      <c r="H46" s="65">
        <v>71</v>
      </c>
      <c r="I46" s="65" t="s">
        <v>2961</v>
      </c>
      <c r="J46" s="65" t="s">
        <v>3032</v>
      </c>
    </row>
    <row r="47" spans="1:10" ht="15.75" thickBot="1" x14ac:dyDescent="0.3">
      <c r="A47" s="65">
        <v>45</v>
      </c>
      <c r="B47" s="65">
        <f>HEX2DEC(Items!$A$11+CombatMagic!A47)</f>
        <v>50331717</v>
      </c>
      <c r="C47" s="65" t="s">
        <v>567</v>
      </c>
      <c r="D47" s="65" t="s">
        <v>568</v>
      </c>
      <c r="E47" s="65" t="s">
        <v>569</v>
      </c>
      <c r="F47" s="65" t="s">
        <v>570</v>
      </c>
      <c r="G47" s="65">
        <v>0</v>
      </c>
      <c r="H47" s="65">
        <v>9</v>
      </c>
      <c r="I47" s="65" t="s">
        <v>2962</v>
      </c>
      <c r="J47" s="65" t="s">
        <v>3033</v>
      </c>
    </row>
    <row r="48" spans="1:10" ht="15.75" thickBot="1" x14ac:dyDescent="0.3">
      <c r="A48" s="65">
        <v>46</v>
      </c>
      <c r="B48" s="65">
        <f>HEX2DEC(Items!$A$11+CombatMagic!A48)</f>
        <v>50331718</v>
      </c>
      <c r="C48" s="65" t="s">
        <v>571</v>
      </c>
      <c r="D48" s="65" t="s">
        <v>572</v>
      </c>
      <c r="E48" s="65" t="s">
        <v>573</v>
      </c>
      <c r="F48" s="65" t="s">
        <v>574</v>
      </c>
      <c r="G48" s="65">
        <v>45</v>
      </c>
      <c r="H48" s="65">
        <v>36251</v>
      </c>
      <c r="I48" s="65" t="s">
        <v>2963</v>
      </c>
      <c r="J48" s="65" t="s">
        <v>3034</v>
      </c>
    </row>
    <row r="49" spans="1:10" ht="15.75" thickBot="1" x14ac:dyDescent="0.3">
      <c r="A49" s="65">
        <v>47</v>
      </c>
      <c r="B49" s="65">
        <f>HEX2DEC(Items!$A$11+CombatMagic!A49)</f>
        <v>50331719</v>
      </c>
      <c r="C49" s="65" t="s">
        <v>575</v>
      </c>
      <c r="D49" s="65" t="s">
        <v>576</v>
      </c>
      <c r="E49" s="65" t="s">
        <v>577</v>
      </c>
      <c r="F49" s="65" t="s">
        <v>578</v>
      </c>
      <c r="G49" s="65">
        <v>7</v>
      </c>
      <c r="H49" s="65">
        <v>139</v>
      </c>
      <c r="I49" s="65" t="s">
        <v>2964</v>
      </c>
      <c r="J49" s="65" t="s">
        <v>3035</v>
      </c>
    </row>
    <row r="50" spans="1:10" ht="15.75" thickBot="1" x14ac:dyDescent="0.3">
      <c r="A50" s="65">
        <v>48</v>
      </c>
      <c r="B50" s="65">
        <f>HEX2DEC(Items!$A$11+CombatMagic!A50)</f>
        <v>50331720</v>
      </c>
      <c r="C50" s="65" t="s">
        <v>579</v>
      </c>
      <c r="D50" s="65" t="s">
        <v>580</v>
      </c>
      <c r="E50" s="65" t="s">
        <v>581</v>
      </c>
      <c r="F50" s="65" t="s">
        <v>582</v>
      </c>
      <c r="G50" s="65">
        <v>12</v>
      </c>
      <c r="H50" s="65">
        <v>401</v>
      </c>
      <c r="I50" s="65" t="s">
        <v>2965</v>
      </c>
      <c r="J50" s="65" t="s">
        <v>3036</v>
      </c>
    </row>
    <row r="51" spans="1:10" ht="15.75" thickBot="1" x14ac:dyDescent="0.3">
      <c r="A51" s="65">
        <v>49</v>
      </c>
      <c r="B51" s="65">
        <f>HEX2DEC(Items!$A$11+CombatMagic!A51)</f>
        <v>50331721</v>
      </c>
      <c r="C51" s="65" t="s">
        <v>583</v>
      </c>
      <c r="D51" s="65" t="s">
        <v>584</v>
      </c>
      <c r="E51" s="65" t="s">
        <v>585</v>
      </c>
      <c r="F51" s="65" t="s">
        <v>586</v>
      </c>
      <c r="G51" s="65">
        <v>94</v>
      </c>
      <c r="H51" s="65">
        <v>644957</v>
      </c>
      <c r="I51" s="65" t="s">
        <v>2966</v>
      </c>
      <c r="J51" s="65" t="s">
        <v>3037</v>
      </c>
    </row>
    <row r="52" spans="1:10" ht="15.75" thickBot="1" x14ac:dyDescent="0.3">
      <c r="A52" s="65">
        <v>50</v>
      </c>
      <c r="B52" s="65">
        <f>HEX2DEC(Items!$A$11+CombatMagic!A52)</f>
        <v>50331728</v>
      </c>
      <c r="C52" s="65" t="s">
        <v>587</v>
      </c>
      <c r="D52" s="65" t="s">
        <v>588</v>
      </c>
      <c r="E52" s="65" t="s">
        <v>589</v>
      </c>
      <c r="F52" s="65" t="s">
        <v>590</v>
      </c>
      <c r="G52" s="65">
        <v>21</v>
      </c>
      <c r="H52" s="65">
        <v>3443</v>
      </c>
      <c r="I52" s="65" t="s">
        <v>2967</v>
      </c>
      <c r="J52" s="65" t="s">
        <v>3038</v>
      </c>
    </row>
    <row r="53" spans="1:10" ht="15.75" thickBot="1" x14ac:dyDescent="0.3">
      <c r="A53" s="65">
        <v>51</v>
      </c>
      <c r="B53" s="65">
        <f>HEX2DEC(Items!$A$11+CombatMagic!A53)</f>
        <v>50331729</v>
      </c>
      <c r="C53" s="65" t="s">
        <v>591</v>
      </c>
      <c r="D53" s="65" t="s">
        <v>592</v>
      </c>
      <c r="E53" s="65" t="s">
        <v>593</v>
      </c>
      <c r="F53" s="65" t="s">
        <v>594</v>
      </c>
      <c r="G53" s="65">
        <v>69</v>
      </c>
      <c r="H53" s="65">
        <v>209852</v>
      </c>
      <c r="I53" s="65" t="s">
        <v>2968</v>
      </c>
      <c r="J53" s="65" t="s">
        <v>3039</v>
      </c>
    </row>
    <row r="54" spans="1:10" ht="15.75" thickBot="1" x14ac:dyDescent="0.3">
      <c r="A54" s="65">
        <v>52</v>
      </c>
      <c r="B54" s="65">
        <f>HEX2DEC(Items!$A$11+CombatMagic!A54)</f>
        <v>50331730</v>
      </c>
      <c r="C54" s="65" t="s">
        <v>595</v>
      </c>
      <c r="D54" s="65" t="s">
        <v>596</v>
      </c>
      <c r="E54" s="65" t="s">
        <v>597</v>
      </c>
      <c r="F54" s="65" t="s">
        <v>598</v>
      </c>
      <c r="G54" s="65">
        <v>105</v>
      </c>
      <c r="H54" s="65">
        <v>955916</v>
      </c>
      <c r="I54" s="65" t="s">
        <v>2969</v>
      </c>
      <c r="J54" s="65" t="s">
        <v>3040</v>
      </c>
    </row>
    <row r="55" spans="1:10" ht="15.75" thickBot="1" x14ac:dyDescent="0.3">
      <c r="A55" s="65">
        <v>53</v>
      </c>
      <c r="B55" s="65">
        <f>HEX2DEC(Items!$A$11+CombatMagic!A55)</f>
        <v>50331731</v>
      </c>
      <c r="C55" s="65" t="s">
        <v>599</v>
      </c>
      <c r="D55" s="65" t="s">
        <v>600</v>
      </c>
      <c r="E55" s="65" t="s">
        <v>601</v>
      </c>
      <c r="F55" s="65" t="s">
        <v>602</v>
      </c>
      <c r="G55" s="65">
        <v>33</v>
      </c>
      <c r="H55" s="65">
        <v>14569</v>
      </c>
      <c r="I55" s="65" t="s">
        <v>2970</v>
      </c>
      <c r="J55" s="65" t="s">
        <v>3041</v>
      </c>
    </row>
    <row r="56" spans="1:10" ht="15.75" thickBot="1" x14ac:dyDescent="0.3">
      <c r="A56" s="65">
        <v>54</v>
      </c>
      <c r="B56" s="65">
        <f>HEX2DEC(Items!$A$11+CombatMagic!A56)</f>
        <v>50331732</v>
      </c>
      <c r="C56" s="65" t="s">
        <v>603</v>
      </c>
      <c r="D56" s="65" t="s">
        <v>604</v>
      </c>
      <c r="E56" s="65" t="s">
        <v>605</v>
      </c>
      <c r="F56" s="65" t="s">
        <v>606</v>
      </c>
      <c r="G56" s="65">
        <v>39</v>
      </c>
      <c r="H56" s="65">
        <v>29018</v>
      </c>
      <c r="I56" s="65" t="s">
        <v>2971</v>
      </c>
      <c r="J56" s="65" t="s">
        <v>3042</v>
      </c>
    </row>
    <row r="57" spans="1:10" ht="15.75" thickBot="1" x14ac:dyDescent="0.3">
      <c r="A57" s="65">
        <v>55</v>
      </c>
      <c r="B57" s="65">
        <f>HEX2DEC(Items!$A$11+CombatMagic!A57)</f>
        <v>50331733</v>
      </c>
      <c r="C57" s="65" t="s">
        <v>607</v>
      </c>
      <c r="D57" s="65" t="s">
        <v>608</v>
      </c>
      <c r="E57" s="65" t="s">
        <v>609</v>
      </c>
      <c r="F57" s="65" t="s">
        <v>610</v>
      </c>
      <c r="G57" s="65">
        <v>75</v>
      </c>
      <c r="H57" s="65">
        <v>289493</v>
      </c>
      <c r="I57" s="65" t="s">
        <v>2972</v>
      </c>
      <c r="J57" s="65" t="s">
        <v>3043</v>
      </c>
    </row>
    <row r="58" spans="1:10" ht="15.75" thickBot="1" x14ac:dyDescent="0.3">
      <c r="A58" s="65">
        <v>56</v>
      </c>
      <c r="B58" s="65">
        <f>HEX2DEC(Items!$A$11+CombatMagic!A58)</f>
        <v>50331734</v>
      </c>
      <c r="C58" s="65" t="s">
        <v>611</v>
      </c>
      <c r="D58" s="65" t="s">
        <v>612</v>
      </c>
      <c r="E58" s="65" t="s">
        <v>613</v>
      </c>
      <c r="F58" s="65" t="s">
        <v>614</v>
      </c>
      <c r="G58" s="65">
        <v>5</v>
      </c>
      <c r="H58" s="65">
        <v>65</v>
      </c>
      <c r="I58" s="65" t="s">
        <v>2973</v>
      </c>
      <c r="J58" s="65" t="s">
        <v>3044</v>
      </c>
    </row>
    <row r="59" spans="1:10" ht="15.75" thickBot="1" x14ac:dyDescent="0.3">
      <c r="A59" s="65">
        <v>57</v>
      </c>
      <c r="B59" s="65">
        <f>HEX2DEC(Items!$A$11+CombatMagic!A59)</f>
        <v>50331735</v>
      </c>
      <c r="C59" s="65" t="s">
        <v>615</v>
      </c>
      <c r="D59" s="65" t="s">
        <v>616</v>
      </c>
      <c r="E59" s="65" t="s">
        <v>617</v>
      </c>
      <c r="F59" s="65" t="s">
        <v>618</v>
      </c>
      <c r="G59" s="65">
        <v>86</v>
      </c>
      <c r="H59" s="65">
        <v>439552</v>
      </c>
      <c r="I59" s="65" t="s">
        <v>2974</v>
      </c>
      <c r="J59" s="65" t="s">
        <v>3045</v>
      </c>
    </row>
    <row r="60" spans="1:10" ht="15.75" thickBot="1" x14ac:dyDescent="0.3">
      <c r="A60" s="65">
        <v>58</v>
      </c>
      <c r="B60" s="65">
        <f>HEX2DEC(Items!$A$11+CombatMagic!A60)</f>
        <v>50331736</v>
      </c>
      <c r="C60" s="65" t="s">
        <v>619</v>
      </c>
      <c r="D60" s="65" t="s">
        <v>620</v>
      </c>
      <c r="E60" s="65" t="s">
        <v>621</v>
      </c>
      <c r="F60" s="65" t="s">
        <v>622</v>
      </c>
      <c r="G60" s="65">
        <v>16</v>
      </c>
      <c r="H60" s="65">
        <v>1384</v>
      </c>
      <c r="I60" s="65" t="s">
        <v>2975</v>
      </c>
      <c r="J60" s="65" t="s">
        <v>3046</v>
      </c>
    </row>
    <row r="61" spans="1:10" ht="15.75" thickBot="1" x14ac:dyDescent="0.3">
      <c r="A61" s="65">
        <v>59</v>
      </c>
      <c r="B61" s="65">
        <f>HEX2DEC(Items!$A$11+CombatMagic!A61)</f>
        <v>50331737</v>
      </c>
      <c r="C61" s="65" t="s">
        <v>623</v>
      </c>
      <c r="D61" s="65" t="s">
        <v>624</v>
      </c>
      <c r="E61" s="65" t="s">
        <v>625</v>
      </c>
      <c r="F61" s="65" t="s">
        <v>626</v>
      </c>
      <c r="G61" s="65">
        <v>80</v>
      </c>
      <c r="H61" s="65">
        <v>326512</v>
      </c>
      <c r="I61" s="65" t="s">
        <v>2976</v>
      </c>
      <c r="J61" s="65" t="s">
        <v>3047</v>
      </c>
    </row>
    <row r="62" spans="1:10" ht="15.75" thickBot="1" x14ac:dyDescent="0.3">
      <c r="A62" s="65">
        <v>60</v>
      </c>
      <c r="B62" s="65">
        <f>HEX2DEC(Items!$A$11+CombatMagic!A62)</f>
        <v>50331744</v>
      </c>
      <c r="C62" s="65" t="s">
        <v>627</v>
      </c>
      <c r="D62" s="65" t="s">
        <v>628</v>
      </c>
      <c r="E62" s="65" t="s">
        <v>629</v>
      </c>
      <c r="F62" s="65" t="s">
        <v>630</v>
      </c>
      <c r="G62" s="65">
        <v>48</v>
      </c>
      <c r="H62" s="65">
        <v>60002</v>
      </c>
      <c r="I62" s="65" t="s">
        <v>2977</v>
      </c>
      <c r="J62" s="65" t="s">
        <v>3048</v>
      </c>
    </row>
    <row r="63" spans="1:10" ht="15.75" thickBot="1" x14ac:dyDescent="0.3">
      <c r="A63" s="65">
        <v>61</v>
      </c>
      <c r="B63" s="65">
        <f>HEX2DEC(Items!$A$11+CombatMagic!A63)</f>
        <v>50331745</v>
      </c>
      <c r="C63" s="65" t="s">
        <v>631</v>
      </c>
      <c r="D63" s="65" t="s">
        <v>632</v>
      </c>
      <c r="E63" s="65" t="s">
        <v>633</v>
      </c>
      <c r="F63" s="65" t="s">
        <v>634</v>
      </c>
      <c r="G63" s="65">
        <v>10</v>
      </c>
      <c r="H63" s="65">
        <v>278</v>
      </c>
      <c r="I63" s="65" t="s">
        <v>2978</v>
      </c>
      <c r="J63" s="65" t="s">
        <v>3049</v>
      </c>
    </row>
    <row r="64" spans="1:10" ht="15.75" thickBot="1" x14ac:dyDescent="0.3">
      <c r="A64" s="65">
        <v>62</v>
      </c>
      <c r="B64" s="65">
        <f>HEX2DEC(Items!$A$11+CombatMagic!A64)</f>
        <v>50331746</v>
      </c>
      <c r="C64" s="65" t="s">
        <v>635</v>
      </c>
      <c r="D64" s="65" t="s">
        <v>636</v>
      </c>
      <c r="E64" s="65" t="s">
        <v>637</v>
      </c>
      <c r="F64" s="65" t="s">
        <v>638</v>
      </c>
      <c r="G64" s="65">
        <v>61</v>
      </c>
      <c r="H64" s="65">
        <v>139456</v>
      </c>
      <c r="I64" s="65" t="s">
        <v>2979</v>
      </c>
      <c r="J64" s="65" t="s">
        <v>3050</v>
      </c>
    </row>
    <row r="65" spans="1:10" ht="15.75" thickBot="1" x14ac:dyDescent="0.3">
      <c r="A65" s="65">
        <v>63</v>
      </c>
      <c r="B65" s="65">
        <f>HEX2DEC(Items!$A$11+CombatMagic!A65)</f>
        <v>50331747</v>
      </c>
      <c r="C65" s="65" t="s">
        <v>639</v>
      </c>
      <c r="D65" s="65" t="s">
        <v>640</v>
      </c>
      <c r="E65" s="65" t="s">
        <v>641</v>
      </c>
      <c r="F65" s="65" t="s">
        <v>642</v>
      </c>
      <c r="G65" s="65">
        <v>28</v>
      </c>
      <c r="H65" s="65">
        <v>11288</v>
      </c>
      <c r="I65" s="65" t="s">
        <v>2980</v>
      </c>
      <c r="J65" s="65" t="s">
        <v>3051</v>
      </c>
    </row>
    <row r="66" spans="1:10" ht="15.75" thickBot="1" x14ac:dyDescent="0.3">
      <c r="A66" s="65">
        <v>64</v>
      </c>
      <c r="B66" s="65">
        <f>HEX2DEC(Items!$A$11+CombatMagic!A66)</f>
        <v>50331748</v>
      </c>
      <c r="C66" s="65" t="s">
        <v>643</v>
      </c>
      <c r="D66" s="65" t="s">
        <v>644</v>
      </c>
      <c r="E66" s="65" t="s">
        <v>645</v>
      </c>
      <c r="F66" s="65" t="s">
        <v>646</v>
      </c>
      <c r="G66" s="65">
        <v>100</v>
      </c>
      <c r="H66" s="65">
        <v>826541</v>
      </c>
      <c r="I66" s="65" t="s">
        <v>2981</v>
      </c>
      <c r="J66" s="65" t="s">
        <v>3052</v>
      </c>
    </row>
    <row r="67" spans="1:10" ht="15.75" thickBot="1" x14ac:dyDescent="0.3">
      <c r="A67" s="65">
        <v>65</v>
      </c>
      <c r="B67" s="65">
        <f>HEX2DEC(Items!$A$11+CombatMagic!A67)</f>
        <v>50331749</v>
      </c>
      <c r="C67" s="65" t="s">
        <v>647</v>
      </c>
      <c r="D67" s="65" t="s">
        <v>648</v>
      </c>
      <c r="E67" s="65" t="s">
        <v>649</v>
      </c>
      <c r="F67" s="65" t="s">
        <v>650</v>
      </c>
      <c r="G67" s="65">
        <v>53</v>
      </c>
      <c r="H67" s="65">
        <v>84987</v>
      </c>
      <c r="I67" s="65" t="s">
        <v>2982</v>
      </c>
      <c r="J67" s="65" t="s">
        <v>3053</v>
      </c>
    </row>
    <row r="68" spans="1:10" ht="15.75" thickBot="1" x14ac:dyDescent="0.3">
      <c r="A68" s="65">
        <v>66</v>
      </c>
      <c r="B68" s="65">
        <f>HEX2DEC(Items!$A$11+CombatMagic!A68)</f>
        <v>50331750</v>
      </c>
      <c r="C68" s="65" t="s">
        <v>651</v>
      </c>
      <c r="D68" s="65" t="s">
        <v>652</v>
      </c>
      <c r="E68" s="65" t="s">
        <v>653</v>
      </c>
      <c r="F68" s="65" t="s">
        <v>654</v>
      </c>
      <c r="G68" s="65">
        <v>57</v>
      </c>
      <c r="H68" s="65">
        <v>109797</v>
      </c>
      <c r="I68" s="65" t="s">
        <v>2983</v>
      </c>
      <c r="J68" s="65" t="s">
        <v>3054</v>
      </c>
    </row>
    <row r="69" spans="1:10" ht="15.75" thickBot="1" x14ac:dyDescent="0.3">
      <c r="A69" s="65">
        <v>67</v>
      </c>
      <c r="B69" s="65">
        <f>HEX2DEC(Items!$A$11+CombatMagic!A69)</f>
        <v>50331751</v>
      </c>
      <c r="C69" s="65" t="s">
        <v>655</v>
      </c>
      <c r="D69" s="65" t="s">
        <v>656</v>
      </c>
      <c r="E69" s="65" t="s">
        <v>657</v>
      </c>
      <c r="F69" s="65" t="s">
        <v>658</v>
      </c>
      <c r="G69" s="65">
        <v>43</v>
      </c>
      <c r="H69" s="65">
        <v>40812</v>
      </c>
      <c r="I69" s="65" t="s">
        <v>2984</v>
      </c>
      <c r="J69" s="65" t="s">
        <v>3055</v>
      </c>
    </row>
    <row r="70" spans="1:10" ht="15.75" thickBot="1" x14ac:dyDescent="0.3">
      <c r="A70" s="65">
        <v>68</v>
      </c>
      <c r="B70" s="65">
        <f>HEX2DEC(Items!$A$11+CombatMagic!A70)</f>
        <v>50331752</v>
      </c>
      <c r="C70" s="65" t="s">
        <v>659</v>
      </c>
      <c r="D70" s="65" t="s">
        <v>660</v>
      </c>
      <c r="E70" s="65" t="s">
        <v>660</v>
      </c>
      <c r="F70" s="65" t="s">
        <v>661</v>
      </c>
      <c r="G70" s="65">
        <v>108</v>
      </c>
      <c r="H70" s="65">
        <v>1385445</v>
      </c>
      <c r="I70" s="65" t="s">
        <v>2985</v>
      </c>
      <c r="J70" s="65" t="s">
        <v>3056</v>
      </c>
    </row>
    <row r="71" spans="1:10" ht="15.75" thickBot="1" x14ac:dyDescent="0.3">
      <c r="A71" s="65">
        <v>69</v>
      </c>
      <c r="B71" s="65">
        <f>HEX2DEC(Items!$A$11+CombatMagic!A71)</f>
        <v>50331753</v>
      </c>
      <c r="C71" s="65" t="s">
        <v>662</v>
      </c>
      <c r="D71" s="65" t="s">
        <v>663</v>
      </c>
      <c r="E71" s="65" t="s">
        <v>664</v>
      </c>
      <c r="F71" s="65" t="s">
        <v>665</v>
      </c>
      <c r="G71" s="65">
        <v>22</v>
      </c>
      <c r="H71" s="65">
        <v>5302</v>
      </c>
      <c r="I71" s="65" t="s">
        <v>2986</v>
      </c>
      <c r="J71" s="65" t="s">
        <v>3057</v>
      </c>
    </row>
    <row r="72" spans="1:10" ht="15.75" thickBot="1" x14ac:dyDescent="0.3">
      <c r="A72" s="65">
        <v>70</v>
      </c>
      <c r="B72" s="65">
        <f>HEX2DEC(Items!$A$11+CombatMagic!A72)</f>
        <v>50331760</v>
      </c>
      <c r="C72" s="65" t="s">
        <v>666</v>
      </c>
      <c r="D72" s="65" t="s">
        <v>667</v>
      </c>
      <c r="E72" s="65" t="s">
        <v>667</v>
      </c>
      <c r="F72" s="65" t="s">
        <v>668</v>
      </c>
      <c r="G72" s="65">
        <v>7</v>
      </c>
      <c r="H72" s="65">
        <v>97</v>
      </c>
      <c r="I72" s="65" t="s">
        <v>2987</v>
      </c>
      <c r="J72" s="65" t="s">
        <v>3058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ExportCombatMagics">
                <anchor moveWithCells="1" sizeWithCells="1">
                  <from>
                    <xdr:col>0</xdr:col>
                    <xdr:colOff>28575</xdr:colOff>
                    <xdr:row>0</xdr:row>
                    <xdr:rowOff>47625</xdr:rowOff>
                  </from>
                  <to>
                    <xdr:col>0</xdr:col>
                    <xdr:colOff>1009650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43A82-72D3-4146-9657-AE5B7B7969E8}">
  <sheetPr codeName="Sheet5"/>
  <dimension ref="A1:H46"/>
  <sheetViews>
    <sheetView workbookViewId="0"/>
  </sheetViews>
  <sheetFormatPr defaultRowHeight="15" x14ac:dyDescent="0.25"/>
  <cols>
    <col min="1" max="1" width="14" customWidth="1"/>
    <col min="2" max="2" width="15" bestFit="1" customWidth="1"/>
    <col min="3" max="3" width="14" bestFit="1" customWidth="1"/>
    <col min="4" max="4" width="57.42578125" bestFit="1" customWidth="1"/>
    <col min="5" max="5" width="18.28515625" style="1" bestFit="1" customWidth="1"/>
    <col min="6" max="6" width="22.5703125" style="1" bestFit="1" customWidth="1"/>
    <col min="7" max="7" width="28.7109375" bestFit="1" customWidth="1"/>
    <col min="8" max="8" width="70.5703125" bestFit="1" customWidth="1"/>
  </cols>
  <sheetData>
    <row r="1" spans="1:8" ht="28.5" customHeight="1" thickBot="1" x14ac:dyDescent="0.3">
      <c r="B1" s="30" t="s">
        <v>28</v>
      </c>
      <c r="C1" s="30" t="s">
        <v>0</v>
      </c>
      <c r="D1" s="30" t="s">
        <v>199</v>
      </c>
      <c r="E1" s="30" t="s">
        <v>198</v>
      </c>
      <c r="F1" s="30" t="s">
        <v>197</v>
      </c>
      <c r="G1" s="30" t="s">
        <v>335</v>
      </c>
      <c r="H1" s="30" t="s">
        <v>334</v>
      </c>
    </row>
    <row r="2" spans="1:8" ht="15.75" thickBot="1" x14ac:dyDescent="0.3">
      <c r="A2" s="65">
        <v>0</v>
      </c>
      <c r="B2" s="65"/>
      <c r="C2" s="65" t="s">
        <v>333</v>
      </c>
      <c r="D2" s="65" t="s">
        <v>332</v>
      </c>
      <c r="E2" s="65">
        <v>65</v>
      </c>
      <c r="F2" s="65" t="s">
        <v>331</v>
      </c>
      <c r="G2" s="65" t="str">
        <f t="shared" ref="G2:G46" si="0">_xlfn.CONCAT("DA_SpellbookPrefix_", SUBSTITUTE(C2," ",""))</f>
        <v>DA_SpellbookPrefix_Merciless</v>
      </c>
      <c r="H2" s="65" t="str">
        <f>_xlfn.CONCAT("/Game/DungeonSiege/Items/Affixes/Prefix/SpellBook/",G2)</f>
        <v>/Game/DungeonSiege/Items/Affixes/Prefix/SpellBook/DA_SpellbookPrefix_Merciless</v>
      </c>
    </row>
    <row r="3" spans="1:8" ht="15.75" thickBot="1" x14ac:dyDescent="0.3">
      <c r="A3" s="65">
        <v>1</v>
      </c>
      <c r="B3" s="65"/>
      <c r="C3" s="65" t="s">
        <v>330</v>
      </c>
      <c r="D3" s="65" t="s">
        <v>329</v>
      </c>
      <c r="E3" s="65">
        <v>60</v>
      </c>
      <c r="F3" s="65" t="s">
        <v>328</v>
      </c>
      <c r="G3" s="65" t="str">
        <f t="shared" si="0"/>
        <v>DA_SpellbookPrefix_Glacial</v>
      </c>
      <c r="H3" s="65" t="str">
        <f t="shared" ref="H3:H46" si="1">_xlfn.CONCAT("/Game/DungeonSiege/Items/Affixes/Prefix/SpellBook/",G3)</f>
        <v>/Game/DungeonSiege/Items/Affixes/Prefix/SpellBook/DA_SpellbookPrefix_Glacial</v>
      </c>
    </row>
    <row r="4" spans="1:8" ht="15.75" thickBot="1" x14ac:dyDescent="0.3">
      <c r="A4" s="65">
        <v>2</v>
      </c>
      <c r="B4" s="65"/>
      <c r="C4" s="65" t="s">
        <v>327</v>
      </c>
      <c r="D4" s="65" t="s">
        <v>326</v>
      </c>
      <c r="E4" s="65">
        <v>60</v>
      </c>
      <c r="F4" s="65" t="s">
        <v>325</v>
      </c>
      <c r="G4" s="65" t="str">
        <f t="shared" si="0"/>
        <v>DA_SpellbookPrefix_Scorched</v>
      </c>
      <c r="H4" s="65" t="str">
        <f t="shared" si="1"/>
        <v>/Game/DungeonSiege/Items/Affixes/Prefix/SpellBook/DA_SpellbookPrefix_Scorched</v>
      </c>
    </row>
    <row r="5" spans="1:8" ht="15.75" thickBot="1" x14ac:dyDescent="0.3">
      <c r="A5" s="65">
        <v>3</v>
      </c>
      <c r="B5" s="65"/>
      <c r="C5" s="65" t="s">
        <v>324</v>
      </c>
      <c r="D5" s="65" t="s">
        <v>323</v>
      </c>
      <c r="E5" s="65">
        <v>60</v>
      </c>
      <c r="F5" s="65" t="s">
        <v>322</v>
      </c>
      <c r="G5" s="65" t="str">
        <f t="shared" si="0"/>
        <v>DA_SpellbookPrefix_Shocking</v>
      </c>
      <c r="H5" s="65" t="str">
        <f t="shared" si="1"/>
        <v>/Game/DungeonSiege/Items/Affixes/Prefix/SpellBook/DA_SpellbookPrefix_Shocking</v>
      </c>
    </row>
    <row r="6" spans="1:8" ht="15.75" thickBot="1" x14ac:dyDescent="0.3">
      <c r="A6" s="65">
        <v>4</v>
      </c>
      <c r="B6" s="65"/>
      <c r="C6" s="65" t="s">
        <v>321</v>
      </c>
      <c r="D6" s="65" t="s">
        <v>320</v>
      </c>
      <c r="E6" s="65">
        <v>55</v>
      </c>
      <c r="F6" s="65" t="s">
        <v>319</v>
      </c>
      <c r="G6" s="65" t="str">
        <f t="shared" si="0"/>
        <v>DA_SpellbookPrefix_SteelBound</v>
      </c>
      <c r="H6" s="65" t="str">
        <f t="shared" si="1"/>
        <v>/Game/DungeonSiege/Items/Affixes/Prefix/SpellBook/DA_SpellbookPrefix_SteelBound</v>
      </c>
    </row>
    <row r="7" spans="1:8" ht="15.75" thickBot="1" x14ac:dyDescent="0.3">
      <c r="A7" s="65">
        <v>5</v>
      </c>
      <c r="B7" s="65"/>
      <c r="C7" s="65" t="s">
        <v>318</v>
      </c>
      <c r="D7" s="65" t="s">
        <v>317</v>
      </c>
      <c r="E7" s="65">
        <v>54</v>
      </c>
      <c r="F7" s="65" t="s">
        <v>316</v>
      </c>
      <c r="G7" s="65" t="str">
        <f t="shared" si="0"/>
        <v>DA_SpellbookPrefix_Natural</v>
      </c>
      <c r="H7" s="65" t="str">
        <f t="shared" si="1"/>
        <v>/Game/DungeonSiege/Items/Affixes/Prefix/SpellBook/DA_SpellbookPrefix_Natural</v>
      </c>
    </row>
    <row r="8" spans="1:8" ht="15.75" thickBot="1" x14ac:dyDescent="0.3">
      <c r="A8" s="65">
        <v>6</v>
      </c>
      <c r="B8" s="65"/>
      <c r="C8" s="65" t="s">
        <v>315</v>
      </c>
      <c r="D8" s="65" t="s">
        <v>314</v>
      </c>
      <c r="E8" s="65">
        <v>54</v>
      </c>
      <c r="F8" s="65" t="s">
        <v>313</v>
      </c>
      <c r="G8" s="65" t="str">
        <f t="shared" si="0"/>
        <v>DA_SpellbookPrefix_Manufactured</v>
      </c>
      <c r="H8" s="65" t="str">
        <f t="shared" si="1"/>
        <v>/Game/DungeonSiege/Items/Affixes/Prefix/SpellBook/DA_SpellbookPrefix_Manufactured</v>
      </c>
    </row>
    <row r="9" spans="1:8" ht="15.75" thickBot="1" x14ac:dyDescent="0.3">
      <c r="A9" s="65">
        <v>7</v>
      </c>
      <c r="B9" s="65"/>
      <c r="C9" s="65" t="s">
        <v>312</v>
      </c>
      <c r="D9" s="65" t="s">
        <v>311</v>
      </c>
      <c r="E9" s="65">
        <v>50</v>
      </c>
      <c r="F9" s="65" t="s">
        <v>310</v>
      </c>
      <c r="G9" s="65" t="str">
        <f t="shared" si="0"/>
        <v>DA_SpellbookPrefix_Unwavering</v>
      </c>
      <c r="H9" s="65" t="str">
        <f t="shared" si="1"/>
        <v>/Game/DungeonSiege/Items/Affixes/Prefix/SpellBook/DA_SpellbookPrefix_Unwavering</v>
      </c>
    </row>
    <row r="10" spans="1:8" ht="15.75" thickBot="1" x14ac:dyDescent="0.3">
      <c r="A10" s="65">
        <v>8</v>
      </c>
      <c r="B10" s="65"/>
      <c r="C10" s="65" t="s">
        <v>309</v>
      </c>
      <c r="D10" s="65" t="s">
        <v>308</v>
      </c>
      <c r="E10" s="65">
        <v>41</v>
      </c>
      <c r="F10" s="65" t="s">
        <v>307</v>
      </c>
      <c r="G10" s="65" t="str">
        <f t="shared" si="0"/>
        <v>DA_SpellbookPrefix_Ruthless</v>
      </c>
      <c r="H10" s="65" t="str">
        <f t="shared" si="1"/>
        <v>/Game/DungeonSiege/Items/Affixes/Prefix/SpellBook/DA_SpellbookPrefix_Ruthless</v>
      </c>
    </row>
    <row r="11" spans="1:8" ht="15.75" thickBot="1" x14ac:dyDescent="0.3">
      <c r="A11" s="65">
        <v>9</v>
      </c>
      <c r="B11" s="65"/>
      <c r="C11" s="65" t="s">
        <v>306</v>
      </c>
      <c r="D11" s="65" t="s">
        <v>305</v>
      </c>
      <c r="E11" s="65">
        <v>40</v>
      </c>
      <c r="F11" s="65" t="s">
        <v>304</v>
      </c>
      <c r="G11" s="65" t="str">
        <f t="shared" si="0"/>
        <v>DA_SpellbookPrefix_Wintry</v>
      </c>
      <c r="H11" s="65" t="str">
        <f t="shared" si="1"/>
        <v>/Game/DungeonSiege/Items/Affixes/Prefix/SpellBook/DA_SpellbookPrefix_Wintry</v>
      </c>
    </row>
    <row r="12" spans="1:8" ht="15.75" thickBot="1" x14ac:dyDescent="0.3">
      <c r="A12" s="65">
        <v>10</v>
      </c>
      <c r="B12" s="65"/>
      <c r="C12" s="65" t="s">
        <v>303</v>
      </c>
      <c r="D12" s="65" t="s">
        <v>302</v>
      </c>
      <c r="E12" s="65">
        <v>40</v>
      </c>
      <c r="F12" s="65" t="s">
        <v>301</v>
      </c>
      <c r="G12" s="65" t="str">
        <f t="shared" si="0"/>
        <v>DA_SpellbookPrefix_Smoldering</v>
      </c>
      <c r="H12" s="65" t="str">
        <f t="shared" si="1"/>
        <v>/Game/DungeonSiege/Items/Affixes/Prefix/SpellBook/DA_SpellbookPrefix_Smoldering</v>
      </c>
    </row>
    <row r="13" spans="1:8" ht="15.75" thickBot="1" x14ac:dyDescent="0.3">
      <c r="A13" s="65">
        <v>11</v>
      </c>
      <c r="B13" s="65"/>
      <c r="C13" s="65" t="s">
        <v>300</v>
      </c>
      <c r="D13" s="65" t="s">
        <v>299</v>
      </c>
      <c r="E13" s="65">
        <v>40</v>
      </c>
      <c r="F13" s="65" t="s">
        <v>298</v>
      </c>
      <c r="G13" s="65" t="str">
        <f t="shared" si="0"/>
        <v>DA_SpellbookPrefix_Electric</v>
      </c>
      <c r="H13" s="65" t="str">
        <f t="shared" si="1"/>
        <v>/Game/DungeonSiege/Items/Affixes/Prefix/SpellBook/DA_SpellbookPrefix_Electric</v>
      </c>
    </row>
    <row r="14" spans="1:8" ht="15.75" thickBot="1" x14ac:dyDescent="0.3">
      <c r="A14" s="65">
        <v>12</v>
      </c>
      <c r="B14" s="65"/>
      <c r="C14" s="65" t="s">
        <v>297</v>
      </c>
      <c r="D14" s="65" t="s">
        <v>296</v>
      </c>
      <c r="E14" s="65">
        <v>39</v>
      </c>
      <c r="F14" s="65" t="s">
        <v>295</v>
      </c>
      <c r="G14" s="65" t="str">
        <f t="shared" si="0"/>
        <v>DA_SpellbookPrefix_IronBound</v>
      </c>
      <c r="H14" s="65" t="str">
        <f t="shared" si="1"/>
        <v>/Game/DungeonSiege/Items/Affixes/Prefix/SpellBook/DA_SpellbookPrefix_IronBound</v>
      </c>
    </row>
    <row r="15" spans="1:8" ht="15.75" thickBot="1" x14ac:dyDescent="0.3">
      <c r="A15" s="65">
        <v>13</v>
      </c>
      <c r="B15" s="65"/>
      <c r="C15" s="65" t="s">
        <v>294</v>
      </c>
      <c r="D15" s="65" t="s">
        <v>293</v>
      </c>
      <c r="E15" s="65">
        <v>38</v>
      </c>
      <c r="F15" s="65" t="s">
        <v>292</v>
      </c>
      <c r="G15" s="65" t="str">
        <f t="shared" si="0"/>
        <v>DA_SpellbookPrefix_Idyllic</v>
      </c>
      <c r="H15" s="65" t="str">
        <f t="shared" si="1"/>
        <v>/Game/DungeonSiege/Items/Affixes/Prefix/SpellBook/DA_SpellbookPrefix_Idyllic</v>
      </c>
    </row>
    <row r="16" spans="1:8" ht="15.75" thickBot="1" x14ac:dyDescent="0.3">
      <c r="A16" s="65">
        <v>14</v>
      </c>
      <c r="B16" s="65"/>
      <c r="C16" s="65" t="s">
        <v>291</v>
      </c>
      <c r="D16" s="65" t="s">
        <v>290</v>
      </c>
      <c r="E16" s="65">
        <v>36</v>
      </c>
      <c r="F16" s="65" t="s">
        <v>289</v>
      </c>
      <c r="G16" s="65" t="str">
        <f t="shared" si="0"/>
        <v>DA_SpellbookPrefix_Unwearied</v>
      </c>
      <c r="H16" s="65" t="str">
        <f t="shared" si="1"/>
        <v>/Game/DungeonSiege/Items/Affixes/Prefix/SpellBook/DA_SpellbookPrefix_Unwearied</v>
      </c>
    </row>
    <row r="17" spans="1:8" ht="15.75" thickBot="1" x14ac:dyDescent="0.3">
      <c r="A17" s="65">
        <v>15</v>
      </c>
      <c r="B17" s="65"/>
      <c r="C17" s="65" t="s">
        <v>288</v>
      </c>
      <c r="D17" s="65" t="s">
        <v>287</v>
      </c>
      <c r="E17" s="65">
        <v>36</v>
      </c>
      <c r="F17" s="65" t="s">
        <v>286</v>
      </c>
      <c r="G17" s="65" t="str">
        <f t="shared" si="0"/>
        <v>DA_SpellbookPrefix_Forged</v>
      </c>
      <c r="H17" s="65" t="str">
        <f t="shared" si="1"/>
        <v>/Game/DungeonSiege/Items/Affixes/Prefix/SpellBook/DA_SpellbookPrefix_Forged</v>
      </c>
    </row>
    <row r="18" spans="1:8" ht="15.75" thickBot="1" x14ac:dyDescent="0.3">
      <c r="A18" s="65">
        <v>16</v>
      </c>
      <c r="B18" s="65"/>
      <c r="C18" s="65" t="s">
        <v>285</v>
      </c>
      <c r="D18" s="65" t="s">
        <v>284</v>
      </c>
      <c r="E18" s="65">
        <v>31</v>
      </c>
      <c r="F18" s="65" t="s">
        <v>283</v>
      </c>
      <c r="G18" s="65" t="str">
        <f t="shared" si="0"/>
        <v>DA_SpellbookPrefix_Stringent</v>
      </c>
      <c r="H18" s="65" t="str">
        <f t="shared" si="1"/>
        <v>/Game/DungeonSiege/Items/Affixes/Prefix/SpellBook/DA_SpellbookPrefix_Stringent</v>
      </c>
    </row>
    <row r="19" spans="1:8" ht="15.75" thickBot="1" x14ac:dyDescent="0.3">
      <c r="A19" s="65">
        <v>17</v>
      </c>
      <c r="B19" s="65"/>
      <c r="C19" s="65" t="s">
        <v>282</v>
      </c>
      <c r="D19" s="65" t="s">
        <v>281</v>
      </c>
      <c r="E19" s="65">
        <v>31</v>
      </c>
      <c r="F19" s="65" t="s">
        <v>280</v>
      </c>
      <c r="G19" s="65" t="str">
        <f t="shared" si="0"/>
        <v>DA_SpellbookPrefix_Supernatural</v>
      </c>
      <c r="H19" s="65" t="str">
        <f t="shared" si="1"/>
        <v>/Game/DungeonSiege/Items/Affixes/Prefix/SpellBook/DA_SpellbookPrefix_Supernatural</v>
      </c>
    </row>
    <row r="20" spans="1:8" ht="15.75" thickBot="1" x14ac:dyDescent="0.3">
      <c r="A20" s="65">
        <v>18</v>
      </c>
      <c r="B20" s="65"/>
      <c r="C20" s="65" t="s">
        <v>279</v>
      </c>
      <c r="D20" s="65" t="s">
        <v>278</v>
      </c>
      <c r="E20" s="65">
        <v>25</v>
      </c>
      <c r="F20" s="65" t="s">
        <v>277</v>
      </c>
      <c r="G20" s="65" t="str">
        <f t="shared" si="0"/>
        <v>DA_SpellbookPrefix_OakBound</v>
      </c>
      <c r="H20" s="65" t="str">
        <f t="shared" si="1"/>
        <v>/Game/DungeonSiege/Items/Affixes/Prefix/SpellBook/DA_SpellbookPrefix_OakBound</v>
      </c>
    </row>
    <row r="21" spans="1:8" ht="15.75" thickBot="1" x14ac:dyDescent="0.3">
      <c r="A21" s="65">
        <v>19</v>
      </c>
      <c r="B21" s="65"/>
      <c r="C21" s="65" t="s">
        <v>276</v>
      </c>
      <c r="D21" s="65" t="s">
        <v>275</v>
      </c>
      <c r="E21" s="65">
        <v>25</v>
      </c>
      <c r="F21" s="65" t="s">
        <v>274</v>
      </c>
      <c r="G21" s="65" t="str">
        <f t="shared" si="0"/>
        <v>DA_SpellbookPrefix_Icy</v>
      </c>
      <c r="H21" s="65" t="str">
        <f t="shared" si="1"/>
        <v>/Game/DungeonSiege/Items/Affixes/Prefix/SpellBook/DA_SpellbookPrefix_Icy</v>
      </c>
    </row>
    <row r="22" spans="1:8" ht="15.75" thickBot="1" x14ac:dyDescent="0.3">
      <c r="A22" s="65">
        <v>20</v>
      </c>
      <c r="B22" s="65"/>
      <c r="C22" s="65" t="s">
        <v>273</v>
      </c>
      <c r="D22" s="65" t="s">
        <v>272</v>
      </c>
      <c r="E22" s="65">
        <v>25</v>
      </c>
      <c r="F22" s="65" t="s">
        <v>271</v>
      </c>
      <c r="G22" s="65" t="str">
        <f t="shared" si="0"/>
        <v>DA_SpellbookPrefix_Burnt</v>
      </c>
      <c r="H22" s="65" t="str">
        <f t="shared" si="1"/>
        <v>/Game/DungeonSiege/Items/Affixes/Prefix/SpellBook/DA_SpellbookPrefix_Burnt</v>
      </c>
    </row>
    <row r="23" spans="1:8" ht="15.75" thickBot="1" x14ac:dyDescent="0.3">
      <c r="A23" s="65">
        <v>21</v>
      </c>
      <c r="B23" s="65"/>
      <c r="C23" s="65" t="s">
        <v>270</v>
      </c>
      <c r="D23" s="65" t="s">
        <v>269</v>
      </c>
      <c r="E23" s="65">
        <v>25</v>
      </c>
      <c r="F23" s="65" t="s">
        <v>268</v>
      </c>
      <c r="G23" s="65" t="str">
        <f t="shared" si="0"/>
        <v>DA_SpellbookPrefix_Sparking</v>
      </c>
      <c r="H23" s="65" t="str">
        <f t="shared" si="1"/>
        <v>/Game/DungeonSiege/Items/Affixes/Prefix/SpellBook/DA_SpellbookPrefix_Sparking</v>
      </c>
    </row>
    <row r="24" spans="1:8" ht="15.75" thickBot="1" x14ac:dyDescent="0.3">
      <c r="A24" s="65">
        <v>22</v>
      </c>
      <c r="B24" s="65"/>
      <c r="C24" s="65" t="s">
        <v>267</v>
      </c>
      <c r="D24" s="65" t="s">
        <v>266</v>
      </c>
      <c r="E24" s="65">
        <v>22</v>
      </c>
      <c r="F24" s="65" t="s">
        <v>265</v>
      </c>
      <c r="G24" s="65" t="str">
        <f t="shared" si="0"/>
        <v>DA_SpellbookPrefix_Shaped</v>
      </c>
      <c r="H24" s="65" t="str">
        <f t="shared" si="1"/>
        <v>/Game/DungeonSiege/Items/Affixes/Prefix/SpellBook/DA_SpellbookPrefix_Shaped</v>
      </c>
    </row>
    <row r="25" spans="1:8" ht="15.75" thickBot="1" x14ac:dyDescent="0.3">
      <c r="A25" s="65">
        <v>23</v>
      </c>
      <c r="B25" s="65"/>
      <c r="C25" s="65" t="s">
        <v>264</v>
      </c>
      <c r="D25" s="65" t="s">
        <v>263</v>
      </c>
      <c r="E25" s="65">
        <v>19</v>
      </c>
      <c r="F25" s="65" t="s">
        <v>262</v>
      </c>
      <c r="G25" s="65" t="str">
        <f t="shared" si="0"/>
        <v>DA_SpellbookPrefix_Rustic</v>
      </c>
      <c r="H25" s="65" t="str">
        <f t="shared" si="1"/>
        <v>/Game/DungeonSiege/Items/Affixes/Prefix/SpellBook/DA_SpellbookPrefix_Rustic</v>
      </c>
    </row>
    <row r="26" spans="1:8" ht="15.75" thickBot="1" x14ac:dyDescent="0.3">
      <c r="A26" s="65">
        <v>24</v>
      </c>
      <c r="B26" s="65"/>
      <c r="C26" s="65" t="s">
        <v>261</v>
      </c>
      <c r="D26" s="65" t="s">
        <v>260</v>
      </c>
      <c r="E26" s="65">
        <v>16</v>
      </c>
      <c r="F26" s="65" t="s">
        <v>259</v>
      </c>
      <c r="G26" s="65" t="str">
        <f t="shared" si="0"/>
        <v>DA_SpellbookPrefix_Harsh</v>
      </c>
      <c r="H26" s="65" t="str">
        <f t="shared" si="1"/>
        <v>/Game/DungeonSiege/Items/Affixes/Prefix/SpellBook/DA_SpellbookPrefix_Harsh</v>
      </c>
    </row>
    <row r="27" spans="1:8" ht="15.75" thickBot="1" x14ac:dyDescent="0.3">
      <c r="A27" s="65">
        <v>25</v>
      </c>
      <c r="B27" s="65"/>
      <c r="C27" s="65" t="s">
        <v>258</v>
      </c>
      <c r="D27" s="65" t="s">
        <v>257</v>
      </c>
      <c r="E27" s="65">
        <v>16</v>
      </c>
      <c r="F27" s="65" t="s">
        <v>256</v>
      </c>
      <c r="G27" s="65" t="str">
        <f t="shared" si="0"/>
        <v>DA_SpellbookPrefix_Mystical</v>
      </c>
      <c r="H27" s="65" t="str">
        <f t="shared" si="1"/>
        <v>/Game/DungeonSiege/Items/Affixes/Prefix/SpellBook/DA_SpellbookPrefix_Mystical</v>
      </c>
    </row>
    <row r="28" spans="1:8" ht="15.75" thickBot="1" x14ac:dyDescent="0.3">
      <c r="A28" s="65">
        <v>26</v>
      </c>
      <c r="B28" s="65"/>
      <c r="C28" s="65" t="s">
        <v>255</v>
      </c>
      <c r="D28" s="65" t="s">
        <v>254</v>
      </c>
      <c r="E28" s="65">
        <v>15</v>
      </c>
      <c r="F28" s="65" t="s">
        <v>253</v>
      </c>
      <c r="G28" s="65" t="str">
        <f t="shared" si="0"/>
        <v>DA_SpellbookPrefix_Arctic</v>
      </c>
      <c r="H28" s="65" t="str">
        <f t="shared" si="1"/>
        <v>/Game/DungeonSiege/Items/Affixes/Prefix/SpellBook/DA_SpellbookPrefix_Arctic</v>
      </c>
    </row>
    <row r="29" spans="1:8" ht="15.75" thickBot="1" x14ac:dyDescent="0.3">
      <c r="A29" s="65">
        <v>27</v>
      </c>
      <c r="B29" s="65"/>
      <c r="C29" s="65" t="s">
        <v>252</v>
      </c>
      <c r="D29" s="65" t="s">
        <v>251</v>
      </c>
      <c r="E29" s="65">
        <v>15</v>
      </c>
      <c r="F29" s="65" t="s">
        <v>250</v>
      </c>
      <c r="G29" s="65" t="str">
        <f t="shared" si="0"/>
        <v>DA_SpellbookPrefix_Combusting</v>
      </c>
      <c r="H29" s="65" t="str">
        <f t="shared" si="1"/>
        <v>/Game/DungeonSiege/Items/Affixes/Prefix/SpellBook/DA_SpellbookPrefix_Combusting</v>
      </c>
    </row>
    <row r="30" spans="1:8" ht="15.75" thickBot="1" x14ac:dyDescent="0.3">
      <c r="A30" s="65">
        <v>28</v>
      </c>
      <c r="B30" s="65"/>
      <c r="C30" s="65" t="s">
        <v>249</v>
      </c>
      <c r="D30" s="65" t="s">
        <v>248</v>
      </c>
      <c r="E30" s="65">
        <v>15</v>
      </c>
      <c r="F30" s="65" t="s">
        <v>247</v>
      </c>
      <c r="G30" s="65" t="str">
        <f t="shared" si="0"/>
        <v>DA_SpellbookPrefix_Zapping</v>
      </c>
      <c r="H30" s="65" t="str">
        <f t="shared" si="1"/>
        <v>/Game/DungeonSiege/Items/Affixes/Prefix/SpellBook/DA_SpellbookPrefix_Zapping</v>
      </c>
    </row>
    <row r="31" spans="1:8" ht="15.75" thickBot="1" x14ac:dyDescent="0.3">
      <c r="A31" s="65">
        <v>29</v>
      </c>
      <c r="B31" s="65"/>
      <c r="C31" s="65" t="s">
        <v>246</v>
      </c>
      <c r="D31" s="65" t="s">
        <v>245</v>
      </c>
      <c r="E31" s="65">
        <v>13</v>
      </c>
      <c r="F31" s="65" t="s">
        <v>244</v>
      </c>
      <c r="G31" s="65" t="str">
        <f t="shared" si="0"/>
        <v>DA_SpellbookPrefix_Reliant</v>
      </c>
      <c r="H31" s="65" t="str">
        <f t="shared" si="1"/>
        <v>/Game/DungeonSiege/Items/Affixes/Prefix/SpellBook/DA_SpellbookPrefix_Reliant</v>
      </c>
    </row>
    <row r="32" spans="1:8" ht="15.75" thickBot="1" x14ac:dyDescent="0.3">
      <c r="A32" s="65">
        <v>30</v>
      </c>
      <c r="B32" s="65"/>
      <c r="C32" s="65" t="s">
        <v>243</v>
      </c>
      <c r="D32" s="65" t="s">
        <v>242</v>
      </c>
      <c r="E32" s="65">
        <v>13</v>
      </c>
      <c r="F32" s="65" t="s">
        <v>241</v>
      </c>
      <c r="G32" s="65" t="str">
        <f t="shared" si="0"/>
        <v>DA_SpellbookPrefix_LeatherBound</v>
      </c>
      <c r="H32" s="65" t="str">
        <f t="shared" si="1"/>
        <v>/Game/DungeonSiege/Items/Affixes/Prefix/SpellBook/DA_SpellbookPrefix_LeatherBound</v>
      </c>
    </row>
    <row r="33" spans="1:8" ht="15.75" thickBot="1" x14ac:dyDescent="0.3">
      <c r="A33" s="65">
        <v>31</v>
      </c>
      <c r="B33" s="65"/>
      <c r="C33" s="65" t="s">
        <v>240</v>
      </c>
      <c r="D33" s="65" t="s">
        <v>239</v>
      </c>
      <c r="E33" s="65">
        <v>12</v>
      </c>
      <c r="F33" s="65" t="s">
        <v>238</v>
      </c>
      <c r="G33" s="65" t="str">
        <f t="shared" si="0"/>
        <v>DA_SpellbookPrefix_Pastoral</v>
      </c>
      <c r="H33" s="65" t="str">
        <f t="shared" si="1"/>
        <v>/Game/DungeonSiege/Items/Affixes/Prefix/SpellBook/DA_SpellbookPrefix_Pastoral</v>
      </c>
    </row>
    <row r="34" spans="1:8" ht="15.75" thickBot="1" x14ac:dyDescent="0.3">
      <c r="A34" s="65">
        <v>32</v>
      </c>
      <c r="B34" s="65"/>
      <c r="C34" s="65" t="s">
        <v>237</v>
      </c>
      <c r="D34" s="65" t="s">
        <v>236</v>
      </c>
      <c r="E34" s="65">
        <v>11</v>
      </c>
      <c r="F34" s="65" t="s">
        <v>235</v>
      </c>
      <c r="G34" s="65" t="str">
        <f t="shared" si="0"/>
        <v>DA_SpellbookPrefix_Molded</v>
      </c>
      <c r="H34" s="65" t="str">
        <f t="shared" si="1"/>
        <v>/Game/DungeonSiege/Items/Affixes/Prefix/SpellBook/DA_SpellbookPrefix_Molded</v>
      </c>
    </row>
    <row r="35" spans="1:8" ht="15.75" thickBot="1" x14ac:dyDescent="0.3">
      <c r="A35" s="65">
        <v>33</v>
      </c>
      <c r="B35" s="65"/>
      <c r="C35" s="65" t="s">
        <v>234</v>
      </c>
      <c r="D35" s="65" t="s">
        <v>233</v>
      </c>
      <c r="E35" s="65">
        <v>9</v>
      </c>
      <c r="F35" s="65" t="s">
        <v>232</v>
      </c>
      <c r="G35" s="65" t="str">
        <f t="shared" si="0"/>
        <v>DA_SpellbookPrefix_Ethereal</v>
      </c>
      <c r="H35" s="65" t="str">
        <f t="shared" si="1"/>
        <v>/Game/DungeonSiege/Items/Affixes/Prefix/SpellBook/DA_SpellbookPrefix_Ethereal</v>
      </c>
    </row>
    <row r="36" spans="1:8" ht="15.75" thickBot="1" x14ac:dyDescent="0.3">
      <c r="A36" s="65">
        <v>34</v>
      </c>
      <c r="B36" s="65"/>
      <c r="C36" s="65" t="s">
        <v>231</v>
      </c>
      <c r="D36" s="65" t="s">
        <v>230</v>
      </c>
      <c r="E36" s="65">
        <v>6</v>
      </c>
      <c r="F36" s="65" t="s">
        <v>229</v>
      </c>
      <c r="G36" s="65" t="str">
        <f t="shared" si="0"/>
        <v>DA_SpellbookPrefix_Stern</v>
      </c>
      <c r="H36" s="65" t="str">
        <f t="shared" si="1"/>
        <v>/Game/DungeonSiege/Items/Affixes/Prefix/SpellBook/DA_SpellbookPrefix_Stern</v>
      </c>
    </row>
    <row r="37" spans="1:8" ht="15.75" thickBot="1" x14ac:dyDescent="0.3">
      <c r="A37" s="65">
        <v>35</v>
      </c>
      <c r="B37" s="65"/>
      <c r="C37" s="65" t="s">
        <v>228</v>
      </c>
      <c r="D37" s="65" t="s">
        <v>227</v>
      </c>
      <c r="E37" s="65">
        <v>6</v>
      </c>
      <c r="F37" s="65" t="s">
        <v>226</v>
      </c>
      <c r="G37" s="65" t="str">
        <f t="shared" si="0"/>
        <v>DA_SpellbookPrefix_HideBound</v>
      </c>
      <c r="H37" s="65" t="str">
        <f t="shared" si="1"/>
        <v>/Game/DungeonSiege/Items/Affixes/Prefix/SpellBook/DA_SpellbookPrefix_HideBound</v>
      </c>
    </row>
    <row r="38" spans="1:8" ht="15.75" thickBot="1" x14ac:dyDescent="0.3">
      <c r="A38" s="65">
        <v>36</v>
      </c>
      <c r="B38" s="65"/>
      <c r="C38" s="65" t="s">
        <v>225</v>
      </c>
      <c r="D38" s="65" t="s">
        <v>224</v>
      </c>
      <c r="E38" s="65">
        <v>6</v>
      </c>
      <c r="F38" s="65" t="s">
        <v>223</v>
      </c>
      <c r="G38" s="65" t="str">
        <f t="shared" si="0"/>
        <v>DA_SpellbookPrefix_Therapeutic</v>
      </c>
      <c r="H38" s="65" t="str">
        <f t="shared" si="1"/>
        <v>/Game/DungeonSiege/Items/Affixes/Prefix/SpellBook/DA_SpellbookPrefix_Therapeutic</v>
      </c>
    </row>
    <row r="39" spans="1:8" ht="15.75" thickBot="1" x14ac:dyDescent="0.3">
      <c r="A39" s="65">
        <v>37</v>
      </c>
      <c r="B39" s="65"/>
      <c r="C39" s="65" t="s">
        <v>222</v>
      </c>
      <c r="D39" s="65" t="s">
        <v>221</v>
      </c>
      <c r="E39" s="65">
        <v>5</v>
      </c>
      <c r="F39" s="65" t="s">
        <v>220</v>
      </c>
      <c r="G39" s="65" t="str">
        <f t="shared" si="0"/>
        <v>DA_SpellbookPrefix_Cold</v>
      </c>
      <c r="H39" s="65" t="str">
        <f t="shared" si="1"/>
        <v>/Game/DungeonSiege/Items/Affixes/Prefix/SpellBook/DA_SpellbookPrefix_Cold</v>
      </c>
    </row>
    <row r="40" spans="1:8" ht="15.75" thickBot="1" x14ac:dyDescent="0.3">
      <c r="A40" s="65">
        <v>38</v>
      </c>
      <c r="B40" s="65"/>
      <c r="C40" s="65" t="s">
        <v>10</v>
      </c>
      <c r="D40" s="65" t="s">
        <v>219</v>
      </c>
      <c r="E40" s="65">
        <v>5</v>
      </c>
      <c r="F40" s="65" t="s">
        <v>218</v>
      </c>
      <c r="G40" s="65" t="str">
        <f t="shared" si="0"/>
        <v>DA_SpellbookPrefix_Fiery</v>
      </c>
      <c r="H40" s="65" t="str">
        <f t="shared" si="1"/>
        <v>/Game/DungeonSiege/Items/Affixes/Prefix/SpellBook/DA_SpellbookPrefix_Fiery</v>
      </c>
    </row>
    <row r="41" spans="1:8" ht="15.75" thickBot="1" x14ac:dyDescent="0.3">
      <c r="A41" s="65">
        <v>39</v>
      </c>
      <c r="B41" s="65"/>
      <c r="C41" s="65" t="s">
        <v>217</v>
      </c>
      <c r="D41" s="65" t="s">
        <v>216</v>
      </c>
      <c r="E41" s="65">
        <v>5</v>
      </c>
      <c r="F41" s="65" t="s">
        <v>215</v>
      </c>
      <c r="G41" s="65" t="str">
        <f t="shared" si="0"/>
        <v>DA_SpellbookPrefix_Shimmering</v>
      </c>
      <c r="H41" s="65" t="str">
        <f t="shared" si="1"/>
        <v>/Game/DungeonSiege/Items/Affixes/Prefix/SpellBook/DA_SpellbookPrefix_Shimmering</v>
      </c>
    </row>
    <row r="42" spans="1:8" ht="15.75" thickBot="1" x14ac:dyDescent="0.3">
      <c r="A42" s="65">
        <v>40</v>
      </c>
      <c r="B42" s="65"/>
      <c r="C42" s="65" t="s">
        <v>214</v>
      </c>
      <c r="D42" s="65" t="s">
        <v>213</v>
      </c>
      <c r="E42" s="65">
        <v>4</v>
      </c>
      <c r="F42" s="65" t="s">
        <v>212</v>
      </c>
      <c r="G42" s="65" t="str">
        <f t="shared" si="0"/>
        <v>DA_SpellbookPrefix_Persevering</v>
      </c>
      <c r="H42" s="65" t="str">
        <f t="shared" si="1"/>
        <v>/Game/DungeonSiege/Items/Affixes/Prefix/SpellBook/DA_SpellbookPrefix_Persevering</v>
      </c>
    </row>
    <row r="43" spans="1:8" ht="15.75" thickBot="1" x14ac:dyDescent="0.3">
      <c r="A43" s="65">
        <v>41</v>
      </c>
      <c r="B43" s="65"/>
      <c r="C43" s="65" t="s">
        <v>211</v>
      </c>
      <c r="D43" s="65" t="s">
        <v>210</v>
      </c>
      <c r="E43" s="65">
        <v>4</v>
      </c>
      <c r="F43" s="65" t="s">
        <v>209</v>
      </c>
      <c r="G43" s="65" t="str">
        <f t="shared" si="0"/>
        <v>DA_SpellbookPrefix_Incorporeal</v>
      </c>
      <c r="H43" s="65" t="str">
        <f t="shared" si="1"/>
        <v>/Game/DungeonSiege/Items/Affixes/Prefix/SpellBook/DA_SpellbookPrefix_Incorporeal</v>
      </c>
    </row>
    <row r="44" spans="1:8" ht="15.75" thickBot="1" x14ac:dyDescent="0.3">
      <c r="A44" s="65">
        <v>42</v>
      </c>
      <c r="B44" s="65"/>
      <c r="C44" s="65" t="s">
        <v>208</v>
      </c>
      <c r="D44" s="65" t="s">
        <v>207</v>
      </c>
      <c r="E44" s="65">
        <v>4</v>
      </c>
      <c r="F44" s="65" t="s">
        <v>206</v>
      </c>
      <c r="G44" s="65" t="str">
        <f t="shared" si="0"/>
        <v>DA_SpellbookPrefix_Campestral</v>
      </c>
      <c r="H44" s="65" t="str">
        <f t="shared" si="1"/>
        <v>/Game/DungeonSiege/Items/Affixes/Prefix/SpellBook/DA_SpellbookPrefix_Campestral</v>
      </c>
    </row>
    <row r="45" spans="1:8" ht="15.75" thickBot="1" x14ac:dyDescent="0.3">
      <c r="A45" s="65">
        <v>43</v>
      </c>
      <c r="B45" s="65"/>
      <c r="C45" s="65" t="s">
        <v>205</v>
      </c>
      <c r="D45" s="65" t="s">
        <v>204</v>
      </c>
      <c r="E45" s="65">
        <v>4</v>
      </c>
      <c r="F45" s="65" t="s">
        <v>203</v>
      </c>
      <c r="G45" s="65" t="str">
        <f t="shared" si="0"/>
        <v>DA_SpellbookPrefix_Fabricated</v>
      </c>
      <c r="H45" s="65" t="str">
        <f t="shared" si="1"/>
        <v>/Game/DungeonSiege/Items/Affixes/Prefix/SpellBook/DA_SpellbookPrefix_Fabricated</v>
      </c>
    </row>
    <row r="46" spans="1:8" ht="15.75" thickBot="1" x14ac:dyDescent="0.3">
      <c r="A46" s="65">
        <v>44</v>
      </c>
      <c r="B46" s="65"/>
      <c r="C46" s="65" t="s">
        <v>202</v>
      </c>
      <c r="D46" s="65" t="s">
        <v>201</v>
      </c>
      <c r="E46" s="65">
        <v>2</v>
      </c>
      <c r="F46" s="65" t="s">
        <v>200</v>
      </c>
      <c r="G46" s="65" t="str">
        <f t="shared" si="0"/>
        <v>DA_SpellbookPrefix_Profound</v>
      </c>
      <c r="H46" s="65" t="str">
        <f t="shared" si="1"/>
        <v>/Game/DungeonSiege/Items/Affixes/Prefix/SpellBook/DA_SpellbookPrefix_Profound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ExportSplBkPrefixes">
                <anchor moveWithCells="1" sizeWithCells="1">
                  <from>
                    <xdr:col>0</xdr:col>
                    <xdr:colOff>28575</xdr:colOff>
                    <xdr:row>0</xdr:row>
                    <xdr:rowOff>47625</xdr:rowOff>
                  </from>
                  <to>
                    <xdr:col>0</xdr:col>
                    <xdr:colOff>885825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58C71-5699-4ABE-8CB9-0C0A77C9024B}">
  <sheetPr codeName="Sheet6"/>
  <dimension ref="A1:G57"/>
  <sheetViews>
    <sheetView workbookViewId="0"/>
  </sheetViews>
  <sheetFormatPr defaultRowHeight="15" x14ac:dyDescent="0.25"/>
  <cols>
    <col min="1" max="1" width="15.5703125" style="1" customWidth="1"/>
    <col min="2" max="2" width="19" bestFit="1" customWidth="1"/>
    <col min="3" max="3" width="58.140625" bestFit="1" customWidth="1"/>
    <col min="4" max="4" width="11.85546875" bestFit="1" customWidth="1"/>
    <col min="5" max="5" width="19.7109375" bestFit="1" customWidth="1"/>
    <col min="6" max="6" width="33" bestFit="1" customWidth="1"/>
    <col min="7" max="7" width="84.140625" bestFit="1" customWidth="1"/>
  </cols>
  <sheetData>
    <row r="1" spans="1:7" ht="26.25" customHeight="1" x14ac:dyDescent="0.25">
      <c r="B1" s="30" t="s">
        <v>0</v>
      </c>
      <c r="C1" s="30" t="s">
        <v>199</v>
      </c>
      <c r="D1" s="30" t="s">
        <v>198</v>
      </c>
      <c r="E1" s="30" t="s">
        <v>197</v>
      </c>
      <c r="F1" s="30" t="s">
        <v>335</v>
      </c>
      <c r="G1" s="30" t="s">
        <v>334</v>
      </c>
    </row>
    <row r="2" spans="1:7" x14ac:dyDescent="0.25">
      <c r="A2" s="1">
        <v>0</v>
      </c>
      <c r="B2" s="20" t="s">
        <v>196</v>
      </c>
      <c r="C2" s="21" t="s">
        <v>195</v>
      </c>
      <c r="D2" s="21">
        <v>70</v>
      </c>
      <c r="E2" s="21" t="s">
        <v>194</v>
      </c>
      <c r="F2" s="21" t="str">
        <f>_xlfn.CONCAT("DA_splbkSuffix_", SUBSTITUTE(B2," ",""))</f>
        <v>DA_splbkSuffix_ofInvigoration</v>
      </c>
      <c r="G2" s="21" t="str">
        <f>_xlfn.CONCAT("/Game/DungeonSiege/Items/Affixes/Suffix/SpellBook/",F2)</f>
        <v>/Game/DungeonSiege/Items/Affixes/Suffix/SpellBook/DA_splbkSuffix_ofInvigoration</v>
      </c>
    </row>
    <row r="3" spans="1:7" x14ac:dyDescent="0.25">
      <c r="A3" s="1">
        <v>1</v>
      </c>
      <c r="B3" s="20" t="s">
        <v>193</v>
      </c>
      <c r="C3" s="21" t="s">
        <v>192</v>
      </c>
      <c r="D3" s="21">
        <v>60</v>
      </c>
      <c r="E3" s="21" t="s">
        <v>191</v>
      </c>
      <c r="F3" s="21" t="str">
        <f t="shared" ref="F3:F57" si="0">_xlfn.CONCAT("DA_splbkSuffix_", SUBSTITUTE(B3," ",""))</f>
        <v>DA_splbkSuffix_oftheGlacier</v>
      </c>
      <c r="G3" s="21" t="str">
        <f t="shared" ref="G3:G57" si="1">_xlfn.CONCAT("/Game/DungeonSiege/Items/Affixes/Suffix/SpellBook/",F3)</f>
        <v>/Game/DungeonSiege/Items/Affixes/Suffix/SpellBook/DA_splbkSuffix_oftheGlacier</v>
      </c>
    </row>
    <row r="4" spans="1:7" x14ac:dyDescent="0.25">
      <c r="A4" s="1">
        <v>2</v>
      </c>
      <c r="B4" s="20" t="s">
        <v>190</v>
      </c>
      <c r="C4" s="21" t="s">
        <v>189</v>
      </c>
      <c r="D4" s="21">
        <v>60</v>
      </c>
      <c r="E4" s="21" t="s">
        <v>188</v>
      </c>
      <c r="F4" s="21" t="str">
        <f t="shared" si="0"/>
        <v>DA_splbkSuffix_oftheInferno</v>
      </c>
      <c r="G4" s="21" t="str">
        <f t="shared" si="1"/>
        <v>/Game/DungeonSiege/Items/Affixes/Suffix/SpellBook/DA_splbkSuffix_oftheInferno</v>
      </c>
    </row>
    <row r="5" spans="1:7" x14ac:dyDescent="0.25">
      <c r="A5" s="1">
        <v>3</v>
      </c>
      <c r="B5" s="20" t="s">
        <v>187</v>
      </c>
      <c r="C5" s="21" t="s">
        <v>186</v>
      </c>
      <c r="D5" s="21">
        <v>60</v>
      </c>
      <c r="E5" s="21" t="s">
        <v>185</v>
      </c>
      <c r="F5" s="21" t="str">
        <f t="shared" si="0"/>
        <v>DA_splbkSuffix_oftheThunderbolt</v>
      </c>
      <c r="G5" s="21" t="str">
        <f t="shared" si="1"/>
        <v>/Game/DungeonSiege/Items/Affixes/Suffix/SpellBook/DA_splbkSuffix_oftheThunderbolt</v>
      </c>
    </row>
    <row r="6" spans="1:7" x14ac:dyDescent="0.25">
      <c r="A6" s="1">
        <v>4</v>
      </c>
      <c r="B6" s="20" t="s">
        <v>184</v>
      </c>
      <c r="C6" s="21" t="s">
        <v>183</v>
      </c>
      <c r="D6" s="21">
        <v>60</v>
      </c>
      <c r="E6" s="21" t="s">
        <v>182</v>
      </c>
      <c r="F6" s="21" t="str">
        <f t="shared" si="0"/>
        <v>DA_splbkSuffix_ofSummoning</v>
      </c>
      <c r="G6" s="21" t="str">
        <f t="shared" si="1"/>
        <v>/Game/DungeonSiege/Items/Affixes/Suffix/SpellBook/DA_splbkSuffix_ofSummoning</v>
      </c>
    </row>
    <row r="7" spans="1:7" x14ac:dyDescent="0.25">
      <c r="A7" s="1">
        <v>5</v>
      </c>
      <c r="B7" s="20" t="s">
        <v>181</v>
      </c>
      <c r="C7" s="21" t="s">
        <v>180</v>
      </c>
      <c r="D7" s="21">
        <v>60</v>
      </c>
      <c r="E7" s="21" t="s">
        <v>179</v>
      </c>
      <c r="F7" s="21" t="str">
        <f t="shared" si="0"/>
        <v>DA_splbkSuffix_ofGrace</v>
      </c>
      <c r="G7" s="21" t="str">
        <f t="shared" si="1"/>
        <v>/Game/DungeonSiege/Items/Affixes/Suffix/SpellBook/DA_splbkSuffix_ofGrace</v>
      </c>
    </row>
    <row r="8" spans="1:7" x14ac:dyDescent="0.25">
      <c r="A8" s="1">
        <v>6</v>
      </c>
      <c r="B8" s="20" t="s">
        <v>178</v>
      </c>
      <c r="C8" s="21" t="s">
        <v>177</v>
      </c>
      <c r="D8" s="21">
        <v>55</v>
      </c>
      <c r="E8" s="21" t="s">
        <v>176</v>
      </c>
      <c r="F8" s="21" t="str">
        <f t="shared" si="0"/>
        <v>DA_splbkSuffix_ofJudgment</v>
      </c>
      <c r="G8" s="21" t="str">
        <f t="shared" si="1"/>
        <v>/Game/DungeonSiege/Items/Affixes/Suffix/SpellBook/DA_splbkSuffix_ofJudgment</v>
      </c>
    </row>
    <row r="9" spans="1:7" x14ac:dyDescent="0.25">
      <c r="A9" s="1">
        <v>7</v>
      </c>
      <c r="B9" s="20" t="s">
        <v>175</v>
      </c>
      <c r="C9" s="21" t="s">
        <v>174</v>
      </c>
      <c r="D9" s="21">
        <v>54</v>
      </c>
      <c r="E9" s="21" t="s">
        <v>173</v>
      </c>
      <c r="F9" s="21" t="str">
        <f t="shared" si="0"/>
        <v>DA_splbkSuffix_oftheDexterous</v>
      </c>
      <c r="G9" s="21" t="str">
        <f t="shared" si="1"/>
        <v>/Game/DungeonSiege/Items/Affixes/Suffix/SpellBook/DA_splbkSuffix_oftheDexterous</v>
      </c>
    </row>
    <row r="10" spans="1:7" x14ac:dyDescent="0.25">
      <c r="A10" s="1">
        <v>8</v>
      </c>
      <c r="B10" s="20" t="s">
        <v>172</v>
      </c>
      <c r="C10" s="21" t="s">
        <v>171</v>
      </c>
      <c r="D10" s="21">
        <v>54</v>
      </c>
      <c r="E10" s="21" t="s">
        <v>170</v>
      </c>
      <c r="F10" s="21" t="str">
        <f t="shared" si="0"/>
        <v>DA_splbkSuffix_ofReclamation</v>
      </c>
      <c r="G10" s="21" t="str">
        <f t="shared" si="1"/>
        <v>/Game/DungeonSiege/Items/Affixes/Suffix/SpellBook/DA_splbkSuffix_ofReclamation</v>
      </c>
    </row>
    <row r="11" spans="1:7" x14ac:dyDescent="0.25">
      <c r="A11" s="1">
        <v>9</v>
      </c>
      <c r="B11" s="20" t="s">
        <v>169</v>
      </c>
      <c r="C11" s="21" t="s">
        <v>168</v>
      </c>
      <c r="D11" s="21">
        <v>50</v>
      </c>
      <c r="E11" s="21" t="s">
        <v>167</v>
      </c>
      <c r="F11" s="21" t="str">
        <f t="shared" si="0"/>
        <v>DA_splbkSuffix_oftheLeopard</v>
      </c>
      <c r="G11" s="21" t="str">
        <f t="shared" si="1"/>
        <v>/Game/DungeonSiege/Items/Affixes/Suffix/SpellBook/DA_splbkSuffix_oftheLeopard</v>
      </c>
    </row>
    <row r="12" spans="1:7" x14ac:dyDescent="0.25">
      <c r="A12" s="1">
        <v>10</v>
      </c>
      <c r="B12" s="20" t="s">
        <v>166</v>
      </c>
      <c r="C12" s="21" t="s">
        <v>165</v>
      </c>
      <c r="D12" s="21">
        <v>45</v>
      </c>
      <c r="E12" s="21" t="s">
        <v>164</v>
      </c>
      <c r="F12" s="21" t="str">
        <f t="shared" si="0"/>
        <v>DA_splbkSuffix_ofReinvention</v>
      </c>
      <c r="G12" s="21" t="str">
        <f t="shared" si="1"/>
        <v>/Game/DungeonSiege/Items/Affixes/Suffix/SpellBook/DA_splbkSuffix_ofReinvention</v>
      </c>
    </row>
    <row r="13" spans="1:7" x14ac:dyDescent="0.25">
      <c r="A13" s="1">
        <v>11</v>
      </c>
      <c r="B13" s="20" t="s">
        <v>163</v>
      </c>
      <c r="C13" s="21" t="s">
        <v>162</v>
      </c>
      <c r="D13" s="21">
        <v>40</v>
      </c>
      <c r="E13" s="21" t="s">
        <v>161</v>
      </c>
      <c r="F13" s="21" t="str">
        <f t="shared" si="0"/>
        <v>DA_splbkSuffix_oftheFrozen</v>
      </c>
      <c r="G13" s="21" t="str">
        <f t="shared" si="1"/>
        <v>/Game/DungeonSiege/Items/Affixes/Suffix/SpellBook/DA_splbkSuffix_oftheFrozen</v>
      </c>
    </row>
    <row r="14" spans="1:7" x14ac:dyDescent="0.25">
      <c r="A14" s="1">
        <v>12</v>
      </c>
      <c r="B14" s="20" t="s">
        <v>160</v>
      </c>
      <c r="C14" s="21" t="s">
        <v>159</v>
      </c>
      <c r="D14" s="21">
        <v>40</v>
      </c>
      <c r="E14" s="21" t="s">
        <v>158</v>
      </c>
      <c r="F14" s="21" t="str">
        <f t="shared" si="0"/>
        <v>DA_splbkSuffix_oftheConflagration</v>
      </c>
      <c r="G14" s="21" t="str">
        <f t="shared" si="1"/>
        <v>/Game/DungeonSiege/Items/Affixes/Suffix/SpellBook/DA_splbkSuffix_oftheConflagration</v>
      </c>
    </row>
    <row r="15" spans="1:7" x14ac:dyDescent="0.25">
      <c r="A15" s="1">
        <v>13</v>
      </c>
      <c r="B15" s="20" t="s">
        <v>157</v>
      </c>
      <c r="C15" s="21" t="s">
        <v>156</v>
      </c>
      <c r="D15" s="21">
        <v>40</v>
      </c>
      <c r="E15" s="21" t="s">
        <v>155</v>
      </c>
      <c r="F15" s="21" t="str">
        <f t="shared" si="0"/>
        <v>DA_splbkSuffix_ofElectricity</v>
      </c>
      <c r="G15" s="21" t="str">
        <f t="shared" si="1"/>
        <v>/Game/DungeonSiege/Items/Affixes/Suffix/SpellBook/DA_splbkSuffix_ofElectricity</v>
      </c>
    </row>
    <row r="16" spans="1:7" x14ac:dyDescent="0.25">
      <c r="A16" s="1">
        <v>14</v>
      </c>
      <c r="B16" s="20" t="s">
        <v>154</v>
      </c>
      <c r="C16" s="21" t="s">
        <v>153</v>
      </c>
      <c r="D16" s="21">
        <v>40</v>
      </c>
      <c r="E16" s="21" t="s">
        <v>152</v>
      </c>
      <c r="F16" s="21" t="str">
        <f t="shared" si="0"/>
        <v>DA_splbkSuffix_ofConvoking</v>
      </c>
      <c r="G16" s="21" t="str">
        <f t="shared" si="1"/>
        <v>/Game/DungeonSiege/Items/Affixes/Suffix/SpellBook/DA_splbkSuffix_ofConvoking</v>
      </c>
    </row>
    <row r="17" spans="1:7" x14ac:dyDescent="0.25">
      <c r="A17" s="1">
        <v>15</v>
      </c>
      <c r="B17" s="20" t="s">
        <v>151</v>
      </c>
      <c r="C17" s="21" t="s">
        <v>150</v>
      </c>
      <c r="D17" s="21">
        <v>40</v>
      </c>
      <c r="E17" s="21" t="s">
        <v>149</v>
      </c>
      <c r="F17" s="21" t="str">
        <f t="shared" si="0"/>
        <v>DA_splbkSuffix_ofCompassion</v>
      </c>
      <c r="G17" s="21" t="str">
        <f t="shared" si="1"/>
        <v>/Game/DungeonSiege/Items/Affixes/Suffix/SpellBook/DA_splbkSuffix_ofCompassion</v>
      </c>
    </row>
    <row r="18" spans="1:7" x14ac:dyDescent="0.25">
      <c r="A18" s="1">
        <v>16</v>
      </c>
      <c r="B18" s="20" t="s">
        <v>148</v>
      </c>
      <c r="C18" s="21" t="s">
        <v>147</v>
      </c>
      <c r="D18" s="21">
        <v>39</v>
      </c>
      <c r="E18" s="21" t="s">
        <v>146</v>
      </c>
      <c r="F18" s="21" t="str">
        <f t="shared" si="0"/>
        <v>DA_splbkSuffix_ofIntellect</v>
      </c>
      <c r="G18" s="21" t="str">
        <f t="shared" si="1"/>
        <v>/Game/DungeonSiege/Items/Affixes/Suffix/SpellBook/DA_splbkSuffix_ofIntellect</v>
      </c>
    </row>
    <row r="19" spans="1:7" x14ac:dyDescent="0.25">
      <c r="A19" s="1">
        <v>17</v>
      </c>
      <c r="B19" s="20" t="s">
        <v>145</v>
      </c>
      <c r="C19" s="21" t="s">
        <v>144</v>
      </c>
      <c r="D19" s="21">
        <v>38</v>
      </c>
      <c r="E19" s="21" t="s">
        <v>143</v>
      </c>
      <c r="F19" s="21" t="str">
        <f t="shared" si="0"/>
        <v>DA_splbkSuffix_oftheDeft</v>
      </c>
      <c r="G19" s="21" t="str">
        <f t="shared" si="1"/>
        <v>/Game/DungeonSiege/Items/Affixes/Suffix/SpellBook/DA_splbkSuffix_oftheDeft</v>
      </c>
    </row>
    <row r="20" spans="1:7" x14ac:dyDescent="0.25">
      <c r="A20" s="1">
        <v>18</v>
      </c>
      <c r="B20" s="20" t="s">
        <v>142</v>
      </c>
      <c r="C20" s="21" t="s">
        <v>141</v>
      </c>
      <c r="D20" s="21">
        <v>36</v>
      </c>
      <c r="E20" s="21" t="s">
        <v>140</v>
      </c>
      <c r="F20" s="21" t="str">
        <f t="shared" si="0"/>
        <v>DA_splbkSuffix_oftheRam</v>
      </c>
      <c r="G20" s="21" t="str">
        <f t="shared" si="1"/>
        <v>/Game/DungeonSiege/Items/Affixes/Suffix/SpellBook/DA_splbkSuffix_oftheRam</v>
      </c>
    </row>
    <row r="21" spans="1:7" x14ac:dyDescent="0.25">
      <c r="A21" s="1">
        <v>19</v>
      </c>
      <c r="B21" s="20" t="s">
        <v>139</v>
      </c>
      <c r="C21" s="21" t="s">
        <v>138</v>
      </c>
      <c r="D21" s="21">
        <v>36</v>
      </c>
      <c r="E21" s="21" t="s">
        <v>137</v>
      </c>
      <c r="F21" s="21" t="str">
        <f t="shared" si="0"/>
        <v>DA_splbkSuffix_ofRestoration</v>
      </c>
      <c r="G21" s="21" t="str">
        <f t="shared" si="1"/>
        <v>/Game/DungeonSiege/Items/Affixes/Suffix/SpellBook/DA_splbkSuffix_ofRestoration</v>
      </c>
    </row>
    <row r="22" spans="1:7" x14ac:dyDescent="0.25">
      <c r="A22" s="1">
        <v>20</v>
      </c>
      <c r="B22" s="20" t="s">
        <v>136</v>
      </c>
      <c r="C22" s="21" t="s">
        <v>135</v>
      </c>
      <c r="D22" s="21">
        <v>25</v>
      </c>
      <c r="E22" s="21" t="s">
        <v>134</v>
      </c>
      <c r="F22" s="21" t="str">
        <f t="shared" si="0"/>
        <v>DA_splbkSuffix_ofKnowledge</v>
      </c>
      <c r="G22" s="21" t="str">
        <f t="shared" si="1"/>
        <v>/Game/DungeonSiege/Items/Affixes/Suffix/SpellBook/DA_splbkSuffix_ofKnowledge</v>
      </c>
    </row>
    <row r="23" spans="1:7" x14ac:dyDescent="0.25">
      <c r="A23" s="1">
        <v>21</v>
      </c>
      <c r="B23" s="20" t="s">
        <v>133</v>
      </c>
      <c r="C23" s="21" t="s">
        <v>132</v>
      </c>
      <c r="D23" s="21">
        <v>25</v>
      </c>
      <c r="E23" s="21" t="s">
        <v>131</v>
      </c>
      <c r="F23" s="21" t="str">
        <f t="shared" si="0"/>
        <v>DA_splbkSuffix_ofRecovery</v>
      </c>
      <c r="G23" s="21" t="str">
        <f t="shared" si="1"/>
        <v>/Game/DungeonSiege/Items/Affixes/Suffix/SpellBook/DA_splbkSuffix_ofRecovery</v>
      </c>
    </row>
    <row r="24" spans="1:7" x14ac:dyDescent="0.25">
      <c r="A24" s="1">
        <v>22</v>
      </c>
      <c r="B24" s="20" t="s">
        <v>130</v>
      </c>
      <c r="C24" s="21" t="s">
        <v>129</v>
      </c>
      <c r="D24" s="21">
        <v>25</v>
      </c>
      <c r="E24" s="21" t="s">
        <v>128</v>
      </c>
      <c r="F24" s="21" t="str">
        <f t="shared" si="0"/>
        <v>DA_splbkSuffix_oftheFrigid</v>
      </c>
      <c r="G24" s="21" t="str">
        <f t="shared" si="1"/>
        <v>/Game/DungeonSiege/Items/Affixes/Suffix/SpellBook/DA_splbkSuffix_oftheFrigid</v>
      </c>
    </row>
    <row r="25" spans="1:7" x14ac:dyDescent="0.25">
      <c r="A25" s="1">
        <v>23</v>
      </c>
      <c r="B25" s="20" t="s">
        <v>127</v>
      </c>
      <c r="C25" s="21" t="s">
        <v>126</v>
      </c>
      <c r="D25" s="21">
        <v>25</v>
      </c>
      <c r="E25" s="21" t="s">
        <v>125</v>
      </c>
      <c r="F25" s="21" t="str">
        <f t="shared" si="0"/>
        <v>DA_splbkSuffix_oftheFire</v>
      </c>
      <c r="G25" s="21" t="str">
        <f t="shared" si="1"/>
        <v>/Game/DungeonSiege/Items/Affixes/Suffix/SpellBook/DA_splbkSuffix_oftheFire</v>
      </c>
    </row>
    <row r="26" spans="1:7" x14ac:dyDescent="0.25">
      <c r="A26" s="1">
        <v>24</v>
      </c>
      <c r="B26" s="20" t="s">
        <v>124</v>
      </c>
      <c r="C26" s="21" t="s">
        <v>123</v>
      </c>
      <c r="D26" s="21">
        <v>25</v>
      </c>
      <c r="E26" s="21" t="s">
        <v>122</v>
      </c>
      <c r="F26" s="21" t="str">
        <f t="shared" si="0"/>
        <v>DA_splbkSuffix_oftheSpark</v>
      </c>
      <c r="G26" s="21" t="str">
        <f t="shared" si="1"/>
        <v>/Game/DungeonSiege/Items/Affixes/Suffix/SpellBook/DA_splbkSuffix_oftheSpark</v>
      </c>
    </row>
    <row r="27" spans="1:7" x14ac:dyDescent="0.25">
      <c r="A27" s="1">
        <v>25</v>
      </c>
      <c r="B27" s="20" t="s">
        <v>121</v>
      </c>
      <c r="C27" s="21" t="s">
        <v>120</v>
      </c>
      <c r="D27" s="21">
        <v>25</v>
      </c>
      <c r="E27" s="21" t="s">
        <v>119</v>
      </c>
      <c r="F27" s="21" t="str">
        <f t="shared" si="0"/>
        <v>DA_splbkSuffix_ofCommanding</v>
      </c>
      <c r="G27" s="21" t="str">
        <f t="shared" si="1"/>
        <v>/Game/DungeonSiege/Items/Affixes/Suffix/SpellBook/DA_splbkSuffix_ofCommanding</v>
      </c>
    </row>
    <row r="28" spans="1:7" x14ac:dyDescent="0.25">
      <c r="A28" s="1">
        <v>26</v>
      </c>
      <c r="B28" s="20" t="s">
        <v>118</v>
      </c>
      <c r="C28" s="21" t="s">
        <v>117</v>
      </c>
      <c r="D28" s="21">
        <v>25</v>
      </c>
      <c r="E28" s="21" t="s">
        <v>116</v>
      </c>
      <c r="F28" s="21" t="str">
        <f t="shared" si="0"/>
        <v>DA_splbkSuffix_ofMercy</v>
      </c>
      <c r="G28" s="21" t="str">
        <f t="shared" si="1"/>
        <v>/Game/DungeonSiege/Items/Affixes/Suffix/SpellBook/DA_splbkSuffix_ofMercy</v>
      </c>
    </row>
    <row r="29" spans="1:7" x14ac:dyDescent="0.25">
      <c r="A29" s="1">
        <v>27</v>
      </c>
      <c r="B29" s="20" t="s">
        <v>115</v>
      </c>
      <c r="C29" s="21" t="s">
        <v>114</v>
      </c>
      <c r="D29" s="21">
        <v>22</v>
      </c>
      <c r="E29" s="21" t="s">
        <v>113</v>
      </c>
      <c r="F29" s="21" t="str">
        <f t="shared" si="0"/>
        <v>DA_splbkSuffix_oftheNimble</v>
      </c>
      <c r="G29" s="21" t="str">
        <f t="shared" si="1"/>
        <v>/Game/DungeonSiege/Items/Affixes/Suffix/SpellBook/DA_splbkSuffix_oftheNimble</v>
      </c>
    </row>
    <row r="30" spans="1:7" x14ac:dyDescent="0.25">
      <c r="A30" s="1">
        <v>28</v>
      </c>
      <c r="B30" s="20" t="s">
        <v>112</v>
      </c>
      <c r="C30" s="21" t="s">
        <v>111</v>
      </c>
      <c r="D30" s="21">
        <v>19</v>
      </c>
      <c r="E30" s="21" t="s">
        <v>110</v>
      </c>
      <c r="F30" s="21" t="str">
        <f t="shared" si="0"/>
        <v>DA_splbkSuffix_oftheWolf</v>
      </c>
      <c r="G30" s="21" t="str">
        <f t="shared" si="1"/>
        <v>/Game/DungeonSiege/Items/Affixes/Suffix/SpellBook/DA_splbkSuffix_oftheWolf</v>
      </c>
    </row>
    <row r="31" spans="1:7" x14ac:dyDescent="0.25">
      <c r="A31" s="1">
        <v>29</v>
      </c>
      <c r="B31" s="20" t="s">
        <v>109</v>
      </c>
      <c r="C31" s="21" t="s">
        <v>108</v>
      </c>
      <c r="D31" s="21">
        <v>15</v>
      </c>
      <c r="E31" s="21" t="s">
        <v>107</v>
      </c>
      <c r="F31" s="21" t="str">
        <f t="shared" si="0"/>
        <v>DA_splbkSuffix_oftheFrost</v>
      </c>
      <c r="G31" s="21" t="str">
        <f t="shared" si="1"/>
        <v>/Game/DungeonSiege/Items/Affixes/Suffix/SpellBook/DA_splbkSuffix_oftheFrost</v>
      </c>
    </row>
    <row r="32" spans="1:7" x14ac:dyDescent="0.25">
      <c r="A32" s="1">
        <v>30</v>
      </c>
      <c r="B32" s="20" t="s">
        <v>106</v>
      </c>
      <c r="C32" s="21" t="s">
        <v>105</v>
      </c>
      <c r="D32" s="21">
        <v>15</v>
      </c>
      <c r="E32" s="21" t="s">
        <v>104</v>
      </c>
      <c r="F32" s="21" t="str">
        <f t="shared" si="0"/>
        <v>DA_splbkSuffix_oftheBlaze</v>
      </c>
      <c r="G32" s="21" t="str">
        <f t="shared" si="1"/>
        <v>/Game/DungeonSiege/Items/Affixes/Suffix/SpellBook/DA_splbkSuffix_oftheBlaze</v>
      </c>
    </row>
    <row r="33" spans="1:7" x14ac:dyDescent="0.25">
      <c r="A33" s="1">
        <v>31</v>
      </c>
      <c r="B33" s="20" t="s">
        <v>103</v>
      </c>
      <c r="C33" s="21" t="s">
        <v>102</v>
      </c>
      <c r="D33" s="21">
        <v>15</v>
      </c>
      <c r="E33" s="21" t="s">
        <v>101</v>
      </c>
      <c r="F33" s="21" t="str">
        <f t="shared" si="0"/>
        <v>DA_splbkSuffix_oftheCharge</v>
      </c>
      <c r="G33" s="21" t="str">
        <f t="shared" si="1"/>
        <v>/Game/DungeonSiege/Items/Affixes/Suffix/SpellBook/DA_splbkSuffix_oftheCharge</v>
      </c>
    </row>
    <row r="34" spans="1:7" x14ac:dyDescent="0.25">
      <c r="A34" s="1">
        <v>32</v>
      </c>
      <c r="B34" s="20" t="s">
        <v>100</v>
      </c>
      <c r="C34" s="21" t="s">
        <v>99</v>
      </c>
      <c r="D34" s="21">
        <v>15</v>
      </c>
      <c r="E34" s="21" t="s">
        <v>98</v>
      </c>
      <c r="F34" s="21" t="str">
        <f t="shared" si="0"/>
        <v>DA_splbkSuffix_ofConvening</v>
      </c>
      <c r="G34" s="21" t="str">
        <f t="shared" si="1"/>
        <v>/Game/DungeonSiege/Items/Affixes/Suffix/SpellBook/DA_splbkSuffix_ofConvening</v>
      </c>
    </row>
    <row r="35" spans="1:7" x14ac:dyDescent="0.25">
      <c r="A35" s="1">
        <v>33</v>
      </c>
      <c r="B35" s="20" t="s">
        <v>97</v>
      </c>
      <c r="C35" s="21" t="s">
        <v>96</v>
      </c>
      <c r="D35" s="21">
        <v>15</v>
      </c>
      <c r="E35" s="21" t="s">
        <v>95</v>
      </c>
      <c r="F35" s="21" t="str">
        <f t="shared" si="0"/>
        <v>DA_splbkSuffix_ofClemency</v>
      </c>
      <c r="G35" s="21" t="str">
        <f t="shared" si="1"/>
        <v>/Game/DungeonSiege/Items/Affixes/Suffix/SpellBook/DA_splbkSuffix_ofClemency</v>
      </c>
    </row>
    <row r="36" spans="1:7" x14ac:dyDescent="0.25">
      <c r="A36" s="1">
        <v>34</v>
      </c>
      <c r="B36" s="20" t="s">
        <v>94</v>
      </c>
      <c r="C36" s="21" t="s">
        <v>93</v>
      </c>
      <c r="D36" s="21">
        <v>13</v>
      </c>
      <c r="E36" s="21" t="s">
        <v>92</v>
      </c>
      <c r="F36" s="21" t="str">
        <f t="shared" si="0"/>
        <v>DA_splbkSuffix_ofInsight</v>
      </c>
      <c r="G36" s="21" t="str">
        <f t="shared" si="1"/>
        <v>/Game/DungeonSiege/Items/Affixes/Suffix/SpellBook/DA_splbkSuffix_ofInsight</v>
      </c>
    </row>
    <row r="37" spans="1:7" x14ac:dyDescent="0.25">
      <c r="A37" s="1">
        <v>35</v>
      </c>
      <c r="B37" s="20" t="s">
        <v>91</v>
      </c>
      <c r="C37" s="21" t="s">
        <v>90</v>
      </c>
      <c r="D37" s="21">
        <v>13</v>
      </c>
      <c r="E37" s="21" t="s">
        <v>89</v>
      </c>
      <c r="F37" s="21" t="str">
        <f t="shared" si="0"/>
        <v>DA_splbkSuffix_ofRecuperation</v>
      </c>
      <c r="G37" s="21" t="str">
        <f t="shared" si="1"/>
        <v>/Game/DungeonSiege/Items/Affixes/Suffix/SpellBook/DA_splbkSuffix_ofRecuperation</v>
      </c>
    </row>
    <row r="38" spans="1:7" x14ac:dyDescent="0.25">
      <c r="A38" s="1">
        <v>36</v>
      </c>
      <c r="B38" s="20" t="s">
        <v>88</v>
      </c>
      <c r="C38" s="21" t="s">
        <v>87</v>
      </c>
      <c r="D38" s="21">
        <v>12</v>
      </c>
      <c r="E38" s="21" t="s">
        <v>86</v>
      </c>
      <c r="F38" s="21" t="str">
        <f t="shared" si="0"/>
        <v>DA_splbkSuffix_oftheSpry</v>
      </c>
      <c r="G38" s="21" t="str">
        <f t="shared" si="1"/>
        <v>/Game/DungeonSiege/Items/Affixes/Suffix/SpellBook/DA_splbkSuffix_oftheSpry</v>
      </c>
    </row>
    <row r="39" spans="1:7" x14ac:dyDescent="0.25">
      <c r="A39" s="1">
        <v>37</v>
      </c>
      <c r="B39" s="20" t="s">
        <v>85</v>
      </c>
      <c r="C39" s="21" t="s">
        <v>84</v>
      </c>
      <c r="D39" s="21">
        <v>9</v>
      </c>
      <c r="E39" s="21" t="s">
        <v>83</v>
      </c>
      <c r="F39" s="21" t="str">
        <f t="shared" si="0"/>
        <v>DA_splbkSuffix_oftheBoar</v>
      </c>
      <c r="G39" s="21" t="str">
        <f t="shared" si="1"/>
        <v>/Game/DungeonSiege/Items/Affixes/Suffix/SpellBook/DA_splbkSuffix_oftheBoar</v>
      </c>
    </row>
    <row r="40" spans="1:7" x14ac:dyDescent="0.25">
      <c r="A40" s="1">
        <v>38</v>
      </c>
      <c r="B40" s="20" t="s">
        <v>82</v>
      </c>
      <c r="C40" s="21" t="s">
        <v>81</v>
      </c>
      <c r="D40" s="21">
        <v>9</v>
      </c>
      <c r="E40" s="21" t="s">
        <v>80</v>
      </c>
      <c r="F40" s="21" t="str">
        <f t="shared" si="0"/>
        <v>DA_splbkSuffix_ofRejuvenation</v>
      </c>
      <c r="G40" s="21" t="str">
        <f t="shared" si="1"/>
        <v>/Game/DungeonSiege/Items/Affixes/Suffix/SpellBook/DA_splbkSuffix_ofRejuvenation</v>
      </c>
    </row>
    <row r="41" spans="1:7" x14ac:dyDescent="0.25">
      <c r="A41" s="1">
        <v>39</v>
      </c>
      <c r="B41" s="20" t="s">
        <v>79</v>
      </c>
      <c r="C41" s="21" t="s">
        <v>78</v>
      </c>
      <c r="D41" s="21">
        <v>7</v>
      </c>
      <c r="E41" s="21" t="s">
        <v>77</v>
      </c>
      <c r="F41" s="21" t="str">
        <f t="shared" si="0"/>
        <v>DA_splbkSuffix_ofRevendication</v>
      </c>
      <c r="G41" s="21" t="str">
        <f t="shared" si="1"/>
        <v>/Game/DungeonSiege/Items/Affixes/Suffix/SpellBook/DA_splbkSuffix_ofRevendication</v>
      </c>
    </row>
    <row r="42" spans="1:7" x14ac:dyDescent="0.25">
      <c r="A42" s="1">
        <v>40</v>
      </c>
      <c r="B42" s="20" t="s">
        <v>76</v>
      </c>
      <c r="C42" s="21" t="s">
        <v>75</v>
      </c>
      <c r="D42" s="21">
        <v>6</v>
      </c>
      <c r="E42" s="21" t="s">
        <v>74</v>
      </c>
      <c r="F42" s="21" t="str">
        <f t="shared" si="0"/>
        <v>DA_splbkSuffix_ofAwareness</v>
      </c>
      <c r="G42" s="21" t="str">
        <f t="shared" si="1"/>
        <v>/Game/DungeonSiege/Items/Affixes/Suffix/SpellBook/DA_splbkSuffix_ofAwareness</v>
      </c>
    </row>
    <row r="43" spans="1:7" x14ac:dyDescent="0.25">
      <c r="A43" s="1">
        <v>41</v>
      </c>
      <c r="B43" s="20" t="s">
        <v>73</v>
      </c>
      <c r="C43" s="21" t="s">
        <v>72</v>
      </c>
      <c r="D43" s="21">
        <v>6</v>
      </c>
      <c r="E43" s="21" t="s">
        <v>71</v>
      </c>
      <c r="F43" s="21" t="str">
        <f t="shared" si="0"/>
        <v>DA_splbkSuffix_oftheSerpent</v>
      </c>
      <c r="G43" s="21" t="str">
        <f t="shared" si="1"/>
        <v>/Game/DungeonSiege/Items/Affixes/Suffix/SpellBook/DA_splbkSuffix_oftheSerpent</v>
      </c>
    </row>
    <row r="44" spans="1:7" x14ac:dyDescent="0.25">
      <c r="A44" s="1">
        <v>42</v>
      </c>
      <c r="B44" s="20" t="s">
        <v>70</v>
      </c>
      <c r="C44" s="21" t="s">
        <v>69</v>
      </c>
      <c r="D44" s="21">
        <v>5</v>
      </c>
      <c r="E44" s="21" t="s">
        <v>68</v>
      </c>
      <c r="F44" s="21" t="str">
        <f t="shared" si="0"/>
        <v>DA_splbkSuffix_oftheChill</v>
      </c>
      <c r="G44" s="21" t="str">
        <f t="shared" si="1"/>
        <v>/Game/DungeonSiege/Items/Affixes/Suffix/SpellBook/DA_splbkSuffix_oftheChill</v>
      </c>
    </row>
    <row r="45" spans="1:7" x14ac:dyDescent="0.25">
      <c r="A45" s="1">
        <v>43</v>
      </c>
      <c r="B45" s="20" t="s">
        <v>67</v>
      </c>
      <c r="C45" s="21" t="s">
        <v>66</v>
      </c>
      <c r="D45" s="21">
        <v>5</v>
      </c>
      <c r="E45" s="21" t="s">
        <v>65</v>
      </c>
      <c r="F45" s="21" t="str">
        <f t="shared" si="0"/>
        <v>DA_splbkSuffix_oftheFlame</v>
      </c>
      <c r="G45" s="21" t="str">
        <f t="shared" si="1"/>
        <v>/Game/DungeonSiege/Items/Affixes/Suffix/SpellBook/DA_splbkSuffix_oftheFlame</v>
      </c>
    </row>
    <row r="46" spans="1:7" x14ac:dyDescent="0.25">
      <c r="A46" s="1">
        <v>44</v>
      </c>
      <c r="B46" s="20" t="s">
        <v>64</v>
      </c>
      <c r="C46" s="21" t="s">
        <v>63</v>
      </c>
      <c r="D46" s="21">
        <v>5</v>
      </c>
      <c r="E46" s="21" t="s">
        <v>62</v>
      </c>
      <c r="F46" s="21" t="str">
        <f t="shared" si="0"/>
        <v>DA_splbkSuffix_ofStatic</v>
      </c>
      <c r="G46" s="21" t="str">
        <f t="shared" si="1"/>
        <v>/Game/DungeonSiege/Items/Affixes/Suffix/SpellBook/DA_splbkSuffix_ofStatic</v>
      </c>
    </row>
    <row r="47" spans="1:7" x14ac:dyDescent="0.25">
      <c r="A47" s="1">
        <v>45</v>
      </c>
      <c r="B47" s="20" t="s">
        <v>61</v>
      </c>
      <c r="C47" s="21" t="s">
        <v>60</v>
      </c>
      <c r="D47" s="21">
        <v>5</v>
      </c>
      <c r="E47" s="21" t="s">
        <v>59</v>
      </c>
      <c r="F47" s="21" t="str">
        <f t="shared" si="0"/>
        <v>DA_splbkSuffix_ofBidding</v>
      </c>
      <c r="G47" s="21" t="str">
        <f t="shared" si="1"/>
        <v>/Game/DungeonSiege/Items/Affixes/Suffix/SpellBook/DA_splbkSuffix_ofBidding</v>
      </c>
    </row>
    <row r="48" spans="1:7" x14ac:dyDescent="0.25">
      <c r="A48" s="1">
        <v>46</v>
      </c>
      <c r="B48" s="20" t="s">
        <v>58</v>
      </c>
      <c r="C48" s="21" t="s">
        <v>57</v>
      </c>
      <c r="D48" s="21">
        <v>5</v>
      </c>
      <c r="E48" s="21" t="s">
        <v>56</v>
      </c>
      <c r="F48" s="21" t="str">
        <f t="shared" si="0"/>
        <v>DA_splbkSuffix_ofCharity</v>
      </c>
      <c r="G48" s="21" t="str">
        <f t="shared" si="1"/>
        <v>/Game/DungeonSiege/Items/Affixes/Suffix/SpellBook/DA_splbkSuffix_ofCharity</v>
      </c>
    </row>
    <row r="49" spans="1:7" x14ac:dyDescent="0.25">
      <c r="A49" s="1">
        <v>47</v>
      </c>
      <c r="B49" s="20" t="s">
        <v>55</v>
      </c>
      <c r="C49" s="21" t="s">
        <v>54</v>
      </c>
      <c r="D49" s="21">
        <v>4</v>
      </c>
      <c r="E49" s="21" t="s">
        <v>53</v>
      </c>
      <c r="F49" s="21" t="str">
        <f t="shared" si="0"/>
        <v>DA_splbkSuffix_oftheSwift</v>
      </c>
      <c r="G49" s="21" t="str">
        <f t="shared" si="1"/>
        <v>/Game/DungeonSiege/Items/Affixes/Suffix/SpellBook/DA_splbkSuffix_oftheSwift</v>
      </c>
    </row>
    <row r="50" spans="1:7" x14ac:dyDescent="0.25">
      <c r="A50" s="1">
        <v>48</v>
      </c>
      <c r="B50" s="20" t="s">
        <v>52</v>
      </c>
      <c r="C50" s="21" t="s">
        <v>51</v>
      </c>
      <c r="D50" s="21">
        <v>4</v>
      </c>
      <c r="E50" s="21" t="s">
        <v>50</v>
      </c>
      <c r="F50" s="21" t="str">
        <f t="shared" si="0"/>
        <v>DA_splbkSuffix_oftheDog</v>
      </c>
      <c r="G50" s="21" t="str">
        <f t="shared" si="1"/>
        <v>/Game/DungeonSiege/Items/Affixes/Suffix/SpellBook/DA_splbkSuffix_oftheDog</v>
      </c>
    </row>
    <row r="51" spans="1:7" x14ac:dyDescent="0.25">
      <c r="A51" s="1">
        <v>49</v>
      </c>
      <c r="B51" s="20" t="s">
        <v>49</v>
      </c>
      <c r="C51" s="21" t="s">
        <v>48</v>
      </c>
      <c r="D51" s="21">
        <v>4</v>
      </c>
      <c r="E51" s="21" t="s">
        <v>47</v>
      </c>
      <c r="F51" s="21" t="str">
        <f t="shared" si="0"/>
        <v>DA_splbkSuffix_ofReprieval</v>
      </c>
      <c r="G51" s="21" t="str">
        <f t="shared" si="1"/>
        <v>/Game/DungeonSiege/Items/Affixes/Suffix/SpellBook/DA_splbkSuffix_ofReprieval</v>
      </c>
    </row>
    <row r="52" spans="1:7" x14ac:dyDescent="0.25">
      <c r="A52" s="1">
        <v>50</v>
      </c>
      <c r="B52" s="20" t="s">
        <v>46</v>
      </c>
      <c r="C52" s="21" t="s">
        <v>45</v>
      </c>
      <c r="D52" s="21">
        <v>3</v>
      </c>
      <c r="E52" s="21" t="s">
        <v>44</v>
      </c>
      <c r="F52" s="21" t="str">
        <f t="shared" si="0"/>
        <v>DA_splbkSuffix_oftheOwl</v>
      </c>
      <c r="G52" s="21" t="str">
        <f t="shared" si="1"/>
        <v>/Game/DungeonSiege/Items/Affixes/Suffix/SpellBook/DA_splbkSuffix_oftheOwl</v>
      </c>
    </row>
    <row r="53" spans="1:7" x14ac:dyDescent="0.25">
      <c r="A53" s="1">
        <v>51</v>
      </c>
      <c r="B53" s="20" t="s">
        <v>43</v>
      </c>
      <c r="C53" s="21" t="s">
        <v>42</v>
      </c>
      <c r="D53" s="21">
        <v>3</v>
      </c>
      <c r="E53" s="21" t="s">
        <v>41</v>
      </c>
      <c r="F53" s="21" t="str">
        <f t="shared" si="0"/>
        <v>DA_splbkSuffix_ofRevival</v>
      </c>
      <c r="G53" s="21" t="str">
        <f t="shared" si="1"/>
        <v>/Game/DungeonSiege/Items/Affixes/Suffix/SpellBook/DA_splbkSuffix_ofRevival</v>
      </c>
    </row>
    <row r="54" spans="1:7" x14ac:dyDescent="0.25">
      <c r="A54" s="1">
        <v>52</v>
      </c>
      <c r="B54" s="20" t="s">
        <v>40</v>
      </c>
      <c r="C54" s="21" t="s">
        <v>39</v>
      </c>
      <c r="D54" s="21">
        <v>2</v>
      </c>
      <c r="E54" s="21" t="s">
        <v>38</v>
      </c>
      <c r="F54" s="21" t="str">
        <f t="shared" si="0"/>
        <v>DA_splbkSuffix_oftheBadger</v>
      </c>
      <c r="G54" s="21" t="str">
        <f t="shared" si="1"/>
        <v>/Game/DungeonSiege/Items/Affixes/Suffix/SpellBook/DA_splbkSuffix_oftheBadger</v>
      </c>
    </row>
    <row r="55" spans="1:7" x14ac:dyDescent="0.25">
      <c r="A55" s="1">
        <v>53</v>
      </c>
      <c r="B55" s="20" t="s">
        <v>37</v>
      </c>
      <c r="C55" s="21" t="s">
        <v>36</v>
      </c>
      <c r="D55" s="21">
        <v>2</v>
      </c>
      <c r="E55" s="21" t="s">
        <v>35</v>
      </c>
      <c r="F55" s="21" t="str">
        <f t="shared" si="0"/>
        <v>DA_splbkSuffix_ofRefreshment</v>
      </c>
      <c r="G55" s="21" t="str">
        <f t="shared" si="1"/>
        <v>/Game/DungeonSiege/Items/Affixes/Suffix/SpellBook/DA_splbkSuffix_ofRefreshment</v>
      </c>
    </row>
    <row r="56" spans="1:7" x14ac:dyDescent="0.25">
      <c r="A56" s="1">
        <v>54</v>
      </c>
      <c r="B56" s="20" t="s">
        <v>34</v>
      </c>
      <c r="C56" s="21" t="s">
        <v>33</v>
      </c>
      <c r="D56" s="21">
        <v>1</v>
      </c>
      <c r="E56" s="21" t="s">
        <v>32</v>
      </c>
      <c r="F56" s="21" t="str">
        <f t="shared" si="0"/>
        <v>DA_splbkSuffix_oftheFox</v>
      </c>
      <c r="G56" s="21" t="str">
        <f t="shared" si="1"/>
        <v>/Game/DungeonSiege/Items/Affixes/Suffix/SpellBook/DA_splbkSuffix_oftheFox</v>
      </c>
    </row>
    <row r="57" spans="1:7" x14ac:dyDescent="0.25">
      <c r="A57" s="1">
        <v>55</v>
      </c>
      <c r="B57" s="20" t="s">
        <v>31</v>
      </c>
      <c r="C57" s="21" t="s">
        <v>30</v>
      </c>
      <c r="D57" s="21">
        <v>1</v>
      </c>
      <c r="E57" s="21" t="s">
        <v>29</v>
      </c>
      <c r="F57" s="21" t="str">
        <f t="shared" si="0"/>
        <v>DA_splbkSuffix_ofRenewal</v>
      </c>
      <c r="G57" s="21" t="str">
        <f t="shared" si="1"/>
        <v>/Game/DungeonSiege/Items/Affixes/Suffix/SpellBook/DA_splbkSuffix_ofRenewal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ExportSplBkSuffixes">
                <anchor moveWithCells="1" sizeWithCells="1">
                  <from>
                    <xdr:col>0</xdr:col>
                    <xdr:colOff>28575</xdr:colOff>
                    <xdr:row>0</xdr:row>
                    <xdr:rowOff>47625</xdr:rowOff>
                  </from>
                  <to>
                    <xdr:col>0</xdr:col>
                    <xdr:colOff>838200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ECF00-6778-48E2-8A59-B2D3CCAFED12}">
  <sheetPr codeName="Sheet7"/>
  <dimension ref="A1:FB256"/>
  <sheetViews>
    <sheetView topLeftCell="J92" workbookViewId="0">
      <selection activeCell="J107" sqref="J107"/>
    </sheetView>
  </sheetViews>
  <sheetFormatPr defaultRowHeight="15" x14ac:dyDescent="0.25"/>
  <cols>
    <col min="1" max="1" width="14.5703125" style="60" customWidth="1"/>
    <col min="2" max="2" width="10.7109375" style="60" customWidth="1"/>
    <col min="3" max="3" width="13.7109375" style="49" customWidth="1"/>
    <col min="4" max="4" width="130" style="22" bestFit="1" customWidth="1"/>
    <col min="5" max="5" width="10.28515625" style="49" customWidth="1"/>
    <col min="6" max="6" width="27" style="49" bestFit="1" customWidth="1"/>
    <col min="7" max="7" width="10.85546875" style="49" bestFit="1" customWidth="1"/>
    <col min="8" max="8" width="16" style="49" bestFit="1" customWidth="1"/>
    <col min="9" max="9" width="21.28515625" style="49" customWidth="1"/>
    <col min="10" max="10" width="48.42578125" style="49" bestFit="1" customWidth="1"/>
    <col min="11" max="16384" width="9.140625" style="49"/>
  </cols>
  <sheetData>
    <row r="1" spans="1:20" s="41" customFormat="1" ht="30" customHeight="1" x14ac:dyDescent="0.25">
      <c r="A1" s="68" t="s">
        <v>2915</v>
      </c>
      <c r="B1" s="30" t="s">
        <v>3064</v>
      </c>
      <c r="C1" s="30" t="s">
        <v>0</v>
      </c>
      <c r="D1" s="30" t="s">
        <v>677</v>
      </c>
      <c r="E1" s="30" t="s">
        <v>678</v>
      </c>
      <c r="F1" s="48" t="s">
        <v>679</v>
      </c>
      <c r="G1" s="30" t="s">
        <v>198</v>
      </c>
      <c r="H1" s="30" t="s">
        <v>197</v>
      </c>
      <c r="I1" s="30" t="s">
        <v>335</v>
      </c>
      <c r="J1" s="30" t="s">
        <v>334</v>
      </c>
    </row>
    <row r="2" spans="1:20" s="60" customFormat="1" ht="22.5" x14ac:dyDescent="0.25">
      <c r="A2" s="43">
        <v>0</v>
      </c>
      <c r="B2" s="43">
        <f>HEX2DEC(A2+Items!$A$28)</f>
        <v>100663296</v>
      </c>
      <c r="C2" s="43" t="s">
        <v>3348</v>
      </c>
      <c r="D2" s="42" t="s">
        <v>2177</v>
      </c>
      <c r="E2" s="43" t="s">
        <v>2178</v>
      </c>
      <c r="F2" s="43" t="s">
        <v>2179</v>
      </c>
      <c r="G2" s="43" t="s">
        <v>2180</v>
      </c>
      <c r="H2" s="54" t="s">
        <v>2181</v>
      </c>
      <c r="I2" s="32" t="str">
        <f>"DA_Prefix_"&amp; SUBSTITUTE(C2," ","_")</f>
        <v>DA_Prefix_Monumental</v>
      </c>
      <c r="J2" s="32" t="str">
        <f>"/Game/DungeonSiege/Items/Affixes/Prefix/" &amp; I2</f>
        <v>/Game/DungeonSiege/Items/Affixes/Prefix/DA_Prefix_Monumental</v>
      </c>
    </row>
    <row r="3" spans="1:20" s="60" customFormat="1" x14ac:dyDescent="0.25">
      <c r="A3" s="43">
        <v>1</v>
      </c>
      <c r="B3" s="43">
        <f>HEX2DEC(A3+Items!$A$28)</f>
        <v>100663297</v>
      </c>
      <c r="C3" s="43" t="s">
        <v>683</v>
      </c>
      <c r="D3" s="42" t="s">
        <v>2182</v>
      </c>
      <c r="E3" s="43" t="s">
        <v>681</v>
      </c>
      <c r="F3" s="43" t="s">
        <v>686</v>
      </c>
      <c r="G3" s="43">
        <v>115</v>
      </c>
      <c r="H3" s="54" t="s">
        <v>687</v>
      </c>
      <c r="I3" s="32" t="str">
        <f t="shared" ref="I3:I61" si="0">"DA_Prefix_"&amp; SUBSTITUTE(C3," ","_")</f>
        <v>DA_Prefix_Wicked</v>
      </c>
      <c r="J3" s="32" t="str">
        <f t="shared" ref="J3:J61" si="1">"/Game/DungeonSiege/Items/Affixes/Prefix/" &amp; I3</f>
        <v>/Game/DungeonSiege/Items/Affixes/Prefix/DA_Prefix_Wicked</v>
      </c>
      <c r="K3" s="59"/>
    </row>
    <row r="4" spans="1:20" s="60" customFormat="1" x14ac:dyDescent="0.25">
      <c r="A4" s="44">
        <v>2</v>
      </c>
      <c r="B4" s="43">
        <f>HEX2DEC(A4+Items!$A$28)</f>
        <v>100663298</v>
      </c>
      <c r="C4" s="44" t="s">
        <v>688</v>
      </c>
      <c r="D4" s="53" t="s">
        <v>689</v>
      </c>
      <c r="E4" s="44" t="s">
        <v>681</v>
      </c>
      <c r="F4" s="44" t="s">
        <v>690</v>
      </c>
      <c r="G4" s="44">
        <v>107</v>
      </c>
      <c r="H4" s="55" t="s">
        <v>691</v>
      </c>
      <c r="I4" s="32" t="str">
        <f t="shared" si="0"/>
        <v>DA_Prefix_Hulking</v>
      </c>
      <c r="J4" s="32" t="str">
        <f t="shared" si="1"/>
        <v>/Game/DungeonSiege/Items/Affixes/Prefix/DA_Prefix_Hulking</v>
      </c>
    </row>
    <row r="5" spans="1:20" s="60" customFormat="1" x14ac:dyDescent="0.25">
      <c r="A5" s="44">
        <v>3</v>
      </c>
      <c r="B5" s="43">
        <f>HEX2DEC(A5+Items!$A$28)</f>
        <v>100663299</v>
      </c>
      <c r="C5" s="44" t="s">
        <v>692</v>
      </c>
      <c r="D5" s="53" t="s">
        <v>693</v>
      </c>
      <c r="E5" s="44" t="s">
        <v>681</v>
      </c>
      <c r="F5" s="44" t="s">
        <v>694</v>
      </c>
      <c r="G5" s="44">
        <v>104</v>
      </c>
      <c r="H5" s="55" t="s">
        <v>695</v>
      </c>
      <c r="I5" s="32" t="str">
        <f t="shared" si="0"/>
        <v>DA_Prefix_Refined</v>
      </c>
      <c r="J5" s="32" t="str">
        <f t="shared" si="1"/>
        <v>/Game/DungeonSiege/Items/Affixes/Prefix/DA_Prefix_Refined</v>
      </c>
    </row>
    <row r="6" spans="1:20" s="60" customFormat="1" x14ac:dyDescent="0.25">
      <c r="A6" s="43">
        <v>4</v>
      </c>
      <c r="B6" s="43">
        <f>HEX2DEC(A6+Items!$A$28)</f>
        <v>100663300</v>
      </c>
      <c r="C6" s="44" t="s">
        <v>696</v>
      </c>
      <c r="D6" s="53" t="s">
        <v>697</v>
      </c>
      <c r="E6" s="44" t="s">
        <v>681</v>
      </c>
      <c r="F6" s="44" t="s">
        <v>694</v>
      </c>
      <c r="G6" s="44">
        <v>101</v>
      </c>
      <c r="H6" s="55" t="s">
        <v>698</v>
      </c>
      <c r="I6" s="32" t="str">
        <f t="shared" si="0"/>
        <v>DA_Prefix_Warring</v>
      </c>
      <c r="J6" s="32" t="str">
        <f t="shared" si="1"/>
        <v>/Game/DungeonSiege/Items/Affixes/Prefix/DA_Prefix_Warring</v>
      </c>
    </row>
    <row r="7" spans="1:20" s="60" customFormat="1" x14ac:dyDescent="0.25">
      <c r="A7" s="43">
        <v>5</v>
      </c>
      <c r="B7" s="43">
        <f>HEX2DEC(A7+Items!$A$28)</f>
        <v>100663301</v>
      </c>
      <c r="C7" s="45" t="s">
        <v>699</v>
      </c>
      <c r="D7" s="50" t="s">
        <v>2183</v>
      </c>
      <c r="E7" s="45" t="s">
        <v>704</v>
      </c>
      <c r="F7" s="45" t="s">
        <v>705</v>
      </c>
      <c r="G7" s="45">
        <v>98</v>
      </c>
      <c r="H7" s="56" t="s">
        <v>706</v>
      </c>
      <c r="I7" s="33" t="str">
        <f t="shared" si="0"/>
        <v>DA_Prefix_Admired</v>
      </c>
      <c r="J7" s="33" t="str">
        <f t="shared" si="1"/>
        <v>/Game/DungeonSiege/Items/Affixes/Prefix/DA_Prefix_Admired</v>
      </c>
      <c r="L7" s="59"/>
    </row>
    <row r="8" spans="1:20" s="60" customFormat="1" ht="22.5" x14ac:dyDescent="0.25">
      <c r="A8" s="44">
        <v>6</v>
      </c>
      <c r="B8" s="43">
        <f>HEX2DEC(A8+Items!$A$28)</f>
        <v>100663302</v>
      </c>
      <c r="C8" s="44" t="s">
        <v>707</v>
      </c>
      <c r="D8" s="53" t="s">
        <v>708</v>
      </c>
      <c r="E8" s="44" t="s">
        <v>681</v>
      </c>
      <c r="F8" s="44" t="s">
        <v>709</v>
      </c>
      <c r="G8" s="44">
        <v>96</v>
      </c>
      <c r="H8" s="55" t="s">
        <v>710</v>
      </c>
      <c r="I8" s="32" t="str">
        <f t="shared" si="0"/>
        <v>DA_Prefix_Eradicating</v>
      </c>
      <c r="J8" s="32" t="str">
        <f t="shared" si="1"/>
        <v>/Game/DungeonSiege/Items/Affixes/Prefix/DA_Prefix_Eradicating</v>
      </c>
    </row>
    <row r="9" spans="1:20" s="60" customFormat="1" x14ac:dyDescent="0.25">
      <c r="A9" s="44">
        <v>7</v>
      </c>
      <c r="B9" s="43">
        <f>HEX2DEC(A9+Items!$A$28)</f>
        <v>100663303</v>
      </c>
      <c r="C9" s="45" t="s">
        <v>711</v>
      </c>
      <c r="D9" s="50" t="s">
        <v>2184</v>
      </c>
      <c r="E9" s="45" t="s">
        <v>704</v>
      </c>
      <c r="F9" s="45" t="s">
        <v>705</v>
      </c>
      <c r="G9" s="45">
        <v>95</v>
      </c>
      <c r="H9" s="56" t="s">
        <v>716</v>
      </c>
      <c r="I9" s="33" t="str">
        <f t="shared" si="0"/>
        <v>DA_Prefix_Sacred</v>
      </c>
      <c r="J9" s="33" t="str">
        <f t="shared" si="1"/>
        <v>/Game/DungeonSiege/Items/Affixes/Prefix/DA_Prefix_Sacred</v>
      </c>
      <c r="M9" s="59"/>
    </row>
    <row r="10" spans="1:20" s="60" customFormat="1" x14ac:dyDescent="0.25">
      <c r="A10" s="43">
        <v>8</v>
      </c>
      <c r="B10" s="43">
        <f>HEX2DEC(A10+Items!$A$28)</f>
        <v>100663304</v>
      </c>
      <c r="C10" s="44" t="s">
        <v>717</v>
      </c>
      <c r="D10" s="53" t="s">
        <v>718</v>
      </c>
      <c r="E10" s="44" t="s">
        <v>681</v>
      </c>
      <c r="F10" s="44" t="s">
        <v>719</v>
      </c>
      <c r="G10" s="44">
        <v>91</v>
      </c>
      <c r="H10" s="55" t="s">
        <v>720</v>
      </c>
      <c r="I10" s="32" t="str">
        <f t="shared" si="0"/>
        <v>DA_Prefix_Propelling</v>
      </c>
      <c r="J10" s="32" t="str">
        <f t="shared" si="1"/>
        <v>/Game/DungeonSiege/Items/Affixes/Prefix/DA_Prefix_Propelling</v>
      </c>
    </row>
    <row r="11" spans="1:20" s="60" customFormat="1" ht="22.5" x14ac:dyDescent="0.25">
      <c r="A11" s="43">
        <v>9</v>
      </c>
      <c r="B11" s="43">
        <f>HEX2DEC(A11+Items!$A$28)</f>
        <v>100663305</v>
      </c>
      <c r="C11" s="45" t="s">
        <v>721</v>
      </c>
      <c r="D11" s="50" t="s">
        <v>2185</v>
      </c>
      <c r="E11" s="45" t="s">
        <v>704</v>
      </c>
      <c r="F11" s="45" t="s">
        <v>705</v>
      </c>
      <c r="G11" s="45">
        <v>91</v>
      </c>
      <c r="H11" s="56" t="s">
        <v>724</v>
      </c>
      <c r="I11" s="33" t="str">
        <f t="shared" si="0"/>
        <v>DA_Prefix_Unsurpassed</v>
      </c>
      <c r="J11" s="33" t="str">
        <f t="shared" si="1"/>
        <v>/Game/DungeonSiege/Items/Affixes/Prefix/DA_Prefix_Unsurpassed</v>
      </c>
      <c r="N11" s="59"/>
    </row>
    <row r="12" spans="1:20" s="60" customFormat="1" x14ac:dyDescent="0.25">
      <c r="A12" s="44">
        <v>10</v>
      </c>
      <c r="B12" s="43">
        <f>HEX2DEC(A12+Items!$A$28)</f>
        <v>100663312</v>
      </c>
      <c r="C12" s="43" t="s">
        <v>725</v>
      </c>
      <c r="D12" s="42" t="s">
        <v>2186</v>
      </c>
      <c r="E12" s="43" t="s">
        <v>681</v>
      </c>
      <c r="F12" s="43" t="s">
        <v>682</v>
      </c>
      <c r="G12" s="43">
        <v>90</v>
      </c>
      <c r="H12" s="54" t="s">
        <v>727</v>
      </c>
      <c r="I12" s="32" t="str">
        <f t="shared" si="0"/>
        <v>DA_Prefix_Colossal</v>
      </c>
      <c r="J12" s="32" t="str">
        <f t="shared" si="1"/>
        <v>/Game/DungeonSiege/Items/Affixes/Prefix/DA_Prefix_Colossal</v>
      </c>
      <c r="O12" s="59"/>
    </row>
    <row r="13" spans="1:20" s="60" customFormat="1" x14ac:dyDescent="0.25">
      <c r="A13" s="44">
        <v>11</v>
      </c>
      <c r="B13" s="43">
        <f>HEX2DEC(A13+Items!$A$28)</f>
        <v>100663313</v>
      </c>
      <c r="C13" s="43" t="s">
        <v>728</v>
      </c>
      <c r="D13" s="42" t="s">
        <v>2187</v>
      </c>
      <c r="E13" s="43" t="s">
        <v>681</v>
      </c>
      <c r="F13" s="43" t="s">
        <v>686</v>
      </c>
      <c r="G13" s="43">
        <v>90</v>
      </c>
      <c r="H13" s="54" t="s">
        <v>731</v>
      </c>
      <c r="I13" s="32" t="str">
        <f t="shared" si="0"/>
        <v>DA_Prefix_Vicious</v>
      </c>
      <c r="J13" s="32" t="str">
        <f t="shared" si="1"/>
        <v>/Game/DungeonSiege/Items/Affixes/Prefix/DA_Prefix_Vicious</v>
      </c>
      <c r="P13" s="59"/>
    </row>
    <row r="14" spans="1:20" s="60" customFormat="1" x14ac:dyDescent="0.25">
      <c r="A14" s="43">
        <v>12</v>
      </c>
      <c r="B14" s="43">
        <f>HEX2DEC(A14+Items!$A$28)</f>
        <v>100663314</v>
      </c>
      <c r="C14" s="43" t="s">
        <v>732</v>
      </c>
      <c r="D14" s="42" t="s">
        <v>2188</v>
      </c>
      <c r="E14" s="43" t="s">
        <v>681</v>
      </c>
      <c r="F14" s="43" t="s">
        <v>3332</v>
      </c>
      <c r="G14" s="43">
        <v>90</v>
      </c>
      <c r="H14" s="54" t="s">
        <v>3333</v>
      </c>
      <c r="I14" s="32" t="str">
        <f t="shared" si="0"/>
        <v>DA_Prefix_Virulent</v>
      </c>
      <c r="J14" s="32" t="str">
        <f t="shared" si="1"/>
        <v>/Game/DungeonSiege/Items/Affixes/Prefix/DA_Prefix_Virulent</v>
      </c>
      <c r="Q14" s="59"/>
    </row>
    <row r="15" spans="1:20" s="60" customFormat="1" x14ac:dyDescent="0.25">
      <c r="A15" s="43">
        <v>13</v>
      </c>
      <c r="B15" s="43">
        <f>HEX2DEC(A15+Items!$A$28)</f>
        <v>100663315</v>
      </c>
      <c r="C15" s="45" t="s">
        <v>733</v>
      </c>
      <c r="D15" s="50" t="s">
        <v>2189</v>
      </c>
      <c r="E15" s="45" t="s">
        <v>704</v>
      </c>
      <c r="F15" s="45" t="s">
        <v>682</v>
      </c>
      <c r="G15" s="45">
        <v>89</v>
      </c>
      <c r="H15" s="56" t="s">
        <v>735</v>
      </c>
      <c r="I15" s="33" t="str">
        <f t="shared" si="0"/>
        <v>DA_Prefix_Immense</v>
      </c>
      <c r="J15" s="33" t="str">
        <f t="shared" si="1"/>
        <v>/Game/DungeonSiege/Items/Affixes/Prefix/DA_Prefix_Immense</v>
      </c>
      <c r="S15" s="59"/>
    </row>
    <row r="16" spans="1:20" s="60" customFormat="1" ht="22.5" x14ac:dyDescent="0.25">
      <c r="A16" s="44">
        <v>14</v>
      </c>
      <c r="B16" s="43">
        <f>HEX2DEC(A16+Items!$A$28)</f>
        <v>100663316</v>
      </c>
      <c r="C16" s="45" t="s">
        <v>736</v>
      </c>
      <c r="D16" s="50" t="s">
        <v>2190</v>
      </c>
      <c r="E16" s="45" t="s">
        <v>704</v>
      </c>
      <c r="F16" s="45" t="s">
        <v>705</v>
      </c>
      <c r="G16" s="45">
        <v>86</v>
      </c>
      <c r="H16" s="56" t="s">
        <v>739</v>
      </c>
      <c r="I16" s="33" t="str">
        <f t="shared" si="0"/>
        <v>DA_Prefix_Spectacular</v>
      </c>
      <c r="J16" s="33" t="str">
        <f t="shared" si="1"/>
        <v>/Game/DungeonSiege/Items/Affixes/Prefix/DA_Prefix_Spectacular</v>
      </c>
      <c r="T16" s="59"/>
    </row>
    <row r="17" spans="1:30" s="60" customFormat="1" x14ac:dyDescent="0.25">
      <c r="A17" s="44">
        <v>15</v>
      </c>
      <c r="B17" s="43">
        <f>HEX2DEC(A17+Items!$A$28)</f>
        <v>100663317</v>
      </c>
      <c r="C17" s="44" t="s">
        <v>740</v>
      </c>
      <c r="D17" s="53" t="s">
        <v>741</v>
      </c>
      <c r="E17" s="44" t="s">
        <v>681</v>
      </c>
      <c r="F17" s="44" t="s">
        <v>690</v>
      </c>
      <c r="G17" s="44">
        <v>83</v>
      </c>
      <c r="H17" s="55" t="s">
        <v>742</v>
      </c>
      <c r="I17" s="32" t="str">
        <f t="shared" si="0"/>
        <v>DA_Prefix_Brute</v>
      </c>
      <c r="J17" s="32" t="str">
        <f t="shared" si="1"/>
        <v>/Game/DungeonSiege/Items/Affixes/Prefix/DA_Prefix_Brute</v>
      </c>
    </row>
    <row r="18" spans="1:30" s="60" customFormat="1" x14ac:dyDescent="0.25">
      <c r="A18" s="43">
        <v>16</v>
      </c>
      <c r="B18" s="43">
        <f>HEX2DEC(A18+Items!$A$28)</f>
        <v>100663318</v>
      </c>
      <c r="C18" s="45" t="s">
        <v>743</v>
      </c>
      <c r="D18" s="50" t="s">
        <v>2191</v>
      </c>
      <c r="E18" s="45" t="s">
        <v>704</v>
      </c>
      <c r="F18" s="45" t="s">
        <v>705</v>
      </c>
      <c r="G18" s="45">
        <v>79</v>
      </c>
      <c r="H18" s="56" t="s">
        <v>748</v>
      </c>
      <c r="I18" s="33" t="str">
        <f t="shared" si="0"/>
        <v>DA_Prefix_Treasured</v>
      </c>
      <c r="J18" s="33" t="str">
        <f t="shared" si="1"/>
        <v>/Game/DungeonSiege/Items/Affixes/Prefix/DA_Prefix_Treasured</v>
      </c>
      <c r="U18" s="59"/>
    </row>
    <row r="19" spans="1:30" s="60" customFormat="1" ht="22.5" x14ac:dyDescent="0.25">
      <c r="A19" s="43">
        <v>17</v>
      </c>
      <c r="B19" s="43">
        <f>HEX2DEC(A19+Items!$A$28)</f>
        <v>100663319</v>
      </c>
      <c r="C19" s="44" t="s">
        <v>749</v>
      </c>
      <c r="D19" s="53" t="s">
        <v>750</v>
      </c>
      <c r="E19" s="44" t="s">
        <v>681</v>
      </c>
      <c r="F19" s="44" t="s">
        <v>709</v>
      </c>
      <c r="G19" s="44">
        <v>75</v>
      </c>
      <c r="H19" s="55" t="s">
        <v>751</v>
      </c>
      <c r="I19" s="32" t="str">
        <f t="shared" si="0"/>
        <v>DA_Prefix_Sabotaging</v>
      </c>
      <c r="J19" s="32" t="str">
        <f t="shared" si="1"/>
        <v>/Game/DungeonSiege/Items/Affixes/Prefix/DA_Prefix_Sabotaging</v>
      </c>
    </row>
    <row r="20" spans="1:30" s="60" customFormat="1" x14ac:dyDescent="0.25">
      <c r="A20" s="44">
        <v>18</v>
      </c>
      <c r="B20" s="43">
        <f>HEX2DEC(A20+Items!$A$28)</f>
        <v>100663320</v>
      </c>
      <c r="C20" s="45" t="s">
        <v>752</v>
      </c>
      <c r="D20" s="50" t="s">
        <v>2192</v>
      </c>
      <c r="E20" s="45" t="s">
        <v>704</v>
      </c>
      <c r="F20" s="45" t="s">
        <v>705</v>
      </c>
      <c r="G20" s="45">
        <v>75</v>
      </c>
      <c r="H20" s="56" t="s">
        <v>754</v>
      </c>
      <c r="I20" s="33" t="str">
        <f t="shared" si="0"/>
        <v>DA_Prefix_Celebrated</v>
      </c>
      <c r="J20" s="33" t="str">
        <f t="shared" si="1"/>
        <v>/Game/DungeonSiege/Items/Affixes/Prefix/DA_Prefix_Celebrated</v>
      </c>
      <c r="V20" s="59"/>
    </row>
    <row r="21" spans="1:30" s="60" customFormat="1" x14ac:dyDescent="0.25">
      <c r="A21" s="44">
        <v>19</v>
      </c>
      <c r="B21" s="43">
        <f>HEX2DEC(A21+Items!$A$28)</f>
        <v>100663321</v>
      </c>
      <c r="C21" s="43" t="s">
        <v>755</v>
      </c>
      <c r="D21" s="42" t="s">
        <v>2193</v>
      </c>
      <c r="E21" s="43" t="s">
        <v>681</v>
      </c>
      <c r="F21" s="43" t="s">
        <v>682</v>
      </c>
      <c r="G21" s="43">
        <v>75</v>
      </c>
      <c r="H21" s="54" t="s">
        <v>756</v>
      </c>
      <c r="I21" s="32" t="str">
        <f t="shared" si="0"/>
        <v>DA_Prefix_Terrifying</v>
      </c>
      <c r="J21" s="32" t="str">
        <f t="shared" si="1"/>
        <v>/Game/DungeonSiege/Items/Affixes/Prefix/DA_Prefix_Terrifying</v>
      </c>
      <c r="W21" s="59"/>
    </row>
    <row r="22" spans="1:30" s="60" customFormat="1" x14ac:dyDescent="0.25">
      <c r="A22" s="43">
        <v>20</v>
      </c>
      <c r="B22" s="43">
        <f>HEX2DEC(A22+Items!$A$28)</f>
        <v>100663328</v>
      </c>
      <c r="C22" s="43" t="s">
        <v>757</v>
      </c>
      <c r="D22" s="42" t="s">
        <v>2194</v>
      </c>
      <c r="E22" s="43" t="s">
        <v>681</v>
      </c>
      <c r="F22" s="43" t="s">
        <v>3332</v>
      </c>
      <c r="G22" s="43">
        <v>75</v>
      </c>
      <c r="H22" s="54" t="s">
        <v>3334</v>
      </c>
      <c r="I22" s="32" t="str">
        <f t="shared" si="0"/>
        <v>DA_Prefix_Gaseous</v>
      </c>
      <c r="J22" s="32" t="str">
        <f t="shared" si="1"/>
        <v>/Game/DungeonSiege/Items/Affixes/Prefix/DA_Prefix_Gaseous</v>
      </c>
      <c r="X22" s="59"/>
    </row>
    <row r="23" spans="1:30" s="60" customFormat="1" x14ac:dyDescent="0.25">
      <c r="A23" s="43">
        <v>21</v>
      </c>
      <c r="B23" s="43">
        <f>HEX2DEC(A23+Items!$A$28)</f>
        <v>100663329</v>
      </c>
      <c r="C23" s="45" t="s">
        <v>758</v>
      </c>
      <c r="D23" s="50" t="s">
        <v>2195</v>
      </c>
      <c r="E23" s="45" t="s">
        <v>704</v>
      </c>
      <c r="F23" s="45" t="s">
        <v>705</v>
      </c>
      <c r="G23" s="45">
        <v>74</v>
      </c>
      <c r="H23" s="56" t="s">
        <v>759</v>
      </c>
      <c r="I23" s="33" t="str">
        <f t="shared" si="0"/>
        <v>DA_Prefix_Praised</v>
      </c>
      <c r="J23" s="33" t="str">
        <f t="shared" si="1"/>
        <v>/Game/DungeonSiege/Items/Affixes/Prefix/DA_Prefix_Praised</v>
      </c>
      <c r="Z23" s="59"/>
    </row>
    <row r="24" spans="1:30" s="60" customFormat="1" x14ac:dyDescent="0.25">
      <c r="A24" s="44">
        <v>22</v>
      </c>
      <c r="B24" s="43">
        <f>HEX2DEC(A24+Items!$A$28)</f>
        <v>100663330</v>
      </c>
      <c r="C24" s="44" t="s">
        <v>760</v>
      </c>
      <c r="D24" s="53" t="s">
        <v>761</v>
      </c>
      <c r="E24" s="44" t="s">
        <v>681</v>
      </c>
      <c r="F24" s="44" t="s">
        <v>762</v>
      </c>
      <c r="G24" s="44">
        <v>72</v>
      </c>
      <c r="H24" s="55" t="s">
        <v>763</v>
      </c>
      <c r="I24" s="32" t="str">
        <f t="shared" si="0"/>
        <v>DA_Prefix_Cunning</v>
      </c>
      <c r="J24" s="32" t="str">
        <f t="shared" si="1"/>
        <v>/Game/DungeonSiege/Items/Affixes/Prefix/DA_Prefix_Cunning</v>
      </c>
    </row>
    <row r="25" spans="1:30" s="60" customFormat="1" x14ac:dyDescent="0.25">
      <c r="A25" s="44">
        <v>23</v>
      </c>
      <c r="B25" s="43">
        <f>HEX2DEC(A25+Items!$A$28)</f>
        <v>100663331</v>
      </c>
      <c r="C25" s="45" t="s">
        <v>764</v>
      </c>
      <c r="D25" s="50" t="s">
        <v>2196</v>
      </c>
      <c r="E25" s="45" t="s">
        <v>704</v>
      </c>
      <c r="F25" s="45" t="s">
        <v>705</v>
      </c>
      <c r="G25" s="45">
        <v>72</v>
      </c>
      <c r="H25" s="56" t="s">
        <v>765</v>
      </c>
      <c r="I25" s="33" t="str">
        <f t="shared" si="0"/>
        <v>DA_Prefix_Utmost</v>
      </c>
      <c r="J25" s="33" t="str">
        <f t="shared" si="1"/>
        <v>/Game/DungeonSiege/Items/Affixes/Prefix/DA_Prefix_Utmost</v>
      </c>
      <c r="AA25" s="59"/>
    </row>
    <row r="26" spans="1:30" s="60" customFormat="1" ht="22.5" x14ac:dyDescent="0.25">
      <c r="A26" s="43">
        <v>24</v>
      </c>
      <c r="B26" s="43">
        <f>HEX2DEC(A26+Items!$A$28)</f>
        <v>100663332</v>
      </c>
      <c r="C26" s="45" t="s">
        <v>766</v>
      </c>
      <c r="D26" s="50" t="s">
        <v>2197</v>
      </c>
      <c r="E26" s="45" t="s">
        <v>704</v>
      </c>
      <c r="F26" s="45" t="s">
        <v>768</v>
      </c>
      <c r="G26" s="45">
        <v>71</v>
      </c>
      <c r="H26" s="56" t="s">
        <v>769</v>
      </c>
      <c r="I26" s="33" t="str">
        <f t="shared" si="0"/>
        <v>DA_Prefix_Unparalleled</v>
      </c>
      <c r="J26" s="33" t="str">
        <f t="shared" si="1"/>
        <v>/Game/DungeonSiege/Items/Affixes/Prefix/DA_Prefix_Unparalleled</v>
      </c>
      <c r="AB26" s="59"/>
    </row>
    <row r="27" spans="1:30" s="60" customFormat="1" x14ac:dyDescent="0.25">
      <c r="A27" s="43">
        <v>25</v>
      </c>
      <c r="B27" s="43">
        <f>HEX2DEC(A27+Items!$A$28)</f>
        <v>100663333</v>
      </c>
      <c r="C27" s="44" t="s">
        <v>770</v>
      </c>
      <c r="D27" s="53" t="s">
        <v>771</v>
      </c>
      <c r="E27" s="44" t="s">
        <v>681</v>
      </c>
      <c r="F27" s="44" t="s">
        <v>719</v>
      </c>
      <c r="G27" s="44">
        <v>70</v>
      </c>
      <c r="H27" s="55" t="s">
        <v>772</v>
      </c>
      <c r="I27" s="32" t="str">
        <f t="shared" si="0"/>
        <v>DA_Prefix_Rushing</v>
      </c>
      <c r="J27" s="32" t="str">
        <f t="shared" si="1"/>
        <v>/Game/DungeonSiege/Items/Affixes/Prefix/DA_Prefix_Rushing</v>
      </c>
    </row>
    <row r="28" spans="1:30" s="60" customFormat="1" x14ac:dyDescent="0.25">
      <c r="A28" s="44">
        <v>26</v>
      </c>
      <c r="B28" s="43">
        <f>HEX2DEC(A28+Items!$A$28)</f>
        <v>100663334</v>
      </c>
      <c r="C28" s="44" t="s">
        <v>773</v>
      </c>
      <c r="D28" s="53" t="s">
        <v>774</v>
      </c>
      <c r="E28" s="44" t="s">
        <v>681</v>
      </c>
      <c r="F28" s="44" t="s">
        <v>694</v>
      </c>
      <c r="G28" s="44">
        <v>70</v>
      </c>
      <c r="H28" s="55" t="s">
        <v>775</v>
      </c>
      <c r="I28" s="32" t="str">
        <f t="shared" si="0"/>
        <v>DA_Prefix_Combating</v>
      </c>
      <c r="J28" s="32" t="str">
        <f t="shared" si="1"/>
        <v>/Game/DungeonSiege/Items/Affixes/Prefix/DA_Prefix_Combating</v>
      </c>
    </row>
    <row r="29" spans="1:30" s="60" customFormat="1" x14ac:dyDescent="0.25">
      <c r="A29" s="44">
        <v>27</v>
      </c>
      <c r="B29" s="43">
        <f>HEX2DEC(A29+Items!$A$28)</f>
        <v>100663335</v>
      </c>
      <c r="C29" s="45" t="s">
        <v>776</v>
      </c>
      <c r="D29" s="50" t="s">
        <v>2198</v>
      </c>
      <c r="E29" s="45" t="s">
        <v>704</v>
      </c>
      <c r="F29" s="45" t="s">
        <v>705</v>
      </c>
      <c r="G29" s="45">
        <v>68</v>
      </c>
      <c r="H29" s="56" t="s">
        <v>777</v>
      </c>
      <c r="I29" s="33" t="str">
        <f t="shared" si="0"/>
        <v>DA_Prefix_elevated</v>
      </c>
      <c r="J29" s="33" t="str">
        <f t="shared" si="1"/>
        <v>/Game/DungeonSiege/Items/Affixes/Prefix/DA_Prefix_elevated</v>
      </c>
      <c r="AC29" s="59"/>
    </row>
    <row r="30" spans="1:30" s="60" customFormat="1" x14ac:dyDescent="0.25">
      <c r="A30" s="43">
        <v>28</v>
      </c>
      <c r="B30" s="43">
        <f>HEX2DEC(A30+Items!$A$28)</f>
        <v>100663336</v>
      </c>
      <c r="C30" s="44" t="s">
        <v>778</v>
      </c>
      <c r="D30" s="53" t="s">
        <v>779</v>
      </c>
      <c r="E30" s="44" t="s">
        <v>681</v>
      </c>
      <c r="F30" s="44" t="s">
        <v>694</v>
      </c>
      <c r="G30" s="44">
        <v>67</v>
      </c>
      <c r="H30" s="55" t="s">
        <v>780</v>
      </c>
      <c r="I30" s="32" t="str">
        <f t="shared" si="0"/>
        <v>DA_Prefix_Pristine</v>
      </c>
      <c r="J30" s="32" t="str">
        <f t="shared" si="1"/>
        <v>/Game/DungeonSiege/Items/Affixes/Prefix/DA_Prefix_Pristine</v>
      </c>
    </row>
    <row r="31" spans="1:30" s="60" customFormat="1" x14ac:dyDescent="0.25">
      <c r="A31" s="43">
        <v>29</v>
      </c>
      <c r="B31" s="43">
        <f>HEX2DEC(A31+Items!$A$28)</f>
        <v>100663337</v>
      </c>
      <c r="C31" s="45" t="s">
        <v>781</v>
      </c>
      <c r="D31" s="50" t="s">
        <v>2199</v>
      </c>
      <c r="E31" s="45" t="s">
        <v>704</v>
      </c>
      <c r="F31" s="45" t="s">
        <v>705</v>
      </c>
      <c r="G31" s="45">
        <v>67</v>
      </c>
      <c r="H31" s="56" t="s">
        <v>782</v>
      </c>
      <c r="I31" s="33" t="str">
        <f t="shared" si="0"/>
        <v>DA_Prefix_Sublime</v>
      </c>
      <c r="J31" s="33" t="str">
        <f t="shared" si="1"/>
        <v>/Game/DungeonSiege/Items/Affixes/Prefix/DA_Prefix_Sublime</v>
      </c>
      <c r="AD31" s="59"/>
    </row>
    <row r="32" spans="1:30" s="60" customFormat="1" x14ac:dyDescent="0.25">
      <c r="A32" s="44">
        <v>30</v>
      </c>
      <c r="B32" s="43">
        <f>HEX2DEC(A32+Items!$A$28)</f>
        <v>100663344</v>
      </c>
      <c r="C32" s="44" t="s">
        <v>783</v>
      </c>
      <c r="D32" s="53" t="s">
        <v>784</v>
      </c>
      <c r="E32" s="44" t="s">
        <v>681</v>
      </c>
      <c r="F32" s="44" t="s">
        <v>762</v>
      </c>
      <c r="G32" s="44">
        <v>65</v>
      </c>
      <c r="H32" s="55" t="s">
        <v>785</v>
      </c>
      <c r="I32" s="32" t="str">
        <f t="shared" si="0"/>
        <v>DA_Prefix_Defiant</v>
      </c>
      <c r="J32" s="32" t="str">
        <f t="shared" si="1"/>
        <v>/Game/DungeonSiege/Items/Affixes/Prefix/DA_Prefix_Defiant</v>
      </c>
    </row>
    <row r="33" spans="1:41" s="60" customFormat="1" x14ac:dyDescent="0.25">
      <c r="A33" s="44">
        <v>31</v>
      </c>
      <c r="B33" s="43">
        <f>HEX2DEC(A33+Items!$A$28)</f>
        <v>100663345</v>
      </c>
      <c r="C33" s="44" t="s">
        <v>333</v>
      </c>
      <c r="D33" s="53" t="s">
        <v>332</v>
      </c>
      <c r="E33" s="44" t="s">
        <v>681</v>
      </c>
      <c r="F33" s="44" t="s">
        <v>786</v>
      </c>
      <c r="G33" s="44">
        <v>65</v>
      </c>
      <c r="H33" s="55" t="s">
        <v>331</v>
      </c>
      <c r="I33" s="32" t="str">
        <f t="shared" si="0"/>
        <v>DA_Prefix_Merciless</v>
      </c>
      <c r="J33" s="32" t="str">
        <f t="shared" si="1"/>
        <v>/Game/DungeonSiege/Items/Affixes/Prefix/DA_Prefix_Merciless</v>
      </c>
    </row>
    <row r="34" spans="1:41" s="60" customFormat="1" x14ac:dyDescent="0.25">
      <c r="A34" s="43">
        <v>32</v>
      </c>
      <c r="B34" s="43">
        <f>HEX2DEC(A34+Items!$A$28)</f>
        <v>100663346</v>
      </c>
      <c r="C34" s="45" t="s">
        <v>787</v>
      </c>
      <c r="D34" s="50" t="s">
        <v>2200</v>
      </c>
      <c r="E34" s="45" t="s">
        <v>704</v>
      </c>
      <c r="F34" s="45" t="s">
        <v>705</v>
      </c>
      <c r="G34" s="45">
        <v>65</v>
      </c>
      <c r="H34" s="56" t="s">
        <v>789</v>
      </c>
      <c r="I34" s="33" t="str">
        <f t="shared" si="0"/>
        <v>DA_Prefix_Revered</v>
      </c>
      <c r="J34" s="33" t="str">
        <f t="shared" si="1"/>
        <v>/Game/DungeonSiege/Items/Affixes/Prefix/DA_Prefix_Revered</v>
      </c>
      <c r="AE34" s="59"/>
    </row>
    <row r="35" spans="1:41" s="60" customFormat="1" x14ac:dyDescent="0.25">
      <c r="A35" s="43">
        <v>33</v>
      </c>
      <c r="B35" s="43">
        <f>HEX2DEC(A35+Items!$A$28)</f>
        <v>100663347</v>
      </c>
      <c r="C35" s="44" t="s">
        <v>790</v>
      </c>
      <c r="D35" s="53" t="s">
        <v>791</v>
      </c>
      <c r="E35" s="44" t="s">
        <v>681</v>
      </c>
      <c r="F35" s="44" t="s">
        <v>690</v>
      </c>
      <c r="G35" s="44">
        <v>63</v>
      </c>
      <c r="H35" s="55" t="s">
        <v>792</v>
      </c>
      <c r="I35" s="32" t="str">
        <f t="shared" si="0"/>
        <v>DA_Prefix_Husky</v>
      </c>
      <c r="J35" s="32" t="str">
        <f t="shared" si="1"/>
        <v>/Game/DungeonSiege/Items/Affixes/Prefix/DA_Prefix_Husky</v>
      </c>
    </row>
    <row r="36" spans="1:41" s="60" customFormat="1" ht="22.5" x14ac:dyDescent="0.25">
      <c r="A36" s="44">
        <v>34</v>
      </c>
      <c r="B36" s="43">
        <f>HEX2DEC(A36+Items!$A$28)</f>
        <v>100663348</v>
      </c>
      <c r="C36" s="45" t="s">
        <v>793</v>
      </c>
      <c r="D36" s="50" t="s">
        <v>2201</v>
      </c>
      <c r="E36" s="45" t="s">
        <v>704</v>
      </c>
      <c r="F36" s="45" t="s">
        <v>686</v>
      </c>
      <c r="G36" s="45">
        <v>62</v>
      </c>
      <c r="H36" s="56" t="s">
        <v>795</v>
      </c>
      <c r="I36" s="33" t="str">
        <f t="shared" si="0"/>
        <v>DA_Prefix_Unequivocal</v>
      </c>
      <c r="J36" s="33" t="str">
        <f t="shared" si="1"/>
        <v>/Game/DungeonSiege/Items/Affixes/Prefix/DA_Prefix_Unequivocal</v>
      </c>
      <c r="AF36" s="59"/>
    </row>
    <row r="37" spans="1:41" s="60" customFormat="1" x14ac:dyDescent="0.25">
      <c r="A37" s="44">
        <v>35</v>
      </c>
      <c r="B37" s="43">
        <f>HEX2DEC(A37+Items!$A$28)</f>
        <v>100663349</v>
      </c>
      <c r="C37" s="45" t="s">
        <v>796</v>
      </c>
      <c r="D37" s="50" t="s">
        <v>2202</v>
      </c>
      <c r="E37" s="45" t="s">
        <v>704</v>
      </c>
      <c r="F37" s="45" t="s">
        <v>682</v>
      </c>
      <c r="G37" s="45">
        <v>61</v>
      </c>
      <c r="H37" s="56" t="s">
        <v>798</v>
      </c>
      <c r="I37" s="33" t="str">
        <f t="shared" si="0"/>
        <v>DA_Prefix_Esteemed</v>
      </c>
      <c r="J37" s="33" t="str">
        <f t="shared" si="1"/>
        <v>/Game/DungeonSiege/Items/Affixes/Prefix/DA_Prefix_Esteemed</v>
      </c>
      <c r="AG37" s="59"/>
    </row>
    <row r="38" spans="1:41" s="60" customFormat="1" ht="22.5" x14ac:dyDescent="0.25">
      <c r="A38" s="43">
        <v>36</v>
      </c>
      <c r="B38" s="43">
        <f>HEX2DEC(A38+Items!$A$28)</f>
        <v>100663350</v>
      </c>
      <c r="C38" s="45" t="s">
        <v>799</v>
      </c>
      <c r="D38" s="50" t="s">
        <v>2203</v>
      </c>
      <c r="E38" s="45" t="s">
        <v>704</v>
      </c>
      <c r="F38" s="45" t="s">
        <v>705</v>
      </c>
      <c r="G38" s="45">
        <v>61</v>
      </c>
      <c r="H38" s="56" t="s">
        <v>802</v>
      </c>
      <c r="I38" s="33" t="str">
        <f t="shared" si="0"/>
        <v>DA_Prefix_Distinguished</v>
      </c>
      <c r="J38" s="33" t="str">
        <f t="shared" si="1"/>
        <v>/Game/DungeonSiege/Items/Affixes/Prefix/DA_Prefix_Distinguished</v>
      </c>
      <c r="AH38" s="59"/>
    </row>
    <row r="39" spans="1:41" s="60" customFormat="1" x14ac:dyDescent="0.25">
      <c r="A39" s="43">
        <v>37</v>
      </c>
      <c r="B39" s="43">
        <f>HEX2DEC(A39+Items!$A$28)</f>
        <v>100663351</v>
      </c>
      <c r="C39" s="45" t="s">
        <v>803</v>
      </c>
      <c r="D39" s="50" t="s">
        <v>2204</v>
      </c>
      <c r="E39" s="45" t="s">
        <v>704</v>
      </c>
      <c r="F39" s="45" t="s">
        <v>686</v>
      </c>
      <c r="G39" s="45">
        <v>61</v>
      </c>
      <c r="H39" s="56" t="s">
        <v>806</v>
      </c>
      <c r="I39" s="33" t="str">
        <f t="shared" si="0"/>
        <v>DA_Prefix_Acclaimed</v>
      </c>
      <c r="J39" s="33" t="str">
        <f t="shared" si="1"/>
        <v>/Game/DungeonSiege/Items/Affixes/Prefix/DA_Prefix_Acclaimed</v>
      </c>
      <c r="AI39" s="59"/>
    </row>
    <row r="40" spans="1:41" s="60" customFormat="1" x14ac:dyDescent="0.25">
      <c r="A40" s="44">
        <v>38</v>
      </c>
      <c r="B40" s="43">
        <f>HEX2DEC(A40+Items!$A$28)</f>
        <v>100663352</v>
      </c>
      <c r="C40" s="44" t="s">
        <v>807</v>
      </c>
      <c r="D40" s="53" t="s">
        <v>808</v>
      </c>
      <c r="E40" s="44" t="s">
        <v>681</v>
      </c>
      <c r="F40" s="44" t="s">
        <v>809</v>
      </c>
      <c r="G40" s="44">
        <v>60</v>
      </c>
      <c r="H40" s="55" t="s">
        <v>810</v>
      </c>
      <c r="I40" s="32" t="str">
        <f t="shared" si="0"/>
        <v>DA_Prefix_Impeding</v>
      </c>
      <c r="J40" s="32" t="str">
        <f t="shared" si="1"/>
        <v>/Game/DungeonSiege/Items/Affixes/Prefix/DA_Prefix_Impeding</v>
      </c>
    </row>
    <row r="41" spans="1:41" s="60" customFormat="1" x14ac:dyDescent="0.25">
      <c r="A41" s="44">
        <v>39</v>
      </c>
      <c r="B41" s="43">
        <f>HEX2DEC(A41+Items!$A$28)</f>
        <v>100663353</v>
      </c>
      <c r="C41" s="43" t="s">
        <v>811</v>
      </c>
      <c r="D41" s="42" t="s">
        <v>2205</v>
      </c>
      <c r="E41" s="43" t="s">
        <v>681</v>
      </c>
      <c r="F41" s="43" t="s">
        <v>3332</v>
      </c>
      <c r="G41" s="43">
        <v>60</v>
      </c>
      <c r="H41" s="54" t="s">
        <v>3347</v>
      </c>
      <c r="I41" s="32" t="str">
        <f t="shared" si="0"/>
        <v>DA_Prefix_Mephitic</v>
      </c>
      <c r="J41" s="32" t="str">
        <f t="shared" si="1"/>
        <v>/Game/DungeonSiege/Items/Affixes/Prefix/DA_Prefix_Mephitic</v>
      </c>
      <c r="AJ41" s="59"/>
    </row>
    <row r="42" spans="1:41" s="60" customFormat="1" x14ac:dyDescent="0.25">
      <c r="A42" s="43">
        <v>40</v>
      </c>
      <c r="B42" s="43">
        <f>HEX2DEC(A42+Items!$A$28)</f>
        <v>100663360</v>
      </c>
      <c r="C42" s="44" t="s">
        <v>812</v>
      </c>
      <c r="D42" s="53" t="s">
        <v>329</v>
      </c>
      <c r="E42" s="44" t="s">
        <v>681</v>
      </c>
      <c r="F42" s="44" t="s">
        <v>813</v>
      </c>
      <c r="G42" s="44">
        <v>60</v>
      </c>
      <c r="H42" s="55" t="s">
        <v>328</v>
      </c>
      <c r="I42" s="32" t="str">
        <f t="shared" si="0"/>
        <v>DA_Prefix_glacial</v>
      </c>
      <c r="J42" s="32" t="str">
        <f t="shared" si="1"/>
        <v>/Game/DungeonSiege/Items/Affixes/Prefix/DA_Prefix_glacial</v>
      </c>
    </row>
    <row r="43" spans="1:41" s="60" customFormat="1" x14ac:dyDescent="0.25">
      <c r="A43" s="43">
        <v>41</v>
      </c>
      <c r="B43" s="43">
        <f>HEX2DEC(A43+Items!$A$28)</f>
        <v>100663361</v>
      </c>
      <c r="C43" s="44" t="s">
        <v>814</v>
      </c>
      <c r="D43" s="53" t="s">
        <v>326</v>
      </c>
      <c r="E43" s="44" t="s">
        <v>681</v>
      </c>
      <c r="F43" s="44" t="s">
        <v>813</v>
      </c>
      <c r="G43" s="44">
        <v>60</v>
      </c>
      <c r="H43" s="55" t="s">
        <v>325</v>
      </c>
      <c r="I43" s="32" t="str">
        <f t="shared" si="0"/>
        <v>DA_Prefix_scorched</v>
      </c>
      <c r="J43" s="32" t="str">
        <f t="shared" si="1"/>
        <v>/Game/DungeonSiege/Items/Affixes/Prefix/DA_Prefix_scorched</v>
      </c>
    </row>
    <row r="44" spans="1:41" s="60" customFormat="1" x14ac:dyDescent="0.25">
      <c r="A44" s="44">
        <v>42</v>
      </c>
      <c r="B44" s="43">
        <f>HEX2DEC(A44+Items!$A$28)</f>
        <v>100663362</v>
      </c>
      <c r="C44" s="44" t="s">
        <v>815</v>
      </c>
      <c r="D44" s="53" t="s">
        <v>323</v>
      </c>
      <c r="E44" s="44" t="s">
        <v>681</v>
      </c>
      <c r="F44" s="44" t="s">
        <v>813</v>
      </c>
      <c r="G44" s="44">
        <v>60</v>
      </c>
      <c r="H44" s="55" t="s">
        <v>322</v>
      </c>
      <c r="I44" s="32" t="str">
        <f t="shared" si="0"/>
        <v>DA_Prefix_shocking</v>
      </c>
      <c r="J44" s="32" t="str">
        <f t="shared" si="1"/>
        <v>/Game/DungeonSiege/Items/Affixes/Prefix/DA_Prefix_shocking</v>
      </c>
    </row>
    <row r="45" spans="1:41" s="60" customFormat="1" x14ac:dyDescent="0.25">
      <c r="A45" s="44">
        <v>43</v>
      </c>
      <c r="B45" s="43">
        <f>HEX2DEC(A45+Items!$A$28)</f>
        <v>100663363</v>
      </c>
      <c r="C45" s="43" t="s">
        <v>816</v>
      </c>
      <c r="D45" s="42" t="s">
        <v>2206</v>
      </c>
      <c r="E45" s="43" t="s">
        <v>681</v>
      </c>
      <c r="F45" s="43" t="s">
        <v>3332</v>
      </c>
      <c r="G45" s="43">
        <v>60</v>
      </c>
      <c r="H45" s="54" t="s">
        <v>3346</v>
      </c>
      <c r="I45" s="32" t="str">
        <f t="shared" si="0"/>
        <v>DA_Prefix_Petrifying</v>
      </c>
      <c r="J45" s="32" t="str">
        <f t="shared" si="1"/>
        <v>/Game/DungeonSiege/Items/Affixes/Prefix/DA_Prefix_Petrifying</v>
      </c>
      <c r="AL45" s="59"/>
    </row>
    <row r="46" spans="1:41" s="60" customFormat="1" x14ac:dyDescent="0.25">
      <c r="A46" s="43">
        <v>44</v>
      </c>
      <c r="B46" s="43">
        <f>HEX2DEC(A46+Items!$A$28)</f>
        <v>100663364</v>
      </c>
      <c r="C46" s="44" t="s">
        <v>817</v>
      </c>
      <c r="D46" s="53" t="s">
        <v>818</v>
      </c>
      <c r="E46" s="44" t="s">
        <v>681</v>
      </c>
      <c r="F46" s="44" t="s">
        <v>819</v>
      </c>
      <c r="G46" s="44">
        <v>58</v>
      </c>
      <c r="H46" s="55" t="s">
        <v>820</v>
      </c>
      <c r="I46" s="32" t="str">
        <f t="shared" si="0"/>
        <v>DA_Prefix_Tenacious</v>
      </c>
      <c r="J46" s="32" t="str">
        <f t="shared" si="1"/>
        <v>/Game/DungeonSiege/Items/Affixes/Prefix/DA_Prefix_Tenacious</v>
      </c>
    </row>
    <row r="47" spans="1:41" s="60" customFormat="1" x14ac:dyDescent="0.25">
      <c r="A47" s="43">
        <v>45</v>
      </c>
      <c r="B47" s="43">
        <f>HEX2DEC(A47+Items!$A$28)</f>
        <v>100663365</v>
      </c>
      <c r="C47" s="45" t="s">
        <v>821</v>
      </c>
      <c r="D47" s="50" t="s">
        <v>2207</v>
      </c>
      <c r="E47" s="45" t="s">
        <v>704</v>
      </c>
      <c r="F47" s="45" t="s">
        <v>705</v>
      </c>
      <c r="G47" s="45">
        <v>57</v>
      </c>
      <c r="H47" s="56" t="s">
        <v>822</v>
      </c>
      <c r="I47" s="33" t="str">
        <f t="shared" si="0"/>
        <v>DA_Prefix_Majestic</v>
      </c>
      <c r="J47" s="33" t="str">
        <f t="shared" si="1"/>
        <v>/Game/DungeonSiege/Items/Affixes/Prefix/DA_Prefix_Majestic</v>
      </c>
      <c r="AN47" s="59"/>
    </row>
    <row r="48" spans="1:41" s="60" customFormat="1" x14ac:dyDescent="0.25">
      <c r="A48" s="44">
        <v>46</v>
      </c>
      <c r="B48" s="43">
        <f>HEX2DEC(A48+Items!$A$28)</f>
        <v>100663366</v>
      </c>
      <c r="C48" s="45" t="s">
        <v>823</v>
      </c>
      <c r="D48" s="50" t="s">
        <v>2208</v>
      </c>
      <c r="E48" s="45" t="s">
        <v>704</v>
      </c>
      <c r="F48" s="45" t="s">
        <v>682</v>
      </c>
      <c r="G48" s="45">
        <v>56</v>
      </c>
      <c r="H48" s="56" t="s">
        <v>825</v>
      </c>
      <c r="I48" s="33" t="str">
        <f t="shared" si="0"/>
        <v>DA_Prefix_Radiant</v>
      </c>
      <c r="J48" s="33" t="str">
        <f t="shared" si="1"/>
        <v>/Game/DungeonSiege/Items/Affixes/Prefix/DA_Prefix_Radiant</v>
      </c>
      <c r="AO48" s="59"/>
    </row>
    <row r="49" spans="1:48" s="60" customFormat="1" x14ac:dyDescent="0.25">
      <c r="A49" s="44">
        <v>47</v>
      </c>
      <c r="B49" s="43">
        <f>HEX2DEC(A49+Items!$A$28)</f>
        <v>100663367</v>
      </c>
      <c r="C49" s="45" t="s">
        <v>826</v>
      </c>
      <c r="D49" s="50" t="s">
        <v>2209</v>
      </c>
      <c r="E49" s="45" t="s">
        <v>704</v>
      </c>
      <c r="F49" s="45" t="s">
        <v>705</v>
      </c>
      <c r="G49" s="45">
        <v>56</v>
      </c>
      <c r="H49" s="56" t="s">
        <v>828</v>
      </c>
      <c r="I49" s="33" t="str">
        <f t="shared" si="0"/>
        <v>DA_Prefix_Prized</v>
      </c>
      <c r="J49" s="33" t="str">
        <f t="shared" si="1"/>
        <v>/Game/DungeonSiege/Items/Affixes/Prefix/DA_Prefix_Prized</v>
      </c>
      <c r="AP49" s="59"/>
    </row>
    <row r="50" spans="1:48" s="60" customFormat="1" ht="22.5" x14ac:dyDescent="0.25">
      <c r="A50" s="43">
        <v>48</v>
      </c>
      <c r="B50" s="43">
        <f>HEX2DEC(A50+Items!$A$28)</f>
        <v>100663368</v>
      </c>
      <c r="C50" s="44" t="s">
        <v>829</v>
      </c>
      <c r="D50" s="53" t="s">
        <v>680</v>
      </c>
      <c r="E50" s="44" t="s">
        <v>681</v>
      </c>
      <c r="F50" s="44" t="s">
        <v>709</v>
      </c>
      <c r="G50" s="44">
        <v>55</v>
      </c>
      <c r="H50" s="55" t="s">
        <v>830</v>
      </c>
      <c r="I50" s="32" t="str">
        <f t="shared" si="0"/>
        <v>DA_Prefix_Demolishing</v>
      </c>
      <c r="J50" s="32" t="str">
        <f t="shared" si="1"/>
        <v>/Game/DungeonSiege/Items/Affixes/Prefix/DA_Prefix_Demolishing</v>
      </c>
    </row>
    <row r="51" spans="1:48" s="60" customFormat="1" x14ac:dyDescent="0.25">
      <c r="A51" s="43">
        <v>49</v>
      </c>
      <c r="B51" s="43">
        <f>HEX2DEC(A51+Items!$A$28)</f>
        <v>100663369</v>
      </c>
      <c r="C51" s="43" t="s">
        <v>831</v>
      </c>
      <c r="D51" s="42" t="s">
        <v>2210</v>
      </c>
      <c r="E51" s="43" t="s">
        <v>681</v>
      </c>
      <c r="F51" s="43" t="s">
        <v>3332</v>
      </c>
      <c r="G51" s="43">
        <v>55</v>
      </c>
      <c r="H51" s="54" t="s">
        <v>3345</v>
      </c>
      <c r="I51" s="32" t="str">
        <f t="shared" si="0"/>
        <v>DA_Prefix_Dissolving</v>
      </c>
      <c r="J51" s="32" t="str">
        <f t="shared" si="1"/>
        <v>/Game/DungeonSiege/Items/Affixes/Prefix/DA_Prefix_Dissolving</v>
      </c>
      <c r="AQ51" s="59"/>
    </row>
    <row r="52" spans="1:48" s="60" customFormat="1" ht="22.5" x14ac:dyDescent="0.25">
      <c r="A52" s="44">
        <v>50</v>
      </c>
      <c r="B52" s="43">
        <f>HEX2DEC(A52+Items!$A$28)</f>
        <v>100663376</v>
      </c>
      <c r="C52" s="44" t="s">
        <v>321</v>
      </c>
      <c r="D52" s="53" t="s">
        <v>320</v>
      </c>
      <c r="E52" s="44" t="s">
        <v>681</v>
      </c>
      <c r="F52" s="44" t="s">
        <v>813</v>
      </c>
      <c r="G52" s="44">
        <v>55</v>
      </c>
      <c r="H52" s="55" t="s">
        <v>319</v>
      </c>
      <c r="I52" s="32" t="str">
        <f t="shared" si="0"/>
        <v>DA_Prefix_Steel_Bound</v>
      </c>
      <c r="J52" s="32" t="str">
        <f t="shared" si="1"/>
        <v>/Game/DungeonSiege/Items/Affixes/Prefix/DA_Prefix_Steel_Bound</v>
      </c>
    </row>
    <row r="53" spans="1:48" s="60" customFormat="1" x14ac:dyDescent="0.25">
      <c r="A53" s="44">
        <v>51</v>
      </c>
      <c r="B53" s="43">
        <f>HEX2DEC(A53+Items!$A$28)</f>
        <v>100663377</v>
      </c>
      <c r="C53" s="44" t="s">
        <v>832</v>
      </c>
      <c r="D53" s="53" t="s">
        <v>684</v>
      </c>
      <c r="E53" s="44" t="s">
        <v>681</v>
      </c>
      <c r="F53" s="44" t="s">
        <v>719</v>
      </c>
      <c r="G53" s="44">
        <v>54</v>
      </c>
      <c r="H53" s="55" t="s">
        <v>833</v>
      </c>
      <c r="I53" s="32" t="str">
        <f t="shared" si="0"/>
        <v>DA_Prefix_Arching</v>
      </c>
      <c r="J53" s="32" t="str">
        <f t="shared" si="1"/>
        <v>/Game/DungeonSiege/Items/Affixes/Prefix/DA_Prefix_Arching</v>
      </c>
    </row>
    <row r="54" spans="1:48" s="60" customFormat="1" x14ac:dyDescent="0.25">
      <c r="A54" s="43">
        <v>52</v>
      </c>
      <c r="B54" s="43">
        <f>HEX2DEC(A54+Items!$A$28)</f>
        <v>100663378</v>
      </c>
      <c r="C54" s="44" t="s">
        <v>834</v>
      </c>
      <c r="D54" s="53" t="s">
        <v>317</v>
      </c>
      <c r="E54" s="44" t="s">
        <v>681</v>
      </c>
      <c r="F54" s="44" t="s">
        <v>694</v>
      </c>
      <c r="G54" s="44">
        <v>54</v>
      </c>
      <c r="H54" s="55" t="s">
        <v>835</v>
      </c>
      <c r="I54" s="32" t="str">
        <f t="shared" si="0"/>
        <v>DA_Prefix_Essential</v>
      </c>
      <c r="J54" s="32" t="str">
        <f t="shared" si="1"/>
        <v>/Game/DungeonSiege/Items/Affixes/Prefix/DA_Prefix_Essential</v>
      </c>
    </row>
    <row r="55" spans="1:48" s="60" customFormat="1" ht="22.5" x14ac:dyDescent="0.25">
      <c r="A55" s="43">
        <v>53</v>
      </c>
      <c r="B55" s="43">
        <f>HEX2DEC(A55+Items!$A$28)</f>
        <v>100663379</v>
      </c>
      <c r="C55" s="44" t="s">
        <v>836</v>
      </c>
      <c r="D55" s="53" t="s">
        <v>314</v>
      </c>
      <c r="E55" s="44" t="s">
        <v>681</v>
      </c>
      <c r="F55" s="44" t="s">
        <v>694</v>
      </c>
      <c r="G55" s="44">
        <v>54</v>
      </c>
      <c r="H55" s="55" t="s">
        <v>837</v>
      </c>
      <c r="I55" s="32" t="str">
        <f t="shared" si="0"/>
        <v>DA_Prefix_Skirmishing</v>
      </c>
      <c r="J55" s="32" t="str">
        <f t="shared" si="1"/>
        <v>/Game/DungeonSiege/Items/Affixes/Prefix/DA_Prefix_Skirmishing</v>
      </c>
    </row>
    <row r="56" spans="1:48" s="60" customFormat="1" ht="22.5" x14ac:dyDescent="0.25">
      <c r="A56" s="44">
        <v>54</v>
      </c>
      <c r="B56" s="43">
        <f>HEX2DEC(A56+Items!$A$28)</f>
        <v>100663380</v>
      </c>
      <c r="C56" s="44" t="s">
        <v>838</v>
      </c>
      <c r="D56" s="53" t="s">
        <v>839</v>
      </c>
      <c r="E56" s="44" t="s">
        <v>681</v>
      </c>
      <c r="F56" s="44" t="s">
        <v>809</v>
      </c>
      <c r="G56" s="44">
        <v>54</v>
      </c>
      <c r="H56" s="55" t="s">
        <v>840</v>
      </c>
      <c r="I56" s="32" t="str">
        <f t="shared" si="0"/>
        <v>DA_Prefix_Uncompromising</v>
      </c>
      <c r="J56" s="32" t="str">
        <f t="shared" si="1"/>
        <v>/Game/DungeonSiege/Items/Affixes/Prefix/DA_Prefix_Uncompromising</v>
      </c>
    </row>
    <row r="57" spans="1:48" s="60" customFormat="1" x14ac:dyDescent="0.25">
      <c r="A57" s="44">
        <v>55</v>
      </c>
      <c r="B57" s="43">
        <f>HEX2DEC(A57+Items!$A$28)</f>
        <v>100663381</v>
      </c>
      <c r="C57" s="44" t="s">
        <v>318</v>
      </c>
      <c r="D57" s="53" t="s">
        <v>317</v>
      </c>
      <c r="E57" s="44" t="s">
        <v>681</v>
      </c>
      <c r="F57" s="44" t="s">
        <v>813</v>
      </c>
      <c r="G57" s="44">
        <v>54</v>
      </c>
      <c r="H57" s="55" t="s">
        <v>316</v>
      </c>
      <c r="I57" s="32" t="str">
        <f t="shared" si="0"/>
        <v>DA_Prefix_Natural</v>
      </c>
      <c r="J57" s="32" t="str">
        <f t="shared" si="1"/>
        <v>/Game/DungeonSiege/Items/Affixes/Prefix/DA_Prefix_Natural</v>
      </c>
    </row>
    <row r="58" spans="1:48" s="60" customFormat="1" ht="22.5" x14ac:dyDescent="0.25">
      <c r="A58" s="43">
        <v>56</v>
      </c>
      <c r="B58" s="43">
        <f>HEX2DEC(A58+Items!$A$28)</f>
        <v>100663382</v>
      </c>
      <c r="C58" s="44" t="s">
        <v>315</v>
      </c>
      <c r="D58" s="53" t="s">
        <v>314</v>
      </c>
      <c r="E58" s="44" t="s">
        <v>681</v>
      </c>
      <c r="F58" s="44" t="s">
        <v>813</v>
      </c>
      <c r="G58" s="44">
        <v>54</v>
      </c>
      <c r="H58" s="55" t="s">
        <v>313</v>
      </c>
      <c r="I58" s="32" t="str">
        <f t="shared" si="0"/>
        <v>DA_Prefix_Manufactured</v>
      </c>
      <c r="J58" s="32" t="str">
        <f t="shared" si="1"/>
        <v>/Game/DungeonSiege/Items/Affixes/Prefix/DA_Prefix_Manufactured</v>
      </c>
    </row>
    <row r="59" spans="1:48" s="60" customFormat="1" x14ac:dyDescent="0.25">
      <c r="A59" s="43">
        <v>57</v>
      </c>
      <c r="B59" s="43">
        <f>HEX2DEC(A59+Items!$A$28)</f>
        <v>100663383</v>
      </c>
      <c r="C59" s="44" t="s">
        <v>841</v>
      </c>
      <c r="D59" s="53" t="s">
        <v>842</v>
      </c>
      <c r="E59" s="44" t="s">
        <v>681</v>
      </c>
      <c r="F59" s="44" t="s">
        <v>762</v>
      </c>
      <c r="G59" s="44">
        <v>52</v>
      </c>
      <c r="H59" s="55" t="s">
        <v>843</v>
      </c>
      <c r="I59" s="32" t="str">
        <f t="shared" si="0"/>
        <v>DA_Prefix_Strategic</v>
      </c>
      <c r="J59" s="32" t="str">
        <f t="shared" si="1"/>
        <v>/Game/DungeonSiege/Items/Affixes/Prefix/DA_Prefix_Strategic</v>
      </c>
    </row>
    <row r="60" spans="1:48" s="60" customFormat="1" ht="22.5" x14ac:dyDescent="0.25">
      <c r="A60" s="44">
        <v>58</v>
      </c>
      <c r="B60" s="43">
        <f>HEX2DEC(A60+Items!$A$28)</f>
        <v>100663384</v>
      </c>
      <c r="C60" s="44" t="s">
        <v>312</v>
      </c>
      <c r="D60" s="53" t="s">
        <v>311</v>
      </c>
      <c r="E60" s="44" t="s">
        <v>681</v>
      </c>
      <c r="F60" s="44" t="s">
        <v>844</v>
      </c>
      <c r="G60" s="44">
        <v>50</v>
      </c>
      <c r="H60" s="55" t="s">
        <v>310</v>
      </c>
      <c r="I60" s="32" t="str">
        <f t="shared" si="0"/>
        <v>DA_Prefix_Unwavering</v>
      </c>
      <c r="J60" s="32" t="str">
        <f t="shared" si="1"/>
        <v>/Game/DungeonSiege/Items/Affixes/Prefix/DA_Prefix_Unwavering</v>
      </c>
    </row>
    <row r="61" spans="1:48" s="60" customFormat="1" x14ac:dyDescent="0.25">
      <c r="A61" s="44">
        <v>59</v>
      </c>
      <c r="B61" s="43">
        <f>HEX2DEC(A61+Items!$A$28)</f>
        <v>100663385</v>
      </c>
      <c r="C61" s="45" t="s">
        <v>845</v>
      </c>
      <c r="D61" s="50" t="s">
        <v>2211</v>
      </c>
      <c r="E61" s="45" t="s">
        <v>704</v>
      </c>
      <c r="F61" s="45" t="s">
        <v>705</v>
      </c>
      <c r="G61" s="45">
        <v>50</v>
      </c>
      <c r="H61" s="56" t="s">
        <v>847</v>
      </c>
      <c r="I61" s="33" t="str">
        <f t="shared" si="0"/>
        <v>DA_Prefix_Excessive</v>
      </c>
      <c r="J61" s="33" t="str">
        <f t="shared" si="1"/>
        <v>/Game/DungeonSiege/Items/Affixes/Prefix/DA_Prefix_Excessive</v>
      </c>
      <c r="AS61" s="59"/>
    </row>
    <row r="62" spans="1:48" s="60" customFormat="1" x14ac:dyDescent="0.25">
      <c r="A62" s="43">
        <v>60</v>
      </c>
      <c r="B62" s="43">
        <f>HEX2DEC(A62+Items!$A$28)</f>
        <v>100663392</v>
      </c>
      <c r="C62" s="46" t="s">
        <v>848</v>
      </c>
      <c r="D62" s="51" t="s">
        <v>2212</v>
      </c>
      <c r="E62" s="46" t="s">
        <v>850</v>
      </c>
      <c r="F62" s="46" t="s">
        <v>705</v>
      </c>
      <c r="G62" s="46">
        <v>50</v>
      </c>
      <c r="H62" s="57" t="s">
        <v>851</v>
      </c>
      <c r="I62" s="34" t="str">
        <f t="shared" ref="I62:I120" si="2">"DA_Prefix_"&amp; SUBSTITUTE(C62," ","_")</f>
        <v>DA_Prefix_Outlandish</v>
      </c>
      <c r="J62" s="34" t="str">
        <f t="shared" ref="J62:J120" si="3">"/Game/DungeonSiege/Items/Affixes/Prefix/" &amp; I62</f>
        <v>/Game/DungeonSiege/Items/Affixes/Prefix/DA_Prefix_Outlandish</v>
      </c>
      <c r="AT62" s="59"/>
    </row>
    <row r="63" spans="1:48" s="60" customFormat="1" ht="22.5" x14ac:dyDescent="0.25">
      <c r="A63" s="43">
        <v>61</v>
      </c>
      <c r="B63" s="43">
        <f>HEX2DEC(A63+Items!$A$28)</f>
        <v>100663393</v>
      </c>
      <c r="C63" s="43" t="s">
        <v>852</v>
      </c>
      <c r="D63" s="42" t="s">
        <v>2213</v>
      </c>
      <c r="E63" s="43" t="s">
        <v>681</v>
      </c>
      <c r="F63" s="43" t="s">
        <v>682</v>
      </c>
      <c r="G63" s="43">
        <v>50</v>
      </c>
      <c r="H63" s="54" t="s">
        <v>853</v>
      </c>
      <c r="I63" s="32" t="str">
        <f t="shared" si="2"/>
        <v>DA_Prefix_Frightening</v>
      </c>
      <c r="J63" s="32" t="str">
        <f t="shared" si="3"/>
        <v>/Game/DungeonSiege/Items/Affixes/Prefix/DA_Prefix_Frightening</v>
      </c>
      <c r="AU63" s="59"/>
    </row>
    <row r="64" spans="1:48" s="60" customFormat="1" ht="22.5" x14ac:dyDescent="0.25">
      <c r="A64" s="44">
        <v>62</v>
      </c>
      <c r="B64" s="43">
        <f>HEX2DEC(A64+Items!$A$28)</f>
        <v>100663394</v>
      </c>
      <c r="C64" s="43" t="s">
        <v>854</v>
      </c>
      <c r="D64" s="42" t="s">
        <v>2214</v>
      </c>
      <c r="E64" s="43" t="s">
        <v>681</v>
      </c>
      <c r="F64" s="43" t="s">
        <v>682</v>
      </c>
      <c r="G64" s="43">
        <v>50</v>
      </c>
      <c r="H64" s="54" t="s">
        <v>856</v>
      </c>
      <c r="I64" s="32" t="str">
        <f t="shared" si="2"/>
        <v>DA_Prefix_Tremendous</v>
      </c>
      <c r="J64" s="32" t="str">
        <f t="shared" si="3"/>
        <v>/Game/DungeonSiege/Items/Affixes/Prefix/DA_Prefix_Tremendous</v>
      </c>
      <c r="AV64" s="59"/>
    </row>
    <row r="65" spans="1:62" s="60" customFormat="1" x14ac:dyDescent="0.25">
      <c r="A65" s="44">
        <v>63</v>
      </c>
      <c r="B65" s="43">
        <f>HEX2DEC(A65+Items!$A$28)</f>
        <v>100663395</v>
      </c>
      <c r="C65" s="43" t="s">
        <v>857</v>
      </c>
      <c r="D65" s="42" t="s">
        <v>2215</v>
      </c>
      <c r="E65" s="43" t="s">
        <v>681</v>
      </c>
      <c r="F65" s="43" t="s">
        <v>686</v>
      </c>
      <c r="G65" s="43">
        <v>50</v>
      </c>
      <c r="H65" s="54" t="s">
        <v>859</v>
      </c>
      <c r="I65" s="32" t="str">
        <f t="shared" si="2"/>
        <v>DA_Prefix_Adroit</v>
      </c>
      <c r="J65" s="32" t="str">
        <f t="shared" si="3"/>
        <v>/Game/DungeonSiege/Items/Affixes/Prefix/DA_Prefix_Adroit</v>
      </c>
      <c r="AW65" s="59"/>
    </row>
    <row r="66" spans="1:62" s="60" customFormat="1" ht="22.5" x14ac:dyDescent="0.25">
      <c r="A66" s="43">
        <v>64</v>
      </c>
      <c r="B66" s="43">
        <f>HEX2DEC(A66+Items!$A$28)</f>
        <v>100663396</v>
      </c>
      <c r="C66" s="45" t="s">
        <v>860</v>
      </c>
      <c r="D66" s="50" t="s">
        <v>2216</v>
      </c>
      <c r="E66" s="45" t="s">
        <v>704</v>
      </c>
      <c r="F66" s="45" t="s">
        <v>705</v>
      </c>
      <c r="G66" s="45">
        <v>48</v>
      </c>
      <c r="H66" s="56" t="s">
        <v>862</v>
      </c>
      <c r="I66" s="33" t="str">
        <f t="shared" si="2"/>
        <v>DA_Prefix_Unfathomable</v>
      </c>
      <c r="J66" s="33" t="str">
        <f t="shared" si="3"/>
        <v>/Game/DungeonSiege/Items/Affixes/Prefix/DA_Prefix_Unfathomable</v>
      </c>
      <c r="AX66" s="59"/>
    </row>
    <row r="67" spans="1:62" s="60" customFormat="1" x14ac:dyDescent="0.25">
      <c r="A67" s="43">
        <v>65</v>
      </c>
      <c r="B67" s="43">
        <f>HEX2DEC(A67+Items!$A$28)</f>
        <v>100663397</v>
      </c>
      <c r="C67" s="44" t="s">
        <v>863</v>
      </c>
      <c r="D67" s="53" t="s">
        <v>864</v>
      </c>
      <c r="E67" s="44" t="s">
        <v>681</v>
      </c>
      <c r="F67" s="44" t="s">
        <v>762</v>
      </c>
      <c r="G67" s="44">
        <v>47</v>
      </c>
      <c r="H67" s="55" t="s">
        <v>865</v>
      </c>
      <c r="I67" s="32" t="str">
        <f t="shared" si="2"/>
        <v>DA_Prefix_Diverting</v>
      </c>
      <c r="J67" s="32" t="str">
        <f t="shared" si="3"/>
        <v>/Game/DungeonSiege/Items/Affixes/Prefix/DA_Prefix_Diverting</v>
      </c>
    </row>
    <row r="68" spans="1:62" s="60" customFormat="1" ht="22.5" x14ac:dyDescent="0.25">
      <c r="A68" s="44">
        <v>66</v>
      </c>
      <c r="B68" s="43">
        <f>HEX2DEC(A68+Items!$A$28)</f>
        <v>100663398</v>
      </c>
      <c r="C68" s="45" t="s">
        <v>866</v>
      </c>
      <c r="D68" s="50" t="s">
        <v>2217</v>
      </c>
      <c r="E68" s="45" t="s">
        <v>704</v>
      </c>
      <c r="F68" s="45" t="s">
        <v>705</v>
      </c>
      <c r="G68" s="45">
        <v>46</v>
      </c>
      <c r="H68" s="56" t="s">
        <v>868</v>
      </c>
      <c r="I68" s="33" t="str">
        <f t="shared" si="2"/>
        <v>DA_Prefix_Splendorous</v>
      </c>
      <c r="J68" s="33" t="str">
        <f t="shared" si="3"/>
        <v>/Game/DungeonSiege/Items/Affixes/Prefix/DA_Prefix_Splendorous</v>
      </c>
      <c r="AY68" s="59"/>
    </row>
    <row r="69" spans="1:62" s="60" customFormat="1" x14ac:dyDescent="0.25">
      <c r="A69" s="44">
        <v>67</v>
      </c>
      <c r="B69" s="43">
        <f>HEX2DEC(A69+Items!$A$28)</f>
        <v>100663399</v>
      </c>
      <c r="C69" s="46" t="s">
        <v>869</v>
      </c>
      <c r="D69" s="51" t="s">
        <v>2218</v>
      </c>
      <c r="E69" s="46" t="s">
        <v>850</v>
      </c>
      <c r="F69" s="46" t="s">
        <v>705</v>
      </c>
      <c r="G69" s="46">
        <v>46</v>
      </c>
      <c r="H69" s="57" t="s">
        <v>872</v>
      </c>
      <c r="I69" s="34" t="str">
        <f t="shared" si="2"/>
        <v>DA_Prefix_Eccentric</v>
      </c>
      <c r="J69" s="34" t="str">
        <f t="shared" si="3"/>
        <v>/Game/DungeonSiege/Items/Affixes/Prefix/DA_Prefix_Eccentric</v>
      </c>
      <c r="AZ69" s="59"/>
    </row>
    <row r="70" spans="1:62" s="60" customFormat="1" x14ac:dyDescent="0.25">
      <c r="A70" s="43">
        <v>68</v>
      </c>
      <c r="B70" s="43">
        <f>HEX2DEC(A70+Items!$A$28)</f>
        <v>100663400</v>
      </c>
      <c r="C70" s="44" t="s">
        <v>873</v>
      </c>
      <c r="D70" s="53" t="s">
        <v>874</v>
      </c>
      <c r="E70" s="44" t="s">
        <v>681</v>
      </c>
      <c r="F70" s="44" t="s">
        <v>690</v>
      </c>
      <c r="G70" s="44">
        <v>45</v>
      </c>
      <c r="H70" s="55" t="s">
        <v>875</v>
      </c>
      <c r="I70" s="32" t="str">
        <f t="shared" si="2"/>
        <v>DA_Prefix_Rugged</v>
      </c>
      <c r="J70" s="32" t="str">
        <f t="shared" si="3"/>
        <v>/Game/DungeonSiege/Items/Affixes/Prefix/DA_Prefix_Rugged</v>
      </c>
    </row>
    <row r="71" spans="1:62" s="60" customFormat="1" x14ac:dyDescent="0.25">
      <c r="A71" s="43">
        <v>69</v>
      </c>
      <c r="B71" s="43">
        <f>HEX2DEC(A71+Items!$A$28)</f>
        <v>100663401</v>
      </c>
      <c r="C71" s="45" t="s">
        <v>876</v>
      </c>
      <c r="D71" s="50" t="s">
        <v>2219</v>
      </c>
      <c r="E71" s="45" t="s">
        <v>704</v>
      </c>
      <c r="F71" s="45" t="s">
        <v>682</v>
      </c>
      <c r="G71" s="45">
        <v>45</v>
      </c>
      <c r="H71" s="56" t="s">
        <v>877</v>
      </c>
      <c r="I71" s="33" t="str">
        <f t="shared" si="2"/>
        <v>DA_Prefix_Supreme</v>
      </c>
      <c r="J71" s="33" t="str">
        <f t="shared" si="3"/>
        <v>/Game/DungeonSiege/Items/Affixes/Prefix/DA_Prefix_Supreme</v>
      </c>
      <c r="BA71" s="59"/>
    </row>
    <row r="72" spans="1:62" s="60" customFormat="1" x14ac:dyDescent="0.25">
      <c r="A72" s="44">
        <v>70</v>
      </c>
      <c r="B72" s="43">
        <f>HEX2DEC(A72+Items!$A$28)</f>
        <v>100663408</v>
      </c>
      <c r="C72" s="43" t="s">
        <v>878</v>
      </c>
      <c r="D72" s="42" t="s">
        <v>2220</v>
      </c>
      <c r="E72" s="43" t="s">
        <v>681</v>
      </c>
      <c r="F72" s="43" t="s">
        <v>3332</v>
      </c>
      <c r="G72" s="43">
        <v>45</v>
      </c>
      <c r="H72" s="54" t="s">
        <v>3344</v>
      </c>
      <c r="I72" s="32" t="str">
        <f t="shared" si="2"/>
        <v>DA_Prefix_Toxic</v>
      </c>
      <c r="J72" s="32" t="str">
        <f t="shared" si="3"/>
        <v>/Game/DungeonSiege/Items/Affixes/Prefix/DA_Prefix_Toxic</v>
      </c>
      <c r="BB72" s="59"/>
    </row>
    <row r="73" spans="1:62" s="60" customFormat="1" x14ac:dyDescent="0.25">
      <c r="A73" s="44">
        <v>71</v>
      </c>
      <c r="B73" s="43">
        <f>HEX2DEC(A73+Items!$A$28)</f>
        <v>100663409</v>
      </c>
      <c r="C73" s="43" t="s">
        <v>879</v>
      </c>
      <c r="D73" s="42" t="s">
        <v>2221</v>
      </c>
      <c r="E73" s="43" t="s">
        <v>681</v>
      </c>
      <c r="F73" s="43" t="s">
        <v>3332</v>
      </c>
      <c r="G73" s="43">
        <v>45</v>
      </c>
      <c r="H73" s="54" t="s">
        <v>3343</v>
      </c>
      <c r="I73" s="32" t="str">
        <f t="shared" si="2"/>
        <v>DA_Prefix_Stoning</v>
      </c>
      <c r="J73" s="32" t="str">
        <f t="shared" si="3"/>
        <v>/Game/DungeonSiege/Items/Affixes/Prefix/DA_Prefix_Stoning</v>
      </c>
      <c r="BD73" s="59"/>
    </row>
    <row r="74" spans="1:62" s="60" customFormat="1" x14ac:dyDescent="0.25">
      <c r="A74" s="43">
        <v>72</v>
      </c>
      <c r="B74" s="43">
        <f>HEX2DEC(A74+Items!$A$28)</f>
        <v>100663410</v>
      </c>
      <c r="C74" s="45" t="s">
        <v>880</v>
      </c>
      <c r="D74" s="50" t="s">
        <v>2222</v>
      </c>
      <c r="E74" s="45" t="s">
        <v>704</v>
      </c>
      <c r="F74" s="45" t="s">
        <v>705</v>
      </c>
      <c r="G74" s="45">
        <v>44</v>
      </c>
      <c r="H74" s="56" t="s">
        <v>882</v>
      </c>
      <c r="I74" s="33" t="str">
        <f t="shared" si="2"/>
        <v>DA_Prefix_Valued</v>
      </c>
      <c r="J74" s="33" t="str">
        <f t="shared" si="3"/>
        <v>/Game/DungeonSiege/Items/Affixes/Prefix/DA_Prefix_Valued</v>
      </c>
      <c r="BF74" s="59"/>
    </row>
    <row r="75" spans="1:62" s="60" customFormat="1" ht="22.5" x14ac:dyDescent="0.25">
      <c r="A75" s="43">
        <v>73</v>
      </c>
      <c r="B75" s="43">
        <f>HEX2DEC(A75+Items!$A$28)</f>
        <v>100663411</v>
      </c>
      <c r="C75" s="45" t="s">
        <v>883</v>
      </c>
      <c r="D75" s="50" t="s">
        <v>2223</v>
      </c>
      <c r="E75" s="45" t="s">
        <v>704</v>
      </c>
      <c r="F75" s="45" t="s">
        <v>705</v>
      </c>
      <c r="G75" s="45">
        <v>42</v>
      </c>
      <c r="H75" s="56" t="s">
        <v>885</v>
      </c>
      <c r="I75" s="33" t="str">
        <f t="shared" si="2"/>
        <v>DA_Prefix_Incomparable</v>
      </c>
      <c r="J75" s="33" t="str">
        <f t="shared" si="3"/>
        <v>/Game/DungeonSiege/Items/Affixes/Prefix/DA_Prefix_Incomparable</v>
      </c>
      <c r="BG75" s="59"/>
    </row>
    <row r="76" spans="1:62" s="60" customFormat="1" x14ac:dyDescent="0.25">
      <c r="A76" s="44">
        <v>74</v>
      </c>
      <c r="B76" s="43">
        <f>HEX2DEC(A76+Items!$A$28)</f>
        <v>100663412</v>
      </c>
      <c r="C76" s="46" t="s">
        <v>886</v>
      </c>
      <c r="D76" s="51" t="s">
        <v>2224</v>
      </c>
      <c r="E76" s="46" t="s">
        <v>850</v>
      </c>
      <c r="F76" s="46" t="s">
        <v>705</v>
      </c>
      <c r="G76" s="46">
        <v>42</v>
      </c>
      <c r="H76" s="57" t="s">
        <v>887</v>
      </c>
      <c r="I76" s="34" t="str">
        <f t="shared" si="2"/>
        <v>DA_Prefix_Informal</v>
      </c>
      <c r="J76" s="34" t="str">
        <f t="shared" si="3"/>
        <v>/Game/DungeonSiege/Items/Affixes/Prefix/DA_Prefix_Informal</v>
      </c>
      <c r="BH76" s="59"/>
    </row>
    <row r="77" spans="1:62" s="60" customFormat="1" x14ac:dyDescent="0.25">
      <c r="A77" s="44">
        <v>75</v>
      </c>
      <c r="B77" s="43">
        <f>HEX2DEC(A77+Items!$A$28)</f>
        <v>100663413</v>
      </c>
      <c r="C77" s="44" t="s">
        <v>309</v>
      </c>
      <c r="D77" s="53" t="s">
        <v>308</v>
      </c>
      <c r="E77" s="44" t="s">
        <v>681</v>
      </c>
      <c r="F77" s="44" t="s">
        <v>786</v>
      </c>
      <c r="G77" s="44">
        <v>41</v>
      </c>
      <c r="H77" s="55" t="s">
        <v>307</v>
      </c>
      <c r="I77" s="32" t="str">
        <f t="shared" si="2"/>
        <v>DA_Prefix_Ruthless</v>
      </c>
      <c r="J77" s="32" t="str">
        <f t="shared" si="3"/>
        <v>/Game/DungeonSiege/Items/Affixes/Prefix/DA_Prefix_Ruthless</v>
      </c>
    </row>
    <row r="78" spans="1:62" s="60" customFormat="1" x14ac:dyDescent="0.25">
      <c r="A78" s="43">
        <v>76</v>
      </c>
      <c r="B78" s="43">
        <f>HEX2DEC(A78+Items!$A$28)</f>
        <v>100663414</v>
      </c>
      <c r="C78" s="44" t="s">
        <v>888</v>
      </c>
      <c r="D78" s="53" t="s">
        <v>889</v>
      </c>
      <c r="E78" s="44" t="s">
        <v>681</v>
      </c>
      <c r="F78" s="44" t="s">
        <v>809</v>
      </c>
      <c r="G78" s="44">
        <v>41</v>
      </c>
      <c r="H78" s="55" t="s">
        <v>890</v>
      </c>
      <c r="I78" s="32" t="str">
        <f t="shared" si="2"/>
        <v>DA_Prefix_Steadfast</v>
      </c>
      <c r="J78" s="32" t="str">
        <f t="shared" si="3"/>
        <v>/Game/DungeonSiege/Items/Affixes/Prefix/DA_Prefix_Steadfast</v>
      </c>
    </row>
    <row r="79" spans="1:62" s="60" customFormat="1" x14ac:dyDescent="0.25">
      <c r="A79" s="43">
        <v>77</v>
      </c>
      <c r="B79" s="43">
        <f>HEX2DEC(A79+Items!$A$28)</f>
        <v>100663415</v>
      </c>
      <c r="C79" s="43" t="s">
        <v>891</v>
      </c>
      <c r="D79" s="42" t="s">
        <v>2225</v>
      </c>
      <c r="E79" s="43" t="s">
        <v>681</v>
      </c>
      <c r="F79" s="43" t="s">
        <v>3332</v>
      </c>
      <c r="G79" s="43">
        <v>40</v>
      </c>
      <c r="H79" s="54" t="s">
        <v>3342</v>
      </c>
      <c r="I79" s="32" t="str">
        <f t="shared" si="2"/>
        <v>DA_Prefix_Vaporizing</v>
      </c>
      <c r="J79" s="32" t="str">
        <f t="shared" si="3"/>
        <v>/Game/DungeonSiege/Items/Affixes/Prefix/DA_Prefix_Vaporizing</v>
      </c>
      <c r="BJ79" s="59"/>
    </row>
    <row r="80" spans="1:62" s="60" customFormat="1" x14ac:dyDescent="0.25">
      <c r="A80" s="44">
        <v>78</v>
      </c>
      <c r="B80" s="43">
        <f>HEX2DEC(A80+Items!$A$28)</f>
        <v>100663416</v>
      </c>
      <c r="C80" s="44" t="s">
        <v>306</v>
      </c>
      <c r="D80" s="53" t="s">
        <v>305</v>
      </c>
      <c r="E80" s="44" t="s">
        <v>681</v>
      </c>
      <c r="F80" s="44" t="s">
        <v>813</v>
      </c>
      <c r="G80" s="44">
        <v>40</v>
      </c>
      <c r="H80" s="55" t="s">
        <v>304</v>
      </c>
      <c r="I80" s="32" t="str">
        <f t="shared" si="2"/>
        <v>DA_Prefix_Wintry</v>
      </c>
      <c r="J80" s="32" t="str">
        <f t="shared" si="3"/>
        <v>/Game/DungeonSiege/Items/Affixes/Prefix/DA_Prefix_Wintry</v>
      </c>
    </row>
    <row r="81" spans="1:65" s="60" customFormat="1" x14ac:dyDescent="0.25">
      <c r="A81" s="44">
        <v>79</v>
      </c>
      <c r="B81" s="43">
        <f>HEX2DEC(A81+Items!$A$28)</f>
        <v>100663417</v>
      </c>
      <c r="C81" s="44" t="s">
        <v>892</v>
      </c>
      <c r="D81" s="53" t="s">
        <v>302</v>
      </c>
      <c r="E81" s="44" t="s">
        <v>681</v>
      </c>
      <c r="F81" s="44" t="s">
        <v>813</v>
      </c>
      <c r="G81" s="44">
        <v>40</v>
      </c>
      <c r="H81" s="55" t="s">
        <v>301</v>
      </c>
      <c r="I81" s="32" t="str">
        <f t="shared" si="2"/>
        <v>DA_Prefix_smoldering</v>
      </c>
      <c r="J81" s="32" t="str">
        <f t="shared" si="3"/>
        <v>/Game/DungeonSiege/Items/Affixes/Prefix/DA_Prefix_smoldering</v>
      </c>
    </row>
    <row r="82" spans="1:65" s="60" customFormat="1" x14ac:dyDescent="0.25">
      <c r="A82" s="43">
        <v>80</v>
      </c>
      <c r="B82" s="43">
        <f>HEX2DEC(A82+Items!$A$28)</f>
        <v>100663424</v>
      </c>
      <c r="C82" s="44" t="s">
        <v>893</v>
      </c>
      <c r="D82" s="53" t="s">
        <v>299</v>
      </c>
      <c r="E82" s="44" t="s">
        <v>681</v>
      </c>
      <c r="F82" s="44" t="s">
        <v>813</v>
      </c>
      <c r="G82" s="44">
        <v>40</v>
      </c>
      <c r="H82" s="55" t="s">
        <v>298</v>
      </c>
      <c r="I82" s="32" t="str">
        <f t="shared" si="2"/>
        <v>DA_Prefix_electric</v>
      </c>
      <c r="J82" s="32" t="str">
        <f t="shared" si="3"/>
        <v>/Game/DungeonSiege/Items/Affixes/Prefix/DA_Prefix_electric</v>
      </c>
    </row>
    <row r="83" spans="1:65" s="60" customFormat="1" ht="22.5" x14ac:dyDescent="0.25">
      <c r="A83" s="43">
        <v>81</v>
      </c>
      <c r="B83" s="43">
        <f>HEX2DEC(A83+Items!$A$28)</f>
        <v>100663425</v>
      </c>
      <c r="C83" s="44" t="s">
        <v>894</v>
      </c>
      <c r="D83" s="53" t="s">
        <v>726</v>
      </c>
      <c r="E83" s="44" t="s">
        <v>681</v>
      </c>
      <c r="F83" s="44" t="s">
        <v>709</v>
      </c>
      <c r="G83" s="44">
        <v>39</v>
      </c>
      <c r="H83" s="55" t="s">
        <v>895</v>
      </c>
      <c r="I83" s="32" t="str">
        <f t="shared" si="2"/>
        <v>DA_Prefix_Devastating</v>
      </c>
      <c r="J83" s="32" t="str">
        <f t="shared" si="3"/>
        <v>/Game/DungeonSiege/Items/Affixes/Prefix/DA_Prefix_Devastating</v>
      </c>
    </row>
    <row r="84" spans="1:65" s="60" customFormat="1" x14ac:dyDescent="0.25">
      <c r="A84" s="44">
        <v>82</v>
      </c>
      <c r="B84" s="43">
        <f>HEX2DEC(A84+Items!$A$28)</f>
        <v>100663426</v>
      </c>
      <c r="C84" s="44" t="s">
        <v>896</v>
      </c>
      <c r="D84" s="53" t="s">
        <v>702</v>
      </c>
      <c r="E84" s="44" t="s">
        <v>681</v>
      </c>
      <c r="F84" s="44" t="s">
        <v>819</v>
      </c>
      <c r="G84" s="44">
        <v>39</v>
      </c>
      <c r="H84" s="55" t="s">
        <v>897</v>
      </c>
      <c r="I84" s="32" t="str">
        <f t="shared" si="2"/>
        <v>DA_Prefix_Resilient</v>
      </c>
      <c r="J84" s="32" t="str">
        <f t="shared" si="3"/>
        <v>/Game/DungeonSiege/Items/Affixes/Prefix/DA_Prefix_Resilient</v>
      </c>
    </row>
    <row r="85" spans="1:65" s="60" customFormat="1" ht="22.5" x14ac:dyDescent="0.25">
      <c r="A85" s="44">
        <v>83</v>
      </c>
      <c r="B85" s="43">
        <f>HEX2DEC(A85+Items!$A$28)</f>
        <v>100663427</v>
      </c>
      <c r="C85" s="44" t="s">
        <v>297</v>
      </c>
      <c r="D85" s="53" t="s">
        <v>296</v>
      </c>
      <c r="E85" s="44" t="s">
        <v>681</v>
      </c>
      <c r="F85" s="44" t="s">
        <v>813</v>
      </c>
      <c r="G85" s="44">
        <v>39</v>
      </c>
      <c r="H85" s="55" t="s">
        <v>295</v>
      </c>
      <c r="I85" s="32" t="str">
        <f t="shared" si="2"/>
        <v>DA_Prefix_Iron_Bound</v>
      </c>
      <c r="J85" s="32" t="str">
        <f t="shared" si="3"/>
        <v>/Game/DungeonSiege/Items/Affixes/Prefix/DA_Prefix_Iron_Bound</v>
      </c>
    </row>
    <row r="86" spans="1:65" s="60" customFormat="1" x14ac:dyDescent="0.25">
      <c r="A86" s="43">
        <v>84</v>
      </c>
      <c r="B86" s="43">
        <f>HEX2DEC(A86+Items!$A$28)</f>
        <v>100663428</v>
      </c>
      <c r="C86" s="44" t="s">
        <v>898</v>
      </c>
      <c r="D86" s="53" t="s">
        <v>729</v>
      </c>
      <c r="E86" s="44" t="s">
        <v>681</v>
      </c>
      <c r="F86" s="44" t="s">
        <v>719</v>
      </c>
      <c r="G86" s="44">
        <v>38</v>
      </c>
      <c r="H86" s="55" t="s">
        <v>899</v>
      </c>
      <c r="I86" s="32" t="str">
        <f t="shared" si="2"/>
        <v>DA_Prefix_Soaring</v>
      </c>
      <c r="J86" s="32" t="str">
        <f t="shared" si="3"/>
        <v>/Game/DungeonSiege/Items/Affixes/Prefix/DA_Prefix_Soaring</v>
      </c>
    </row>
    <row r="87" spans="1:65" s="60" customFormat="1" x14ac:dyDescent="0.25">
      <c r="A87" s="43">
        <v>85</v>
      </c>
      <c r="B87" s="43">
        <f>HEX2DEC(A87+Items!$A$28)</f>
        <v>100663429</v>
      </c>
      <c r="C87" s="44" t="s">
        <v>900</v>
      </c>
      <c r="D87" s="53" t="s">
        <v>293</v>
      </c>
      <c r="E87" s="44" t="s">
        <v>681</v>
      </c>
      <c r="F87" s="44" t="s">
        <v>694</v>
      </c>
      <c r="G87" s="44">
        <v>38</v>
      </c>
      <c r="H87" s="55" t="s">
        <v>901</v>
      </c>
      <c r="I87" s="32" t="str">
        <f t="shared" si="2"/>
        <v>DA_Prefix_Terranean</v>
      </c>
      <c r="J87" s="32" t="str">
        <f t="shared" si="3"/>
        <v>/Game/DungeonSiege/Items/Affixes/Prefix/DA_Prefix_Terranean</v>
      </c>
    </row>
    <row r="88" spans="1:65" s="60" customFormat="1" ht="22.5" x14ac:dyDescent="0.25">
      <c r="A88" s="44">
        <v>86</v>
      </c>
      <c r="B88" s="43">
        <f>HEX2DEC(A88+Items!$A$28)</f>
        <v>100663430</v>
      </c>
      <c r="C88" s="44" t="s">
        <v>902</v>
      </c>
      <c r="D88" s="53" t="s">
        <v>903</v>
      </c>
      <c r="E88" s="44" t="s">
        <v>681</v>
      </c>
      <c r="F88" s="44" t="s">
        <v>809</v>
      </c>
      <c r="G88" s="44">
        <v>38</v>
      </c>
      <c r="H88" s="55" t="s">
        <v>904</v>
      </c>
      <c r="I88" s="32" t="str">
        <f t="shared" si="2"/>
        <v>DA_Prefix_Obstructing</v>
      </c>
      <c r="J88" s="32" t="str">
        <f t="shared" si="3"/>
        <v>/Game/DungeonSiege/Items/Affixes/Prefix/DA_Prefix_Obstructing</v>
      </c>
    </row>
    <row r="89" spans="1:65" s="60" customFormat="1" ht="22.5" x14ac:dyDescent="0.25">
      <c r="A89" s="44">
        <v>87</v>
      </c>
      <c r="B89" s="43">
        <f>HEX2DEC(A89+Items!$A$28)</f>
        <v>100663431</v>
      </c>
      <c r="C89" s="44" t="s">
        <v>905</v>
      </c>
      <c r="D89" s="53" t="s">
        <v>906</v>
      </c>
      <c r="E89" s="44" t="s">
        <v>681</v>
      </c>
      <c r="F89" s="44" t="s">
        <v>762</v>
      </c>
      <c r="G89" s="44">
        <v>38</v>
      </c>
      <c r="H89" s="55" t="s">
        <v>907</v>
      </c>
      <c r="I89" s="32" t="str">
        <f t="shared" si="2"/>
        <v>DA_Prefix_Conserving</v>
      </c>
      <c r="J89" s="32" t="str">
        <f t="shared" si="3"/>
        <v>/Game/DungeonSiege/Items/Affixes/Prefix/DA_Prefix_Conserving</v>
      </c>
    </row>
    <row r="90" spans="1:65" s="60" customFormat="1" x14ac:dyDescent="0.25">
      <c r="A90" s="43">
        <v>88</v>
      </c>
      <c r="B90" s="43">
        <f>HEX2DEC(A90+Items!$A$28)</f>
        <v>100663432</v>
      </c>
      <c r="C90" s="45" t="s">
        <v>908</v>
      </c>
      <c r="D90" s="50" t="s">
        <v>2226</v>
      </c>
      <c r="E90" s="45" t="s">
        <v>704</v>
      </c>
      <c r="F90" s="45" t="s">
        <v>705</v>
      </c>
      <c r="G90" s="45">
        <v>38</v>
      </c>
      <c r="H90" s="56" t="s">
        <v>909</v>
      </c>
      <c r="I90" s="33" t="str">
        <f t="shared" si="2"/>
        <v>DA_Prefix_Respected</v>
      </c>
      <c r="J90" s="33" t="str">
        <f t="shared" si="3"/>
        <v>/Game/DungeonSiege/Items/Affixes/Prefix/DA_Prefix_Respected</v>
      </c>
      <c r="BK90" s="59"/>
    </row>
    <row r="91" spans="1:65" s="60" customFormat="1" x14ac:dyDescent="0.25">
      <c r="A91" s="43">
        <v>89</v>
      </c>
      <c r="B91" s="43">
        <f>HEX2DEC(A91+Items!$A$28)</f>
        <v>100663433</v>
      </c>
      <c r="C91" s="44" t="s">
        <v>294</v>
      </c>
      <c r="D91" s="53" t="s">
        <v>293</v>
      </c>
      <c r="E91" s="44" t="s">
        <v>681</v>
      </c>
      <c r="F91" s="44" t="s">
        <v>813</v>
      </c>
      <c r="G91" s="44">
        <v>38</v>
      </c>
      <c r="H91" s="55" t="s">
        <v>292</v>
      </c>
      <c r="I91" s="32" t="str">
        <f t="shared" si="2"/>
        <v>DA_Prefix_Idyllic</v>
      </c>
      <c r="J91" s="32" t="str">
        <f t="shared" si="3"/>
        <v>/Game/DungeonSiege/Items/Affixes/Prefix/DA_Prefix_Idyllic</v>
      </c>
    </row>
    <row r="92" spans="1:65" s="60" customFormat="1" x14ac:dyDescent="0.25">
      <c r="A92" s="44">
        <v>90</v>
      </c>
      <c r="B92" s="43">
        <f>HEX2DEC(A92+Items!$A$28)</f>
        <v>100663440</v>
      </c>
      <c r="C92" s="45" t="s">
        <v>910</v>
      </c>
      <c r="D92" s="50" t="s">
        <v>2227</v>
      </c>
      <c r="E92" s="45" t="s">
        <v>704</v>
      </c>
      <c r="F92" s="45" t="s">
        <v>682</v>
      </c>
      <c r="G92" s="45">
        <v>37</v>
      </c>
      <c r="H92" s="56" t="s">
        <v>914</v>
      </c>
      <c r="I92" s="33" t="str">
        <f t="shared" si="2"/>
        <v>DA_Prefix_Superlative</v>
      </c>
      <c r="J92" s="33" t="str">
        <f t="shared" si="3"/>
        <v>/Game/DungeonSiege/Items/Affixes/Prefix/DA_Prefix_Superlative</v>
      </c>
      <c r="BL92" s="59"/>
    </row>
    <row r="93" spans="1:65" s="60" customFormat="1" x14ac:dyDescent="0.25">
      <c r="A93" s="44">
        <v>91</v>
      </c>
      <c r="B93" s="43">
        <f>HEX2DEC(A93+Items!$A$28)</f>
        <v>100663441</v>
      </c>
      <c r="C93" s="46" t="s">
        <v>915</v>
      </c>
      <c r="D93" s="51" t="s">
        <v>2228</v>
      </c>
      <c r="E93" s="46" t="s">
        <v>850</v>
      </c>
      <c r="F93" s="46" t="s">
        <v>690</v>
      </c>
      <c r="G93" s="46">
        <v>37</v>
      </c>
      <c r="H93" s="57" t="s">
        <v>916</v>
      </c>
      <c r="I93" s="34" t="str">
        <f t="shared" si="2"/>
        <v>DA_Prefix_Talismanic</v>
      </c>
      <c r="J93" s="34" t="str">
        <f t="shared" si="3"/>
        <v>/Game/DungeonSiege/Items/Affixes/Prefix/DA_Prefix_Talismanic</v>
      </c>
      <c r="BM93" s="59"/>
    </row>
    <row r="94" spans="1:65" s="60" customFormat="1" x14ac:dyDescent="0.25">
      <c r="A94" s="43">
        <v>92</v>
      </c>
      <c r="B94" s="43">
        <f>HEX2DEC(A94+Items!$A$28)</f>
        <v>100663442</v>
      </c>
      <c r="C94" s="44" t="s">
        <v>917</v>
      </c>
      <c r="D94" s="53" t="s">
        <v>287</v>
      </c>
      <c r="E94" s="44" t="s">
        <v>681</v>
      </c>
      <c r="F94" s="44" t="s">
        <v>694</v>
      </c>
      <c r="G94" s="44">
        <v>36</v>
      </c>
      <c r="H94" s="55" t="s">
        <v>918</v>
      </c>
      <c r="I94" s="32" t="str">
        <f t="shared" si="2"/>
        <v>DA_Prefix_Fighting</v>
      </c>
      <c r="J94" s="32" t="str">
        <f t="shared" si="3"/>
        <v>/Game/DungeonSiege/Items/Affixes/Prefix/DA_Prefix_Fighting</v>
      </c>
    </row>
    <row r="95" spans="1:65" s="60" customFormat="1" x14ac:dyDescent="0.25">
      <c r="A95" s="43">
        <v>93</v>
      </c>
      <c r="B95" s="43">
        <f>HEX2DEC(A95+Items!$A$28)</f>
        <v>100663443</v>
      </c>
      <c r="C95" s="44" t="s">
        <v>919</v>
      </c>
      <c r="D95" s="53" t="s">
        <v>920</v>
      </c>
      <c r="E95" s="44" t="s">
        <v>681</v>
      </c>
      <c r="F95" s="44" t="s">
        <v>762</v>
      </c>
      <c r="G95" s="44">
        <v>36</v>
      </c>
      <c r="H95" s="55" t="s">
        <v>921</v>
      </c>
      <c r="I95" s="32" t="str">
        <f t="shared" si="2"/>
        <v>DA_Prefix_Deflecting</v>
      </c>
      <c r="J95" s="32" t="str">
        <f t="shared" si="3"/>
        <v>/Game/DungeonSiege/Items/Affixes/Prefix/DA_Prefix_Deflecting</v>
      </c>
    </row>
    <row r="96" spans="1:65" s="60" customFormat="1" x14ac:dyDescent="0.25">
      <c r="A96" s="44">
        <v>94</v>
      </c>
      <c r="B96" s="43">
        <f>HEX2DEC(A96+Items!$A$28)</f>
        <v>100663444</v>
      </c>
      <c r="C96" s="44" t="s">
        <v>922</v>
      </c>
      <c r="D96" s="53" t="s">
        <v>923</v>
      </c>
      <c r="E96" s="44" t="s">
        <v>681</v>
      </c>
      <c r="F96" s="44" t="s">
        <v>762</v>
      </c>
      <c r="G96" s="44">
        <v>36</v>
      </c>
      <c r="H96" s="55" t="s">
        <v>924</v>
      </c>
      <c r="I96" s="32" t="str">
        <f t="shared" si="2"/>
        <v>DA_Prefix_Wiley</v>
      </c>
      <c r="J96" s="32" t="str">
        <f t="shared" si="3"/>
        <v>/Game/DungeonSiege/Items/Affixes/Prefix/DA_Prefix_Wiley</v>
      </c>
    </row>
    <row r="97" spans="1:76" s="60" customFormat="1" x14ac:dyDescent="0.25">
      <c r="A97" s="44">
        <v>95</v>
      </c>
      <c r="B97" s="43">
        <f>HEX2DEC(A97+Items!$A$28)</f>
        <v>100663445</v>
      </c>
      <c r="C97" s="44" t="s">
        <v>925</v>
      </c>
      <c r="D97" s="53" t="s">
        <v>926</v>
      </c>
      <c r="E97" s="44" t="s">
        <v>681</v>
      </c>
      <c r="F97" s="44" t="s">
        <v>762</v>
      </c>
      <c r="G97" s="44">
        <v>36</v>
      </c>
      <c r="H97" s="55" t="s">
        <v>927</v>
      </c>
      <c r="I97" s="32" t="str">
        <f t="shared" si="2"/>
        <v>DA_Prefix_Recoiling</v>
      </c>
      <c r="J97" s="32" t="str">
        <f t="shared" si="3"/>
        <v>/Game/DungeonSiege/Items/Affixes/Prefix/DA_Prefix_Recoiling</v>
      </c>
    </row>
    <row r="98" spans="1:76" s="60" customFormat="1" x14ac:dyDescent="0.25">
      <c r="A98" s="43">
        <v>96</v>
      </c>
      <c r="B98" s="43">
        <f>HEX2DEC(A98+Items!$A$28)</f>
        <v>100663446</v>
      </c>
      <c r="C98" s="44" t="s">
        <v>291</v>
      </c>
      <c r="D98" s="53" t="s">
        <v>290</v>
      </c>
      <c r="E98" s="44" t="s">
        <v>681</v>
      </c>
      <c r="F98" s="44" t="s">
        <v>844</v>
      </c>
      <c r="G98" s="44">
        <v>36</v>
      </c>
      <c r="H98" s="55" t="s">
        <v>289</v>
      </c>
      <c r="I98" s="32" t="str">
        <f t="shared" si="2"/>
        <v>DA_Prefix_Unwearied</v>
      </c>
      <c r="J98" s="32" t="str">
        <f t="shared" si="3"/>
        <v>/Game/DungeonSiege/Items/Affixes/Prefix/DA_Prefix_Unwearied</v>
      </c>
    </row>
    <row r="99" spans="1:76" s="60" customFormat="1" x14ac:dyDescent="0.25">
      <c r="A99" s="43">
        <v>97</v>
      </c>
      <c r="B99" s="43">
        <f>HEX2DEC(A99+Items!$A$28)</f>
        <v>100663447</v>
      </c>
      <c r="C99" s="45" t="s">
        <v>928</v>
      </c>
      <c r="D99" s="50" t="s">
        <v>2229</v>
      </c>
      <c r="E99" s="45" t="s">
        <v>704</v>
      </c>
      <c r="F99" s="45" t="s">
        <v>694</v>
      </c>
      <c r="G99" s="45">
        <v>36</v>
      </c>
      <c r="H99" s="56" t="s">
        <v>929</v>
      </c>
      <c r="I99" s="33" t="str">
        <f t="shared" si="2"/>
        <v>DA_Prefix_Dignified</v>
      </c>
      <c r="J99" s="33" t="str">
        <f t="shared" si="3"/>
        <v>/Game/DungeonSiege/Items/Affixes/Prefix/DA_Prefix_Dignified</v>
      </c>
      <c r="BN99" s="59"/>
    </row>
    <row r="100" spans="1:76" s="60" customFormat="1" x14ac:dyDescent="0.25">
      <c r="A100" s="44">
        <v>98</v>
      </c>
      <c r="B100" s="43">
        <f>HEX2DEC(A100+Items!$A$28)</f>
        <v>100663448</v>
      </c>
      <c r="C100" s="44" t="s">
        <v>288</v>
      </c>
      <c r="D100" s="53" t="s">
        <v>287</v>
      </c>
      <c r="E100" s="44" t="s">
        <v>681</v>
      </c>
      <c r="F100" s="44" t="s">
        <v>813</v>
      </c>
      <c r="G100" s="44">
        <v>36</v>
      </c>
      <c r="H100" s="55" t="s">
        <v>286</v>
      </c>
      <c r="I100" s="32" t="str">
        <f t="shared" si="2"/>
        <v>DA_Prefix_Forged</v>
      </c>
      <c r="J100" s="32" t="str">
        <f t="shared" si="3"/>
        <v>/Game/DungeonSiege/Items/Affixes/Prefix/DA_Prefix_Forged</v>
      </c>
    </row>
    <row r="101" spans="1:76" s="60" customFormat="1" x14ac:dyDescent="0.25">
      <c r="A101" s="44">
        <v>99</v>
      </c>
      <c r="B101" s="43">
        <f>HEX2DEC(A101+Items!$A$28)</f>
        <v>100663449</v>
      </c>
      <c r="C101" s="43" t="s">
        <v>930</v>
      </c>
      <c r="D101" s="42" t="s">
        <v>2230</v>
      </c>
      <c r="E101" s="43" t="s">
        <v>681</v>
      </c>
      <c r="F101" s="43" t="s">
        <v>705</v>
      </c>
      <c r="G101" s="43">
        <v>35</v>
      </c>
      <c r="H101" s="54" t="s">
        <v>932</v>
      </c>
      <c r="I101" s="32" t="str">
        <f t="shared" si="2"/>
        <v>DA_Prefix_Obscure</v>
      </c>
      <c r="J101" s="32" t="str">
        <f t="shared" si="3"/>
        <v>/Game/DungeonSiege/Items/Affixes/Prefix/DA_Prefix_Obscure</v>
      </c>
      <c r="BO101" s="59"/>
    </row>
    <row r="102" spans="1:76" s="60" customFormat="1" x14ac:dyDescent="0.25">
      <c r="A102" s="43">
        <v>100</v>
      </c>
      <c r="B102" s="43">
        <f>HEX2DEC(A102+Items!$A$28)</f>
        <v>100663552</v>
      </c>
      <c r="C102" s="45" t="s">
        <v>933</v>
      </c>
      <c r="D102" s="50" t="s">
        <v>2231</v>
      </c>
      <c r="E102" s="45" t="s">
        <v>704</v>
      </c>
      <c r="F102" s="45" t="s">
        <v>705</v>
      </c>
      <c r="G102" s="45">
        <v>35</v>
      </c>
      <c r="H102" s="56" t="s">
        <v>936</v>
      </c>
      <c r="I102" s="33" t="str">
        <f t="shared" si="2"/>
        <v>DA_Prefix_Illustrious</v>
      </c>
      <c r="J102" s="33" t="str">
        <f t="shared" si="3"/>
        <v>/Game/DungeonSiege/Items/Affixes/Prefix/DA_Prefix_Illustrious</v>
      </c>
      <c r="BP102" s="59"/>
    </row>
    <row r="103" spans="1:76" s="60" customFormat="1" x14ac:dyDescent="0.25">
      <c r="A103" s="43">
        <v>101</v>
      </c>
      <c r="B103" s="43">
        <f>HEX2DEC(A103+Items!$A$28)</f>
        <v>100663553</v>
      </c>
      <c r="C103" s="46" t="s">
        <v>937</v>
      </c>
      <c r="D103" s="51" t="s">
        <v>2232</v>
      </c>
      <c r="E103" s="46" t="s">
        <v>850</v>
      </c>
      <c r="F103" s="46" t="s">
        <v>705</v>
      </c>
      <c r="G103" s="46">
        <v>35</v>
      </c>
      <c r="H103" s="57" t="s">
        <v>938</v>
      </c>
      <c r="I103" s="34" t="str">
        <f t="shared" si="2"/>
        <v>DA_Prefix_Solemn</v>
      </c>
      <c r="J103" s="34" t="str">
        <f t="shared" si="3"/>
        <v>/Game/DungeonSiege/Items/Affixes/Prefix/DA_Prefix_Solemn</v>
      </c>
      <c r="BQ103" s="59"/>
    </row>
    <row r="104" spans="1:76" s="60" customFormat="1" x14ac:dyDescent="0.25">
      <c r="A104" s="44">
        <v>102</v>
      </c>
      <c r="B104" s="43">
        <f>HEX2DEC(A104+Items!$A$28)</f>
        <v>100663554</v>
      </c>
      <c r="C104" s="47" t="s">
        <v>939</v>
      </c>
      <c r="D104" s="52" t="s">
        <v>2233</v>
      </c>
      <c r="E104" s="47" t="s">
        <v>681</v>
      </c>
      <c r="F104" s="47" t="s">
        <v>705</v>
      </c>
      <c r="G104" s="47">
        <v>34</v>
      </c>
      <c r="H104" s="58" t="s">
        <v>941</v>
      </c>
      <c r="I104" s="35" t="str">
        <f t="shared" si="2"/>
        <v>DA_Prefix_Pummeling</v>
      </c>
      <c r="J104" s="35" t="str">
        <f t="shared" si="3"/>
        <v>/Game/DungeonSiege/Items/Affixes/Prefix/DA_Prefix_Pummeling</v>
      </c>
      <c r="BR104" s="59"/>
    </row>
    <row r="105" spans="1:76" s="60" customFormat="1" x14ac:dyDescent="0.25">
      <c r="A105" s="44">
        <v>103</v>
      </c>
      <c r="B105" s="43">
        <f>HEX2DEC(A105+Items!$A$28)</f>
        <v>100663555</v>
      </c>
      <c r="C105" s="45" t="s">
        <v>942</v>
      </c>
      <c r="D105" s="50" t="s">
        <v>2234</v>
      </c>
      <c r="E105" s="45" t="s">
        <v>704</v>
      </c>
      <c r="F105" s="45" t="s">
        <v>686</v>
      </c>
      <c r="G105" s="45">
        <v>34</v>
      </c>
      <c r="H105" s="56" t="s">
        <v>944</v>
      </c>
      <c r="I105" s="33" t="str">
        <f t="shared" si="2"/>
        <v>DA_Prefix_Incredible</v>
      </c>
      <c r="J105" s="33" t="str">
        <f t="shared" si="3"/>
        <v>/Game/DungeonSiege/Items/Affixes/Prefix/DA_Prefix_Incredible</v>
      </c>
      <c r="BS105" s="59"/>
    </row>
    <row r="106" spans="1:76" s="60" customFormat="1" x14ac:dyDescent="0.25">
      <c r="A106" s="43">
        <v>104</v>
      </c>
      <c r="B106" s="43">
        <f>HEX2DEC(A106+Items!$A$28)</f>
        <v>100663556</v>
      </c>
      <c r="C106" s="46" t="s">
        <v>945</v>
      </c>
      <c r="D106" s="51" t="s">
        <v>2235</v>
      </c>
      <c r="E106" s="46" t="s">
        <v>850</v>
      </c>
      <c r="F106" s="46" t="s">
        <v>705</v>
      </c>
      <c r="G106" s="46">
        <v>34</v>
      </c>
      <c r="H106" s="57" t="s">
        <v>946</v>
      </c>
      <c r="I106" s="34" t="str">
        <f t="shared" si="2"/>
        <v>DA_Prefix_Hallowed</v>
      </c>
      <c r="J106" s="34" t="str">
        <f t="shared" si="3"/>
        <v>/Game/DungeonSiege/Items/Affixes/Prefix/DA_Prefix_Hallowed</v>
      </c>
      <c r="BT106" s="59"/>
    </row>
    <row r="107" spans="1:76" s="60" customFormat="1" x14ac:dyDescent="0.25">
      <c r="A107" s="43">
        <v>105</v>
      </c>
      <c r="B107" s="43">
        <f>HEX2DEC(A107+Items!$A$28)</f>
        <v>100663557</v>
      </c>
      <c r="C107" s="44" t="s">
        <v>947</v>
      </c>
      <c r="D107" s="53" t="s">
        <v>931</v>
      </c>
      <c r="E107" s="44" t="s">
        <v>681</v>
      </c>
      <c r="F107" s="44" t="s">
        <v>809</v>
      </c>
      <c r="G107" s="44">
        <v>33</v>
      </c>
      <c r="H107" s="55" t="s">
        <v>948</v>
      </c>
      <c r="I107" s="32" t="str">
        <f t="shared" si="2"/>
        <v>DA_Prefix_Constant</v>
      </c>
      <c r="J107" s="32" t="str">
        <f t="shared" si="3"/>
        <v>/Game/DungeonSiege/Items/Affixes/Prefix/DA_Prefix_Constant</v>
      </c>
    </row>
    <row r="108" spans="1:76" s="60" customFormat="1" x14ac:dyDescent="0.25">
      <c r="A108" s="44">
        <v>106</v>
      </c>
      <c r="B108" s="43">
        <f>HEX2DEC(A108+Items!$A$28)</f>
        <v>100663558</v>
      </c>
      <c r="C108" s="45" t="s">
        <v>949</v>
      </c>
      <c r="D108" s="50" t="s">
        <v>2236</v>
      </c>
      <c r="E108" s="45" t="s">
        <v>704</v>
      </c>
      <c r="F108" s="45" t="s">
        <v>686</v>
      </c>
      <c r="G108" s="45">
        <v>33</v>
      </c>
      <c r="H108" s="56" t="s">
        <v>951</v>
      </c>
      <c r="I108" s="33" t="str">
        <f t="shared" si="2"/>
        <v>DA_Prefix_Noble</v>
      </c>
      <c r="J108" s="33" t="str">
        <f t="shared" si="3"/>
        <v>/Game/DungeonSiege/Items/Affixes/Prefix/DA_Prefix_Noble</v>
      </c>
      <c r="BU108" s="59"/>
    </row>
    <row r="109" spans="1:76" s="60" customFormat="1" x14ac:dyDescent="0.25">
      <c r="A109" s="44">
        <v>107</v>
      </c>
      <c r="B109" s="43">
        <f>HEX2DEC(A109+Items!$A$28)</f>
        <v>100663559</v>
      </c>
      <c r="C109" s="46" t="s">
        <v>952</v>
      </c>
      <c r="D109" s="51" t="s">
        <v>2237</v>
      </c>
      <c r="E109" s="46" t="s">
        <v>850</v>
      </c>
      <c r="F109" s="46" t="s">
        <v>705</v>
      </c>
      <c r="G109" s="46">
        <v>33</v>
      </c>
      <c r="H109" s="57" t="s">
        <v>953</v>
      </c>
      <c r="I109" s="34" t="str">
        <f t="shared" si="2"/>
        <v>DA_Prefix_Gleaming</v>
      </c>
      <c r="J109" s="34" t="str">
        <f t="shared" si="3"/>
        <v>/Game/DungeonSiege/Items/Affixes/Prefix/DA_Prefix_Gleaming</v>
      </c>
      <c r="BV109" s="59"/>
    </row>
    <row r="110" spans="1:76" s="60" customFormat="1" x14ac:dyDescent="0.25">
      <c r="A110" s="43">
        <v>108</v>
      </c>
      <c r="B110" s="43">
        <f>HEX2DEC(A110+Items!$A$28)</f>
        <v>100663560</v>
      </c>
      <c r="C110" s="46" t="s">
        <v>954</v>
      </c>
      <c r="D110" s="51" t="s">
        <v>2238</v>
      </c>
      <c r="E110" s="46" t="s">
        <v>850</v>
      </c>
      <c r="F110" s="46" t="s">
        <v>705</v>
      </c>
      <c r="G110" s="46">
        <v>33</v>
      </c>
      <c r="H110" s="57" t="s">
        <v>956</v>
      </c>
      <c r="I110" s="34" t="str">
        <f t="shared" si="2"/>
        <v>DA_Prefix_Loyal</v>
      </c>
      <c r="J110" s="34" t="str">
        <f t="shared" si="3"/>
        <v>/Game/DungeonSiege/Items/Affixes/Prefix/DA_Prefix_Loyal</v>
      </c>
      <c r="BW110" s="59"/>
    </row>
    <row r="111" spans="1:76" s="60" customFormat="1" x14ac:dyDescent="0.25">
      <c r="A111" s="43">
        <v>109</v>
      </c>
      <c r="B111" s="43">
        <f>HEX2DEC(A111+Items!$A$28)</f>
        <v>100663561</v>
      </c>
      <c r="C111" s="45" t="s">
        <v>957</v>
      </c>
      <c r="D111" s="50" t="s">
        <v>2239</v>
      </c>
      <c r="E111" s="45" t="s">
        <v>704</v>
      </c>
      <c r="F111" s="45" t="s">
        <v>705</v>
      </c>
      <c r="G111" s="45">
        <v>32</v>
      </c>
      <c r="H111" s="56" t="s">
        <v>959</v>
      </c>
      <c r="I111" s="33" t="str">
        <f t="shared" si="2"/>
        <v>DA_Prefix_Fantastic</v>
      </c>
      <c r="J111" s="33" t="str">
        <f t="shared" si="3"/>
        <v>/Game/DungeonSiege/Items/Affixes/Prefix/DA_Prefix_Fantastic</v>
      </c>
      <c r="BX111" s="59"/>
    </row>
    <row r="112" spans="1:76" s="60" customFormat="1" x14ac:dyDescent="0.25">
      <c r="A112" s="44">
        <v>110</v>
      </c>
      <c r="B112" s="43">
        <f>HEX2DEC(A112+Items!$A$28)</f>
        <v>100663568</v>
      </c>
      <c r="C112" s="44" t="s">
        <v>960</v>
      </c>
      <c r="D112" s="53" t="s">
        <v>281</v>
      </c>
      <c r="E112" s="44" t="s">
        <v>681</v>
      </c>
      <c r="F112" s="44" t="s">
        <v>690</v>
      </c>
      <c r="G112" s="44">
        <v>31</v>
      </c>
      <c r="H112" s="55" t="s">
        <v>961</v>
      </c>
      <c r="I112" s="32" t="str">
        <f t="shared" si="2"/>
        <v>DA_Prefix_Hefty</v>
      </c>
      <c r="J112" s="32" t="str">
        <f t="shared" si="3"/>
        <v>/Game/DungeonSiege/Items/Affixes/Prefix/DA_Prefix_Hefty</v>
      </c>
    </row>
    <row r="113" spans="1:92" s="60" customFormat="1" x14ac:dyDescent="0.25">
      <c r="A113" s="44">
        <v>111</v>
      </c>
      <c r="B113" s="43">
        <f>HEX2DEC(A113+Items!$A$28)</f>
        <v>100663569</v>
      </c>
      <c r="C113" s="44" t="s">
        <v>285</v>
      </c>
      <c r="D113" s="53" t="s">
        <v>284</v>
      </c>
      <c r="E113" s="44" t="s">
        <v>681</v>
      </c>
      <c r="F113" s="44" t="s">
        <v>786</v>
      </c>
      <c r="G113" s="44">
        <v>31</v>
      </c>
      <c r="H113" s="55" t="s">
        <v>283</v>
      </c>
      <c r="I113" s="32" t="str">
        <f t="shared" si="2"/>
        <v>DA_Prefix_Stringent</v>
      </c>
      <c r="J113" s="32" t="str">
        <f t="shared" si="3"/>
        <v>/Game/DungeonSiege/Items/Affixes/Prefix/DA_Prefix_Stringent</v>
      </c>
    </row>
    <row r="114" spans="1:92" s="60" customFormat="1" ht="22.5" x14ac:dyDescent="0.25">
      <c r="A114" s="43">
        <v>112</v>
      </c>
      <c r="B114" s="43">
        <f>HEX2DEC(A114+Items!$A$28)</f>
        <v>100663570</v>
      </c>
      <c r="C114" s="44" t="s">
        <v>282</v>
      </c>
      <c r="D114" s="53" t="s">
        <v>281</v>
      </c>
      <c r="E114" s="44" t="s">
        <v>681</v>
      </c>
      <c r="F114" s="44" t="s">
        <v>813</v>
      </c>
      <c r="G114" s="44">
        <v>31</v>
      </c>
      <c r="H114" s="55" t="s">
        <v>280</v>
      </c>
      <c r="I114" s="32" t="str">
        <f t="shared" si="2"/>
        <v>DA_Prefix_Supernatural</v>
      </c>
      <c r="J114" s="32" t="str">
        <f t="shared" si="3"/>
        <v>/Game/DungeonSiege/Items/Affixes/Prefix/DA_Prefix_Supernatural</v>
      </c>
    </row>
    <row r="115" spans="1:92" s="60" customFormat="1" x14ac:dyDescent="0.25">
      <c r="A115" s="43">
        <v>113</v>
      </c>
      <c r="B115" s="43">
        <f>HEX2DEC(A115+Items!$A$28)</f>
        <v>100663571</v>
      </c>
      <c r="C115" s="45" t="s">
        <v>962</v>
      </c>
      <c r="D115" s="50" t="s">
        <v>2240</v>
      </c>
      <c r="E115" s="45" t="s">
        <v>704</v>
      </c>
      <c r="F115" s="45" t="s">
        <v>705</v>
      </c>
      <c r="G115" s="45">
        <v>30</v>
      </c>
      <c r="H115" s="56" t="s">
        <v>963</v>
      </c>
      <c r="I115" s="33" t="str">
        <f t="shared" si="2"/>
        <v>DA_Prefix_Stately</v>
      </c>
      <c r="J115" s="33" t="str">
        <f t="shared" si="3"/>
        <v>/Game/DungeonSiege/Items/Affixes/Prefix/DA_Prefix_Stately</v>
      </c>
      <c r="BY115" s="59"/>
    </row>
    <row r="116" spans="1:92" s="60" customFormat="1" x14ac:dyDescent="0.25">
      <c r="A116" s="44">
        <v>114</v>
      </c>
      <c r="B116" s="43">
        <f>HEX2DEC(A116+Items!$A$28)</f>
        <v>100663572</v>
      </c>
      <c r="C116" s="46" t="s">
        <v>964</v>
      </c>
      <c r="D116" s="51" t="s">
        <v>2241</v>
      </c>
      <c r="E116" s="46" t="s">
        <v>850</v>
      </c>
      <c r="F116" s="46" t="s">
        <v>705</v>
      </c>
      <c r="G116" s="46">
        <v>30</v>
      </c>
      <c r="H116" s="57" t="s">
        <v>966</v>
      </c>
      <c r="I116" s="34" t="str">
        <f t="shared" si="2"/>
        <v>DA_Prefix_Notorious</v>
      </c>
      <c r="J116" s="34" t="str">
        <f t="shared" si="3"/>
        <v>/Game/DungeonSiege/Items/Affixes/Prefix/DA_Prefix_Notorious</v>
      </c>
      <c r="BZ116" s="59"/>
    </row>
    <row r="117" spans="1:92" s="60" customFormat="1" x14ac:dyDescent="0.25">
      <c r="A117" s="44">
        <v>115</v>
      </c>
      <c r="B117" s="43">
        <f>HEX2DEC(A117+Items!$A$28)</f>
        <v>100663573</v>
      </c>
      <c r="C117" s="43" t="s">
        <v>967</v>
      </c>
      <c r="D117" s="42" t="s">
        <v>2242</v>
      </c>
      <c r="E117" s="43" t="s">
        <v>681</v>
      </c>
      <c r="F117" s="43" t="s">
        <v>682</v>
      </c>
      <c r="G117" s="43">
        <v>30</v>
      </c>
      <c r="H117" s="54" t="s">
        <v>968</v>
      </c>
      <c r="I117" s="32" t="str">
        <f t="shared" si="2"/>
        <v>DA_Prefix_Enormous</v>
      </c>
      <c r="J117" s="32" t="str">
        <f t="shared" si="3"/>
        <v>/Game/DungeonSiege/Items/Affixes/Prefix/DA_Prefix_Enormous</v>
      </c>
      <c r="CA117" s="59"/>
    </row>
    <row r="118" spans="1:92" s="60" customFormat="1" x14ac:dyDescent="0.25">
      <c r="A118" s="43">
        <v>116</v>
      </c>
      <c r="B118" s="43">
        <f>HEX2DEC(A118+Items!$A$28)</f>
        <v>100663574</v>
      </c>
      <c r="C118" s="43" t="s">
        <v>969</v>
      </c>
      <c r="D118" s="42" t="s">
        <v>2243</v>
      </c>
      <c r="E118" s="43" t="s">
        <v>681</v>
      </c>
      <c r="F118" s="43" t="s">
        <v>686</v>
      </c>
      <c r="G118" s="43">
        <v>30</v>
      </c>
      <c r="H118" s="54" t="s">
        <v>971</v>
      </c>
      <c r="I118" s="32" t="str">
        <f t="shared" si="2"/>
        <v>DA_Prefix_Clever</v>
      </c>
      <c r="J118" s="32" t="str">
        <f t="shared" si="3"/>
        <v>/Game/DungeonSiege/Items/Affixes/Prefix/DA_Prefix_Clever</v>
      </c>
      <c r="CB118" s="59"/>
    </row>
    <row r="119" spans="1:92" s="60" customFormat="1" x14ac:dyDescent="0.25">
      <c r="A119" s="43">
        <v>117</v>
      </c>
      <c r="B119" s="43">
        <f>HEX2DEC(A119+Items!$A$28)</f>
        <v>100663575</v>
      </c>
      <c r="C119" s="43" t="s">
        <v>972</v>
      </c>
      <c r="D119" s="42" t="s">
        <v>2244</v>
      </c>
      <c r="E119" s="43" t="s">
        <v>681</v>
      </c>
      <c r="F119" s="43" t="s">
        <v>3332</v>
      </c>
      <c r="G119" s="43">
        <v>30</v>
      </c>
      <c r="H119" s="54" t="s">
        <v>3341</v>
      </c>
      <c r="I119" s="32" t="str">
        <f t="shared" si="2"/>
        <v>DA_Prefix_Diseased</v>
      </c>
      <c r="J119" s="32" t="str">
        <f t="shared" si="3"/>
        <v>/Game/DungeonSiege/Items/Affixes/Prefix/DA_Prefix_Diseased</v>
      </c>
      <c r="CC119" s="59"/>
    </row>
    <row r="120" spans="1:92" s="60" customFormat="1" x14ac:dyDescent="0.25">
      <c r="A120" s="44">
        <v>118</v>
      </c>
      <c r="B120" s="43">
        <f>HEX2DEC(A120+Items!$A$28)</f>
        <v>100663576</v>
      </c>
      <c r="C120" s="43" t="s">
        <v>973</v>
      </c>
      <c r="D120" s="42" t="s">
        <v>2245</v>
      </c>
      <c r="E120" s="43" t="s">
        <v>681</v>
      </c>
      <c r="F120" s="43" t="s">
        <v>3332</v>
      </c>
      <c r="G120" s="43">
        <v>30</v>
      </c>
      <c r="H120" s="54" t="s">
        <v>3340</v>
      </c>
      <c r="I120" s="32" t="str">
        <f t="shared" si="2"/>
        <v>DA_Prefix_Paralyzing</v>
      </c>
      <c r="J120" s="32" t="str">
        <f t="shared" si="3"/>
        <v>/Game/DungeonSiege/Items/Affixes/Prefix/DA_Prefix_Paralyzing</v>
      </c>
      <c r="CE120" s="59"/>
    </row>
    <row r="121" spans="1:92" s="60" customFormat="1" x14ac:dyDescent="0.25">
      <c r="A121" s="44">
        <v>119</v>
      </c>
      <c r="B121" s="43">
        <f>HEX2DEC(A121+Items!$A$28)</f>
        <v>100663577</v>
      </c>
      <c r="C121" s="46" t="s">
        <v>974</v>
      </c>
      <c r="D121" s="51" t="s">
        <v>2246</v>
      </c>
      <c r="E121" s="46" t="s">
        <v>850</v>
      </c>
      <c r="F121" s="46" t="s">
        <v>705</v>
      </c>
      <c r="G121" s="46">
        <v>29</v>
      </c>
      <c r="H121" s="57" t="s">
        <v>975</v>
      </c>
      <c r="I121" s="34" t="str">
        <f t="shared" ref="I121:I182" si="4">"DA_Prefix_"&amp; SUBSTITUTE(C121," ","_")</f>
        <v>DA_Prefix_Infused</v>
      </c>
      <c r="J121" s="34" t="str">
        <f t="shared" ref="J121:J182" si="5">"/Game/DungeonSiege/Items/Affixes/Prefix/" &amp; I121</f>
        <v>/Game/DungeonSiege/Items/Affixes/Prefix/DA_Prefix_Infused</v>
      </c>
      <c r="CG121" s="59"/>
    </row>
    <row r="122" spans="1:92" s="60" customFormat="1" ht="22.5" x14ac:dyDescent="0.25">
      <c r="A122" s="43">
        <v>120</v>
      </c>
      <c r="B122" s="43">
        <f>HEX2DEC(A122+Items!$A$28)</f>
        <v>100663584</v>
      </c>
      <c r="C122" s="46" t="s">
        <v>976</v>
      </c>
      <c r="D122" s="51" t="s">
        <v>2247</v>
      </c>
      <c r="E122" s="46" t="s">
        <v>850</v>
      </c>
      <c r="F122" s="46" t="s">
        <v>809</v>
      </c>
      <c r="G122" s="46">
        <v>29</v>
      </c>
      <c r="H122" s="57" t="s">
        <v>977</v>
      </c>
      <c r="I122" s="34" t="str">
        <f t="shared" si="4"/>
        <v>DA_Prefix_Glimmering</v>
      </c>
      <c r="J122" s="34" t="str">
        <f t="shared" si="5"/>
        <v>/Game/DungeonSiege/Items/Affixes/Prefix/DA_Prefix_Glimmering</v>
      </c>
      <c r="CH122" s="59"/>
    </row>
    <row r="123" spans="1:92" s="60" customFormat="1" x14ac:dyDescent="0.25">
      <c r="A123" s="43">
        <v>121</v>
      </c>
      <c r="B123" s="43">
        <f>HEX2DEC(A123+Items!$A$28)</f>
        <v>100663585</v>
      </c>
      <c r="C123" s="45" t="s">
        <v>978</v>
      </c>
      <c r="D123" s="50" t="s">
        <v>2248</v>
      </c>
      <c r="E123" s="45" t="s">
        <v>704</v>
      </c>
      <c r="F123" s="45" t="s">
        <v>682</v>
      </c>
      <c r="G123" s="45">
        <v>28</v>
      </c>
      <c r="H123" s="56" t="s">
        <v>980</v>
      </c>
      <c r="I123" s="33" t="str">
        <f t="shared" si="4"/>
        <v>DA_Prefix_Superior</v>
      </c>
      <c r="J123" s="33" t="str">
        <f t="shared" si="5"/>
        <v>/Game/DungeonSiege/Items/Affixes/Prefix/DA_Prefix_Superior</v>
      </c>
      <c r="CI123" s="59"/>
    </row>
    <row r="124" spans="1:92" s="60" customFormat="1" x14ac:dyDescent="0.25">
      <c r="A124" s="44">
        <v>122</v>
      </c>
      <c r="B124" s="43">
        <f>HEX2DEC(A124+Items!$A$28)</f>
        <v>100663586</v>
      </c>
      <c r="C124" s="46" t="s">
        <v>981</v>
      </c>
      <c r="D124" s="51" t="s">
        <v>2249</v>
      </c>
      <c r="E124" s="46" t="s">
        <v>850</v>
      </c>
      <c r="F124" s="46" t="s">
        <v>705</v>
      </c>
      <c r="G124" s="46">
        <v>28</v>
      </c>
      <c r="H124" s="57" t="s">
        <v>982</v>
      </c>
      <c r="I124" s="34" t="str">
        <f t="shared" si="4"/>
        <v>DA_Prefix_Intense</v>
      </c>
      <c r="J124" s="34" t="str">
        <f t="shared" si="5"/>
        <v>/Game/DungeonSiege/Items/Affixes/Prefix/DA_Prefix_Intense</v>
      </c>
      <c r="CJ124" s="59"/>
    </row>
    <row r="125" spans="1:92" s="60" customFormat="1" x14ac:dyDescent="0.25">
      <c r="A125" s="44">
        <v>123</v>
      </c>
      <c r="B125" s="43">
        <f>HEX2DEC(A125+Items!$A$28)</f>
        <v>100663587</v>
      </c>
      <c r="C125" s="46" t="s">
        <v>983</v>
      </c>
      <c r="D125" s="51" t="s">
        <v>2250</v>
      </c>
      <c r="E125" s="46" t="s">
        <v>850</v>
      </c>
      <c r="F125" s="46" t="s">
        <v>819</v>
      </c>
      <c r="G125" s="46">
        <v>28</v>
      </c>
      <c r="H125" s="57" t="s">
        <v>984</v>
      </c>
      <c r="I125" s="34" t="str">
        <f t="shared" si="4"/>
        <v>DA_Prefix_Mystic</v>
      </c>
      <c r="J125" s="34" t="str">
        <f t="shared" si="5"/>
        <v>/Game/DungeonSiege/Items/Affixes/Prefix/DA_Prefix_Mystic</v>
      </c>
      <c r="CK125" s="59"/>
    </row>
    <row r="126" spans="1:92" s="60" customFormat="1" x14ac:dyDescent="0.25">
      <c r="A126" s="43">
        <v>124</v>
      </c>
      <c r="B126" s="43">
        <f>HEX2DEC(A126+Items!$A$28)</f>
        <v>100663588</v>
      </c>
      <c r="C126" s="46" t="s">
        <v>985</v>
      </c>
      <c r="D126" s="51" t="s">
        <v>2251</v>
      </c>
      <c r="E126" s="46" t="s">
        <v>850</v>
      </c>
      <c r="F126" s="46" t="s">
        <v>809</v>
      </c>
      <c r="G126" s="46">
        <v>27</v>
      </c>
      <c r="H126" s="57" t="s">
        <v>986</v>
      </c>
      <c r="I126" s="34" t="str">
        <f t="shared" si="4"/>
        <v>DA_Prefix_Divine</v>
      </c>
      <c r="J126" s="34" t="str">
        <f t="shared" si="5"/>
        <v>/Game/DungeonSiege/Items/Affixes/Prefix/DA_Prefix_Divine</v>
      </c>
      <c r="CL126" s="59"/>
    </row>
    <row r="127" spans="1:92" s="60" customFormat="1" x14ac:dyDescent="0.25">
      <c r="A127" s="43">
        <v>125</v>
      </c>
      <c r="B127" s="43">
        <f>HEX2DEC(A127+Items!$A$28)</f>
        <v>100663589</v>
      </c>
      <c r="C127" s="46" t="s">
        <v>987</v>
      </c>
      <c r="D127" s="51" t="s">
        <v>2252</v>
      </c>
      <c r="E127" s="46" t="s">
        <v>850</v>
      </c>
      <c r="F127" s="46" t="s">
        <v>705</v>
      </c>
      <c r="G127" s="46">
        <v>27</v>
      </c>
      <c r="H127" s="57" t="s">
        <v>988</v>
      </c>
      <c r="I127" s="34" t="str">
        <f t="shared" si="4"/>
        <v>DA_Prefix_Curious</v>
      </c>
      <c r="J127" s="34" t="str">
        <f t="shared" si="5"/>
        <v>/Game/DungeonSiege/Items/Affixes/Prefix/DA_Prefix_Curious</v>
      </c>
      <c r="CM127" s="59"/>
    </row>
    <row r="128" spans="1:92" s="60" customFormat="1" x14ac:dyDescent="0.25">
      <c r="A128" s="44">
        <v>126</v>
      </c>
      <c r="B128" s="43">
        <f>HEX2DEC(A128+Items!$A$28)</f>
        <v>100663590</v>
      </c>
      <c r="C128" s="45" t="s">
        <v>989</v>
      </c>
      <c r="D128" s="50" t="s">
        <v>2253</v>
      </c>
      <c r="E128" s="45" t="s">
        <v>704</v>
      </c>
      <c r="F128" s="45" t="s">
        <v>690</v>
      </c>
      <c r="G128" s="45">
        <v>26</v>
      </c>
      <c r="H128" s="56" t="s">
        <v>990</v>
      </c>
      <c r="I128" s="33" t="str">
        <f t="shared" si="4"/>
        <v>DA_Prefix_Miraculous</v>
      </c>
      <c r="J128" s="33" t="str">
        <f t="shared" si="5"/>
        <v>/Game/DungeonSiege/Items/Affixes/Prefix/DA_Prefix_Miraculous</v>
      </c>
      <c r="CN128" s="59"/>
    </row>
    <row r="129" spans="1:101" s="60" customFormat="1" x14ac:dyDescent="0.25">
      <c r="A129" s="44">
        <v>127</v>
      </c>
      <c r="B129" s="43">
        <f>HEX2DEC(A129+Items!$A$28)</f>
        <v>100663591</v>
      </c>
      <c r="C129" s="44" t="s">
        <v>991</v>
      </c>
      <c r="D129" s="53" t="s">
        <v>855</v>
      </c>
      <c r="E129" s="44" t="s">
        <v>681</v>
      </c>
      <c r="F129" s="44" t="s">
        <v>709</v>
      </c>
      <c r="G129" s="44">
        <v>25</v>
      </c>
      <c r="H129" s="55" t="s">
        <v>992</v>
      </c>
      <c r="I129" s="32" t="str">
        <f t="shared" si="4"/>
        <v>DA_Prefix_Ravaging</v>
      </c>
      <c r="J129" s="32" t="str">
        <f t="shared" si="5"/>
        <v>/Game/DungeonSiege/Items/Affixes/Prefix/DA_Prefix_Ravaging</v>
      </c>
    </row>
    <row r="130" spans="1:101" s="60" customFormat="1" x14ac:dyDescent="0.25">
      <c r="A130" s="43">
        <v>128</v>
      </c>
      <c r="B130" s="43">
        <f>HEX2DEC(A130+Items!$A$28)</f>
        <v>100663592</v>
      </c>
      <c r="C130" s="44" t="s">
        <v>993</v>
      </c>
      <c r="D130" s="53" t="s">
        <v>723</v>
      </c>
      <c r="E130" s="44" t="s">
        <v>681</v>
      </c>
      <c r="F130" s="44" t="s">
        <v>819</v>
      </c>
      <c r="G130" s="44">
        <v>25</v>
      </c>
      <c r="H130" s="55" t="s">
        <v>994</v>
      </c>
      <c r="I130" s="32" t="str">
        <f t="shared" si="4"/>
        <v>DA_Prefix_Unyielding</v>
      </c>
      <c r="J130" s="32" t="str">
        <f t="shared" si="5"/>
        <v>/Game/DungeonSiege/Items/Affixes/Prefix/DA_Prefix_Unyielding</v>
      </c>
    </row>
    <row r="131" spans="1:101" s="60" customFormat="1" x14ac:dyDescent="0.25">
      <c r="A131" s="43">
        <v>129</v>
      </c>
      <c r="B131" s="43">
        <f>HEX2DEC(A131+Items!$A$28)</f>
        <v>100663593</v>
      </c>
      <c r="C131" s="44" t="s">
        <v>995</v>
      </c>
      <c r="D131" s="53" t="s">
        <v>955</v>
      </c>
      <c r="E131" s="44" t="s">
        <v>681</v>
      </c>
      <c r="F131" s="44" t="s">
        <v>762</v>
      </c>
      <c r="G131" s="44">
        <v>25</v>
      </c>
      <c r="H131" s="55" t="s">
        <v>996</v>
      </c>
      <c r="I131" s="32" t="str">
        <f t="shared" si="4"/>
        <v>DA_Prefix_Protective</v>
      </c>
      <c r="J131" s="32" t="str">
        <f t="shared" si="5"/>
        <v>/Game/DungeonSiege/Items/Affixes/Prefix/DA_Prefix_Protective</v>
      </c>
    </row>
    <row r="132" spans="1:101" s="60" customFormat="1" x14ac:dyDescent="0.25">
      <c r="A132" s="44">
        <v>130</v>
      </c>
      <c r="B132" s="43">
        <f>HEX2DEC(A132+Items!$A$28)</f>
        <v>100663600</v>
      </c>
      <c r="C132" s="45" t="s">
        <v>997</v>
      </c>
      <c r="D132" s="50" t="s">
        <v>2254</v>
      </c>
      <c r="E132" s="45" t="s">
        <v>704</v>
      </c>
      <c r="F132" s="45" t="s">
        <v>705</v>
      </c>
      <c r="G132" s="45">
        <v>25</v>
      </c>
      <c r="H132" s="56" t="s">
        <v>998</v>
      </c>
      <c r="I132" s="33" t="str">
        <f t="shared" si="4"/>
        <v>DA_Prefix_Marvelous</v>
      </c>
      <c r="J132" s="33" t="str">
        <f t="shared" si="5"/>
        <v>/Game/DungeonSiege/Items/Affixes/Prefix/DA_Prefix_Marvelous</v>
      </c>
      <c r="CO132" s="59"/>
    </row>
    <row r="133" spans="1:101" s="60" customFormat="1" ht="22.5" x14ac:dyDescent="0.25">
      <c r="A133" s="44">
        <v>131</v>
      </c>
      <c r="B133" s="43">
        <f>HEX2DEC(A133+Items!$A$28)</f>
        <v>100663601</v>
      </c>
      <c r="C133" s="43" t="s">
        <v>999</v>
      </c>
      <c r="D133" s="42" t="s">
        <v>2255</v>
      </c>
      <c r="E133" s="43" t="s">
        <v>681</v>
      </c>
      <c r="F133" s="43" t="s">
        <v>682</v>
      </c>
      <c r="G133" s="43">
        <v>25</v>
      </c>
      <c r="H133" s="54" t="s">
        <v>1000</v>
      </c>
      <c r="I133" s="32" t="str">
        <f t="shared" si="4"/>
        <v>DA_Prefix_Intimidating</v>
      </c>
      <c r="J133" s="32" t="str">
        <f t="shared" si="5"/>
        <v>/Game/DungeonSiege/Items/Affixes/Prefix/DA_Prefix_Intimidating</v>
      </c>
      <c r="CP133" s="59"/>
    </row>
    <row r="134" spans="1:101" s="60" customFormat="1" x14ac:dyDescent="0.25">
      <c r="A134" s="43">
        <v>132</v>
      </c>
      <c r="B134" s="43">
        <f>HEX2DEC(A134+Items!$A$28)</f>
        <v>100663602</v>
      </c>
      <c r="C134" s="44" t="s">
        <v>1001</v>
      </c>
      <c r="D134" s="53" t="s">
        <v>1002</v>
      </c>
      <c r="E134" s="44" t="s">
        <v>681</v>
      </c>
      <c r="F134" s="44" t="s">
        <v>686</v>
      </c>
      <c r="G134" s="44">
        <v>25</v>
      </c>
      <c r="H134" s="55" t="s">
        <v>1003</v>
      </c>
      <c r="I134" s="32" t="str">
        <f t="shared" si="4"/>
        <v>DA_Prefix_Flying</v>
      </c>
      <c r="J134" s="32" t="str">
        <f t="shared" si="5"/>
        <v>/Game/DungeonSiege/Items/Affixes/Prefix/DA_Prefix_Flying</v>
      </c>
    </row>
    <row r="135" spans="1:101" s="60" customFormat="1" x14ac:dyDescent="0.25">
      <c r="A135" s="43">
        <v>133</v>
      </c>
      <c r="B135" s="43">
        <f>HEX2DEC(A135+Items!$A$28)</f>
        <v>100663603</v>
      </c>
      <c r="C135" s="43" t="s">
        <v>1004</v>
      </c>
      <c r="D135" s="42" t="s">
        <v>2256</v>
      </c>
      <c r="E135" s="43" t="s">
        <v>681</v>
      </c>
      <c r="F135" s="43" t="s">
        <v>3332</v>
      </c>
      <c r="G135" s="43">
        <v>25</v>
      </c>
      <c r="H135" s="54" t="s">
        <v>3339</v>
      </c>
      <c r="I135" s="32" t="str">
        <f t="shared" si="4"/>
        <v>DA_Prefix_Spraying</v>
      </c>
      <c r="J135" s="32" t="str">
        <f t="shared" si="5"/>
        <v>/Game/DungeonSiege/Items/Affixes/Prefix/DA_Prefix_Spraying</v>
      </c>
      <c r="CQ135" s="59"/>
    </row>
    <row r="136" spans="1:101" s="60" customFormat="1" ht="22.5" x14ac:dyDescent="0.25">
      <c r="A136" s="44">
        <v>134</v>
      </c>
      <c r="B136" s="43">
        <f>HEX2DEC(A136+Items!$A$28)</f>
        <v>100663604</v>
      </c>
      <c r="C136" s="44" t="s">
        <v>279</v>
      </c>
      <c r="D136" s="53" t="s">
        <v>278</v>
      </c>
      <c r="E136" s="44" t="s">
        <v>681</v>
      </c>
      <c r="F136" s="44" t="s">
        <v>813</v>
      </c>
      <c r="G136" s="44">
        <v>25</v>
      </c>
      <c r="H136" s="55" t="s">
        <v>277</v>
      </c>
      <c r="I136" s="32" t="str">
        <f t="shared" si="4"/>
        <v>DA_Prefix_Oak_Bound</v>
      </c>
      <c r="J136" s="32" t="str">
        <f t="shared" si="5"/>
        <v>/Game/DungeonSiege/Items/Affixes/Prefix/DA_Prefix_Oak_Bound</v>
      </c>
    </row>
    <row r="137" spans="1:101" s="60" customFormat="1" x14ac:dyDescent="0.25">
      <c r="A137" s="44">
        <v>135</v>
      </c>
      <c r="B137" s="43">
        <f>HEX2DEC(A137+Items!$A$28)</f>
        <v>100663605</v>
      </c>
      <c r="C137" s="44" t="s">
        <v>1005</v>
      </c>
      <c r="D137" s="53" t="s">
        <v>275</v>
      </c>
      <c r="E137" s="44" t="s">
        <v>681</v>
      </c>
      <c r="F137" s="44" t="s">
        <v>813</v>
      </c>
      <c r="G137" s="44">
        <v>25</v>
      </c>
      <c r="H137" s="55" t="s">
        <v>274</v>
      </c>
      <c r="I137" s="32" t="str">
        <f t="shared" si="4"/>
        <v>DA_Prefix_icy</v>
      </c>
      <c r="J137" s="32" t="str">
        <f t="shared" si="5"/>
        <v>/Game/DungeonSiege/Items/Affixes/Prefix/DA_Prefix_icy</v>
      </c>
    </row>
    <row r="138" spans="1:101" s="60" customFormat="1" x14ac:dyDescent="0.25">
      <c r="A138" s="43">
        <v>136</v>
      </c>
      <c r="B138" s="43">
        <f>HEX2DEC(A138+Items!$A$28)</f>
        <v>100663606</v>
      </c>
      <c r="C138" s="44" t="s">
        <v>1006</v>
      </c>
      <c r="D138" s="53" t="s">
        <v>272</v>
      </c>
      <c r="E138" s="44" t="s">
        <v>681</v>
      </c>
      <c r="F138" s="44" t="s">
        <v>813</v>
      </c>
      <c r="G138" s="44">
        <v>25</v>
      </c>
      <c r="H138" s="55" t="s">
        <v>271</v>
      </c>
      <c r="I138" s="32" t="str">
        <f t="shared" si="4"/>
        <v>DA_Prefix_burnt</v>
      </c>
      <c r="J138" s="32" t="str">
        <f t="shared" si="5"/>
        <v>/Game/DungeonSiege/Items/Affixes/Prefix/DA_Prefix_burnt</v>
      </c>
    </row>
    <row r="139" spans="1:101" s="60" customFormat="1" x14ac:dyDescent="0.25">
      <c r="A139" s="43">
        <v>137</v>
      </c>
      <c r="B139" s="43">
        <f>HEX2DEC(A139+Items!$A$28)</f>
        <v>100663607</v>
      </c>
      <c r="C139" s="44" t="s">
        <v>1007</v>
      </c>
      <c r="D139" s="53" t="s">
        <v>269</v>
      </c>
      <c r="E139" s="44" t="s">
        <v>681</v>
      </c>
      <c r="F139" s="44" t="s">
        <v>813</v>
      </c>
      <c r="G139" s="44">
        <v>25</v>
      </c>
      <c r="H139" s="55" t="s">
        <v>268</v>
      </c>
      <c r="I139" s="32" t="str">
        <f t="shared" si="4"/>
        <v>DA_Prefix_sparking</v>
      </c>
      <c r="J139" s="32" t="str">
        <f t="shared" si="5"/>
        <v>/Game/DungeonSiege/Items/Affixes/Prefix/DA_Prefix_sparking</v>
      </c>
    </row>
    <row r="140" spans="1:101" s="60" customFormat="1" x14ac:dyDescent="0.25">
      <c r="A140" s="44">
        <v>138</v>
      </c>
      <c r="B140" s="43">
        <f>HEX2DEC(A140+Items!$A$28)</f>
        <v>100663608</v>
      </c>
      <c r="C140" s="45" t="s">
        <v>1008</v>
      </c>
      <c r="D140" s="50" t="s">
        <v>2257</v>
      </c>
      <c r="E140" s="45" t="s">
        <v>704</v>
      </c>
      <c r="F140" s="45" t="s">
        <v>694</v>
      </c>
      <c r="G140" s="45">
        <v>24</v>
      </c>
      <c r="H140" s="56" t="s">
        <v>1010</v>
      </c>
      <c r="I140" s="33" t="str">
        <f t="shared" si="4"/>
        <v>DA_Prefix_Peerless</v>
      </c>
      <c r="J140" s="33" t="str">
        <f t="shared" si="5"/>
        <v>/Game/DungeonSiege/Items/Affixes/Prefix/DA_Prefix_Peerless</v>
      </c>
      <c r="CS140" s="59"/>
    </row>
    <row r="141" spans="1:101" s="60" customFormat="1" x14ac:dyDescent="0.25">
      <c r="A141" s="44">
        <v>139</v>
      </c>
      <c r="B141" s="43">
        <f>HEX2DEC(A141+Items!$A$28)</f>
        <v>100663609</v>
      </c>
      <c r="C141" s="46" t="s">
        <v>1011</v>
      </c>
      <c r="D141" s="51" t="s">
        <v>2258</v>
      </c>
      <c r="E141" s="46" t="s">
        <v>850</v>
      </c>
      <c r="F141" s="46" t="s">
        <v>705</v>
      </c>
      <c r="G141" s="46">
        <v>24</v>
      </c>
      <c r="H141" s="57" t="s">
        <v>1012</v>
      </c>
      <c r="I141" s="34" t="str">
        <f t="shared" si="4"/>
        <v>DA_Prefix_Bold</v>
      </c>
      <c r="J141" s="34" t="str">
        <f t="shared" si="5"/>
        <v>/Game/DungeonSiege/Items/Affixes/Prefix/DA_Prefix_Bold</v>
      </c>
      <c r="CT141" s="59"/>
    </row>
    <row r="142" spans="1:101" s="60" customFormat="1" ht="22.5" x14ac:dyDescent="0.25">
      <c r="A142" s="43">
        <v>140</v>
      </c>
      <c r="B142" s="43">
        <f>HEX2DEC(A142+Items!$A$28)</f>
        <v>100663616</v>
      </c>
      <c r="C142" s="46" t="s">
        <v>1013</v>
      </c>
      <c r="D142" s="51" t="s">
        <v>2259</v>
      </c>
      <c r="E142" s="46" t="s">
        <v>850</v>
      </c>
      <c r="F142" s="46" t="s">
        <v>819</v>
      </c>
      <c r="G142" s="46">
        <v>24</v>
      </c>
      <c r="H142" s="57" t="s">
        <v>1014</v>
      </c>
      <c r="I142" s="34" t="str">
        <f t="shared" si="4"/>
        <v>DA_Prefix_Clandestine</v>
      </c>
      <c r="J142" s="34" t="str">
        <f t="shared" si="5"/>
        <v>/Game/DungeonSiege/Items/Affixes/Prefix/DA_Prefix_Clandestine</v>
      </c>
      <c r="CU142" s="59"/>
    </row>
    <row r="143" spans="1:101" s="60" customFormat="1" x14ac:dyDescent="0.25">
      <c r="A143" s="43">
        <v>141</v>
      </c>
      <c r="B143" s="43">
        <f>HEX2DEC(A143+Items!$A$28)</f>
        <v>100663617</v>
      </c>
      <c r="C143" s="46" t="s">
        <v>1015</v>
      </c>
      <c r="D143" s="51" t="s">
        <v>2260</v>
      </c>
      <c r="E143" s="46" t="s">
        <v>850</v>
      </c>
      <c r="F143" s="46" t="s">
        <v>705</v>
      </c>
      <c r="G143" s="46">
        <v>24</v>
      </c>
      <c r="H143" s="57" t="s">
        <v>1016</v>
      </c>
      <c r="I143" s="34" t="str">
        <f t="shared" si="4"/>
        <v>DA_Prefix_Anticipated</v>
      </c>
      <c r="J143" s="34" t="str">
        <f t="shared" si="5"/>
        <v>/Game/DungeonSiege/Items/Affixes/Prefix/DA_Prefix_Anticipated</v>
      </c>
      <c r="CV143" s="59"/>
    </row>
    <row r="144" spans="1:101" s="60" customFormat="1" x14ac:dyDescent="0.25">
      <c r="A144" s="44">
        <v>142</v>
      </c>
      <c r="B144" s="43">
        <f>HEX2DEC(A144+Items!$A$28)</f>
        <v>100663618</v>
      </c>
      <c r="C144" s="46" t="s">
        <v>1017</v>
      </c>
      <c r="D144" s="51" t="s">
        <v>2261</v>
      </c>
      <c r="E144" s="46" t="s">
        <v>850</v>
      </c>
      <c r="F144" s="46" t="s">
        <v>705</v>
      </c>
      <c r="G144" s="46">
        <v>24</v>
      </c>
      <c r="H144" s="57" t="s">
        <v>1018</v>
      </c>
      <c r="I144" s="34" t="str">
        <f t="shared" si="4"/>
        <v>DA_Prefix_Obedient</v>
      </c>
      <c r="J144" s="34" t="str">
        <f t="shared" si="5"/>
        <v>/Game/DungeonSiege/Items/Affixes/Prefix/DA_Prefix_Obedient</v>
      </c>
      <c r="CW144" s="59"/>
    </row>
    <row r="145" spans="1:109" s="60" customFormat="1" x14ac:dyDescent="0.25">
      <c r="A145" s="44">
        <v>143</v>
      </c>
      <c r="B145" s="43">
        <f>HEX2DEC(A145+Items!$A$28)</f>
        <v>100663619</v>
      </c>
      <c r="C145" s="45" t="s">
        <v>1019</v>
      </c>
      <c r="D145" s="50" t="s">
        <v>2262</v>
      </c>
      <c r="E145" s="45" t="s">
        <v>704</v>
      </c>
      <c r="F145" s="45" t="s">
        <v>682</v>
      </c>
      <c r="G145" s="45">
        <v>23</v>
      </c>
      <c r="H145" s="56" t="s">
        <v>1021</v>
      </c>
      <c r="I145" s="33" t="str">
        <f t="shared" si="4"/>
        <v>DA_Prefix_Renowned</v>
      </c>
      <c r="J145" s="33" t="str">
        <f t="shared" si="5"/>
        <v>/Game/DungeonSiege/Items/Affixes/Prefix/DA_Prefix_Renowned</v>
      </c>
      <c r="CX145" s="59"/>
    </row>
    <row r="146" spans="1:109" s="60" customFormat="1" x14ac:dyDescent="0.25">
      <c r="A146" s="43">
        <v>144</v>
      </c>
      <c r="B146" s="43">
        <f>HEX2DEC(A146+Items!$A$28)</f>
        <v>100663620</v>
      </c>
      <c r="C146" s="44" t="s">
        <v>1022</v>
      </c>
      <c r="D146" s="53" t="s">
        <v>753</v>
      </c>
      <c r="E146" s="44" t="s">
        <v>681</v>
      </c>
      <c r="F146" s="44" t="s">
        <v>719</v>
      </c>
      <c r="G146" s="44">
        <v>22</v>
      </c>
      <c r="H146" s="55" t="s">
        <v>1023</v>
      </c>
      <c r="I146" s="32" t="str">
        <f t="shared" si="4"/>
        <v>DA_Prefix_Launching</v>
      </c>
      <c r="J146" s="32" t="str">
        <f t="shared" si="5"/>
        <v>/Game/DungeonSiege/Items/Affixes/Prefix/DA_Prefix_Launching</v>
      </c>
    </row>
    <row r="147" spans="1:109" s="60" customFormat="1" x14ac:dyDescent="0.25">
      <c r="A147" s="43">
        <v>145</v>
      </c>
      <c r="B147" s="43">
        <f>HEX2DEC(A147+Items!$A$28)</f>
        <v>100663621</v>
      </c>
      <c r="C147" s="44" t="s">
        <v>1024</v>
      </c>
      <c r="D147" s="53" t="s">
        <v>266</v>
      </c>
      <c r="E147" s="44" t="s">
        <v>681</v>
      </c>
      <c r="F147" s="44" t="s">
        <v>694</v>
      </c>
      <c r="G147" s="44">
        <v>22</v>
      </c>
      <c r="H147" s="55" t="s">
        <v>1025</v>
      </c>
      <c r="I147" s="32" t="str">
        <f t="shared" si="4"/>
        <v>DA_Prefix_Brawling</v>
      </c>
      <c r="J147" s="32" t="str">
        <f t="shared" si="5"/>
        <v>/Game/DungeonSiege/Items/Affixes/Prefix/DA_Prefix_Brawling</v>
      </c>
    </row>
    <row r="148" spans="1:109" s="60" customFormat="1" x14ac:dyDescent="0.25">
      <c r="A148" s="44">
        <v>146</v>
      </c>
      <c r="B148" s="43">
        <f>HEX2DEC(A148+Items!$A$28)</f>
        <v>100663622</v>
      </c>
      <c r="C148" s="44" t="s">
        <v>1026</v>
      </c>
      <c r="D148" s="53" t="s">
        <v>714</v>
      </c>
      <c r="E148" s="44" t="s">
        <v>681</v>
      </c>
      <c r="F148" s="44" t="s">
        <v>809</v>
      </c>
      <c r="G148" s="44">
        <v>22</v>
      </c>
      <c r="H148" s="55" t="s">
        <v>1027</v>
      </c>
      <c r="I148" s="32" t="str">
        <f t="shared" si="4"/>
        <v>DA_Prefix_Thwarting</v>
      </c>
      <c r="J148" s="32" t="str">
        <f t="shared" si="5"/>
        <v>/Game/DungeonSiege/Items/Affixes/Prefix/DA_Prefix_Thwarting</v>
      </c>
    </row>
    <row r="149" spans="1:109" s="60" customFormat="1" x14ac:dyDescent="0.25">
      <c r="A149" s="44">
        <v>147</v>
      </c>
      <c r="B149" s="43">
        <f>HEX2DEC(A149+Items!$A$28)</f>
        <v>100663623</v>
      </c>
      <c r="C149" s="44" t="s">
        <v>1028</v>
      </c>
      <c r="D149" s="53" t="s">
        <v>940</v>
      </c>
      <c r="E149" s="44" t="s">
        <v>681</v>
      </c>
      <c r="F149" s="44" t="s">
        <v>762</v>
      </c>
      <c r="G149" s="44">
        <v>22</v>
      </c>
      <c r="H149" s="55" t="s">
        <v>1029</v>
      </c>
      <c r="I149" s="32" t="str">
        <f t="shared" si="4"/>
        <v>DA_Prefix_Darting</v>
      </c>
      <c r="J149" s="32" t="str">
        <f t="shared" si="5"/>
        <v>/Game/DungeonSiege/Items/Affixes/Prefix/DA_Prefix_Darting</v>
      </c>
    </row>
    <row r="150" spans="1:109" s="60" customFormat="1" x14ac:dyDescent="0.25">
      <c r="A150" s="43">
        <v>148</v>
      </c>
      <c r="B150" s="43">
        <f>HEX2DEC(A150+Items!$A$28)</f>
        <v>100663624</v>
      </c>
      <c r="C150" s="44" t="s">
        <v>1030</v>
      </c>
      <c r="D150" s="53" t="s">
        <v>849</v>
      </c>
      <c r="E150" s="44" t="s">
        <v>681</v>
      </c>
      <c r="F150" s="44" t="s">
        <v>762</v>
      </c>
      <c r="G150" s="44">
        <v>22</v>
      </c>
      <c r="H150" s="55" t="s">
        <v>1031</v>
      </c>
      <c r="I150" s="32" t="str">
        <f t="shared" si="4"/>
        <v>DA_Prefix_Retreating</v>
      </c>
      <c r="J150" s="32" t="str">
        <f t="shared" si="5"/>
        <v>/Game/DungeonSiege/Items/Affixes/Prefix/DA_Prefix_Retreating</v>
      </c>
    </row>
    <row r="151" spans="1:109" s="60" customFormat="1" x14ac:dyDescent="0.25">
      <c r="A151" s="43">
        <v>149</v>
      </c>
      <c r="B151" s="43">
        <f>HEX2DEC(A151+Items!$A$28)</f>
        <v>100663625</v>
      </c>
      <c r="C151" s="47" t="s">
        <v>1032</v>
      </c>
      <c r="D151" s="52" t="s">
        <v>2263</v>
      </c>
      <c r="E151" s="47" t="s">
        <v>681</v>
      </c>
      <c r="F151" s="47" t="s">
        <v>705</v>
      </c>
      <c r="G151" s="47">
        <v>22</v>
      </c>
      <c r="H151" s="58" t="s">
        <v>1033</v>
      </c>
      <c r="I151" s="35" t="str">
        <f t="shared" si="4"/>
        <v>DA_Prefix_Grounded</v>
      </c>
      <c r="J151" s="35" t="str">
        <f t="shared" si="5"/>
        <v>/Game/DungeonSiege/Items/Affixes/Prefix/DA_Prefix_Grounded</v>
      </c>
      <c r="CY151" s="59"/>
    </row>
    <row r="152" spans="1:109" s="60" customFormat="1" x14ac:dyDescent="0.25">
      <c r="A152" s="44">
        <v>150</v>
      </c>
      <c r="B152" s="43">
        <f>HEX2DEC(A152+Items!$A$28)</f>
        <v>100663632</v>
      </c>
      <c r="C152" s="45" t="s">
        <v>1034</v>
      </c>
      <c r="D152" s="50" t="s">
        <v>2264</v>
      </c>
      <c r="E152" s="45" t="s">
        <v>704</v>
      </c>
      <c r="F152" s="45" t="s">
        <v>686</v>
      </c>
      <c r="G152" s="45">
        <v>22</v>
      </c>
      <c r="H152" s="56" t="s">
        <v>1035</v>
      </c>
      <c r="I152" s="33" t="str">
        <f t="shared" si="4"/>
        <v>DA_Prefix_Dashing</v>
      </c>
      <c r="J152" s="33" t="str">
        <f t="shared" si="5"/>
        <v>/Game/DungeonSiege/Items/Affixes/Prefix/DA_Prefix_Dashing</v>
      </c>
      <c r="CZ152" s="59"/>
    </row>
    <row r="153" spans="1:109" s="60" customFormat="1" x14ac:dyDescent="0.25">
      <c r="A153" s="44">
        <v>151</v>
      </c>
      <c r="B153" s="43">
        <f>HEX2DEC(A153+Items!$A$28)</f>
        <v>100663633</v>
      </c>
      <c r="C153" s="46" t="s">
        <v>1036</v>
      </c>
      <c r="D153" s="51" t="s">
        <v>2265</v>
      </c>
      <c r="E153" s="46" t="s">
        <v>850</v>
      </c>
      <c r="F153" s="46" t="s">
        <v>705</v>
      </c>
      <c r="G153" s="46">
        <v>22</v>
      </c>
      <c r="H153" s="57" t="s">
        <v>1037</v>
      </c>
      <c r="I153" s="34" t="str">
        <f t="shared" si="4"/>
        <v>DA_Prefix_Assured</v>
      </c>
      <c r="J153" s="34" t="str">
        <f t="shared" si="5"/>
        <v>/Game/DungeonSiege/Items/Affixes/Prefix/DA_Prefix_Assured</v>
      </c>
      <c r="DA153" s="59"/>
    </row>
    <row r="154" spans="1:109" s="60" customFormat="1" x14ac:dyDescent="0.25">
      <c r="A154" s="43">
        <v>152</v>
      </c>
      <c r="B154" s="43">
        <f>HEX2DEC(A154+Items!$A$28)</f>
        <v>100663634</v>
      </c>
      <c r="C154" s="44" t="s">
        <v>267</v>
      </c>
      <c r="D154" s="53" t="s">
        <v>266</v>
      </c>
      <c r="E154" s="44" t="s">
        <v>681</v>
      </c>
      <c r="F154" s="44" t="s">
        <v>813</v>
      </c>
      <c r="G154" s="44">
        <v>22</v>
      </c>
      <c r="H154" s="55" t="s">
        <v>265</v>
      </c>
      <c r="I154" s="32" t="str">
        <f t="shared" si="4"/>
        <v>DA_Prefix_Shaped</v>
      </c>
      <c r="J154" s="32" t="str">
        <f t="shared" si="5"/>
        <v>/Game/DungeonSiege/Items/Affixes/Prefix/DA_Prefix_Shaped</v>
      </c>
    </row>
    <row r="155" spans="1:109" s="60" customFormat="1" x14ac:dyDescent="0.25">
      <c r="A155" s="43">
        <v>153</v>
      </c>
      <c r="B155" s="43">
        <f>HEX2DEC(A155+Items!$A$28)</f>
        <v>100663635</v>
      </c>
      <c r="C155" s="45" t="s">
        <v>1038</v>
      </c>
      <c r="D155" s="50" t="s">
        <v>2266</v>
      </c>
      <c r="E155" s="45" t="s">
        <v>704</v>
      </c>
      <c r="F155" s="45" t="s">
        <v>705</v>
      </c>
      <c r="G155" s="45">
        <v>21</v>
      </c>
      <c r="H155" s="56" t="s">
        <v>1039</v>
      </c>
      <c r="I155" s="33" t="str">
        <f t="shared" si="4"/>
        <v>DA_Prefix_Prevailing</v>
      </c>
      <c r="J155" s="33" t="str">
        <f t="shared" si="5"/>
        <v>/Game/DungeonSiege/Items/Affixes/Prefix/DA_Prefix_Prevailing</v>
      </c>
      <c r="DB155" s="59"/>
    </row>
    <row r="156" spans="1:109" s="60" customFormat="1" x14ac:dyDescent="0.25">
      <c r="A156" s="44">
        <v>154</v>
      </c>
      <c r="B156" s="43">
        <f>HEX2DEC(A156+Items!$A$28)</f>
        <v>100663636</v>
      </c>
      <c r="C156" s="45" t="s">
        <v>1040</v>
      </c>
      <c r="D156" s="50" t="s">
        <v>2267</v>
      </c>
      <c r="E156" s="45" t="s">
        <v>704</v>
      </c>
      <c r="F156" s="45" t="s">
        <v>705</v>
      </c>
      <c r="G156" s="45">
        <v>20</v>
      </c>
      <c r="H156" s="56" t="s">
        <v>1041</v>
      </c>
      <c r="I156" s="33" t="str">
        <f t="shared" si="4"/>
        <v>DA_Prefix_Impressive</v>
      </c>
      <c r="J156" s="33" t="str">
        <f t="shared" si="5"/>
        <v>/Game/DungeonSiege/Items/Affixes/Prefix/DA_Prefix_Impressive</v>
      </c>
      <c r="DC156" s="59"/>
    </row>
    <row r="157" spans="1:109" s="60" customFormat="1" x14ac:dyDescent="0.25">
      <c r="A157" s="44">
        <v>155</v>
      </c>
      <c r="B157" s="43">
        <f>HEX2DEC(A157+Items!$A$28)</f>
        <v>100663637</v>
      </c>
      <c r="C157" s="46" t="s">
        <v>1042</v>
      </c>
      <c r="D157" s="51" t="s">
        <v>2268</v>
      </c>
      <c r="E157" s="46" t="s">
        <v>850</v>
      </c>
      <c r="F157" s="46" t="s">
        <v>705</v>
      </c>
      <c r="G157" s="46">
        <v>20</v>
      </c>
      <c r="H157" s="57" t="s">
        <v>1043</v>
      </c>
      <c r="I157" s="34" t="str">
        <f t="shared" si="4"/>
        <v>DA_Prefix_Palpable</v>
      </c>
      <c r="J157" s="34" t="str">
        <f t="shared" si="5"/>
        <v>/Game/DungeonSiege/Items/Affixes/Prefix/DA_Prefix_Palpable</v>
      </c>
      <c r="DD157" s="59"/>
    </row>
    <row r="158" spans="1:109" s="60" customFormat="1" x14ac:dyDescent="0.25">
      <c r="A158" s="43">
        <v>156</v>
      </c>
      <c r="B158" s="43">
        <f>HEX2DEC(A158+Items!$A$28)</f>
        <v>100663638</v>
      </c>
      <c r="C158" s="46" t="s">
        <v>1044</v>
      </c>
      <c r="D158" s="51" t="s">
        <v>2269</v>
      </c>
      <c r="E158" s="46" t="s">
        <v>850</v>
      </c>
      <c r="F158" s="46" t="s">
        <v>819</v>
      </c>
      <c r="G158" s="46">
        <v>20</v>
      </c>
      <c r="H158" s="57" t="s">
        <v>1045</v>
      </c>
      <c r="I158" s="34" t="str">
        <f t="shared" si="4"/>
        <v>DA_Prefix_Almighty</v>
      </c>
      <c r="J158" s="34" t="str">
        <f t="shared" si="5"/>
        <v>/Game/DungeonSiege/Items/Affixes/Prefix/DA_Prefix_Almighty</v>
      </c>
      <c r="DE158" s="59"/>
    </row>
    <row r="159" spans="1:109" s="60" customFormat="1" x14ac:dyDescent="0.25">
      <c r="A159" s="43">
        <v>157</v>
      </c>
      <c r="B159" s="43">
        <f>HEX2DEC(A159+Items!$A$28)</f>
        <v>100663639</v>
      </c>
      <c r="C159" s="44" t="s">
        <v>1046</v>
      </c>
      <c r="D159" s="53" t="s">
        <v>263</v>
      </c>
      <c r="E159" s="44" t="s">
        <v>681</v>
      </c>
      <c r="F159" s="44" t="s">
        <v>694</v>
      </c>
      <c r="G159" s="44">
        <v>19</v>
      </c>
      <c r="H159" s="55" t="s">
        <v>1047</v>
      </c>
      <c r="I159" s="32" t="str">
        <f t="shared" si="4"/>
        <v>DA_Prefix_Earthen</v>
      </c>
      <c r="J159" s="32" t="str">
        <f t="shared" si="5"/>
        <v>/Game/DungeonSiege/Items/Affixes/Prefix/DA_Prefix_Earthen</v>
      </c>
    </row>
    <row r="160" spans="1:109" s="60" customFormat="1" x14ac:dyDescent="0.25">
      <c r="A160" s="44">
        <v>158</v>
      </c>
      <c r="B160" s="43">
        <f>HEX2DEC(A160+Items!$A$28)</f>
        <v>100663640</v>
      </c>
      <c r="C160" s="44" t="s">
        <v>1048</v>
      </c>
      <c r="D160" s="53" t="s">
        <v>767</v>
      </c>
      <c r="E160" s="44" t="s">
        <v>681</v>
      </c>
      <c r="F160" s="44" t="s">
        <v>809</v>
      </c>
      <c r="G160" s="44">
        <v>19</v>
      </c>
      <c r="H160" s="55" t="s">
        <v>1049</v>
      </c>
      <c r="I160" s="32" t="str">
        <f t="shared" si="4"/>
        <v>DA_Prefix_Girded</v>
      </c>
      <c r="J160" s="32" t="str">
        <f t="shared" si="5"/>
        <v>/Game/DungeonSiege/Items/Affixes/Prefix/DA_Prefix_Girded</v>
      </c>
    </row>
    <row r="161" spans="1:118" s="60" customFormat="1" x14ac:dyDescent="0.25">
      <c r="A161" s="44">
        <v>159</v>
      </c>
      <c r="B161" s="43">
        <f>HEX2DEC(A161+Items!$A$28)</f>
        <v>100663641</v>
      </c>
      <c r="C161" s="46" t="s">
        <v>1050</v>
      </c>
      <c r="D161" s="51" t="s">
        <v>2270</v>
      </c>
      <c r="E161" s="46" t="s">
        <v>850</v>
      </c>
      <c r="F161" s="46" t="s">
        <v>705</v>
      </c>
      <c r="G161" s="46">
        <v>19</v>
      </c>
      <c r="H161" s="57" t="s">
        <v>1051</v>
      </c>
      <c r="I161" s="34" t="str">
        <f t="shared" si="4"/>
        <v>DA_Prefix_Relentless</v>
      </c>
      <c r="J161" s="34" t="str">
        <f t="shared" si="5"/>
        <v>/Game/DungeonSiege/Items/Affixes/Prefix/DA_Prefix_Relentless</v>
      </c>
      <c r="DF161" s="59"/>
    </row>
    <row r="162" spans="1:118" s="60" customFormat="1" x14ac:dyDescent="0.25">
      <c r="A162" s="43">
        <v>160</v>
      </c>
      <c r="B162" s="43">
        <f>HEX2DEC(A162+Items!$A$28)</f>
        <v>100663648</v>
      </c>
      <c r="C162" s="44" t="s">
        <v>264</v>
      </c>
      <c r="D162" s="53" t="s">
        <v>263</v>
      </c>
      <c r="E162" s="44" t="s">
        <v>681</v>
      </c>
      <c r="F162" s="44" t="s">
        <v>813</v>
      </c>
      <c r="G162" s="44">
        <v>19</v>
      </c>
      <c r="H162" s="55" t="s">
        <v>262</v>
      </c>
      <c r="I162" s="32" t="str">
        <f t="shared" si="4"/>
        <v>DA_Prefix_Rustic</v>
      </c>
      <c r="J162" s="32" t="str">
        <f t="shared" si="5"/>
        <v>/Game/DungeonSiege/Items/Affixes/Prefix/DA_Prefix_Rustic</v>
      </c>
    </row>
    <row r="163" spans="1:118" s="60" customFormat="1" ht="22.5" x14ac:dyDescent="0.25">
      <c r="A163" s="43">
        <v>161</v>
      </c>
      <c r="B163" s="43">
        <f>HEX2DEC(A163+Items!$A$28)</f>
        <v>100663649</v>
      </c>
      <c r="C163" s="45" t="s">
        <v>1052</v>
      </c>
      <c r="D163" s="50" t="s">
        <v>2271</v>
      </c>
      <c r="E163" s="45" t="s">
        <v>704</v>
      </c>
      <c r="F163" s="45" t="s">
        <v>682</v>
      </c>
      <c r="G163" s="45">
        <v>18</v>
      </c>
      <c r="H163" s="56" t="s">
        <v>1054</v>
      </c>
      <c r="I163" s="33" t="str">
        <f t="shared" si="4"/>
        <v>DA_Prefix_Immaculate</v>
      </c>
      <c r="J163" s="33" t="str">
        <f t="shared" si="5"/>
        <v>/Game/DungeonSiege/Items/Affixes/Prefix/DA_Prefix_Immaculate</v>
      </c>
      <c r="DG163" s="59"/>
    </row>
    <row r="164" spans="1:118" s="60" customFormat="1" x14ac:dyDescent="0.25">
      <c r="A164" s="44">
        <v>162</v>
      </c>
      <c r="B164" s="43">
        <f>HEX2DEC(A164+Items!$A$28)</f>
        <v>100663650</v>
      </c>
      <c r="C164" s="46" t="s">
        <v>1055</v>
      </c>
      <c r="D164" s="51" t="s">
        <v>2272</v>
      </c>
      <c r="E164" s="46" t="s">
        <v>850</v>
      </c>
      <c r="F164" s="46" t="s">
        <v>705</v>
      </c>
      <c r="G164" s="46">
        <v>18</v>
      </c>
      <c r="H164" s="57" t="s">
        <v>1056</v>
      </c>
      <c r="I164" s="34" t="str">
        <f t="shared" si="4"/>
        <v>DA_Prefix_Tactile</v>
      </c>
      <c r="J164" s="34" t="str">
        <f t="shared" si="5"/>
        <v>/Game/DungeonSiege/Items/Affixes/Prefix/DA_Prefix_Tactile</v>
      </c>
      <c r="DH164" s="59"/>
    </row>
    <row r="165" spans="1:118" s="60" customFormat="1" ht="22.5" x14ac:dyDescent="0.25">
      <c r="A165" s="44">
        <v>163</v>
      </c>
      <c r="B165" s="43">
        <f>HEX2DEC(A165+Items!$A$28)</f>
        <v>100663651</v>
      </c>
      <c r="C165" s="46" t="s">
        <v>1057</v>
      </c>
      <c r="D165" s="51" t="s">
        <v>2273</v>
      </c>
      <c r="E165" s="46" t="s">
        <v>850</v>
      </c>
      <c r="F165" s="46" t="s">
        <v>705</v>
      </c>
      <c r="G165" s="46">
        <v>18</v>
      </c>
      <c r="H165" s="57" t="s">
        <v>1058</v>
      </c>
      <c r="I165" s="34" t="str">
        <f t="shared" si="4"/>
        <v>DA_Prefix_Momentous</v>
      </c>
      <c r="J165" s="34" t="str">
        <f t="shared" si="5"/>
        <v>/Game/DungeonSiege/Items/Affixes/Prefix/DA_Prefix_Momentous</v>
      </c>
      <c r="DI165" s="59"/>
    </row>
    <row r="166" spans="1:118" s="60" customFormat="1" x14ac:dyDescent="0.25">
      <c r="A166" s="43">
        <v>164</v>
      </c>
      <c r="B166" s="43">
        <f>HEX2DEC(A166+Items!$A$28)</f>
        <v>100663652</v>
      </c>
      <c r="C166" s="46" t="s">
        <v>1059</v>
      </c>
      <c r="D166" s="51" t="s">
        <v>2274</v>
      </c>
      <c r="E166" s="46" t="s">
        <v>850</v>
      </c>
      <c r="F166" s="46" t="s">
        <v>705</v>
      </c>
      <c r="G166" s="46">
        <v>17</v>
      </c>
      <c r="H166" s="57" t="s">
        <v>1060</v>
      </c>
      <c r="I166" s="34" t="str">
        <f t="shared" si="4"/>
        <v>DA_Prefix_Notable</v>
      </c>
      <c r="J166" s="34" t="str">
        <f t="shared" si="5"/>
        <v>/Game/DungeonSiege/Items/Affixes/Prefix/DA_Prefix_Notable</v>
      </c>
      <c r="DJ166" s="59"/>
    </row>
    <row r="167" spans="1:118" s="60" customFormat="1" x14ac:dyDescent="0.25">
      <c r="A167" s="43">
        <v>165</v>
      </c>
      <c r="B167" s="43">
        <f>HEX2DEC(A167+Items!$A$28)</f>
        <v>100663653</v>
      </c>
      <c r="C167" s="44" t="s">
        <v>1061</v>
      </c>
      <c r="D167" s="53" t="s">
        <v>257</v>
      </c>
      <c r="E167" s="44" t="s">
        <v>681</v>
      </c>
      <c r="F167" s="44" t="s">
        <v>690</v>
      </c>
      <c r="G167" s="44">
        <v>16</v>
      </c>
      <c r="H167" s="55" t="s">
        <v>1062</v>
      </c>
      <c r="I167" s="32" t="str">
        <f t="shared" si="4"/>
        <v>DA_Prefix_Burly</v>
      </c>
      <c r="J167" s="32" t="str">
        <f t="shared" si="5"/>
        <v>/Game/DungeonSiege/Items/Affixes/Prefix/DA_Prefix_Burly</v>
      </c>
    </row>
    <row r="168" spans="1:118" s="60" customFormat="1" ht="22.5" x14ac:dyDescent="0.25">
      <c r="A168" s="44">
        <v>166</v>
      </c>
      <c r="B168" s="43">
        <f>HEX2DEC(A168+Items!$A$28)</f>
        <v>100663654</v>
      </c>
      <c r="C168" s="44" t="s">
        <v>1063</v>
      </c>
      <c r="D168" s="53" t="s">
        <v>827</v>
      </c>
      <c r="E168" s="44" t="s">
        <v>681</v>
      </c>
      <c r="F168" s="44" t="s">
        <v>762</v>
      </c>
      <c r="G168" s="44">
        <v>16</v>
      </c>
      <c r="H168" s="55" t="s">
        <v>1064</v>
      </c>
      <c r="I168" s="32" t="str">
        <f t="shared" si="4"/>
        <v>DA_Prefix_Neutralizing</v>
      </c>
      <c r="J168" s="32" t="str">
        <f t="shared" si="5"/>
        <v>/Game/DungeonSiege/Items/Affixes/Prefix/DA_Prefix_Neutralizing</v>
      </c>
    </row>
    <row r="169" spans="1:118" s="60" customFormat="1" x14ac:dyDescent="0.25">
      <c r="A169" s="44">
        <v>167</v>
      </c>
      <c r="B169" s="43">
        <f>HEX2DEC(A169+Items!$A$28)</f>
        <v>100663655</v>
      </c>
      <c r="C169" s="44" t="s">
        <v>261</v>
      </c>
      <c r="D169" s="53" t="s">
        <v>260</v>
      </c>
      <c r="E169" s="44" t="s">
        <v>681</v>
      </c>
      <c r="F169" s="44" t="s">
        <v>786</v>
      </c>
      <c r="G169" s="44">
        <v>16</v>
      </c>
      <c r="H169" s="55" t="s">
        <v>259</v>
      </c>
      <c r="I169" s="32" t="str">
        <f t="shared" si="4"/>
        <v>DA_Prefix_Harsh</v>
      </c>
      <c r="J169" s="32" t="str">
        <f t="shared" si="5"/>
        <v>/Game/DungeonSiege/Items/Affixes/Prefix/DA_Prefix_Harsh</v>
      </c>
    </row>
    <row r="170" spans="1:118" s="60" customFormat="1" x14ac:dyDescent="0.25">
      <c r="A170" s="43">
        <v>168</v>
      </c>
      <c r="B170" s="43">
        <f>HEX2DEC(A170+Items!$A$28)</f>
        <v>100663656</v>
      </c>
      <c r="C170" s="43" t="s">
        <v>1065</v>
      </c>
      <c r="D170" s="42" t="s">
        <v>2275</v>
      </c>
      <c r="E170" s="43" t="s">
        <v>681</v>
      </c>
      <c r="F170" s="43" t="s">
        <v>690</v>
      </c>
      <c r="G170" s="43">
        <v>16</v>
      </c>
      <c r="H170" s="54" t="s">
        <v>1066</v>
      </c>
      <c r="I170" s="32" t="str">
        <f t="shared" si="4"/>
        <v>DA_Prefix_Lurid</v>
      </c>
      <c r="J170" s="32" t="str">
        <f t="shared" si="5"/>
        <v>/Game/DungeonSiege/Items/Affixes/Prefix/DA_Prefix_Lurid</v>
      </c>
      <c r="DK170" s="59"/>
    </row>
    <row r="171" spans="1:118" s="60" customFormat="1" x14ac:dyDescent="0.25">
      <c r="A171" s="43">
        <v>169</v>
      </c>
      <c r="B171" s="43">
        <f>HEX2DEC(A171+Items!$A$28)</f>
        <v>100663657</v>
      </c>
      <c r="C171" s="44" t="s">
        <v>258</v>
      </c>
      <c r="D171" s="53" t="s">
        <v>257</v>
      </c>
      <c r="E171" s="44" t="s">
        <v>681</v>
      </c>
      <c r="F171" s="44" t="s">
        <v>813</v>
      </c>
      <c r="G171" s="44">
        <v>16</v>
      </c>
      <c r="H171" s="55" t="s">
        <v>256</v>
      </c>
      <c r="I171" s="32" t="str">
        <f t="shared" si="4"/>
        <v>DA_Prefix_Mystical</v>
      </c>
      <c r="J171" s="32" t="str">
        <f t="shared" si="5"/>
        <v>/Game/DungeonSiege/Items/Affixes/Prefix/DA_Prefix_Mystical</v>
      </c>
    </row>
    <row r="172" spans="1:118" s="60" customFormat="1" ht="22.5" x14ac:dyDescent="0.25">
      <c r="A172" s="44">
        <v>170</v>
      </c>
      <c r="B172" s="43">
        <f>HEX2DEC(A172+Items!$A$28)</f>
        <v>100663664</v>
      </c>
      <c r="C172" s="45" t="s">
        <v>1067</v>
      </c>
      <c r="D172" s="50" t="s">
        <v>2276</v>
      </c>
      <c r="E172" s="45" t="s">
        <v>704</v>
      </c>
      <c r="F172" s="45" t="s">
        <v>705</v>
      </c>
      <c r="G172" s="45">
        <v>15</v>
      </c>
      <c r="H172" s="56" t="s">
        <v>1068</v>
      </c>
      <c r="I172" s="33" t="str">
        <f t="shared" si="4"/>
        <v>DA_Prefix_Exceptional</v>
      </c>
      <c r="J172" s="33" t="str">
        <f t="shared" si="5"/>
        <v>/Game/DungeonSiege/Items/Affixes/Prefix/DA_Prefix_Exceptional</v>
      </c>
      <c r="DL172" s="59"/>
    </row>
    <row r="173" spans="1:118" s="60" customFormat="1" x14ac:dyDescent="0.25">
      <c r="A173" s="44">
        <v>171</v>
      </c>
      <c r="B173" s="43">
        <f>HEX2DEC(A173+Items!$A$28)</f>
        <v>100663665</v>
      </c>
      <c r="C173" s="46" t="s">
        <v>1069</v>
      </c>
      <c r="D173" s="51" t="s">
        <v>2277</v>
      </c>
      <c r="E173" s="46" t="s">
        <v>850</v>
      </c>
      <c r="F173" s="46" t="s">
        <v>705</v>
      </c>
      <c r="G173" s="46">
        <v>15</v>
      </c>
      <c r="H173" s="57" t="s">
        <v>1070</v>
      </c>
      <c r="I173" s="34" t="str">
        <f t="shared" si="4"/>
        <v>DA_Prefix_Legendary</v>
      </c>
      <c r="J173" s="34" t="str">
        <f t="shared" si="5"/>
        <v>/Game/DungeonSiege/Items/Affixes/Prefix/DA_Prefix_Legendary</v>
      </c>
      <c r="DM173" s="59"/>
    </row>
    <row r="174" spans="1:118" s="60" customFormat="1" ht="22.5" x14ac:dyDescent="0.25">
      <c r="A174" s="43">
        <v>172</v>
      </c>
      <c r="B174" s="43">
        <f>HEX2DEC(A174+Items!$A$28)</f>
        <v>100663666</v>
      </c>
      <c r="C174" s="46" t="s">
        <v>1071</v>
      </c>
      <c r="D174" s="51" t="s">
        <v>2278</v>
      </c>
      <c r="E174" s="46" t="s">
        <v>850</v>
      </c>
      <c r="F174" s="46" t="s">
        <v>690</v>
      </c>
      <c r="G174" s="46">
        <v>15</v>
      </c>
      <c r="H174" s="57" t="s">
        <v>1072</v>
      </c>
      <c r="I174" s="34" t="str">
        <f t="shared" si="4"/>
        <v>DA_Prefix_Predestined</v>
      </c>
      <c r="J174" s="34" t="str">
        <f t="shared" si="5"/>
        <v>/Game/DungeonSiege/Items/Affixes/Prefix/DA_Prefix_Predestined</v>
      </c>
      <c r="DN174" s="59"/>
    </row>
    <row r="175" spans="1:118" s="60" customFormat="1" x14ac:dyDescent="0.25">
      <c r="A175" s="43">
        <v>173</v>
      </c>
      <c r="B175" s="43">
        <f>HEX2DEC(A175+Items!$A$28)</f>
        <v>100663667</v>
      </c>
      <c r="C175" s="44" t="s">
        <v>1073</v>
      </c>
      <c r="D175" s="53" t="s">
        <v>1074</v>
      </c>
      <c r="E175" s="44" t="s">
        <v>681</v>
      </c>
      <c r="F175" s="44" t="s">
        <v>686</v>
      </c>
      <c r="G175" s="44">
        <v>15</v>
      </c>
      <c r="H175" s="55" t="s">
        <v>1075</v>
      </c>
      <c r="I175" s="32" t="str">
        <f t="shared" si="4"/>
        <v>DA_Prefix_Shooting</v>
      </c>
      <c r="J175" s="32" t="str">
        <f t="shared" si="5"/>
        <v>/Game/DungeonSiege/Items/Affixes/Prefix/DA_Prefix_Shooting</v>
      </c>
    </row>
    <row r="176" spans="1:118" s="60" customFormat="1" x14ac:dyDescent="0.25">
      <c r="A176" s="44">
        <v>174</v>
      </c>
      <c r="B176" s="43">
        <f>HEX2DEC(A176+Items!$A$28)</f>
        <v>100663668</v>
      </c>
      <c r="C176" s="44" t="s">
        <v>255</v>
      </c>
      <c r="D176" s="53" t="s">
        <v>254</v>
      </c>
      <c r="E176" s="44" t="s">
        <v>681</v>
      </c>
      <c r="F176" s="44" t="s">
        <v>813</v>
      </c>
      <c r="G176" s="44">
        <v>15</v>
      </c>
      <c r="H176" s="55" t="s">
        <v>253</v>
      </c>
      <c r="I176" s="32" t="str">
        <f t="shared" si="4"/>
        <v>DA_Prefix_Arctic</v>
      </c>
      <c r="J176" s="32" t="str">
        <f t="shared" si="5"/>
        <v>/Game/DungeonSiege/Items/Affixes/Prefix/DA_Prefix_Arctic</v>
      </c>
    </row>
    <row r="177" spans="1:128" s="60" customFormat="1" ht="22.5" x14ac:dyDescent="0.25">
      <c r="A177" s="44">
        <v>175</v>
      </c>
      <c r="B177" s="43">
        <f>HEX2DEC(A177+Items!$A$28)</f>
        <v>100663669</v>
      </c>
      <c r="C177" s="44" t="s">
        <v>252</v>
      </c>
      <c r="D177" s="53" t="s">
        <v>251</v>
      </c>
      <c r="E177" s="44" t="s">
        <v>681</v>
      </c>
      <c r="F177" s="44" t="s">
        <v>813</v>
      </c>
      <c r="G177" s="44">
        <v>15</v>
      </c>
      <c r="H177" s="55" t="s">
        <v>250</v>
      </c>
      <c r="I177" s="32" t="str">
        <f t="shared" si="4"/>
        <v>DA_Prefix_Combusting</v>
      </c>
      <c r="J177" s="32" t="str">
        <f t="shared" si="5"/>
        <v>/Game/DungeonSiege/Items/Affixes/Prefix/DA_Prefix_Combusting</v>
      </c>
    </row>
    <row r="178" spans="1:128" s="60" customFormat="1" x14ac:dyDescent="0.25">
      <c r="A178" s="43">
        <v>176</v>
      </c>
      <c r="B178" s="43">
        <f>HEX2DEC(A178+Items!$A$28)</f>
        <v>100663670</v>
      </c>
      <c r="C178" s="44" t="s">
        <v>1076</v>
      </c>
      <c r="D178" s="53" t="s">
        <v>248</v>
      </c>
      <c r="E178" s="44" t="s">
        <v>681</v>
      </c>
      <c r="F178" s="44" t="s">
        <v>813</v>
      </c>
      <c r="G178" s="44">
        <v>15</v>
      </c>
      <c r="H178" s="55" t="s">
        <v>247</v>
      </c>
      <c r="I178" s="32" t="str">
        <f t="shared" si="4"/>
        <v>DA_Prefix_zapping</v>
      </c>
      <c r="J178" s="32" t="str">
        <f t="shared" si="5"/>
        <v>/Game/DungeonSiege/Items/Affixes/Prefix/DA_Prefix_zapping</v>
      </c>
    </row>
    <row r="179" spans="1:128" s="60" customFormat="1" x14ac:dyDescent="0.25">
      <c r="A179" s="43">
        <v>177</v>
      </c>
      <c r="B179" s="43">
        <f>HEX2DEC(A179+Items!$A$28)</f>
        <v>100663671</v>
      </c>
      <c r="C179" s="43" t="s">
        <v>1077</v>
      </c>
      <c r="D179" s="42" t="s">
        <v>2279</v>
      </c>
      <c r="E179" s="43" t="s">
        <v>681</v>
      </c>
      <c r="F179" s="43" t="s">
        <v>3332</v>
      </c>
      <c r="G179" s="43">
        <v>15</v>
      </c>
      <c r="H179" s="54" t="s">
        <v>3338</v>
      </c>
      <c r="I179" s="32" t="str">
        <f t="shared" si="4"/>
        <v>DA_Prefix_Stupefying</v>
      </c>
      <c r="J179" s="32" t="str">
        <f t="shared" si="5"/>
        <v>/Game/DungeonSiege/Items/Affixes/Prefix/DA_Prefix_Stupefying</v>
      </c>
      <c r="DO179" s="59"/>
    </row>
    <row r="180" spans="1:128" s="60" customFormat="1" ht="22.5" x14ac:dyDescent="0.25">
      <c r="A180" s="44">
        <v>178</v>
      </c>
      <c r="B180" s="43">
        <f>HEX2DEC(A180+Items!$A$28)</f>
        <v>100663672</v>
      </c>
      <c r="C180" s="45" t="s">
        <v>1078</v>
      </c>
      <c r="D180" s="50" t="s">
        <v>2280</v>
      </c>
      <c r="E180" s="45" t="s">
        <v>704</v>
      </c>
      <c r="F180" s="45" t="s">
        <v>705</v>
      </c>
      <c r="G180" s="45">
        <v>14</v>
      </c>
      <c r="H180" s="56" t="s">
        <v>1079</v>
      </c>
      <c r="I180" s="33" t="str">
        <f t="shared" si="4"/>
        <v>DA_Prefix_Remarkable</v>
      </c>
      <c r="J180" s="33" t="str">
        <f t="shared" si="5"/>
        <v>/Game/DungeonSiege/Items/Affixes/Prefix/DA_Prefix_Remarkable</v>
      </c>
      <c r="DQ180" s="59"/>
    </row>
    <row r="181" spans="1:128" s="60" customFormat="1" x14ac:dyDescent="0.25">
      <c r="A181" s="44">
        <v>179</v>
      </c>
      <c r="B181" s="43">
        <f>HEX2DEC(A181+Items!$A$28)</f>
        <v>100663673</v>
      </c>
      <c r="C181" s="45" t="s">
        <v>1080</v>
      </c>
      <c r="D181" s="50" t="s">
        <v>2281</v>
      </c>
      <c r="E181" s="45" t="s">
        <v>704</v>
      </c>
      <c r="F181" s="45" t="s">
        <v>705</v>
      </c>
      <c r="G181" s="45">
        <v>14</v>
      </c>
      <c r="H181" s="56" t="s">
        <v>1081</v>
      </c>
      <c r="I181" s="33" t="str">
        <f t="shared" si="4"/>
        <v>DA_Prefix_Uncommon</v>
      </c>
      <c r="J181" s="33" t="str">
        <f t="shared" si="5"/>
        <v>/Game/DungeonSiege/Items/Affixes/Prefix/DA_Prefix_Uncommon</v>
      </c>
      <c r="DR181" s="59"/>
    </row>
    <row r="182" spans="1:128" s="60" customFormat="1" x14ac:dyDescent="0.25">
      <c r="A182" s="43">
        <v>180</v>
      </c>
      <c r="B182" s="43">
        <f>HEX2DEC(A182+Items!$A$28)</f>
        <v>100663680</v>
      </c>
      <c r="C182" s="46" t="s">
        <v>1082</v>
      </c>
      <c r="D182" s="51" t="s">
        <v>2282</v>
      </c>
      <c r="E182" s="46" t="s">
        <v>850</v>
      </c>
      <c r="F182" s="46" t="s">
        <v>1083</v>
      </c>
      <c r="G182" s="46">
        <v>14</v>
      </c>
      <c r="H182" s="57" t="s">
        <v>1084</v>
      </c>
      <c r="I182" s="34" t="str">
        <f t="shared" si="4"/>
        <v>DA_Prefix_Foretold</v>
      </c>
      <c r="J182" s="34" t="str">
        <f t="shared" si="5"/>
        <v>/Game/DungeonSiege/Items/Affixes/Prefix/DA_Prefix_Foretold</v>
      </c>
      <c r="DS182" s="59"/>
    </row>
    <row r="183" spans="1:128" s="60" customFormat="1" ht="22.5" x14ac:dyDescent="0.25">
      <c r="A183" s="43">
        <v>181</v>
      </c>
      <c r="B183" s="43">
        <f>HEX2DEC(A183+Items!$A$28)</f>
        <v>100663681</v>
      </c>
      <c r="C183" s="46" t="s">
        <v>1085</v>
      </c>
      <c r="D183" s="51" t="s">
        <v>2283</v>
      </c>
      <c r="E183" s="46" t="s">
        <v>850</v>
      </c>
      <c r="F183" s="46" t="s">
        <v>705</v>
      </c>
      <c r="G183" s="46">
        <v>14</v>
      </c>
      <c r="H183" s="57" t="s">
        <v>1086</v>
      </c>
      <c r="I183" s="34" t="str">
        <f t="shared" ref="I183:I244" si="6">"DA_Prefix_"&amp; SUBSTITUTE(C183," ","_")</f>
        <v>DA_Prefix_Flourishing</v>
      </c>
      <c r="J183" s="34" t="str">
        <f t="shared" ref="J183:J244" si="7">"/Game/DungeonSiege/Items/Affixes/Prefix/" &amp; I183</f>
        <v>/Game/DungeonSiege/Items/Affixes/Prefix/DA_Prefix_Flourishing</v>
      </c>
      <c r="DT183" s="59"/>
    </row>
    <row r="184" spans="1:128" s="60" customFormat="1" x14ac:dyDescent="0.25">
      <c r="A184" s="44">
        <v>182</v>
      </c>
      <c r="B184" s="43">
        <f>HEX2DEC(A184+Items!$A$28)</f>
        <v>100663682</v>
      </c>
      <c r="C184" s="44" t="s">
        <v>1087</v>
      </c>
      <c r="D184" s="53" t="s">
        <v>846</v>
      </c>
      <c r="E184" s="44" t="s">
        <v>681</v>
      </c>
      <c r="F184" s="44" t="s">
        <v>819</v>
      </c>
      <c r="G184" s="44">
        <v>13</v>
      </c>
      <c r="H184" s="55" t="s">
        <v>1088</v>
      </c>
      <c r="I184" s="32" t="str">
        <f t="shared" si="6"/>
        <v>DA_Prefix_Resistant</v>
      </c>
      <c r="J184" s="32" t="str">
        <f t="shared" si="7"/>
        <v>/Game/DungeonSiege/Items/Affixes/Prefix/DA_Prefix_Resistant</v>
      </c>
    </row>
    <row r="185" spans="1:128" s="60" customFormat="1" x14ac:dyDescent="0.25">
      <c r="A185" s="44">
        <v>183</v>
      </c>
      <c r="B185" s="43">
        <f>HEX2DEC(A185+Items!$A$28)</f>
        <v>100663683</v>
      </c>
      <c r="C185" s="44" t="s">
        <v>246</v>
      </c>
      <c r="D185" s="53" t="s">
        <v>245</v>
      </c>
      <c r="E185" s="44" t="s">
        <v>681</v>
      </c>
      <c r="F185" s="44" t="s">
        <v>844</v>
      </c>
      <c r="G185" s="44">
        <v>13</v>
      </c>
      <c r="H185" s="55" t="s">
        <v>244</v>
      </c>
      <c r="I185" s="32" t="str">
        <f t="shared" si="6"/>
        <v>DA_Prefix_Reliant</v>
      </c>
      <c r="J185" s="32" t="str">
        <f t="shared" si="7"/>
        <v>/Game/DungeonSiege/Items/Affixes/Prefix/DA_Prefix_Reliant</v>
      </c>
    </row>
    <row r="186" spans="1:128" s="60" customFormat="1" ht="22.5" x14ac:dyDescent="0.25">
      <c r="A186" s="43">
        <v>184</v>
      </c>
      <c r="B186" s="43">
        <f>HEX2DEC(A186+Items!$A$28)</f>
        <v>100663684</v>
      </c>
      <c r="C186" s="45" t="s">
        <v>1089</v>
      </c>
      <c r="D186" s="50" t="s">
        <v>2284</v>
      </c>
      <c r="E186" s="45" t="s">
        <v>704</v>
      </c>
      <c r="F186" s="45" t="s">
        <v>682</v>
      </c>
      <c r="G186" s="45">
        <v>13</v>
      </c>
      <c r="H186" s="56" t="s">
        <v>1090</v>
      </c>
      <c r="I186" s="33" t="str">
        <f t="shared" si="6"/>
        <v>DA_Prefix_Formidable</v>
      </c>
      <c r="J186" s="33" t="str">
        <f t="shared" si="7"/>
        <v>/Game/DungeonSiege/Items/Affixes/Prefix/DA_Prefix_Formidable</v>
      </c>
      <c r="DU186" s="59"/>
    </row>
    <row r="187" spans="1:128" s="60" customFormat="1" x14ac:dyDescent="0.25">
      <c r="A187" s="43">
        <v>185</v>
      </c>
      <c r="B187" s="43">
        <f>HEX2DEC(A187+Items!$A$28)</f>
        <v>100663685</v>
      </c>
      <c r="C187" s="45" t="s">
        <v>1091</v>
      </c>
      <c r="D187" s="50" t="s">
        <v>2285</v>
      </c>
      <c r="E187" s="45" t="s">
        <v>704</v>
      </c>
      <c r="F187" s="45" t="s">
        <v>686</v>
      </c>
      <c r="G187" s="45">
        <v>13</v>
      </c>
      <c r="H187" s="56" t="s">
        <v>1093</v>
      </c>
      <c r="I187" s="33" t="str">
        <f t="shared" si="6"/>
        <v>DA_Prefix_Wondrous</v>
      </c>
      <c r="J187" s="33" t="str">
        <f t="shared" si="7"/>
        <v>/Game/DungeonSiege/Items/Affixes/Prefix/DA_Prefix_Wondrous</v>
      </c>
      <c r="DV187" s="59"/>
    </row>
    <row r="188" spans="1:128" s="60" customFormat="1" ht="22.5" x14ac:dyDescent="0.25">
      <c r="A188" s="44">
        <v>186</v>
      </c>
      <c r="B188" s="43">
        <f>HEX2DEC(A188+Items!$A$28)</f>
        <v>100663686</v>
      </c>
      <c r="C188" s="45" t="s">
        <v>1094</v>
      </c>
      <c r="D188" s="50" t="s">
        <v>2286</v>
      </c>
      <c r="E188" s="45" t="s">
        <v>704</v>
      </c>
      <c r="F188" s="45" t="s">
        <v>682</v>
      </c>
      <c r="G188" s="45">
        <v>13</v>
      </c>
      <c r="H188" s="56" t="s">
        <v>1096</v>
      </c>
      <c r="I188" s="33" t="str">
        <f t="shared" si="6"/>
        <v>DA_Prefix_Astonishing</v>
      </c>
      <c r="J188" s="33" t="str">
        <f t="shared" si="7"/>
        <v>/Game/DungeonSiege/Items/Affixes/Prefix/DA_Prefix_Astonishing</v>
      </c>
      <c r="DW188" s="59"/>
    </row>
    <row r="189" spans="1:128" s="60" customFormat="1" x14ac:dyDescent="0.25">
      <c r="A189" s="44">
        <v>187</v>
      </c>
      <c r="B189" s="43">
        <f>HEX2DEC(A189+Items!$A$28)</f>
        <v>100663687</v>
      </c>
      <c r="C189" s="45" t="s">
        <v>1097</v>
      </c>
      <c r="D189" s="50" t="s">
        <v>2287</v>
      </c>
      <c r="E189" s="45" t="s">
        <v>704</v>
      </c>
      <c r="F189" s="45" t="s">
        <v>705</v>
      </c>
      <c r="G189" s="45">
        <v>13</v>
      </c>
      <c r="H189" s="56" t="s">
        <v>1098</v>
      </c>
      <c r="I189" s="33" t="str">
        <f t="shared" si="6"/>
        <v>DA_Prefix_Exalted</v>
      </c>
      <c r="J189" s="33" t="str">
        <f t="shared" si="7"/>
        <v>/Game/DungeonSiege/Items/Affixes/Prefix/DA_Prefix_Exalted</v>
      </c>
      <c r="DX189" s="59"/>
    </row>
    <row r="190" spans="1:128" s="60" customFormat="1" ht="22.5" x14ac:dyDescent="0.25">
      <c r="A190" s="43">
        <v>188</v>
      </c>
      <c r="B190" s="43">
        <f>HEX2DEC(A190+Items!$A$28)</f>
        <v>100663688</v>
      </c>
      <c r="C190" s="44" t="s">
        <v>243</v>
      </c>
      <c r="D190" s="53" t="s">
        <v>242</v>
      </c>
      <c r="E190" s="44" t="s">
        <v>681</v>
      </c>
      <c r="F190" s="44" t="s">
        <v>813</v>
      </c>
      <c r="G190" s="44">
        <v>13</v>
      </c>
      <c r="H190" s="55" t="s">
        <v>241</v>
      </c>
      <c r="I190" s="32" t="str">
        <f t="shared" si="6"/>
        <v>DA_Prefix_Leather_Bound</v>
      </c>
      <c r="J190" s="32" t="str">
        <f t="shared" si="7"/>
        <v>/Game/DungeonSiege/Items/Affixes/Prefix/DA_Prefix_Leather_Bound</v>
      </c>
    </row>
    <row r="191" spans="1:128" s="60" customFormat="1" x14ac:dyDescent="0.25">
      <c r="A191" s="43">
        <v>189</v>
      </c>
      <c r="B191" s="43">
        <f>HEX2DEC(A191+Items!$A$28)</f>
        <v>100663689</v>
      </c>
      <c r="C191" s="44" t="s">
        <v>1099</v>
      </c>
      <c r="D191" s="53" t="s">
        <v>239</v>
      </c>
      <c r="E191" s="44" t="s">
        <v>681</v>
      </c>
      <c r="F191" s="44" t="s">
        <v>694</v>
      </c>
      <c r="G191" s="44">
        <v>12</v>
      </c>
      <c r="H191" s="55" t="s">
        <v>1100</v>
      </c>
      <c r="I191" s="32" t="str">
        <f t="shared" si="6"/>
        <v>DA_Prefix_Terrestrial</v>
      </c>
      <c r="J191" s="32" t="str">
        <f t="shared" si="7"/>
        <v>/Game/DungeonSiege/Items/Affixes/Prefix/DA_Prefix_Terrestrial</v>
      </c>
    </row>
    <row r="192" spans="1:128" s="60" customFormat="1" x14ac:dyDescent="0.25">
      <c r="A192" s="44">
        <v>190</v>
      </c>
      <c r="B192" s="43">
        <f>HEX2DEC(A192+Items!$A$28)</f>
        <v>100663696</v>
      </c>
      <c r="C192" s="44" t="s">
        <v>1101</v>
      </c>
      <c r="D192" s="53" t="s">
        <v>747</v>
      </c>
      <c r="E192" s="44" t="s">
        <v>681</v>
      </c>
      <c r="F192" s="44" t="s">
        <v>762</v>
      </c>
      <c r="G192" s="44">
        <v>12</v>
      </c>
      <c r="H192" s="55" t="s">
        <v>1102</v>
      </c>
      <c r="I192" s="32" t="str">
        <f t="shared" si="6"/>
        <v>DA_Prefix_Elusive</v>
      </c>
      <c r="J192" s="32" t="str">
        <f t="shared" si="7"/>
        <v>/Game/DungeonSiege/Items/Affixes/Prefix/DA_Prefix_Elusive</v>
      </c>
    </row>
    <row r="193" spans="1:137" s="60" customFormat="1" x14ac:dyDescent="0.25">
      <c r="A193" s="44">
        <v>191</v>
      </c>
      <c r="B193" s="43">
        <f>HEX2DEC(A193+Items!$A$28)</f>
        <v>100663697</v>
      </c>
      <c r="C193" s="44" t="s">
        <v>1103</v>
      </c>
      <c r="D193" s="53" t="s">
        <v>824</v>
      </c>
      <c r="E193" s="44" t="s">
        <v>681</v>
      </c>
      <c r="F193" s="44" t="s">
        <v>762</v>
      </c>
      <c r="G193" s="44">
        <v>12</v>
      </c>
      <c r="H193" s="55" t="s">
        <v>1104</v>
      </c>
      <c r="I193" s="32" t="str">
        <f t="shared" si="6"/>
        <v>DA_Prefix_Avoiding</v>
      </c>
      <c r="J193" s="32" t="str">
        <f t="shared" si="7"/>
        <v>/Game/DungeonSiege/Items/Affixes/Prefix/DA_Prefix_Avoiding</v>
      </c>
    </row>
    <row r="194" spans="1:137" s="60" customFormat="1" x14ac:dyDescent="0.25">
      <c r="A194" s="43">
        <v>192</v>
      </c>
      <c r="B194" s="43">
        <f>HEX2DEC(A194+Items!$A$28)</f>
        <v>100663698</v>
      </c>
      <c r="C194" s="44" t="s">
        <v>1105</v>
      </c>
      <c r="D194" s="53" t="s">
        <v>870</v>
      </c>
      <c r="E194" s="44" t="s">
        <v>681</v>
      </c>
      <c r="F194" s="44" t="s">
        <v>809</v>
      </c>
      <c r="G194" s="44">
        <v>12</v>
      </c>
      <c r="H194" s="55" t="s">
        <v>1106</v>
      </c>
      <c r="I194" s="32" t="str">
        <f t="shared" si="6"/>
        <v>DA_Prefix_Staunch</v>
      </c>
      <c r="J194" s="32" t="str">
        <f t="shared" si="7"/>
        <v>/Game/DungeonSiege/Items/Affixes/Prefix/DA_Prefix_Staunch</v>
      </c>
    </row>
    <row r="195" spans="1:137" s="60" customFormat="1" x14ac:dyDescent="0.25">
      <c r="A195" s="43">
        <v>193</v>
      </c>
      <c r="B195" s="43">
        <f>HEX2DEC(A195+Items!$A$28)</f>
        <v>100663699</v>
      </c>
      <c r="C195" s="44" t="s">
        <v>1107</v>
      </c>
      <c r="D195" s="53" t="s">
        <v>871</v>
      </c>
      <c r="E195" s="44" t="s">
        <v>681</v>
      </c>
      <c r="F195" s="44" t="s">
        <v>762</v>
      </c>
      <c r="G195" s="44">
        <v>12</v>
      </c>
      <c r="H195" s="55" t="s">
        <v>1108</v>
      </c>
      <c r="I195" s="32" t="str">
        <f t="shared" si="6"/>
        <v>DA_Prefix_Defensive</v>
      </c>
      <c r="J195" s="32" t="str">
        <f t="shared" si="7"/>
        <v>/Game/DungeonSiege/Items/Affixes/Prefix/DA_Prefix_Defensive</v>
      </c>
    </row>
    <row r="196" spans="1:137" s="60" customFormat="1" ht="22.5" x14ac:dyDescent="0.25">
      <c r="A196" s="44">
        <v>194</v>
      </c>
      <c r="B196" s="43">
        <f>HEX2DEC(A196+Items!$A$28)</f>
        <v>100663700</v>
      </c>
      <c r="C196" s="45" t="s">
        <v>1109</v>
      </c>
      <c r="D196" s="50" t="s">
        <v>2288</v>
      </c>
      <c r="E196" s="45" t="s">
        <v>704</v>
      </c>
      <c r="F196" s="45" t="s">
        <v>705</v>
      </c>
      <c r="G196" s="45">
        <v>12</v>
      </c>
      <c r="H196" s="56" t="s">
        <v>1110</v>
      </c>
      <c r="I196" s="33" t="str">
        <f t="shared" si="6"/>
        <v>DA_Prefix_Stupendous</v>
      </c>
      <c r="J196" s="33" t="str">
        <f t="shared" si="7"/>
        <v>/Game/DungeonSiege/Items/Affixes/Prefix/DA_Prefix_Stupendous</v>
      </c>
      <c r="DY196" s="59"/>
    </row>
    <row r="197" spans="1:137" s="60" customFormat="1" x14ac:dyDescent="0.25">
      <c r="A197" s="44">
        <v>195</v>
      </c>
      <c r="B197" s="43">
        <f>HEX2DEC(A197+Items!$A$28)</f>
        <v>100663701</v>
      </c>
      <c r="C197" s="46" t="s">
        <v>1111</v>
      </c>
      <c r="D197" s="51" t="s">
        <v>2289</v>
      </c>
      <c r="E197" s="46" t="s">
        <v>850</v>
      </c>
      <c r="F197" s="46" t="s">
        <v>705</v>
      </c>
      <c r="G197" s="46">
        <v>12</v>
      </c>
      <c r="H197" s="57" t="s">
        <v>1112</v>
      </c>
      <c r="I197" s="34" t="str">
        <f t="shared" si="6"/>
        <v>DA_Prefix_Trusted</v>
      </c>
      <c r="J197" s="34" t="str">
        <f t="shared" si="7"/>
        <v>/Game/DungeonSiege/Items/Affixes/Prefix/DA_Prefix_Trusted</v>
      </c>
      <c r="DZ197" s="59"/>
    </row>
    <row r="198" spans="1:137" s="60" customFormat="1" x14ac:dyDescent="0.25">
      <c r="A198" s="43">
        <v>196</v>
      </c>
      <c r="B198" s="43">
        <f>HEX2DEC(A198+Items!$A$28)</f>
        <v>100663702</v>
      </c>
      <c r="C198" s="46" t="s">
        <v>1113</v>
      </c>
      <c r="D198" s="51" t="s">
        <v>2290</v>
      </c>
      <c r="E198" s="46" t="s">
        <v>850</v>
      </c>
      <c r="F198" s="46" t="s">
        <v>705</v>
      </c>
      <c r="G198" s="46">
        <v>12</v>
      </c>
      <c r="H198" s="57" t="s">
        <v>1114</v>
      </c>
      <c r="I198" s="34" t="str">
        <f t="shared" si="6"/>
        <v>DA_Prefix_Inspired</v>
      </c>
      <c r="J198" s="34" t="str">
        <f t="shared" si="7"/>
        <v>/Game/DungeonSiege/Items/Affixes/Prefix/DA_Prefix_Inspired</v>
      </c>
      <c r="EA198" s="59"/>
    </row>
    <row r="199" spans="1:137" s="60" customFormat="1" x14ac:dyDescent="0.25">
      <c r="A199" s="43">
        <v>197</v>
      </c>
      <c r="B199" s="43">
        <f>HEX2DEC(A199+Items!$A$28)</f>
        <v>100663703</v>
      </c>
      <c r="C199" s="44" t="s">
        <v>240</v>
      </c>
      <c r="D199" s="53" t="s">
        <v>239</v>
      </c>
      <c r="E199" s="44" t="s">
        <v>681</v>
      </c>
      <c r="F199" s="44" t="s">
        <v>813</v>
      </c>
      <c r="G199" s="44">
        <v>12</v>
      </c>
      <c r="H199" s="55" t="s">
        <v>238</v>
      </c>
      <c r="I199" s="32" t="str">
        <f t="shared" si="6"/>
        <v>DA_Prefix_Pastoral</v>
      </c>
      <c r="J199" s="32" t="str">
        <f t="shared" si="7"/>
        <v>/Game/DungeonSiege/Items/Affixes/Prefix/DA_Prefix_Pastoral</v>
      </c>
    </row>
    <row r="200" spans="1:137" s="60" customFormat="1" x14ac:dyDescent="0.25">
      <c r="A200" s="44">
        <v>198</v>
      </c>
      <c r="B200" s="43">
        <f>HEX2DEC(A200+Items!$A$28)</f>
        <v>100663704</v>
      </c>
      <c r="C200" s="44" t="s">
        <v>1115</v>
      </c>
      <c r="D200" s="53" t="s">
        <v>236</v>
      </c>
      <c r="E200" s="44" t="s">
        <v>681</v>
      </c>
      <c r="F200" s="44" t="s">
        <v>694</v>
      </c>
      <c r="G200" s="44">
        <v>11</v>
      </c>
      <c r="H200" s="55" t="s">
        <v>1116</v>
      </c>
      <c r="I200" s="32" t="str">
        <f t="shared" si="6"/>
        <v>DA_Prefix_Scuffling</v>
      </c>
      <c r="J200" s="32" t="str">
        <f t="shared" si="7"/>
        <v>/Game/DungeonSiege/Items/Affixes/Prefix/DA_Prefix_Scuffling</v>
      </c>
    </row>
    <row r="201" spans="1:137" s="60" customFormat="1" x14ac:dyDescent="0.25">
      <c r="A201" s="44">
        <v>199</v>
      </c>
      <c r="B201" s="43">
        <f>HEX2DEC(A201+Items!$A$28)</f>
        <v>100663705</v>
      </c>
      <c r="C201" s="44" t="s">
        <v>1117</v>
      </c>
      <c r="D201" s="53" t="s">
        <v>738</v>
      </c>
      <c r="E201" s="44" t="s">
        <v>681</v>
      </c>
      <c r="F201" s="44" t="s">
        <v>809</v>
      </c>
      <c r="G201" s="44">
        <v>11</v>
      </c>
      <c r="H201" s="55" t="s">
        <v>1118</v>
      </c>
      <c r="I201" s="32" t="str">
        <f t="shared" si="6"/>
        <v>DA_Prefix_Dense</v>
      </c>
      <c r="J201" s="32" t="str">
        <f t="shared" si="7"/>
        <v>/Game/DungeonSiege/Items/Affixes/Prefix/DA_Prefix_Dense</v>
      </c>
    </row>
    <row r="202" spans="1:137" s="60" customFormat="1" ht="22.5" x14ac:dyDescent="0.25">
      <c r="A202" s="43">
        <v>200</v>
      </c>
      <c r="B202" s="43">
        <f>HEX2DEC(A202+Items!$A$28)</f>
        <v>100663808</v>
      </c>
      <c r="C202" s="45" t="s">
        <v>1119</v>
      </c>
      <c r="D202" s="50" t="s">
        <v>2291</v>
      </c>
      <c r="E202" s="45" t="s">
        <v>704</v>
      </c>
      <c r="F202" s="45" t="s">
        <v>1120</v>
      </c>
      <c r="G202" s="45">
        <v>11</v>
      </c>
      <c r="H202" s="56" t="s">
        <v>1121</v>
      </c>
      <c r="I202" s="33" t="str">
        <f t="shared" si="6"/>
        <v>DA_Prefix_Preeminent</v>
      </c>
      <c r="J202" s="33" t="str">
        <f t="shared" si="7"/>
        <v>/Game/DungeonSiege/Items/Affixes/Prefix/DA_Prefix_Preeminent</v>
      </c>
      <c r="EB202" s="59"/>
    </row>
    <row r="203" spans="1:137" s="60" customFormat="1" ht="22.5" x14ac:dyDescent="0.25">
      <c r="A203" s="43">
        <v>201</v>
      </c>
      <c r="B203" s="43">
        <f>HEX2DEC(A203+Items!$A$28)</f>
        <v>100663809</v>
      </c>
      <c r="C203" s="45" t="s">
        <v>1122</v>
      </c>
      <c r="D203" s="50" t="s">
        <v>2292</v>
      </c>
      <c r="E203" s="45" t="s">
        <v>704</v>
      </c>
      <c r="F203" s="45" t="s">
        <v>686</v>
      </c>
      <c r="G203" s="45">
        <v>11</v>
      </c>
      <c r="H203" s="56" t="s">
        <v>1123</v>
      </c>
      <c r="I203" s="33" t="str">
        <f t="shared" si="6"/>
        <v>DA_Prefix_Outrageous</v>
      </c>
      <c r="J203" s="33" t="str">
        <f t="shared" si="7"/>
        <v>/Game/DungeonSiege/Items/Affixes/Prefix/DA_Prefix_Outrageous</v>
      </c>
      <c r="EC203" s="59"/>
    </row>
    <row r="204" spans="1:137" s="60" customFormat="1" x14ac:dyDescent="0.25">
      <c r="A204" s="44">
        <v>202</v>
      </c>
      <c r="B204" s="43">
        <f>HEX2DEC(A204+Items!$A$28)</f>
        <v>100663810</v>
      </c>
      <c r="C204" s="46" t="s">
        <v>1124</v>
      </c>
      <c r="D204" s="51" t="s">
        <v>2293</v>
      </c>
      <c r="E204" s="46" t="s">
        <v>850</v>
      </c>
      <c r="F204" s="46" t="s">
        <v>705</v>
      </c>
      <c r="G204" s="46">
        <v>11</v>
      </c>
      <c r="H204" s="57" t="s">
        <v>1126</v>
      </c>
      <c r="I204" s="34" t="str">
        <f t="shared" si="6"/>
        <v>DA_Prefix_Fabled</v>
      </c>
      <c r="J204" s="34" t="str">
        <f t="shared" si="7"/>
        <v>/Game/DungeonSiege/Items/Affixes/Prefix/DA_Prefix_Fabled</v>
      </c>
      <c r="ED204" s="59"/>
    </row>
    <row r="205" spans="1:137" s="60" customFormat="1" x14ac:dyDescent="0.25">
      <c r="A205" s="44">
        <v>203</v>
      </c>
      <c r="B205" s="43">
        <f>HEX2DEC(A205+Items!$A$28)</f>
        <v>100663811</v>
      </c>
      <c r="C205" s="44" t="s">
        <v>237</v>
      </c>
      <c r="D205" s="53" t="s">
        <v>236</v>
      </c>
      <c r="E205" s="44" t="s">
        <v>681</v>
      </c>
      <c r="F205" s="44" t="s">
        <v>813</v>
      </c>
      <c r="G205" s="44">
        <v>11</v>
      </c>
      <c r="H205" s="55" t="s">
        <v>235</v>
      </c>
      <c r="I205" s="32" t="str">
        <f t="shared" si="6"/>
        <v>DA_Prefix_Molded</v>
      </c>
      <c r="J205" s="32" t="str">
        <f t="shared" si="7"/>
        <v>/Game/DungeonSiege/Items/Affixes/Prefix/DA_Prefix_Molded</v>
      </c>
    </row>
    <row r="206" spans="1:137" s="60" customFormat="1" x14ac:dyDescent="0.25">
      <c r="A206" s="43">
        <v>204</v>
      </c>
      <c r="B206" s="43">
        <f>HEX2DEC(A206+Items!$A$28)</f>
        <v>100663812</v>
      </c>
      <c r="C206" s="45" t="s">
        <v>1127</v>
      </c>
      <c r="D206" s="50" t="s">
        <v>2294</v>
      </c>
      <c r="E206" s="45" t="s">
        <v>704</v>
      </c>
      <c r="F206" s="45" t="s">
        <v>709</v>
      </c>
      <c r="G206" s="45">
        <v>10</v>
      </c>
      <c r="H206" s="56" t="s">
        <v>1128</v>
      </c>
      <c r="I206" s="33" t="str">
        <f t="shared" si="6"/>
        <v>DA_Prefix_Elite</v>
      </c>
      <c r="J206" s="33" t="str">
        <f t="shared" si="7"/>
        <v>/Game/DungeonSiege/Items/Affixes/Prefix/DA_Prefix_Elite</v>
      </c>
      <c r="EE206" s="59"/>
    </row>
    <row r="207" spans="1:137" s="60" customFormat="1" x14ac:dyDescent="0.25">
      <c r="A207" s="43">
        <v>205</v>
      </c>
      <c r="B207" s="43">
        <f>HEX2DEC(A207+Items!$A$28)</f>
        <v>100663813</v>
      </c>
      <c r="C207" s="46" t="s">
        <v>1129</v>
      </c>
      <c r="D207" s="51" t="s">
        <v>2295</v>
      </c>
      <c r="E207" s="46" t="s">
        <v>850</v>
      </c>
      <c r="F207" s="46" t="s">
        <v>1083</v>
      </c>
      <c r="G207" s="46">
        <v>10</v>
      </c>
      <c r="H207" s="57" t="s">
        <v>1130</v>
      </c>
      <c r="I207" s="34" t="str">
        <f t="shared" si="6"/>
        <v>DA_Prefix_Meticulous</v>
      </c>
      <c r="J207" s="34" t="str">
        <f t="shared" si="7"/>
        <v>/Game/DungeonSiege/Items/Affixes/Prefix/DA_Prefix_Meticulous</v>
      </c>
      <c r="EF207" s="59"/>
    </row>
    <row r="208" spans="1:137" s="60" customFormat="1" x14ac:dyDescent="0.25">
      <c r="A208" s="44">
        <v>206</v>
      </c>
      <c r="B208" s="43">
        <f>HEX2DEC(A208+Items!$A$28)</f>
        <v>100663814</v>
      </c>
      <c r="C208" s="46" t="s">
        <v>1131</v>
      </c>
      <c r="D208" s="51" t="s">
        <v>2296</v>
      </c>
      <c r="E208" s="46" t="s">
        <v>850</v>
      </c>
      <c r="F208" s="46" t="s">
        <v>690</v>
      </c>
      <c r="G208" s="46">
        <v>10</v>
      </c>
      <c r="H208" s="57" t="s">
        <v>1132</v>
      </c>
      <c r="I208" s="34" t="str">
        <f t="shared" si="6"/>
        <v>DA_Prefix_Forgotten</v>
      </c>
      <c r="J208" s="34" t="str">
        <f t="shared" si="7"/>
        <v>/Game/DungeonSiege/Items/Affixes/Prefix/DA_Prefix_Forgotten</v>
      </c>
      <c r="EG208" s="59"/>
    </row>
    <row r="209" spans="1:147" s="60" customFormat="1" x14ac:dyDescent="0.25">
      <c r="A209" s="44">
        <v>207</v>
      </c>
      <c r="B209" s="43">
        <f>HEX2DEC(A209+Items!$A$28)</f>
        <v>100663815</v>
      </c>
      <c r="C209" s="43" t="s">
        <v>1133</v>
      </c>
      <c r="D209" s="42" t="s">
        <v>2297</v>
      </c>
      <c r="E209" s="43" t="s">
        <v>681</v>
      </c>
      <c r="F209" s="43" t="s">
        <v>682</v>
      </c>
      <c r="G209" s="43">
        <v>10</v>
      </c>
      <c r="H209" s="54" t="s">
        <v>1134</v>
      </c>
      <c r="I209" s="32" t="str">
        <f t="shared" si="6"/>
        <v>DA_Prefix_Bullying</v>
      </c>
      <c r="J209" s="32" t="str">
        <f t="shared" si="7"/>
        <v>/Game/DungeonSiege/Items/Affixes/Prefix/DA_Prefix_Bullying</v>
      </c>
      <c r="EH209" s="59"/>
    </row>
    <row r="210" spans="1:147" s="60" customFormat="1" x14ac:dyDescent="0.25">
      <c r="A210" s="43">
        <v>208</v>
      </c>
      <c r="B210" s="43">
        <f>HEX2DEC(A210+Items!$A$28)</f>
        <v>100663816</v>
      </c>
      <c r="C210" s="43" t="s">
        <v>1135</v>
      </c>
      <c r="D210" s="42" t="s">
        <v>2298</v>
      </c>
      <c r="E210" s="43" t="s">
        <v>681</v>
      </c>
      <c r="F210" s="43" t="s">
        <v>682</v>
      </c>
      <c r="G210" s="43">
        <v>10</v>
      </c>
      <c r="H210" s="54" t="s">
        <v>1136</v>
      </c>
      <c r="I210" s="32" t="str">
        <f t="shared" si="6"/>
        <v>DA_Prefix_Massive</v>
      </c>
      <c r="J210" s="32" t="str">
        <f t="shared" si="7"/>
        <v>/Game/DungeonSiege/Items/Affixes/Prefix/DA_Prefix_Massive</v>
      </c>
      <c r="EI210" s="59"/>
    </row>
    <row r="211" spans="1:147" s="60" customFormat="1" x14ac:dyDescent="0.25">
      <c r="A211" s="43">
        <v>209</v>
      </c>
      <c r="B211" s="43">
        <f>HEX2DEC(A211+Items!$A$28)</f>
        <v>100663817</v>
      </c>
      <c r="C211" s="43" t="s">
        <v>1137</v>
      </c>
      <c r="D211" s="42" t="s">
        <v>2299</v>
      </c>
      <c r="E211" s="43" t="s">
        <v>681</v>
      </c>
      <c r="F211" s="43" t="s">
        <v>686</v>
      </c>
      <c r="G211" s="43">
        <v>10</v>
      </c>
      <c r="H211" s="54" t="s">
        <v>1139</v>
      </c>
      <c r="I211" s="32" t="str">
        <f t="shared" si="6"/>
        <v>DA_Prefix_Capable</v>
      </c>
      <c r="J211" s="32" t="str">
        <f t="shared" si="7"/>
        <v>/Game/DungeonSiege/Items/Affixes/Prefix/DA_Prefix_Capable</v>
      </c>
      <c r="EJ211" s="59"/>
    </row>
    <row r="212" spans="1:147" s="60" customFormat="1" x14ac:dyDescent="0.25">
      <c r="A212" s="44">
        <v>210</v>
      </c>
      <c r="B212" s="43">
        <f>HEX2DEC(A212+Items!$A$28)</f>
        <v>100663824</v>
      </c>
      <c r="C212" s="43" t="s">
        <v>1140</v>
      </c>
      <c r="D212" s="42" t="s">
        <v>2300</v>
      </c>
      <c r="E212" s="43" t="s">
        <v>681</v>
      </c>
      <c r="F212" s="43" t="s">
        <v>3332</v>
      </c>
      <c r="G212" s="43">
        <v>10</v>
      </c>
      <c r="H212" s="54" t="s">
        <v>3337</v>
      </c>
      <c r="I212" s="32" t="str">
        <f t="shared" si="6"/>
        <v>DA_Prefix_Poisonous</v>
      </c>
      <c r="J212" s="32" t="str">
        <f t="shared" si="7"/>
        <v>/Game/DungeonSiege/Items/Affixes/Prefix/DA_Prefix_Poisonous</v>
      </c>
      <c r="EK212" s="59"/>
    </row>
    <row r="213" spans="1:147" s="60" customFormat="1" x14ac:dyDescent="0.25">
      <c r="A213" s="44">
        <v>211</v>
      </c>
      <c r="B213" s="43">
        <f>HEX2DEC(A213+Items!$A$28)</f>
        <v>100663825</v>
      </c>
      <c r="C213" s="44" t="s">
        <v>1141</v>
      </c>
      <c r="D213" s="53" t="s">
        <v>233</v>
      </c>
      <c r="E213" s="44" t="s">
        <v>681</v>
      </c>
      <c r="F213" s="44" t="s">
        <v>690</v>
      </c>
      <c r="G213" s="44">
        <v>9</v>
      </c>
      <c r="H213" s="55" t="s">
        <v>1142</v>
      </c>
      <c r="I213" s="32" t="str">
        <f t="shared" si="6"/>
        <v>DA_Prefix_Brawny</v>
      </c>
      <c r="J213" s="32" t="str">
        <f t="shared" si="7"/>
        <v>/Game/DungeonSiege/Items/Affixes/Prefix/DA_Prefix_Brawny</v>
      </c>
    </row>
    <row r="214" spans="1:147" s="60" customFormat="1" x14ac:dyDescent="0.25">
      <c r="A214" s="43">
        <v>212</v>
      </c>
      <c r="B214" s="43">
        <f>HEX2DEC(A214+Items!$A$28)</f>
        <v>100663826</v>
      </c>
      <c r="C214" s="44" t="s">
        <v>1143</v>
      </c>
      <c r="D214" s="53" t="s">
        <v>712</v>
      </c>
      <c r="E214" s="44" t="s">
        <v>681</v>
      </c>
      <c r="F214" s="44" t="s">
        <v>709</v>
      </c>
      <c r="G214" s="44">
        <v>9</v>
      </c>
      <c r="H214" s="55" t="s">
        <v>1144</v>
      </c>
      <c r="I214" s="32" t="str">
        <f t="shared" si="6"/>
        <v>DA_Prefix_Butchering</v>
      </c>
      <c r="J214" s="32" t="str">
        <f t="shared" si="7"/>
        <v>/Game/DungeonSiege/Items/Affixes/Prefix/DA_Prefix_Butchering</v>
      </c>
    </row>
    <row r="215" spans="1:147" s="60" customFormat="1" x14ac:dyDescent="0.25">
      <c r="A215" s="43">
        <v>213</v>
      </c>
      <c r="B215" s="43">
        <f>HEX2DEC(A215+Items!$A$28)</f>
        <v>100663827</v>
      </c>
      <c r="C215" s="46" t="s">
        <v>1145</v>
      </c>
      <c r="D215" s="51" t="s">
        <v>2301</v>
      </c>
      <c r="E215" s="46" t="s">
        <v>850</v>
      </c>
      <c r="F215" s="46" t="s">
        <v>705</v>
      </c>
      <c r="G215" s="46">
        <v>9</v>
      </c>
      <c r="H215" s="57" t="s">
        <v>1146</v>
      </c>
      <c r="I215" s="34" t="str">
        <f t="shared" si="6"/>
        <v>DA_Prefix_Splendid</v>
      </c>
      <c r="J215" s="34" t="str">
        <f t="shared" si="7"/>
        <v>/Game/DungeonSiege/Items/Affixes/Prefix/DA_Prefix_Splendid</v>
      </c>
      <c r="EM215" s="59"/>
    </row>
    <row r="216" spans="1:147" s="60" customFormat="1" x14ac:dyDescent="0.25">
      <c r="A216" s="44">
        <v>214</v>
      </c>
      <c r="B216" s="43">
        <f>HEX2DEC(A216+Items!$A$28)</f>
        <v>100663828</v>
      </c>
      <c r="C216" s="44" t="s">
        <v>234</v>
      </c>
      <c r="D216" s="53" t="s">
        <v>233</v>
      </c>
      <c r="E216" s="44" t="s">
        <v>681</v>
      </c>
      <c r="F216" s="44" t="s">
        <v>813</v>
      </c>
      <c r="G216" s="44">
        <v>9</v>
      </c>
      <c r="H216" s="55" t="s">
        <v>232</v>
      </c>
      <c r="I216" s="32" t="str">
        <f t="shared" si="6"/>
        <v>DA_Prefix_Ethereal</v>
      </c>
      <c r="J216" s="32" t="str">
        <f t="shared" si="7"/>
        <v>/Game/DungeonSiege/Items/Affixes/Prefix/DA_Prefix_Ethereal</v>
      </c>
    </row>
    <row r="217" spans="1:147" s="60" customFormat="1" x14ac:dyDescent="0.25">
      <c r="A217" s="44">
        <v>215</v>
      </c>
      <c r="B217" s="43">
        <f>HEX2DEC(A217+Items!$A$28)</f>
        <v>100663829</v>
      </c>
      <c r="C217" s="43" t="s">
        <v>1147</v>
      </c>
      <c r="D217" s="42" t="s">
        <v>2302</v>
      </c>
      <c r="E217" s="43" t="s">
        <v>681</v>
      </c>
      <c r="F217" s="43" t="s">
        <v>3332</v>
      </c>
      <c r="G217" s="43">
        <v>8</v>
      </c>
      <c r="H217" s="54" t="s">
        <v>3336</v>
      </c>
      <c r="I217" s="32" t="str">
        <f t="shared" si="6"/>
        <v>DA_Prefix_Misting</v>
      </c>
      <c r="J217" s="32" t="str">
        <f t="shared" si="7"/>
        <v>/Game/DungeonSiege/Items/Affixes/Prefix/DA_Prefix_Misting</v>
      </c>
      <c r="EN217" s="59"/>
    </row>
    <row r="218" spans="1:147" s="60" customFormat="1" x14ac:dyDescent="0.25">
      <c r="A218" s="43">
        <v>216</v>
      </c>
      <c r="B218" s="43">
        <f>HEX2DEC(A218+Items!$A$28)</f>
        <v>100663830</v>
      </c>
      <c r="C218" s="43" t="s">
        <v>1148</v>
      </c>
      <c r="D218" s="42" t="s">
        <v>2303</v>
      </c>
      <c r="E218" s="43" t="s">
        <v>681</v>
      </c>
      <c r="F218" s="43" t="s">
        <v>705</v>
      </c>
      <c r="G218" s="43">
        <v>7</v>
      </c>
      <c r="H218" s="54" t="s">
        <v>1149</v>
      </c>
      <c r="I218" s="32" t="str">
        <f t="shared" si="6"/>
        <v>DA_Prefix_Vengeful</v>
      </c>
      <c r="J218" s="32" t="str">
        <f t="shared" si="7"/>
        <v>/Game/DungeonSiege/Items/Affixes/Prefix/DA_Prefix_Vengeful</v>
      </c>
      <c r="EP218" s="59"/>
    </row>
    <row r="219" spans="1:147" s="60" customFormat="1" x14ac:dyDescent="0.25">
      <c r="A219" s="43">
        <v>217</v>
      </c>
      <c r="B219" s="43">
        <f>HEX2DEC(A219+Items!$A$28)</f>
        <v>100663831</v>
      </c>
      <c r="C219" s="44" t="s">
        <v>1150</v>
      </c>
      <c r="D219" s="53" t="s">
        <v>788</v>
      </c>
      <c r="E219" s="44" t="s">
        <v>681</v>
      </c>
      <c r="F219" s="44" t="s">
        <v>719</v>
      </c>
      <c r="G219" s="44">
        <v>6</v>
      </c>
      <c r="H219" s="55" t="s">
        <v>1151</v>
      </c>
      <c r="I219" s="32" t="str">
        <f t="shared" si="6"/>
        <v>DA_Prefix_Driving</v>
      </c>
      <c r="J219" s="32" t="str">
        <f t="shared" si="7"/>
        <v>/Game/DungeonSiege/Items/Affixes/Prefix/DA_Prefix_Driving</v>
      </c>
    </row>
    <row r="220" spans="1:147" s="60" customFormat="1" x14ac:dyDescent="0.25">
      <c r="A220" s="44">
        <v>218</v>
      </c>
      <c r="B220" s="43">
        <f>HEX2DEC(A220+Items!$A$28)</f>
        <v>100663832</v>
      </c>
      <c r="C220" s="44" t="s">
        <v>231</v>
      </c>
      <c r="D220" s="53" t="s">
        <v>230</v>
      </c>
      <c r="E220" s="44" t="s">
        <v>681</v>
      </c>
      <c r="F220" s="44" t="s">
        <v>786</v>
      </c>
      <c r="G220" s="44">
        <v>6</v>
      </c>
      <c r="H220" s="55" t="s">
        <v>229</v>
      </c>
      <c r="I220" s="32" t="str">
        <f t="shared" si="6"/>
        <v>DA_Prefix_Stern</v>
      </c>
      <c r="J220" s="32" t="str">
        <f t="shared" si="7"/>
        <v>/Game/DungeonSiege/Items/Affixes/Prefix/DA_Prefix_Stern</v>
      </c>
    </row>
    <row r="221" spans="1:147" s="60" customFormat="1" x14ac:dyDescent="0.25">
      <c r="A221" s="44">
        <v>219</v>
      </c>
      <c r="B221" s="43">
        <f>HEX2DEC(A221+Items!$A$28)</f>
        <v>100663833</v>
      </c>
      <c r="C221" s="44" t="s">
        <v>1152</v>
      </c>
      <c r="D221" s="53" t="s">
        <v>965</v>
      </c>
      <c r="E221" s="44" t="s">
        <v>681</v>
      </c>
      <c r="F221" s="44" t="s">
        <v>819</v>
      </c>
      <c r="G221" s="44">
        <v>6</v>
      </c>
      <c r="H221" s="55" t="s">
        <v>1153</v>
      </c>
      <c r="I221" s="32" t="str">
        <f t="shared" si="6"/>
        <v>DA_Prefix_Intact</v>
      </c>
      <c r="J221" s="32" t="str">
        <f t="shared" si="7"/>
        <v>/Game/DungeonSiege/Items/Affixes/Prefix/DA_Prefix_Intact</v>
      </c>
    </row>
    <row r="222" spans="1:147" s="60" customFormat="1" x14ac:dyDescent="0.25">
      <c r="A222" s="43">
        <v>220</v>
      </c>
      <c r="B222" s="43">
        <f>HEX2DEC(A222+Items!$A$28)</f>
        <v>100663840</v>
      </c>
      <c r="C222" s="44" t="s">
        <v>1154</v>
      </c>
      <c r="D222" s="53" t="s">
        <v>746</v>
      </c>
      <c r="E222" s="44" t="s">
        <v>681</v>
      </c>
      <c r="F222" s="44" t="s">
        <v>809</v>
      </c>
      <c r="G222" s="44">
        <v>6</v>
      </c>
      <c r="H222" s="55" t="s">
        <v>1155</v>
      </c>
      <c r="I222" s="32" t="str">
        <f t="shared" si="6"/>
        <v>DA_Prefix_Firm</v>
      </c>
      <c r="J222" s="32" t="str">
        <f t="shared" si="7"/>
        <v>/Game/DungeonSiege/Items/Affixes/Prefix/DA_Prefix_Firm</v>
      </c>
    </row>
    <row r="223" spans="1:147" s="60" customFormat="1" ht="22.5" x14ac:dyDescent="0.25">
      <c r="A223" s="43">
        <v>221</v>
      </c>
      <c r="B223" s="43">
        <f>HEX2DEC(A223+Items!$A$28)</f>
        <v>100663841</v>
      </c>
      <c r="C223" s="44" t="s">
        <v>228</v>
      </c>
      <c r="D223" s="53" t="s">
        <v>227</v>
      </c>
      <c r="E223" s="44" t="s">
        <v>681</v>
      </c>
      <c r="F223" s="44" t="s">
        <v>813</v>
      </c>
      <c r="G223" s="44">
        <v>6</v>
      </c>
      <c r="H223" s="55" t="s">
        <v>226</v>
      </c>
      <c r="I223" s="32" t="str">
        <f t="shared" si="6"/>
        <v>DA_Prefix_Hide_Bound</v>
      </c>
      <c r="J223" s="32" t="str">
        <f t="shared" si="7"/>
        <v>/Game/DungeonSiege/Items/Affixes/Prefix/DA_Prefix_Hide_Bound</v>
      </c>
    </row>
    <row r="224" spans="1:147" s="60" customFormat="1" ht="22.5" x14ac:dyDescent="0.25">
      <c r="A224" s="44">
        <v>222</v>
      </c>
      <c r="B224" s="43">
        <f>HEX2DEC(A224+Items!$A$28)</f>
        <v>100663842</v>
      </c>
      <c r="C224" s="45" t="s">
        <v>225</v>
      </c>
      <c r="D224" s="50" t="s">
        <v>2304</v>
      </c>
      <c r="E224" s="45" t="s">
        <v>704</v>
      </c>
      <c r="F224" s="45" t="s">
        <v>1156</v>
      </c>
      <c r="G224" s="45">
        <v>6</v>
      </c>
      <c r="H224" s="56" t="s">
        <v>223</v>
      </c>
      <c r="I224" s="33" t="str">
        <f t="shared" si="6"/>
        <v>DA_Prefix_Therapeutic</v>
      </c>
      <c r="J224" s="33" t="str">
        <f t="shared" si="7"/>
        <v>/Game/DungeonSiege/Items/Affixes/Prefix/DA_Prefix_Therapeutic</v>
      </c>
      <c r="EQ224" s="59"/>
    </row>
    <row r="225" spans="1:153" s="60" customFormat="1" x14ac:dyDescent="0.25">
      <c r="A225" s="44">
        <v>223</v>
      </c>
      <c r="B225" s="43">
        <f>HEX2DEC(A225+Items!$A$28)</f>
        <v>100663843</v>
      </c>
      <c r="C225" s="44" t="s">
        <v>1157</v>
      </c>
      <c r="D225" s="53" t="s">
        <v>1009</v>
      </c>
      <c r="E225" s="44" t="s">
        <v>681</v>
      </c>
      <c r="F225" s="44" t="s">
        <v>690</v>
      </c>
      <c r="G225" s="44">
        <v>5</v>
      </c>
      <c r="H225" s="55" t="s">
        <v>1158</v>
      </c>
      <c r="I225" s="32" t="str">
        <f t="shared" si="6"/>
        <v>DA_Prefix_Sustained</v>
      </c>
      <c r="J225" s="32" t="str">
        <f t="shared" si="7"/>
        <v>/Game/DungeonSiege/Items/Affixes/Prefix/DA_Prefix_Sustained</v>
      </c>
    </row>
    <row r="226" spans="1:153" s="60" customFormat="1" x14ac:dyDescent="0.25">
      <c r="A226" s="43">
        <v>224</v>
      </c>
      <c r="B226" s="43">
        <f>HEX2DEC(A226+Items!$A$28)</f>
        <v>100663844</v>
      </c>
      <c r="C226" s="45" t="s">
        <v>1159</v>
      </c>
      <c r="D226" s="50" t="s">
        <v>2305</v>
      </c>
      <c r="E226" s="45" t="s">
        <v>704</v>
      </c>
      <c r="F226" s="45" t="s">
        <v>705</v>
      </c>
      <c r="G226" s="45">
        <v>5</v>
      </c>
      <c r="H226" s="56" t="s">
        <v>1160</v>
      </c>
      <c r="I226" s="33" t="str">
        <f t="shared" si="6"/>
        <v>DA_Prefix_Novel</v>
      </c>
      <c r="J226" s="33" t="str">
        <f t="shared" si="7"/>
        <v>/Game/DungeonSiege/Items/Affixes/Prefix/DA_Prefix_Novel</v>
      </c>
      <c r="ER226" s="59"/>
    </row>
    <row r="227" spans="1:153" s="60" customFormat="1" x14ac:dyDescent="0.25">
      <c r="A227" s="43">
        <v>225</v>
      </c>
      <c r="B227" s="43">
        <f>HEX2DEC(A227+Items!$A$28)</f>
        <v>100663845</v>
      </c>
      <c r="C227" s="45" t="s">
        <v>1161</v>
      </c>
      <c r="D227" s="50" t="s">
        <v>2306</v>
      </c>
      <c r="E227" s="45" t="s">
        <v>704</v>
      </c>
      <c r="F227" s="45" t="s">
        <v>705</v>
      </c>
      <c r="G227" s="45">
        <v>5</v>
      </c>
      <c r="H227" s="56" t="s">
        <v>1162</v>
      </c>
      <c r="I227" s="33" t="str">
        <f t="shared" si="6"/>
        <v>DA_Prefix_Distinct</v>
      </c>
      <c r="J227" s="33" t="str">
        <f t="shared" si="7"/>
        <v>/Game/DungeonSiege/Items/Affixes/Prefix/DA_Prefix_Distinct</v>
      </c>
      <c r="ES227" s="59"/>
    </row>
    <row r="228" spans="1:153" s="60" customFormat="1" x14ac:dyDescent="0.25">
      <c r="A228" s="44">
        <v>226</v>
      </c>
      <c r="B228" s="43">
        <f>HEX2DEC(A228+Items!$A$28)</f>
        <v>100663846</v>
      </c>
      <c r="C228" s="46" t="s">
        <v>1163</v>
      </c>
      <c r="D228" s="51" t="s">
        <v>2307</v>
      </c>
      <c r="E228" s="46" t="s">
        <v>850</v>
      </c>
      <c r="F228" s="46" t="s">
        <v>705</v>
      </c>
      <c r="G228" s="46">
        <v>5</v>
      </c>
      <c r="H228" s="57" t="s">
        <v>1164</v>
      </c>
      <c r="I228" s="34" t="str">
        <f t="shared" si="6"/>
        <v>DA_Prefix_Optimistic</v>
      </c>
      <c r="J228" s="34" t="str">
        <f t="shared" si="7"/>
        <v>/Game/DungeonSiege/Items/Affixes/Prefix/DA_Prefix_Optimistic</v>
      </c>
      <c r="ET228" s="59"/>
    </row>
    <row r="229" spans="1:153" s="60" customFormat="1" x14ac:dyDescent="0.25">
      <c r="A229" s="44">
        <v>227</v>
      </c>
      <c r="B229" s="43">
        <f>HEX2DEC(A229+Items!$A$28)</f>
        <v>100663847</v>
      </c>
      <c r="C229" s="43" t="s">
        <v>1165</v>
      </c>
      <c r="D229" s="42" t="s">
        <v>2308</v>
      </c>
      <c r="E229" s="43" t="s">
        <v>681</v>
      </c>
      <c r="F229" s="43" t="s">
        <v>682</v>
      </c>
      <c r="G229" s="43">
        <v>5</v>
      </c>
      <c r="H229" s="54" t="s">
        <v>1166</v>
      </c>
      <c r="I229" s="32" t="str">
        <f t="shared" si="6"/>
        <v>DA_Prefix_Blustering</v>
      </c>
      <c r="J229" s="32" t="str">
        <f t="shared" si="7"/>
        <v>/Game/DungeonSiege/Items/Affixes/Prefix/DA_Prefix_Blustering</v>
      </c>
      <c r="EU229" s="59"/>
    </row>
    <row r="230" spans="1:153" s="60" customFormat="1" x14ac:dyDescent="0.25">
      <c r="A230" s="43">
        <v>228</v>
      </c>
      <c r="B230" s="43">
        <f>HEX2DEC(A230+Items!$A$28)</f>
        <v>100663848</v>
      </c>
      <c r="C230" s="44" t="s">
        <v>222</v>
      </c>
      <c r="D230" s="53" t="s">
        <v>221</v>
      </c>
      <c r="E230" s="44" t="s">
        <v>681</v>
      </c>
      <c r="F230" s="44" t="s">
        <v>813</v>
      </c>
      <c r="G230" s="44">
        <v>5</v>
      </c>
      <c r="H230" s="55" t="s">
        <v>220</v>
      </c>
      <c r="I230" s="32" t="str">
        <f t="shared" si="6"/>
        <v>DA_Prefix_Cold</v>
      </c>
      <c r="J230" s="32" t="str">
        <f t="shared" si="7"/>
        <v>/Game/DungeonSiege/Items/Affixes/Prefix/DA_Prefix_Cold</v>
      </c>
    </row>
    <row r="231" spans="1:153" s="60" customFormat="1" x14ac:dyDescent="0.25">
      <c r="A231" s="43">
        <v>229</v>
      </c>
      <c r="B231" s="43">
        <f>HEX2DEC(A231+Items!$A$28)</f>
        <v>100663849</v>
      </c>
      <c r="C231" s="44" t="s">
        <v>10</v>
      </c>
      <c r="D231" s="53" t="s">
        <v>219</v>
      </c>
      <c r="E231" s="44" t="s">
        <v>681</v>
      </c>
      <c r="F231" s="44" t="s">
        <v>813</v>
      </c>
      <c r="G231" s="44">
        <v>5</v>
      </c>
      <c r="H231" s="55" t="s">
        <v>218</v>
      </c>
      <c r="I231" s="32" t="str">
        <f t="shared" si="6"/>
        <v>DA_Prefix_Fiery</v>
      </c>
      <c r="J231" s="32" t="str">
        <f t="shared" si="7"/>
        <v>/Game/DungeonSiege/Items/Affixes/Prefix/DA_Prefix_Fiery</v>
      </c>
    </row>
    <row r="232" spans="1:153" s="60" customFormat="1" ht="22.5" x14ac:dyDescent="0.25">
      <c r="A232" s="44">
        <v>230</v>
      </c>
      <c r="B232" s="43">
        <f>HEX2DEC(A232+Items!$A$28)</f>
        <v>100663856</v>
      </c>
      <c r="C232" s="44" t="s">
        <v>217</v>
      </c>
      <c r="D232" s="53" t="s">
        <v>216</v>
      </c>
      <c r="E232" s="44" t="s">
        <v>681</v>
      </c>
      <c r="F232" s="44" t="s">
        <v>813</v>
      </c>
      <c r="G232" s="44">
        <v>5</v>
      </c>
      <c r="H232" s="55" t="s">
        <v>215</v>
      </c>
      <c r="I232" s="32" t="str">
        <f t="shared" si="6"/>
        <v>DA_Prefix_Shimmering</v>
      </c>
      <c r="J232" s="32" t="str">
        <f t="shared" si="7"/>
        <v>/Game/DungeonSiege/Items/Affixes/Prefix/DA_Prefix_Shimmering</v>
      </c>
    </row>
    <row r="233" spans="1:153" s="60" customFormat="1" x14ac:dyDescent="0.25">
      <c r="A233" s="44">
        <v>231</v>
      </c>
      <c r="B233" s="43">
        <f>HEX2DEC(A233+Items!$A$28)</f>
        <v>100663857</v>
      </c>
      <c r="C233" s="44" t="s">
        <v>1167</v>
      </c>
      <c r="D233" s="53" t="s">
        <v>210</v>
      </c>
      <c r="E233" s="44" t="s">
        <v>681</v>
      </c>
      <c r="F233" s="44" t="s">
        <v>690</v>
      </c>
      <c r="G233" s="44">
        <v>4</v>
      </c>
      <c r="H233" s="55" t="s">
        <v>1168</v>
      </c>
      <c r="I233" s="32" t="str">
        <f t="shared" si="6"/>
        <v>DA_Prefix_Calloused</v>
      </c>
      <c r="J233" s="32" t="str">
        <f t="shared" si="7"/>
        <v>/Game/DungeonSiege/Items/Affixes/Prefix/DA_Prefix_Calloused</v>
      </c>
    </row>
    <row r="234" spans="1:153" s="60" customFormat="1" x14ac:dyDescent="0.25">
      <c r="A234" s="43">
        <v>232</v>
      </c>
      <c r="B234" s="43">
        <f>HEX2DEC(A234+Items!$A$28)</f>
        <v>100663858</v>
      </c>
      <c r="C234" s="44" t="s">
        <v>1169</v>
      </c>
      <c r="D234" s="53" t="s">
        <v>207</v>
      </c>
      <c r="E234" s="44" t="s">
        <v>681</v>
      </c>
      <c r="F234" s="44" t="s">
        <v>694</v>
      </c>
      <c r="G234" s="44">
        <v>4</v>
      </c>
      <c r="H234" s="55" t="s">
        <v>1170</v>
      </c>
      <c r="I234" s="32" t="str">
        <f t="shared" si="6"/>
        <v>DA_Prefix_Organic</v>
      </c>
      <c r="J234" s="32" t="str">
        <f t="shared" si="7"/>
        <v>/Game/DungeonSiege/Items/Affixes/Prefix/DA_Prefix_Organic</v>
      </c>
    </row>
    <row r="235" spans="1:153" s="60" customFormat="1" x14ac:dyDescent="0.25">
      <c r="A235" s="43">
        <v>233</v>
      </c>
      <c r="B235" s="43">
        <f>HEX2DEC(A235+Items!$A$28)</f>
        <v>100663859</v>
      </c>
      <c r="C235" s="44" t="s">
        <v>1171</v>
      </c>
      <c r="D235" s="53" t="s">
        <v>204</v>
      </c>
      <c r="E235" s="44" t="s">
        <v>681</v>
      </c>
      <c r="F235" s="44" t="s">
        <v>694</v>
      </c>
      <c r="G235" s="44">
        <v>4</v>
      </c>
      <c r="H235" s="55" t="s">
        <v>1172</v>
      </c>
      <c r="I235" s="32" t="str">
        <f t="shared" si="6"/>
        <v>DA_Prefix_Conflicting</v>
      </c>
      <c r="J235" s="32" t="str">
        <f t="shared" si="7"/>
        <v>/Game/DungeonSiege/Items/Affixes/Prefix/DA_Prefix_Conflicting</v>
      </c>
    </row>
    <row r="236" spans="1:153" s="60" customFormat="1" x14ac:dyDescent="0.25">
      <c r="A236" s="44">
        <v>234</v>
      </c>
      <c r="B236" s="43">
        <f>HEX2DEC(A236+Items!$A$28)</f>
        <v>100663860</v>
      </c>
      <c r="C236" s="44" t="s">
        <v>1173</v>
      </c>
      <c r="D236" s="53" t="s">
        <v>805</v>
      </c>
      <c r="E236" s="44" t="s">
        <v>681</v>
      </c>
      <c r="F236" s="44" t="s">
        <v>762</v>
      </c>
      <c r="G236" s="44">
        <v>4</v>
      </c>
      <c r="H236" s="55" t="s">
        <v>1174</v>
      </c>
      <c r="I236" s="32" t="str">
        <f t="shared" si="6"/>
        <v>DA_Prefix_Negating</v>
      </c>
      <c r="J236" s="32" t="str">
        <f t="shared" si="7"/>
        <v>/Game/DungeonSiege/Items/Affixes/Prefix/DA_Prefix_Negating</v>
      </c>
    </row>
    <row r="237" spans="1:153" s="60" customFormat="1" ht="22.5" x14ac:dyDescent="0.25">
      <c r="A237" s="44">
        <v>235</v>
      </c>
      <c r="B237" s="43">
        <f>HEX2DEC(A237+Items!$A$28)</f>
        <v>100663861</v>
      </c>
      <c r="C237" s="44" t="s">
        <v>214</v>
      </c>
      <c r="D237" s="53" t="s">
        <v>213</v>
      </c>
      <c r="E237" s="44" t="s">
        <v>681</v>
      </c>
      <c r="F237" s="44" t="s">
        <v>844</v>
      </c>
      <c r="G237" s="44">
        <v>4</v>
      </c>
      <c r="H237" s="55" t="s">
        <v>212</v>
      </c>
      <c r="I237" s="32" t="str">
        <f t="shared" si="6"/>
        <v>DA_Prefix_Persevering</v>
      </c>
      <c r="J237" s="32" t="str">
        <f t="shared" si="7"/>
        <v>/Game/DungeonSiege/Items/Affixes/Prefix/DA_Prefix_Persevering</v>
      </c>
    </row>
    <row r="238" spans="1:153" s="60" customFormat="1" x14ac:dyDescent="0.25">
      <c r="A238" s="43">
        <v>236</v>
      </c>
      <c r="B238" s="43">
        <f>HEX2DEC(A238+Items!$A$28)</f>
        <v>100663862</v>
      </c>
      <c r="C238" s="44" t="s">
        <v>1175</v>
      </c>
      <c r="D238" s="53" t="s">
        <v>1125</v>
      </c>
      <c r="E238" s="44" t="s">
        <v>681</v>
      </c>
      <c r="F238" s="44" t="s">
        <v>762</v>
      </c>
      <c r="G238" s="44">
        <v>4</v>
      </c>
      <c r="H238" s="55" t="s">
        <v>1176</v>
      </c>
      <c r="I238" s="32" t="str">
        <f t="shared" si="6"/>
        <v>DA_Prefix_Blocking</v>
      </c>
      <c r="J238" s="32" t="str">
        <f t="shared" si="7"/>
        <v>/Game/DungeonSiege/Items/Affixes/Prefix/DA_Prefix_Blocking</v>
      </c>
    </row>
    <row r="239" spans="1:153" s="60" customFormat="1" x14ac:dyDescent="0.25">
      <c r="A239" s="43">
        <v>237</v>
      </c>
      <c r="B239" s="43">
        <f>HEX2DEC(A239+Items!$A$28)</f>
        <v>100663863</v>
      </c>
      <c r="C239" s="45" t="s">
        <v>1177</v>
      </c>
      <c r="D239" s="50" t="s">
        <v>2309</v>
      </c>
      <c r="E239" s="45" t="s">
        <v>704</v>
      </c>
      <c r="F239" s="45" t="s">
        <v>705</v>
      </c>
      <c r="G239" s="45">
        <v>4</v>
      </c>
      <c r="H239" s="56" t="s">
        <v>1178</v>
      </c>
      <c r="I239" s="33" t="str">
        <f t="shared" si="6"/>
        <v>DA_Prefix_Brilliant</v>
      </c>
      <c r="J239" s="33" t="str">
        <f t="shared" si="7"/>
        <v>/Game/DungeonSiege/Items/Affixes/Prefix/DA_Prefix_Brilliant</v>
      </c>
      <c r="EV239" s="59"/>
    </row>
    <row r="240" spans="1:153" s="60" customFormat="1" x14ac:dyDescent="0.25">
      <c r="A240" s="44">
        <v>238</v>
      </c>
      <c r="B240" s="43">
        <f>HEX2DEC(A240+Items!$A$28)</f>
        <v>100663864</v>
      </c>
      <c r="C240" s="46" t="s">
        <v>1179</v>
      </c>
      <c r="D240" s="51" t="s">
        <v>2310</v>
      </c>
      <c r="E240" s="46" t="s">
        <v>850</v>
      </c>
      <c r="F240" s="46" t="s">
        <v>705</v>
      </c>
      <c r="G240" s="46">
        <v>4</v>
      </c>
      <c r="H240" s="57" t="s">
        <v>1180</v>
      </c>
      <c r="I240" s="34" t="str">
        <f t="shared" si="6"/>
        <v>DA_Prefix_Daring</v>
      </c>
      <c r="J240" s="34" t="str">
        <f t="shared" si="7"/>
        <v>/Game/DungeonSiege/Items/Affixes/Prefix/DA_Prefix_Daring</v>
      </c>
      <c r="EW240" s="59"/>
    </row>
    <row r="241" spans="1:158" s="60" customFormat="1" x14ac:dyDescent="0.25">
      <c r="A241" s="44">
        <v>239</v>
      </c>
      <c r="B241" s="43">
        <f>HEX2DEC(A241+Items!$A$28)</f>
        <v>100663865</v>
      </c>
      <c r="C241" s="46" t="s">
        <v>1181</v>
      </c>
      <c r="D241" s="51" t="s">
        <v>2311</v>
      </c>
      <c r="E241" s="46" t="s">
        <v>850</v>
      </c>
      <c r="F241" s="46" t="s">
        <v>705</v>
      </c>
      <c r="G241" s="46">
        <v>4</v>
      </c>
      <c r="H241" s="57" t="s">
        <v>1182</v>
      </c>
      <c r="I241" s="34" t="str">
        <f t="shared" si="6"/>
        <v>DA_Prefix_Secret</v>
      </c>
      <c r="J241" s="34" t="str">
        <f t="shared" si="7"/>
        <v>/Game/DungeonSiege/Items/Affixes/Prefix/DA_Prefix_Secret</v>
      </c>
      <c r="EX241" s="59"/>
    </row>
    <row r="242" spans="1:158" s="60" customFormat="1" ht="22.5" x14ac:dyDescent="0.25">
      <c r="A242" s="43">
        <v>240</v>
      </c>
      <c r="B242" s="43">
        <f>HEX2DEC(A242+Items!$A$28)</f>
        <v>100663872</v>
      </c>
      <c r="C242" s="44" t="s">
        <v>211</v>
      </c>
      <c r="D242" s="53" t="s">
        <v>210</v>
      </c>
      <c r="E242" s="44" t="s">
        <v>681</v>
      </c>
      <c r="F242" s="44" t="s">
        <v>813</v>
      </c>
      <c r="G242" s="44">
        <v>4</v>
      </c>
      <c r="H242" s="55" t="s">
        <v>209</v>
      </c>
      <c r="I242" s="32" t="str">
        <f t="shared" si="6"/>
        <v>DA_Prefix_Incorporeal</v>
      </c>
      <c r="J242" s="32" t="str">
        <f t="shared" si="7"/>
        <v>/Game/DungeonSiege/Items/Affixes/Prefix/DA_Prefix_Incorporeal</v>
      </c>
    </row>
    <row r="243" spans="1:158" s="60" customFormat="1" ht="22.5" x14ac:dyDescent="0.25">
      <c r="A243" s="43">
        <v>241</v>
      </c>
      <c r="B243" s="43">
        <f>HEX2DEC(A243+Items!$A$28)</f>
        <v>100663873</v>
      </c>
      <c r="C243" s="44" t="s">
        <v>208</v>
      </c>
      <c r="D243" s="53" t="s">
        <v>207</v>
      </c>
      <c r="E243" s="44" t="s">
        <v>681</v>
      </c>
      <c r="F243" s="44" t="s">
        <v>813</v>
      </c>
      <c r="G243" s="44">
        <v>4</v>
      </c>
      <c r="H243" s="55" t="s">
        <v>206</v>
      </c>
      <c r="I243" s="32" t="str">
        <f t="shared" si="6"/>
        <v>DA_Prefix_Campestral</v>
      </c>
      <c r="J243" s="32" t="str">
        <f t="shared" si="7"/>
        <v>/Game/DungeonSiege/Items/Affixes/Prefix/DA_Prefix_Campestral</v>
      </c>
    </row>
    <row r="244" spans="1:158" s="60" customFormat="1" x14ac:dyDescent="0.25">
      <c r="A244" s="44">
        <v>242</v>
      </c>
      <c r="B244" s="43">
        <f>HEX2DEC(A244+Items!$A$28)</f>
        <v>100663874</v>
      </c>
      <c r="C244" s="44" t="s">
        <v>205</v>
      </c>
      <c r="D244" s="53" t="s">
        <v>204</v>
      </c>
      <c r="E244" s="44" t="s">
        <v>681</v>
      </c>
      <c r="F244" s="44" t="s">
        <v>813</v>
      </c>
      <c r="G244" s="44">
        <v>4</v>
      </c>
      <c r="H244" s="55" t="s">
        <v>203</v>
      </c>
      <c r="I244" s="32" t="str">
        <f t="shared" si="6"/>
        <v>DA_Prefix_Fabricated</v>
      </c>
      <c r="J244" s="32" t="str">
        <f t="shared" si="7"/>
        <v>/Game/DungeonSiege/Items/Affixes/Prefix/DA_Prefix_Fabricated</v>
      </c>
    </row>
    <row r="245" spans="1:158" s="60" customFormat="1" x14ac:dyDescent="0.25">
      <c r="A245" s="44">
        <v>243</v>
      </c>
      <c r="B245" s="43">
        <f>HEX2DEC(A245+Items!$A$28)</f>
        <v>100663875</v>
      </c>
      <c r="C245" s="45" t="s">
        <v>1183</v>
      </c>
      <c r="D245" s="50" t="s">
        <v>2312</v>
      </c>
      <c r="E245" s="45" t="s">
        <v>704</v>
      </c>
      <c r="F245" s="45" t="s">
        <v>1120</v>
      </c>
      <c r="G245" s="45">
        <v>4</v>
      </c>
      <c r="H245" s="56" t="s">
        <v>1184</v>
      </c>
      <c r="I245" s="33" t="str">
        <f t="shared" ref="I245:I256" si="8">"DA_Prefix_"&amp; SUBSTITUTE(C245," ","_")</f>
        <v>DA_Prefix_Feisty</v>
      </c>
      <c r="J245" s="33" t="str">
        <f t="shared" ref="J245:J256" si="9">"/Game/DungeonSiege/Items/Affixes/Prefix/" &amp; I245</f>
        <v>/Game/DungeonSiege/Items/Affixes/Prefix/DA_Prefix_Feisty</v>
      </c>
      <c r="EY245" s="59"/>
    </row>
    <row r="246" spans="1:158" s="60" customFormat="1" x14ac:dyDescent="0.25">
      <c r="A246" s="43">
        <v>244</v>
      </c>
      <c r="B246" s="43">
        <f>HEX2DEC(A246+Items!$A$28)</f>
        <v>100663876</v>
      </c>
      <c r="C246" s="45" t="s">
        <v>1185</v>
      </c>
      <c r="D246" s="50" t="s">
        <v>2313</v>
      </c>
      <c r="E246" s="45" t="s">
        <v>704</v>
      </c>
      <c r="F246" s="45" t="s">
        <v>705</v>
      </c>
      <c r="G246" s="45">
        <v>4</v>
      </c>
      <c r="H246" s="56" t="s">
        <v>1187</v>
      </c>
      <c r="I246" s="33" t="str">
        <f t="shared" si="8"/>
        <v>DA_Prefix_Fierce</v>
      </c>
      <c r="J246" s="33" t="str">
        <f t="shared" si="9"/>
        <v>/Game/DungeonSiege/Items/Affixes/Prefix/DA_Prefix_Fierce</v>
      </c>
      <c r="EZ246" s="59"/>
    </row>
    <row r="247" spans="1:158" s="60" customFormat="1" ht="22.5" x14ac:dyDescent="0.25">
      <c r="A247" s="43">
        <v>245</v>
      </c>
      <c r="B247" s="43">
        <f>HEX2DEC(A247+Items!$A$28)</f>
        <v>100663877</v>
      </c>
      <c r="C247" s="44" t="s">
        <v>1188</v>
      </c>
      <c r="D247" s="53" t="s">
        <v>1189</v>
      </c>
      <c r="E247" s="44" t="s">
        <v>681</v>
      </c>
      <c r="F247" s="44" t="s">
        <v>813</v>
      </c>
      <c r="G247" s="44">
        <v>4</v>
      </c>
      <c r="H247" s="55" t="s">
        <v>1190</v>
      </c>
      <c r="I247" s="32" t="str">
        <f t="shared" si="8"/>
        <v>DA_Prefix_Flame_Retardant</v>
      </c>
      <c r="J247" s="32" t="str">
        <f t="shared" si="9"/>
        <v>/Game/DungeonSiege/Items/Affixes/Prefix/DA_Prefix_Flame_Retardant</v>
      </c>
    </row>
    <row r="248" spans="1:158" s="60" customFormat="1" x14ac:dyDescent="0.25">
      <c r="A248" s="44">
        <v>246</v>
      </c>
      <c r="B248" s="43">
        <f>HEX2DEC(A248+Items!$A$28)</f>
        <v>100663878</v>
      </c>
      <c r="C248" s="44" t="s">
        <v>1191</v>
      </c>
      <c r="D248" s="53" t="s">
        <v>1186</v>
      </c>
      <c r="E248" s="44" t="s">
        <v>681</v>
      </c>
      <c r="F248" s="44" t="s">
        <v>690</v>
      </c>
      <c r="G248" s="44">
        <v>3</v>
      </c>
      <c r="H248" s="55" t="s">
        <v>1192</v>
      </c>
      <c r="I248" s="32" t="str">
        <f t="shared" si="8"/>
        <v>DA_Prefix_Enforced</v>
      </c>
      <c r="J248" s="32" t="str">
        <f t="shared" si="9"/>
        <v>/Game/DungeonSiege/Items/Affixes/Prefix/DA_Prefix_Enforced</v>
      </c>
    </row>
    <row r="249" spans="1:158" s="60" customFormat="1" x14ac:dyDescent="0.25">
      <c r="A249" s="44">
        <v>247</v>
      </c>
      <c r="B249" s="43">
        <f>HEX2DEC(A249+Items!$A$28)</f>
        <v>100663879</v>
      </c>
      <c r="C249" s="44" t="s">
        <v>1193</v>
      </c>
      <c r="D249" s="53" t="s">
        <v>201</v>
      </c>
      <c r="E249" s="44" t="s">
        <v>681</v>
      </c>
      <c r="F249" s="44" t="s">
        <v>690</v>
      </c>
      <c r="G249" s="44">
        <v>2</v>
      </c>
      <c r="H249" s="55" t="s">
        <v>1194</v>
      </c>
      <c r="I249" s="32" t="str">
        <f t="shared" si="8"/>
        <v>DA_Prefix_Repellant</v>
      </c>
      <c r="J249" s="32" t="str">
        <f t="shared" si="9"/>
        <v>/Game/DungeonSiege/Items/Affixes/Prefix/DA_Prefix_Repellant</v>
      </c>
    </row>
    <row r="250" spans="1:158" s="60" customFormat="1" x14ac:dyDescent="0.25">
      <c r="A250" s="43">
        <v>248</v>
      </c>
      <c r="B250" s="43">
        <f>HEX2DEC(A250+Items!$A$28)</f>
        <v>100663880</v>
      </c>
      <c r="C250" s="44" t="s">
        <v>1195</v>
      </c>
      <c r="D250" s="53" t="s">
        <v>745</v>
      </c>
      <c r="E250" s="44" t="s">
        <v>681</v>
      </c>
      <c r="F250" s="44" t="s">
        <v>709</v>
      </c>
      <c r="G250" s="44">
        <v>2</v>
      </c>
      <c r="H250" s="55" t="s">
        <v>1196</v>
      </c>
      <c r="I250" s="32" t="str">
        <f t="shared" si="8"/>
        <v>DA_Prefix_Goring</v>
      </c>
      <c r="J250" s="32" t="str">
        <f t="shared" si="9"/>
        <v>/Game/DungeonSiege/Items/Affixes/Prefix/DA_Prefix_Goring</v>
      </c>
    </row>
    <row r="251" spans="1:158" s="60" customFormat="1" x14ac:dyDescent="0.25">
      <c r="A251" s="43">
        <v>249</v>
      </c>
      <c r="B251" s="43">
        <f>HEX2DEC(A251+Items!$A$28)</f>
        <v>100663881</v>
      </c>
      <c r="C251" s="44" t="s">
        <v>1197</v>
      </c>
      <c r="D251" s="53" t="s">
        <v>867</v>
      </c>
      <c r="E251" s="44" t="s">
        <v>681</v>
      </c>
      <c r="F251" s="44" t="s">
        <v>809</v>
      </c>
      <c r="G251" s="44">
        <v>2</v>
      </c>
      <c r="H251" s="55" t="s">
        <v>1198</v>
      </c>
      <c r="I251" s="32" t="str">
        <f t="shared" si="8"/>
        <v>DA_Prefix_Solid</v>
      </c>
      <c r="J251" s="32" t="str">
        <f t="shared" si="9"/>
        <v>/Game/DungeonSiege/Items/Affixes/Prefix/DA_Prefix_Solid</v>
      </c>
    </row>
    <row r="252" spans="1:158" s="60" customFormat="1" x14ac:dyDescent="0.25">
      <c r="A252" s="44">
        <v>250</v>
      </c>
      <c r="B252" s="43">
        <f>HEX2DEC(A252+Items!$A$28)</f>
        <v>100663888</v>
      </c>
      <c r="C252" s="44" t="s">
        <v>1199</v>
      </c>
      <c r="D252" s="53" t="s">
        <v>1200</v>
      </c>
      <c r="E252" s="44" t="s">
        <v>681</v>
      </c>
      <c r="F252" s="44" t="s">
        <v>686</v>
      </c>
      <c r="G252" s="44">
        <v>2</v>
      </c>
      <c r="H252" s="55" t="s">
        <v>1201</v>
      </c>
      <c r="I252" s="32" t="str">
        <f t="shared" si="8"/>
        <v>DA_Prefix_Sailing</v>
      </c>
      <c r="J252" s="32" t="str">
        <f t="shared" si="9"/>
        <v>/Game/DungeonSiege/Items/Affixes/Prefix/DA_Prefix_Sailing</v>
      </c>
    </row>
    <row r="253" spans="1:158" s="60" customFormat="1" x14ac:dyDescent="0.25">
      <c r="A253" s="44">
        <v>251</v>
      </c>
      <c r="B253" s="43">
        <f>HEX2DEC(A253+Items!$A$28)</f>
        <v>100663889</v>
      </c>
      <c r="C253" s="44" t="s">
        <v>202</v>
      </c>
      <c r="D253" s="53" t="s">
        <v>201</v>
      </c>
      <c r="E253" s="44" t="s">
        <v>681</v>
      </c>
      <c r="F253" s="44" t="s">
        <v>813</v>
      </c>
      <c r="G253" s="44">
        <v>2</v>
      </c>
      <c r="H253" s="55" t="s">
        <v>200</v>
      </c>
      <c r="I253" s="32" t="str">
        <f t="shared" si="8"/>
        <v>DA_Prefix_Profound</v>
      </c>
      <c r="J253" s="32" t="str">
        <f t="shared" si="9"/>
        <v>/Game/DungeonSiege/Items/Affixes/Prefix/DA_Prefix_Profound</v>
      </c>
    </row>
    <row r="254" spans="1:158" s="60" customFormat="1" x14ac:dyDescent="0.25">
      <c r="A254" s="43">
        <v>252</v>
      </c>
      <c r="B254" s="43">
        <f>HEX2DEC(A254+Items!$A$28)</f>
        <v>100663890</v>
      </c>
      <c r="C254" s="43" t="s">
        <v>1202</v>
      </c>
      <c r="D254" s="42" t="s">
        <v>2314</v>
      </c>
      <c r="E254" s="43" t="s">
        <v>681</v>
      </c>
      <c r="F254" s="43" t="s">
        <v>3332</v>
      </c>
      <c r="G254" s="43">
        <v>2</v>
      </c>
      <c r="H254" s="54" t="s">
        <v>3335</v>
      </c>
      <c r="I254" s="32" t="str">
        <f t="shared" si="8"/>
        <v>DA_Prefix_Stunning</v>
      </c>
      <c r="J254" s="32" t="str">
        <f t="shared" si="9"/>
        <v>/Game/DungeonSiege/Items/Affixes/Prefix/DA_Prefix_Stunning</v>
      </c>
      <c r="FB254" s="59"/>
    </row>
    <row r="255" spans="1:158" s="60" customFormat="1" x14ac:dyDescent="0.25">
      <c r="A255" s="43">
        <v>253</v>
      </c>
      <c r="B255" s="43">
        <f>HEX2DEC(A255+Items!$A$28)</f>
        <v>100663891</v>
      </c>
      <c r="C255" s="44" t="s">
        <v>1203</v>
      </c>
      <c r="D255" s="53" t="s">
        <v>1204</v>
      </c>
      <c r="E255" s="44" t="s">
        <v>681</v>
      </c>
      <c r="F255" s="44" t="s">
        <v>690</v>
      </c>
      <c r="G255" s="44">
        <v>1</v>
      </c>
      <c r="H255" s="55" t="s">
        <v>1205</v>
      </c>
      <c r="I255" s="32" t="str">
        <f t="shared" si="8"/>
        <v>DA_Prefix_Rough</v>
      </c>
      <c r="J255" s="32" t="str">
        <f t="shared" si="9"/>
        <v>/Game/DungeonSiege/Items/Affixes/Prefix/DA_Prefix_Rough</v>
      </c>
    </row>
    <row r="256" spans="1:158" s="60" customFormat="1" x14ac:dyDescent="0.25">
      <c r="A256" s="44">
        <v>254</v>
      </c>
      <c r="B256" s="43">
        <f>HEX2DEC(A256+Items!$A$28)</f>
        <v>100663892</v>
      </c>
      <c r="C256" s="44" t="s">
        <v>1206</v>
      </c>
      <c r="D256" s="53" t="s">
        <v>713</v>
      </c>
      <c r="E256" s="44" t="s">
        <v>681</v>
      </c>
      <c r="F256" s="44" t="s">
        <v>719</v>
      </c>
      <c r="G256" s="44">
        <v>1</v>
      </c>
      <c r="H256" s="55" t="s">
        <v>1207</v>
      </c>
      <c r="I256" s="32" t="str">
        <f t="shared" si="8"/>
        <v>DA_Prefix_Gliding</v>
      </c>
      <c r="J256" s="32" t="str">
        <f t="shared" si="9"/>
        <v>/Game/DungeonSiege/Items/Affixes/Prefix/DA_Prefix_Gliding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hangecolor">
                <anchor moveWithCells="1" sizeWithCells="1">
                  <from>
                    <xdr:col>3</xdr:col>
                    <xdr:colOff>5724525</xdr:colOff>
                    <xdr:row>0</xdr:row>
                    <xdr:rowOff>76200</xdr:rowOff>
                  </from>
                  <to>
                    <xdr:col>3</xdr:col>
                    <xdr:colOff>7000875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ExportPrefi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9525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A7252-7E08-4EBF-89FB-60D6B24799B6}">
  <sheetPr codeName="Sheet8"/>
  <dimension ref="A1:BX412"/>
  <sheetViews>
    <sheetView workbookViewId="0"/>
  </sheetViews>
  <sheetFormatPr defaultRowHeight="15" x14ac:dyDescent="0.25"/>
  <cols>
    <col min="1" max="1" width="17.85546875" style="1" customWidth="1"/>
    <col min="2" max="2" width="9.140625" style="1" customWidth="1"/>
    <col min="3" max="3" width="19.42578125" style="23" customWidth="1"/>
    <col min="4" max="4" width="59.5703125" style="23" customWidth="1"/>
    <col min="5" max="5" width="9.140625" style="23"/>
    <col min="6" max="6" width="17.42578125" style="23" customWidth="1"/>
    <col min="7" max="7" width="13.42578125" style="23" customWidth="1"/>
    <col min="8" max="8" width="21.140625" style="23" customWidth="1"/>
    <col min="9" max="9" width="24.28515625" style="23" bestFit="1" customWidth="1"/>
    <col min="10" max="10" width="53.85546875" style="23" bestFit="1" customWidth="1"/>
    <col min="11" max="16384" width="9.140625" style="23"/>
  </cols>
  <sheetData>
    <row r="1" spans="1:10" ht="37.5" customHeight="1" x14ac:dyDescent="0.25">
      <c r="A1" s="68" t="s">
        <v>2915</v>
      </c>
      <c r="B1" s="30" t="s">
        <v>3064</v>
      </c>
      <c r="C1" s="30" t="s">
        <v>0</v>
      </c>
      <c r="D1" s="30" t="s">
        <v>677</v>
      </c>
      <c r="E1" s="30" t="s">
        <v>678</v>
      </c>
      <c r="F1" s="30" t="s">
        <v>679</v>
      </c>
      <c r="G1" s="30" t="s">
        <v>198</v>
      </c>
      <c r="H1" s="30" t="s">
        <v>197</v>
      </c>
      <c r="I1" s="30" t="s">
        <v>335</v>
      </c>
      <c r="J1" s="30" t="s">
        <v>334</v>
      </c>
    </row>
    <row r="2" spans="1:10" x14ac:dyDescent="0.25">
      <c r="A2" s="44">
        <v>0</v>
      </c>
      <c r="B2" s="44">
        <f>HEX2DEC(A2+Items!$A$29)</f>
        <v>101711872</v>
      </c>
      <c r="C2" s="24" t="s">
        <v>1208</v>
      </c>
      <c r="D2" s="24" t="s">
        <v>1209</v>
      </c>
      <c r="E2" s="24" t="s">
        <v>681</v>
      </c>
      <c r="F2" s="24" t="s">
        <v>686</v>
      </c>
      <c r="G2" s="24">
        <v>208</v>
      </c>
      <c r="H2" s="31" t="s">
        <v>1210</v>
      </c>
      <c r="I2" s="31" t="str">
        <f>"DA_Suffix_"&amp; SUBSTITUTE(C2," ","_")</f>
        <v>DA_Suffix_of_Attainment</v>
      </c>
      <c r="J2" s="31" t="str">
        <f>"/Game/DungeonSiege/Items/Affixes/Suffix/" &amp; I2</f>
        <v>/Game/DungeonSiege/Items/Affixes/Suffix/DA_Suffix_of_Attainment</v>
      </c>
    </row>
    <row r="3" spans="1:10" x14ac:dyDescent="0.25">
      <c r="A3" s="44">
        <v>1</v>
      </c>
      <c r="B3" s="44">
        <f>HEX2DEC(A3+Items!$A$29)</f>
        <v>101711873</v>
      </c>
      <c r="C3" s="24" t="s">
        <v>1211</v>
      </c>
      <c r="D3" s="24" t="s">
        <v>1212</v>
      </c>
      <c r="E3" s="24" t="s">
        <v>681</v>
      </c>
      <c r="F3" s="24" t="s">
        <v>686</v>
      </c>
      <c r="G3" s="24">
        <v>165</v>
      </c>
      <c r="H3" s="31" t="s">
        <v>1213</v>
      </c>
      <c r="I3" s="31" t="str">
        <f t="shared" ref="I3:I66" si="0">"DA_Suffix_"&amp; SUBSTITUTE(C3," ","_")</f>
        <v>DA_Suffix_of_Aptitude</v>
      </c>
      <c r="J3" s="31" t="str">
        <f t="shared" ref="J3:J66" si="1">"/Game/DungeonSiege/Items/Affixes/Suffix/" &amp; I3</f>
        <v>/Game/DungeonSiege/Items/Affixes/Suffix/DA_Suffix_of_Aptitude</v>
      </c>
    </row>
    <row r="4" spans="1:10" x14ac:dyDescent="0.25">
      <c r="A4" s="44">
        <v>2</v>
      </c>
      <c r="B4" s="44">
        <f>HEX2DEC(A4+Items!$A$29)</f>
        <v>101711874</v>
      </c>
      <c r="C4" s="24" t="s">
        <v>1214</v>
      </c>
      <c r="D4" s="24" t="s">
        <v>1215</v>
      </c>
      <c r="E4" s="24" t="s">
        <v>681</v>
      </c>
      <c r="F4" s="24" t="s">
        <v>682</v>
      </c>
      <c r="G4" s="24">
        <v>120</v>
      </c>
      <c r="H4" s="31" t="s">
        <v>1216</v>
      </c>
      <c r="I4" s="31" t="str">
        <f t="shared" si="0"/>
        <v>DA_Suffix_of_the_Destructive</v>
      </c>
      <c r="J4" s="31" t="str">
        <f t="shared" si="1"/>
        <v>/Game/DungeonSiege/Items/Affixes/Suffix/DA_Suffix_of_the_Destructive</v>
      </c>
    </row>
    <row r="5" spans="1:10" x14ac:dyDescent="0.25">
      <c r="A5" s="44">
        <v>3</v>
      </c>
      <c r="B5" s="44">
        <f>HEX2DEC(A5+Items!$A$29)</f>
        <v>101711875</v>
      </c>
      <c r="C5" s="24" t="s">
        <v>1217</v>
      </c>
      <c r="D5" s="24" t="s">
        <v>1218</v>
      </c>
      <c r="E5" s="24" t="s">
        <v>681</v>
      </c>
      <c r="F5" s="24" t="s">
        <v>1219</v>
      </c>
      <c r="G5" s="24">
        <v>117</v>
      </c>
      <c r="H5" s="31" t="s">
        <v>1220</v>
      </c>
      <c r="I5" s="31" t="str">
        <f t="shared" si="0"/>
        <v>DA_Suffix_of_Zeal</v>
      </c>
      <c r="J5" s="31" t="str">
        <f t="shared" si="1"/>
        <v>/Game/DungeonSiege/Items/Affixes/Suffix/DA_Suffix_of_Zeal</v>
      </c>
    </row>
    <row r="6" spans="1:10" x14ac:dyDescent="0.25">
      <c r="A6" s="44">
        <v>4</v>
      </c>
      <c r="B6" s="44">
        <f>HEX2DEC(A6+Items!$A$29)</f>
        <v>101711876</v>
      </c>
      <c r="C6" s="24" t="s">
        <v>1221</v>
      </c>
      <c r="D6" s="24" t="s">
        <v>1222</v>
      </c>
      <c r="E6" s="24" t="s">
        <v>681</v>
      </c>
      <c r="F6" s="24" t="s">
        <v>1219</v>
      </c>
      <c r="G6" s="24">
        <v>117</v>
      </c>
      <c r="H6" s="31" t="s">
        <v>1223</v>
      </c>
      <c r="I6" s="31" t="str">
        <f t="shared" si="0"/>
        <v>DA_Suffix_of_Antagonism</v>
      </c>
      <c r="J6" s="31" t="str">
        <f t="shared" si="1"/>
        <v>/Game/DungeonSiege/Items/Affixes/Suffix/DA_Suffix_of_Antagonism</v>
      </c>
    </row>
    <row r="7" spans="1:10" ht="22.5" x14ac:dyDescent="0.25">
      <c r="A7" s="44">
        <v>5</v>
      </c>
      <c r="B7" s="44">
        <f>HEX2DEC(A7+Items!$A$29)</f>
        <v>101711877</v>
      </c>
      <c r="C7" s="24" t="s">
        <v>1224</v>
      </c>
      <c r="D7" s="24" t="s">
        <v>1225</v>
      </c>
      <c r="E7" s="24" t="s">
        <v>681</v>
      </c>
      <c r="F7" s="24" t="s">
        <v>1226</v>
      </c>
      <c r="G7" s="24">
        <v>115</v>
      </c>
      <c r="H7" s="31" t="s">
        <v>1227</v>
      </c>
      <c r="I7" s="31" t="str">
        <f t="shared" si="0"/>
        <v>DA_Suffix_of_the_Lion</v>
      </c>
      <c r="J7" s="31" t="str">
        <f t="shared" si="1"/>
        <v>/Game/DungeonSiege/Items/Affixes/Suffix/DA_Suffix_of_the_Lion</v>
      </c>
    </row>
    <row r="8" spans="1:10" x14ac:dyDescent="0.25">
      <c r="A8" s="44">
        <v>6</v>
      </c>
      <c r="B8" s="44">
        <f>HEX2DEC(A8+Items!$A$29)</f>
        <v>101711878</v>
      </c>
      <c r="C8" s="24" t="s">
        <v>1228</v>
      </c>
      <c r="D8" s="24" t="s">
        <v>1229</v>
      </c>
      <c r="E8" s="24" t="s">
        <v>681</v>
      </c>
      <c r="F8" s="24" t="s">
        <v>682</v>
      </c>
      <c r="G8" s="24">
        <v>115</v>
      </c>
      <c r="H8" s="31" t="s">
        <v>1230</v>
      </c>
      <c r="I8" s="31" t="str">
        <f t="shared" si="0"/>
        <v>DA_Suffix_of_the_Zapped</v>
      </c>
      <c r="J8" s="31" t="str">
        <f t="shared" si="1"/>
        <v>/Game/DungeonSiege/Items/Affixes/Suffix/DA_Suffix_of_the_Zapped</v>
      </c>
    </row>
    <row r="9" spans="1:10" x14ac:dyDescent="0.25">
      <c r="A9" s="44">
        <v>7</v>
      </c>
      <c r="B9" s="44">
        <f>HEX2DEC(A9+Items!$A$29)</f>
        <v>101711879</v>
      </c>
      <c r="C9" s="24" t="s">
        <v>1231</v>
      </c>
      <c r="D9" s="24" t="s">
        <v>1232</v>
      </c>
      <c r="E9" s="24" t="s">
        <v>681</v>
      </c>
      <c r="F9" s="24" t="s">
        <v>686</v>
      </c>
      <c r="G9" s="24">
        <v>115</v>
      </c>
      <c r="H9" s="31" t="s">
        <v>1233</v>
      </c>
      <c r="I9" s="31" t="str">
        <f t="shared" si="0"/>
        <v>DA_Suffix_of_Lightning</v>
      </c>
      <c r="J9" s="31" t="str">
        <f t="shared" si="1"/>
        <v>/Game/DungeonSiege/Items/Affixes/Suffix/DA_Suffix_of_Lightning</v>
      </c>
    </row>
    <row r="10" spans="1:10" x14ac:dyDescent="0.25">
      <c r="A10" s="44">
        <v>8</v>
      </c>
      <c r="B10" s="44">
        <f>HEX2DEC(A10+Items!$A$29)</f>
        <v>101711880</v>
      </c>
      <c r="C10" s="24" t="s">
        <v>1234</v>
      </c>
      <c r="D10" s="24" t="s">
        <v>1235</v>
      </c>
      <c r="E10" s="24" t="s">
        <v>681</v>
      </c>
      <c r="F10" s="24" t="s">
        <v>682</v>
      </c>
      <c r="G10" s="24">
        <v>112</v>
      </c>
      <c r="H10" s="31" t="s">
        <v>1236</v>
      </c>
      <c r="I10" s="31" t="str">
        <f t="shared" si="0"/>
        <v>DA_Suffix_of_Agony</v>
      </c>
      <c r="J10" s="31" t="str">
        <f t="shared" si="1"/>
        <v>/Game/DungeonSiege/Items/Affixes/Suffix/DA_Suffix_of_Agony</v>
      </c>
    </row>
    <row r="11" spans="1:10" x14ac:dyDescent="0.25">
      <c r="A11" s="44">
        <v>9</v>
      </c>
      <c r="B11" s="44">
        <f>HEX2DEC(A11+Items!$A$29)</f>
        <v>101711881</v>
      </c>
      <c r="C11" s="24" t="s">
        <v>1237</v>
      </c>
      <c r="D11" s="24" t="s">
        <v>1238</v>
      </c>
      <c r="E11" s="24" t="s">
        <v>681</v>
      </c>
      <c r="F11" s="24" t="s">
        <v>682</v>
      </c>
      <c r="G11" s="24">
        <v>109</v>
      </c>
      <c r="H11" s="31" t="s">
        <v>1239</v>
      </c>
      <c r="I11" s="31" t="str">
        <f t="shared" si="0"/>
        <v>DA_Suffix_of_Intent</v>
      </c>
      <c r="J11" s="31" t="str">
        <f t="shared" si="1"/>
        <v>/Game/DungeonSiege/Items/Affixes/Suffix/DA_Suffix_of_Intent</v>
      </c>
    </row>
    <row r="12" spans="1:10" x14ac:dyDescent="0.25">
      <c r="A12" s="44">
        <v>10</v>
      </c>
      <c r="B12" s="44">
        <f>HEX2DEC(A12+Items!$A$29)</f>
        <v>101711888</v>
      </c>
      <c r="C12" s="26" t="s">
        <v>1240</v>
      </c>
      <c r="D12" s="37" t="s">
        <v>2315</v>
      </c>
      <c r="E12" s="26" t="s">
        <v>681</v>
      </c>
      <c r="F12" s="26" t="s">
        <v>682</v>
      </c>
      <c r="G12" s="26">
        <v>109</v>
      </c>
      <c r="H12" s="31" t="s">
        <v>1241</v>
      </c>
      <c r="I12" s="31" t="str">
        <f t="shared" si="0"/>
        <v>DA_Suffix_of_Ice</v>
      </c>
      <c r="J12" s="31" t="str">
        <f t="shared" si="1"/>
        <v>/Game/DungeonSiege/Items/Affixes/Suffix/DA_Suffix_of_Ice</v>
      </c>
    </row>
    <row r="13" spans="1:10" x14ac:dyDescent="0.25">
      <c r="A13" s="44">
        <v>11</v>
      </c>
      <c r="B13" s="44">
        <f>HEX2DEC(A13+Items!$A$29)</f>
        <v>101711889</v>
      </c>
      <c r="C13" s="26" t="s">
        <v>1242</v>
      </c>
      <c r="D13" s="37" t="s">
        <v>2316</v>
      </c>
      <c r="E13" s="26" t="s">
        <v>681</v>
      </c>
      <c r="F13" s="26" t="s">
        <v>1243</v>
      </c>
      <c r="G13" s="26">
        <v>109</v>
      </c>
      <c r="H13" s="31" t="s">
        <v>1244</v>
      </c>
      <c r="I13" s="31" t="str">
        <f t="shared" si="0"/>
        <v>DA_Suffix_of_Glaciers</v>
      </c>
      <c r="J13" s="31" t="str">
        <f t="shared" si="1"/>
        <v>/Game/DungeonSiege/Items/Affixes/Suffix/DA_Suffix_of_Glaciers</v>
      </c>
    </row>
    <row r="14" spans="1:10" ht="22.5" x14ac:dyDescent="0.25">
      <c r="A14" s="44">
        <v>12</v>
      </c>
      <c r="B14" s="44">
        <f>HEX2DEC(A14+Items!$A$29)</f>
        <v>101711890</v>
      </c>
      <c r="C14" s="24" t="s">
        <v>1245</v>
      </c>
      <c r="D14" s="24" t="s">
        <v>1246</v>
      </c>
      <c r="E14" s="24" t="s">
        <v>681</v>
      </c>
      <c r="F14" s="24" t="s">
        <v>705</v>
      </c>
      <c r="G14" s="24">
        <v>107</v>
      </c>
      <c r="H14" s="31" t="s">
        <v>1247</v>
      </c>
      <c r="I14" s="31" t="str">
        <f t="shared" si="0"/>
        <v>DA_Suffix_of_Colossus</v>
      </c>
      <c r="J14" s="31" t="str">
        <f t="shared" si="1"/>
        <v>/Game/DungeonSiege/Items/Affixes/Suffix/DA_Suffix_of_Colossus</v>
      </c>
    </row>
    <row r="15" spans="1:10" ht="22.5" x14ac:dyDescent="0.25">
      <c r="A15" s="44">
        <v>13</v>
      </c>
      <c r="B15" s="44">
        <f>HEX2DEC(A15+Items!$A$29)</f>
        <v>101711891</v>
      </c>
      <c r="C15" s="24" t="s">
        <v>1248</v>
      </c>
      <c r="D15" s="24" t="s">
        <v>1249</v>
      </c>
      <c r="E15" s="24" t="s">
        <v>681</v>
      </c>
      <c r="F15" s="24" t="s">
        <v>1226</v>
      </c>
      <c r="G15" s="24">
        <v>107</v>
      </c>
      <c r="H15" s="31" t="s">
        <v>1250</v>
      </c>
      <c r="I15" s="31" t="str">
        <f t="shared" si="0"/>
        <v>DA_Suffix_of_Omniscience</v>
      </c>
      <c r="J15" s="31" t="str">
        <f t="shared" si="1"/>
        <v>/Game/DungeonSiege/Items/Affixes/Suffix/DA_Suffix_of_Omniscience</v>
      </c>
    </row>
    <row r="16" spans="1:10" x14ac:dyDescent="0.25">
      <c r="A16" s="44">
        <v>14</v>
      </c>
      <c r="B16" s="44">
        <f>HEX2DEC(A16+Items!$A$29)</f>
        <v>101711892</v>
      </c>
      <c r="C16" s="24" t="s">
        <v>1251</v>
      </c>
      <c r="D16" s="24" t="s">
        <v>1252</v>
      </c>
      <c r="E16" s="24" t="s">
        <v>681</v>
      </c>
      <c r="F16" s="24" t="s">
        <v>686</v>
      </c>
      <c r="G16" s="24">
        <v>107</v>
      </c>
      <c r="H16" s="31" t="s">
        <v>1253</v>
      </c>
      <c r="I16" s="31" t="str">
        <f t="shared" si="0"/>
        <v>DA_Suffix_of_Transcendence</v>
      </c>
      <c r="J16" s="31" t="str">
        <f t="shared" si="1"/>
        <v>/Game/DungeonSiege/Items/Affixes/Suffix/DA_Suffix_of_Transcendence</v>
      </c>
    </row>
    <row r="17" spans="1:12" ht="22.5" x14ac:dyDescent="0.25">
      <c r="A17" s="44">
        <v>15</v>
      </c>
      <c r="B17" s="44">
        <f>HEX2DEC(A17+Items!$A$29)</f>
        <v>101711893</v>
      </c>
      <c r="C17" s="24" t="s">
        <v>1254</v>
      </c>
      <c r="D17" s="24" t="s">
        <v>1255</v>
      </c>
      <c r="E17" s="24" t="s">
        <v>681</v>
      </c>
      <c r="F17" s="24" t="s">
        <v>1226</v>
      </c>
      <c r="G17" s="24">
        <v>104</v>
      </c>
      <c r="H17" s="31" t="s">
        <v>1256</v>
      </c>
      <c r="I17" s="31" t="str">
        <f t="shared" si="0"/>
        <v>DA_Suffix_of_the_Effortless</v>
      </c>
      <c r="J17" s="31" t="str">
        <f t="shared" si="1"/>
        <v>/Game/DungeonSiege/Items/Affixes/Suffix/DA_Suffix_of_the_Effortless</v>
      </c>
    </row>
    <row r="18" spans="1:12" x14ac:dyDescent="0.25">
      <c r="A18" s="44">
        <v>16</v>
      </c>
      <c r="B18" s="44">
        <f>HEX2DEC(A18+Items!$A$29)</f>
        <v>101711894</v>
      </c>
      <c r="C18" s="24" t="s">
        <v>1257</v>
      </c>
      <c r="D18" s="24" t="s">
        <v>1258</v>
      </c>
      <c r="E18" s="24" t="s">
        <v>681</v>
      </c>
      <c r="F18" s="24" t="s">
        <v>682</v>
      </c>
      <c r="G18" s="24">
        <v>104</v>
      </c>
      <c r="H18" s="31" t="s">
        <v>1259</v>
      </c>
      <c r="I18" s="31" t="str">
        <f t="shared" si="0"/>
        <v>DA_Suffix_of_the_Oppressive</v>
      </c>
      <c r="J18" s="31" t="str">
        <f t="shared" si="1"/>
        <v>/Game/DungeonSiege/Items/Affixes/Suffix/DA_Suffix_of_the_Oppressive</v>
      </c>
    </row>
    <row r="19" spans="1:12" x14ac:dyDescent="0.25">
      <c r="A19" s="44">
        <v>17</v>
      </c>
      <c r="B19" s="44">
        <f>HEX2DEC(A19+Items!$A$29)</f>
        <v>101711895</v>
      </c>
      <c r="C19" s="24" t="s">
        <v>1260</v>
      </c>
      <c r="D19" s="24" t="s">
        <v>1261</v>
      </c>
      <c r="E19" s="24" t="s">
        <v>681</v>
      </c>
      <c r="F19" s="24" t="s">
        <v>1219</v>
      </c>
      <c r="G19" s="24">
        <v>101</v>
      </c>
      <c r="H19" s="31" t="s">
        <v>1262</v>
      </c>
      <c r="I19" s="31" t="str">
        <f t="shared" si="0"/>
        <v>DA_Suffix_of_Rejoicing</v>
      </c>
      <c r="J19" s="31" t="str">
        <f t="shared" si="1"/>
        <v>/Game/DungeonSiege/Items/Affixes/Suffix/DA_Suffix_of_Rejoicing</v>
      </c>
    </row>
    <row r="20" spans="1:12" x14ac:dyDescent="0.25">
      <c r="A20" s="44">
        <v>18</v>
      </c>
      <c r="B20" s="44">
        <f>HEX2DEC(A20+Items!$A$29)</f>
        <v>101711896</v>
      </c>
      <c r="C20" s="24" t="s">
        <v>1263</v>
      </c>
      <c r="D20" s="24" t="s">
        <v>1264</v>
      </c>
      <c r="E20" s="24" t="s">
        <v>681</v>
      </c>
      <c r="F20" s="24" t="s">
        <v>1219</v>
      </c>
      <c r="G20" s="24">
        <v>101</v>
      </c>
      <c r="H20" s="31" t="s">
        <v>1265</v>
      </c>
      <c r="I20" s="31" t="str">
        <f t="shared" si="0"/>
        <v>DA_Suffix_of_Repression</v>
      </c>
      <c r="J20" s="31" t="str">
        <f t="shared" si="1"/>
        <v>/Game/DungeonSiege/Items/Affixes/Suffix/DA_Suffix_of_Repression</v>
      </c>
    </row>
    <row r="21" spans="1:12" x14ac:dyDescent="0.25">
      <c r="A21" s="44">
        <v>19</v>
      </c>
      <c r="B21" s="44">
        <f>HEX2DEC(A21+Items!$A$29)</f>
        <v>101711897</v>
      </c>
      <c r="C21" s="24" t="s">
        <v>1266</v>
      </c>
      <c r="D21" s="24" t="s">
        <v>1267</v>
      </c>
      <c r="E21" s="24" t="s">
        <v>681</v>
      </c>
      <c r="F21" s="24" t="s">
        <v>682</v>
      </c>
      <c r="G21" s="24">
        <v>99</v>
      </c>
      <c r="H21" s="31" t="s">
        <v>1268</v>
      </c>
      <c r="I21" s="31" t="str">
        <f t="shared" si="0"/>
        <v>DA_Suffix_of_Fangs</v>
      </c>
      <c r="J21" s="31" t="str">
        <f t="shared" si="1"/>
        <v>/Game/DungeonSiege/Items/Affixes/Suffix/DA_Suffix_of_Fangs</v>
      </c>
    </row>
    <row r="22" spans="1:12" x14ac:dyDescent="0.25">
      <c r="A22" s="44">
        <v>20</v>
      </c>
      <c r="B22" s="44">
        <f>HEX2DEC(A22+Items!$A$29)</f>
        <v>101711904</v>
      </c>
      <c r="C22" s="24" t="s">
        <v>1269</v>
      </c>
      <c r="D22" s="24" t="s">
        <v>1270</v>
      </c>
      <c r="E22" s="24" t="s">
        <v>681</v>
      </c>
      <c r="F22" s="24" t="s">
        <v>1120</v>
      </c>
      <c r="G22" s="24">
        <v>99</v>
      </c>
      <c r="H22" s="31" t="s">
        <v>1271</v>
      </c>
      <c r="I22" s="31" t="str">
        <f t="shared" si="0"/>
        <v>DA_Suffix_of_Dawn</v>
      </c>
      <c r="J22" s="31" t="str">
        <f t="shared" si="1"/>
        <v>/Game/DungeonSiege/Items/Affixes/Suffix/DA_Suffix_of_Dawn</v>
      </c>
    </row>
    <row r="23" spans="1:12" x14ac:dyDescent="0.25">
      <c r="A23" s="44">
        <v>21</v>
      </c>
      <c r="B23" s="44">
        <f>HEX2DEC(A23+Items!$A$29)</f>
        <v>101711905</v>
      </c>
      <c r="C23" s="24" t="s">
        <v>1272</v>
      </c>
      <c r="D23" s="24" t="s">
        <v>1273</v>
      </c>
      <c r="E23" s="24" t="s">
        <v>681</v>
      </c>
      <c r="F23" s="24" t="s">
        <v>682</v>
      </c>
      <c r="G23" s="24">
        <v>99</v>
      </c>
      <c r="H23" s="31" t="s">
        <v>1274</v>
      </c>
      <c r="I23" s="31" t="str">
        <f t="shared" si="0"/>
        <v>DA_Suffix_of_Fire</v>
      </c>
      <c r="J23" s="31" t="str">
        <f t="shared" si="1"/>
        <v>/Game/DungeonSiege/Items/Affixes/Suffix/DA_Suffix_of_Fire</v>
      </c>
    </row>
    <row r="24" spans="1:12" x14ac:dyDescent="0.25">
      <c r="A24" s="44">
        <v>22</v>
      </c>
      <c r="B24" s="44">
        <f>HEX2DEC(A24+Items!$A$29)</f>
        <v>101711906</v>
      </c>
      <c r="C24" s="24" t="s">
        <v>1275</v>
      </c>
      <c r="D24" s="24" t="s">
        <v>1276</v>
      </c>
      <c r="E24" s="24" t="s">
        <v>681</v>
      </c>
      <c r="F24" s="24" t="s">
        <v>686</v>
      </c>
      <c r="G24" s="24">
        <v>99</v>
      </c>
      <c r="H24" s="31" t="s">
        <v>1277</v>
      </c>
      <c r="I24" s="31" t="str">
        <f t="shared" si="0"/>
        <v>DA_Suffix_of_Ignition</v>
      </c>
      <c r="J24" s="31" t="str">
        <f t="shared" si="1"/>
        <v>/Game/DungeonSiege/Items/Affixes/Suffix/DA_Suffix_of_Ignition</v>
      </c>
    </row>
    <row r="25" spans="1:12" x14ac:dyDescent="0.25">
      <c r="A25" s="44">
        <v>23</v>
      </c>
      <c r="B25" s="44">
        <f>HEX2DEC(A25+Items!$A$29)</f>
        <v>101711907</v>
      </c>
      <c r="C25" s="24" t="s">
        <v>1278</v>
      </c>
      <c r="D25" s="24" t="s">
        <v>1279</v>
      </c>
      <c r="E25" s="24" t="s">
        <v>681</v>
      </c>
      <c r="F25" s="24" t="s">
        <v>686</v>
      </c>
      <c r="G25" s="24">
        <v>99</v>
      </c>
      <c r="H25" s="31" t="s">
        <v>1280</v>
      </c>
      <c r="I25" s="31" t="str">
        <f t="shared" si="0"/>
        <v>DA_Suffix_of_Ingenuity</v>
      </c>
      <c r="J25" s="31" t="str">
        <f t="shared" si="1"/>
        <v>/Game/DungeonSiege/Items/Affixes/Suffix/DA_Suffix_of_Ingenuity</v>
      </c>
    </row>
    <row r="26" spans="1:12" x14ac:dyDescent="0.25">
      <c r="A26" s="44">
        <v>24</v>
      </c>
      <c r="B26" s="44">
        <f>HEX2DEC(A26+Items!$A$29)</f>
        <v>101711908</v>
      </c>
      <c r="C26" s="24" t="s">
        <v>1281</v>
      </c>
      <c r="D26" s="24" t="s">
        <v>1282</v>
      </c>
      <c r="E26" s="24" t="s">
        <v>681</v>
      </c>
      <c r="F26" s="24" t="s">
        <v>686</v>
      </c>
      <c r="G26" s="24">
        <v>96</v>
      </c>
      <c r="H26" s="31" t="s">
        <v>1283</v>
      </c>
      <c r="I26" s="31" t="str">
        <f t="shared" si="0"/>
        <v>DA_Suffix_of_the_Eagle</v>
      </c>
      <c r="J26" s="31" t="str">
        <f t="shared" si="1"/>
        <v>/Game/DungeonSiege/Items/Affixes/Suffix/DA_Suffix_of_the_Eagle</v>
      </c>
    </row>
    <row r="27" spans="1:12" x14ac:dyDescent="0.25">
      <c r="A27" s="44">
        <v>25</v>
      </c>
      <c r="B27" s="44">
        <f>HEX2DEC(A27+Items!$A$29)</f>
        <v>101711909</v>
      </c>
      <c r="C27" s="24" t="s">
        <v>1284</v>
      </c>
      <c r="D27" s="24" t="s">
        <v>1238</v>
      </c>
      <c r="E27" s="24" t="s">
        <v>681</v>
      </c>
      <c r="F27" s="24" t="s">
        <v>686</v>
      </c>
      <c r="G27" s="24">
        <v>93</v>
      </c>
      <c r="H27" s="31" t="s">
        <v>1285</v>
      </c>
      <c r="I27" s="31" t="str">
        <f t="shared" si="0"/>
        <v>DA_Suffix_of_Premeditation</v>
      </c>
      <c r="J27" s="31" t="str">
        <f t="shared" si="1"/>
        <v>/Game/DungeonSiege/Items/Affixes/Suffix/DA_Suffix_of_Premeditation</v>
      </c>
    </row>
    <row r="28" spans="1:12" x14ac:dyDescent="0.25">
      <c r="A28" s="44">
        <v>26</v>
      </c>
      <c r="B28" s="44">
        <f>HEX2DEC(A28+Items!$A$29)</f>
        <v>101711910</v>
      </c>
      <c r="C28" s="24" t="s">
        <v>1286</v>
      </c>
      <c r="D28" s="24" t="s">
        <v>1287</v>
      </c>
      <c r="E28" s="24" t="s">
        <v>681</v>
      </c>
      <c r="F28" s="24" t="s">
        <v>1120</v>
      </c>
      <c r="G28" s="24">
        <v>93</v>
      </c>
      <c r="H28" s="31" t="s">
        <v>1288</v>
      </c>
      <c r="I28" s="31" t="str">
        <f t="shared" si="0"/>
        <v>DA_Suffix_of_the_Slayer</v>
      </c>
      <c r="J28" s="31" t="str">
        <f t="shared" si="1"/>
        <v>/Game/DungeonSiege/Items/Affixes/Suffix/DA_Suffix_of_the_Slayer</v>
      </c>
    </row>
    <row r="29" spans="1:12" x14ac:dyDescent="0.25">
      <c r="A29" s="44">
        <v>27</v>
      </c>
      <c r="B29" s="44">
        <f>HEX2DEC(A29+Items!$A$29)</f>
        <v>101711911</v>
      </c>
      <c r="C29" s="26" t="s">
        <v>1289</v>
      </c>
      <c r="D29" s="37" t="s">
        <v>2317</v>
      </c>
      <c r="E29" s="26" t="s">
        <v>681</v>
      </c>
      <c r="F29" s="26" t="s">
        <v>682</v>
      </c>
      <c r="G29" s="26">
        <v>93</v>
      </c>
      <c r="H29" s="31" t="s">
        <v>1290</v>
      </c>
      <c r="I29" s="31" t="str">
        <f t="shared" si="0"/>
        <v>DA_Suffix_of_Frostbite</v>
      </c>
      <c r="J29" s="31" t="str">
        <f t="shared" si="1"/>
        <v>/Game/DungeonSiege/Items/Affixes/Suffix/DA_Suffix_of_Frostbite</v>
      </c>
      <c r="K29" s="36"/>
    </row>
    <row r="30" spans="1:12" x14ac:dyDescent="0.25">
      <c r="A30" s="44">
        <v>28</v>
      </c>
      <c r="B30" s="44">
        <f>HEX2DEC(A30+Items!$A$29)</f>
        <v>101711912</v>
      </c>
      <c r="C30" s="26" t="s">
        <v>1291</v>
      </c>
      <c r="D30" s="37" t="s">
        <v>2318</v>
      </c>
      <c r="E30" s="26" t="s">
        <v>681</v>
      </c>
      <c r="F30" s="26" t="s">
        <v>1243</v>
      </c>
      <c r="G30" s="26">
        <v>93</v>
      </c>
      <c r="H30" s="31" t="s">
        <v>1292</v>
      </c>
      <c r="I30" s="31" t="str">
        <f t="shared" si="0"/>
        <v>DA_Suffix_of_Icebergs</v>
      </c>
      <c r="J30" s="31" t="str">
        <f t="shared" si="1"/>
        <v>/Game/DungeonSiege/Items/Affixes/Suffix/DA_Suffix_of_Icebergs</v>
      </c>
      <c r="L30" s="36"/>
    </row>
    <row r="31" spans="1:12" ht="22.5" x14ac:dyDescent="0.25">
      <c r="A31" s="44">
        <v>29</v>
      </c>
      <c r="B31" s="44">
        <f>HEX2DEC(A31+Items!$A$29)</f>
        <v>101711913</v>
      </c>
      <c r="C31" s="24" t="s">
        <v>1293</v>
      </c>
      <c r="D31" s="24" t="s">
        <v>1294</v>
      </c>
      <c r="E31" s="24" t="s">
        <v>681</v>
      </c>
      <c r="F31" s="24" t="s">
        <v>1226</v>
      </c>
      <c r="G31" s="24">
        <v>91</v>
      </c>
      <c r="H31" s="31" t="s">
        <v>1295</v>
      </c>
      <c r="I31" s="31" t="str">
        <f t="shared" si="0"/>
        <v>DA_Suffix_of_the_Panther</v>
      </c>
      <c r="J31" s="31" t="str">
        <f t="shared" si="1"/>
        <v>/Game/DungeonSiege/Items/Affixes/Suffix/DA_Suffix_of_the_Panther</v>
      </c>
    </row>
    <row r="32" spans="1:12" x14ac:dyDescent="0.25">
      <c r="A32" s="44">
        <v>30</v>
      </c>
      <c r="B32" s="44">
        <f>HEX2DEC(A32+Items!$A$29)</f>
        <v>101711920</v>
      </c>
      <c r="C32" s="24" t="s">
        <v>1296</v>
      </c>
      <c r="D32" s="24" t="s">
        <v>1297</v>
      </c>
      <c r="E32" s="24" t="s">
        <v>681</v>
      </c>
      <c r="F32" s="24" t="s">
        <v>686</v>
      </c>
      <c r="G32" s="24">
        <v>91</v>
      </c>
      <c r="H32" s="31" t="s">
        <v>1298</v>
      </c>
      <c r="I32" s="31" t="str">
        <f t="shared" si="0"/>
        <v>DA_Suffix_of_Velocity</v>
      </c>
      <c r="J32" s="31" t="str">
        <f t="shared" si="1"/>
        <v>/Game/DungeonSiege/Items/Affixes/Suffix/DA_Suffix_of_Velocity</v>
      </c>
    </row>
    <row r="33" spans="1:10" x14ac:dyDescent="0.25">
      <c r="A33" s="44">
        <v>31</v>
      </c>
      <c r="B33" s="44">
        <f>HEX2DEC(A33+Items!$A$29)</f>
        <v>101711921</v>
      </c>
      <c r="C33" s="24" t="s">
        <v>1299</v>
      </c>
      <c r="D33" s="24" t="s">
        <v>1300</v>
      </c>
      <c r="E33" s="24" t="s">
        <v>681</v>
      </c>
      <c r="F33" s="24" t="s">
        <v>682</v>
      </c>
      <c r="G33" s="24">
        <v>91</v>
      </c>
      <c r="H33" s="31" t="s">
        <v>1301</v>
      </c>
      <c r="I33" s="31" t="str">
        <f t="shared" si="0"/>
        <v>DA_Suffix_of_Torment</v>
      </c>
      <c r="J33" s="31" t="str">
        <f t="shared" si="1"/>
        <v>/Game/DungeonSiege/Items/Affixes/Suffix/DA_Suffix_of_Torment</v>
      </c>
    </row>
    <row r="34" spans="1:10" x14ac:dyDescent="0.25">
      <c r="A34" s="44">
        <v>32</v>
      </c>
      <c r="B34" s="44">
        <f>HEX2DEC(A34+Items!$A$29)</f>
        <v>101711922</v>
      </c>
      <c r="C34" s="24" t="s">
        <v>1302</v>
      </c>
      <c r="D34" s="24" t="s">
        <v>1303</v>
      </c>
      <c r="E34" s="24" t="s">
        <v>681</v>
      </c>
      <c r="F34" s="24" t="s">
        <v>682</v>
      </c>
      <c r="G34" s="24">
        <v>88</v>
      </c>
      <c r="H34" s="31" t="s">
        <v>1304</v>
      </c>
      <c r="I34" s="31" t="str">
        <f t="shared" si="0"/>
        <v>DA_Suffix_of_the_Shocked</v>
      </c>
      <c r="J34" s="31" t="str">
        <f t="shared" si="1"/>
        <v>/Game/DungeonSiege/Items/Affixes/Suffix/DA_Suffix_of_the_Shocked</v>
      </c>
    </row>
    <row r="35" spans="1:10" x14ac:dyDescent="0.25">
      <c r="A35" s="44">
        <v>33</v>
      </c>
      <c r="B35" s="44">
        <f>HEX2DEC(A35+Items!$A$29)</f>
        <v>101711923</v>
      </c>
      <c r="C35" s="24" t="s">
        <v>1305</v>
      </c>
      <c r="D35" s="24" t="s">
        <v>1306</v>
      </c>
      <c r="E35" s="24" t="s">
        <v>681</v>
      </c>
      <c r="F35" s="24" t="s">
        <v>686</v>
      </c>
      <c r="G35" s="24">
        <v>88</v>
      </c>
      <c r="H35" s="31" t="s">
        <v>1307</v>
      </c>
      <c r="I35" s="31" t="str">
        <f t="shared" si="0"/>
        <v>DA_Suffix_of_Tempests</v>
      </c>
      <c r="J35" s="31" t="str">
        <f t="shared" si="1"/>
        <v>/Game/DungeonSiege/Items/Affixes/Suffix/DA_Suffix_of_Tempests</v>
      </c>
    </row>
    <row r="36" spans="1:10" ht="22.5" x14ac:dyDescent="0.25">
      <c r="A36" s="44">
        <v>34</v>
      </c>
      <c r="B36" s="44">
        <f>HEX2DEC(A36+Items!$A$29)</f>
        <v>101711924</v>
      </c>
      <c r="C36" s="24" t="s">
        <v>1308</v>
      </c>
      <c r="D36" s="24" t="s">
        <v>1309</v>
      </c>
      <c r="E36" s="24" t="s">
        <v>681</v>
      </c>
      <c r="F36" s="24" t="s">
        <v>705</v>
      </c>
      <c r="G36" s="24">
        <v>86</v>
      </c>
      <c r="H36" s="31" t="s">
        <v>1310</v>
      </c>
      <c r="I36" s="31" t="str">
        <f t="shared" si="0"/>
        <v>DA_Suffix_of_Grandeur</v>
      </c>
      <c r="J36" s="31" t="str">
        <f t="shared" si="1"/>
        <v>/Game/DungeonSiege/Items/Affixes/Suffix/DA_Suffix_of_Grandeur</v>
      </c>
    </row>
    <row r="37" spans="1:10" ht="22.5" x14ac:dyDescent="0.25">
      <c r="A37" s="44">
        <v>35</v>
      </c>
      <c r="B37" s="44">
        <f>HEX2DEC(A37+Items!$A$29)</f>
        <v>101711925</v>
      </c>
      <c r="C37" s="24" t="s">
        <v>1311</v>
      </c>
      <c r="D37" s="24" t="s">
        <v>1312</v>
      </c>
      <c r="E37" s="24" t="s">
        <v>681</v>
      </c>
      <c r="F37" s="24" t="s">
        <v>1226</v>
      </c>
      <c r="G37" s="24">
        <v>86</v>
      </c>
      <c r="H37" s="31" t="s">
        <v>1313</v>
      </c>
      <c r="I37" s="31" t="str">
        <f t="shared" si="0"/>
        <v>DA_Suffix_of_Foresight</v>
      </c>
      <c r="J37" s="31" t="str">
        <f t="shared" si="1"/>
        <v>/Game/DungeonSiege/Items/Affixes/Suffix/DA_Suffix_of_Foresight</v>
      </c>
    </row>
    <row r="38" spans="1:10" x14ac:dyDescent="0.25">
      <c r="A38" s="44">
        <v>36</v>
      </c>
      <c r="B38" s="44">
        <f>HEX2DEC(A38+Items!$A$29)</f>
        <v>101711926</v>
      </c>
      <c r="C38" s="24" t="s">
        <v>1314</v>
      </c>
      <c r="D38" s="24" t="s">
        <v>1315</v>
      </c>
      <c r="E38" s="24" t="s">
        <v>681</v>
      </c>
      <c r="F38" s="24" t="s">
        <v>686</v>
      </c>
      <c r="G38" s="24">
        <v>86</v>
      </c>
      <c r="H38" s="31" t="s">
        <v>1316</v>
      </c>
      <c r="I38" s="31" t="str">
        <f t="shared" si="0"/>
        <v>DA_Suffix_of_Transience</v>
      </c>
      <c r="J38" s="31" t="str">
        <f t="shared" si="1"/>
        <v>/Game/DungeonSiege/Items/Affixes/Suffix/DA_Suffix_of_Transience</v>
      </c>
    </row>
    <row r="39" spans="1:10" x14ac:dyDescent="0.25">
      <c r="A39" s="44">
        <v>37</v>
      </c>
      <c r="B39" s="44">
        <f>HEX2DEC(A39+Items!$A$29)</f>
        <v>101711927</v>
      </c>
      <c r="C39" s="24" t="s">
        <v>1317</v>
      </c>
      <c r="D39" s="24" t="s">
        <v>1318</v>
      </c>
      <c r="E39" s="24" t="s">
        <v>681</v>
      </c>
      <c r="F39" s="24" t="s">
        <v>682</v>
      </c>
      <c r="G39" s="24">
        <v>86</v>
      </c>
      <c r="H39" s="31" t="s">
        <v>1319</v>
      </c>
      <c r="I39" s="31" t="str">
        <f t="shared" si="0"/>
        <v>DA_Suffix_of_Pestilence</v>
      </c>
      <c r="J39" s="31" t="str">
        <f t="shared" si="1"/>
        <v>/Game/DungeonSiege/Items/Affixes/Suffix/DA_Suffix_of_Pestilence</v>
      </c>
    </row>
    <row r="40" spans="1:10" x14ac:dyDescent="0.25">
      <c r="A40" s="44">
        <v>38</v>
      </c>
      <c r="B40" s="44">
        <f>HEX2DEC(A40+Items!$A$29)</f>
        <v>101711928</v>
      </c>
      <c r="C40" s="24" t="s">
        <v>1320</v>
      </c>
      <c r="D40" s="24" t="s">
        <v>1321</v>
      </c>
      <c r="E40" s="24" t="s">
        <v>681</v>
      </c>
      <c r="F40" s="24" t="s">
        <v>686</v>
      </c>
      <c r="G40" s="24">
        <v>86</v>
      </c>
      <c r="H40" s="31" t="s">
        <v>1322</v>
      </c>
      <c r="I40" s="31" t="str">
        <f t="shared" si="0"/>
        <v>DA_Suffix_of_Epidemic</v>
      </c>
      <c r="J40" s="31" t="str">
        <f t="shared" si="1"/>
        <v>/Game/DungeonSiege/Items/Affixes/Suffix/DA_Suffix_of_Epidemic</v>
      </c>
    </row>
    <row r="41" spans="1:10" ht="22.5" x14ac:dyDescent="0.25">
      <c r="A41" s="44">
        <v>39</v>
      </c>
      <c r="B41" s="44">
        <f>HEX2DEC(A41+Items!$A$29)</f>
        <v>101711929</v>
      </c>
      <c r="C41" s="24" t="s">
        <v>1323</v>
      </c>
      <c r="D41" s="24" t="s">
        <v>1324</v>
      </c>
      <c r="E41" s="24" t="s">
        <v>681</v>
      </c>
      <c r="F41" s="24" t="s">
        <v>1226</v>
      </c>
      <c r="G41" s="24">
        <v>83</v>
      </c>
      <c r="H41" s="31" t="s">
        <v>1325</v>
      </c>
      <c r="I41" s="31" t="str">
        <f t="shared" si="0"/>
        <v>DA_Suffix_of_the_Speedy</v>
      </c>
      <c r="J41" s="31" t="str">
        <f t="shared" si="1"/>
        <v>/Game/DungeonSiege/Items/Affixes/Suffix/DA_Suffix_of_the_Speedy</v>
      </c>
    </row>
    <row r="42" spans="1:10" x14ac:dyDescent="0.25">
      <c r="A42" s="44">
        <v>40</v>
      </c>
      <c r="B42" s="44">
        <f>HEX2DEC(A42+Items!$A$29)</f>
        <v>101711936</v>
      </c>
      <c r="C42" s="24" t="s">
        <v>1326</v>
      </c>
      <c r="D42" s="24" t="s">
        <v>1327</v>
      </c>
      <c r="E42" s="24" t="s">
        <v>681</v>
      </c>
      <c r="F42" s="24" t="s">
        <v>1219</v>
      </c>
      <c r="G42" s="24">
        <v>83</v>
      </c>
      <c r="H42" s="31" t="s">
        <v>1328</v>
      </c>
      <c r="I42" s="31" t="str">
        <f t="shared" si="0"/>
        <v>DA_Suffix_of_Exhilaration</v>
      </c>
      <c r="J42" s="31" t="str">
        <f t="shared" si="1"/>
        <v>/Game/DungeonSiege/Items/Affixes/Suffix/DA_Suffix_of_Exhilaration</v>
      </c>
    </row>
    <row r="43" spans="1:10" x14ac:dyDescent="0.25">
      <c r="A43" s="44">
        <v>41</v>
      </c>
      <c r="B43" s="44">
        <f>HEX2DEC(A43+Items!$A$29)</f>
        <v>101711937</v>
      </c>
      <c r="C43" s="24" t="s">
        <v>1329</v>
      </c>
      <c r="D43" s="24" t="s">
        <v>1330</v>
      </c>
      <c r="E43" s="24" t="s">
        <v>681</v>
      </c>
      <c r="F43" s="24" t="s">
        <v>1219</v>
      </c>
      <c r="G43" s="24">
        <v>83</v>
      </c>
      <c r="H43" s="31" t="s">
        <v>1331</v>
      </c>
      <c r="I43" s="31" t="str">
        <f t="shared" si="0"/>
        <v>DA_Suffix_of_Adversaries</v>
      </c>
      <c r="J43" s="31" t="str">
        <f t="shared" si="1"/>
        <v>/Game/DungeonSiege/Items/Affixes/Suffix/DA_Suffix_of_Adversaries</v>
      </c>
    </row>
    <row r="44" spans="1:10" x14ac:dyDescent="0.25">
      <c r="A44" s="44">
        <v>42</v>
      </c>
      <c r="B44" s="44">
        <f>HEX2DEC(A44+Items!$A$29)</f>
        <v>101711938</v>
      </c>
      <c r="C44" s="24" t="s">
        <v>1332</v>
      </c>
      <c r="D44" s="24" t="s">
        <v>1333</v>
      </c>
      <c r="E44" s="24" t="s">
        <v>681</v>
      </c>
      <c r="F44" s="24" t="s">
        <v>1120</v>
      </c>
      <c r="G44" s="24">
        <v>80</v>
      </c>
      <c r="H44" s="31" t="s">
        <v>1334</v>
      </c>
      <c r="I44" s="31" t="str">
        <f t="shared" si="0"/>
        <v>DA_Suffix_of_Bounty</v>
      </c>
      <c r="J44" s="31" t="str">
        <f t="shared" si="1"/>
        <v>/Game/DungeonSiege/Items/Affixes/Suffix/DA_Suffix_of_Bounty</v>
      </c>
    </row>
    <row r="45" spans="1:10" x14ac:dyDescent="0.25">
      <c r="A45" s="44">
        <v>43</v>
      </c>
      <c r="B45" s="44">
        <f>HEX2DEC(A45+Items!$A$29)</f>
        <v>101711939</v>
      </c>
      <c r="C45" s="24" t="s">
        <v>1335</v>
      </c>
      <c r="D45" s="24" t="s">
        <v>1336</v>
      </c>
      <c r="E45" s="24" t="s">
        <v>681</v>
      </c>
      <c r="F45" s="24" t="s">
        <v>819</v>
      </c>
      <c r="G45" s="24">
        <v>80</v>
      </c>
      <c r="H45" s="31" t="s">
        <v>1337</v>
      </c>
      <c r="I45" s="31" t="str">
        <f t="shared" si="0"/>
        <v>DA_Suffix_of_Vindication</v>
      </c>
      <c r="J45" s="31" t="str">
        <f t="shared" si="1"/>
        <v>/Game/DungeonSiege/Items/Affixes/Suffix/DA_Suffix_of_Vindication</v>
      </c>
    </row>
    <row r="46" spans="1:10" x14ac:dyDescent="0.25">
      <c r="A46" s="44">
        <v>44</v>
      </c>
      <c r="B46" s="44">
        <f>HEX2DEC(A46+Items!$A$29)</f>
        <v>101711940</v>
      </c>
      <c r="C46" s="24" t="s">
        <v>1338</v>
      </c>
      <c r="D46" s="24" t="s">
        <v>1339</v>
      </c>
      <c r="E46" s="24" t="s">
        <v>681</v>
      </c>
      <c r="F46" s="24" t="s">
        <v>1120</v>
      </c>
      <c r="G46" s="24">
        <v>78</v>
      </c>
      <c r="H46" s="31" t="s">
        <v>1340</v>
      </c>
      <c r="I46" s="31" t="str">
        <f t="shared" si="0"/>
        <v>DA_Suffix_of_Sunrise</v>
      </c>
      <c r="J46" s="31" t="str">
        <f t="shared" si="1"/>
        <v>/Game/DungeonSiege/Items/Affixes/Suffix/DA_Suffix_of_Sunrise</v>
      </c>
    </row>
    <row r="47" spans="1:10" x14ac:dyDescent="0.25">
      <c r="A47" s="44">
        <v>45</v>
      </c>
      <c r="B47" s="44">
        <f>HEX2DEC(A47+Items!$A$29)</f>
        <v>101711941</v>
      </c>
      <c r="C47" s="24" t="s">
        <v>1341</v>
      </c>
      <c r="D47" s="24" t="s">
        <v>1342</v>
      </c>
      <c r="E47" s="24" t="s">
        <v>681</v>
      </c>
      <c r="F47" s="24" t="s">
        <v>686</v>
      </c>
      <c r="G47" s="24">
        <v>78</v>
      </c>
      <c r="H47" s="31" t="s">
        <v>1343</v>
      </c>
      <c r="I47" s="31" t="str">
        <f t="shared" si="0"/>
        <v>DA_Suffix_of_the_Falcon</v>
      </c>
      <c r="J47" s="31" t="str">
        <f t="shared" si="1"/>
        <v>/Game/DungeonSiege/Items/Affixes/Suffix/DA_Suffix_of_the_Falcon</v>
      </c>
    </row>
    <row r="48" spans="1:10" x14ac:dyDescent="0.25">
      <c r="A48" s="44">
        <v>46</v>
      </c>
      <c r="B48" s="44">
        <f>HEX2DEC(A48+Items!$A$29)</f>
        <v>101711942</v>
      </c>
      <c r="C48" s="24" t="s">
        <v>1344</v>
      </c>
      <c r="D48" s="24" t="s">
        <v>1345</v>
      </c>
      <c r="E48" s="24" t="s">
        <v>681</v>
      </c>
      <c r="F48" s="24" t="s">
        <v>682</v>
      </c>
      <c r="G48" s="24">
        <v>78</v>
      </c>
      <c r="H48" s="31" t="s">
        <v>1346</v>
      </c>
      <c r="I48" s="31" t="str">
        <f t="shared" si="0"/>
        <v>DA_Suffix_of_Flame</v>
      </c>
      <c r="J48" s="31" t="str">
        <f t="shared" si="1"/>
        <v>/Game/DungeonSiege/Items/Affixes/Suffix/DA_Suffix_of_Flame</v>
      </c>
    </row>
    <row r="49" spans="1:76" x14ac:dyDescent="0.25">
      <c r="A49" s="44">
        <v>47</v>
      </c>
      <c r="B49" s="44">
        <f>HEX2DEC(A49+Items!$A$29)</f>
        <v>101711943</v>
      </c>
      <c r="C49" s="24" t="s">
        <v>3349</v>
      </c>
      <c r="D49" s="24" t="s">
        <v>1348</v>
      </c>
      <c r="E49" s="24" t="s">
        <v>681</v>
      </c>
      <c r="F49" s="24" t="s">
        <v>686</v>
      </c>
      <c r="G49" s="24">
        <v>78</v>
      </c>
      <c r="H49" s="31" t="s">
        <v>1349</v>
      </c>
      <c r="I49" s="31" t="str">
        <f t="shared" si="0"/>
        <v>DA_Suffix_of_Sparks</v>
      </c>
      <c r="J49" s="31" t="str">
        <f t="shared" si="1"/>
        <v>/Game/DungeonSiege/Items/Affixes/Suffix/DA_Suffix_of_Sparks</v>
      </c>
    </row>
    <row r="50" spans="1:76" x14ac:dyDescent="0.25">
      <c r="A50" s="44">
        <v>48</v>
      </c>
      <c r="B50" s="44">
        <f>HEX2DEC(A50+Items!$A$29)</f>
        <v>101711944</v>
      </c>
      <c r="C50" s="24" t="s">
        <v>1350</v>
      </c>
      <c r="D50" s="24" t="s">
        <v>1351</v>
      </c>
      <c r="E50" s="24" t="s">
        <v>681</v>
      </c>
      <c r="F50" s="24" t="s">
        <v>682</v>
      </c>
      <c r="G50" s="24">
        <v>75</v>
      </c>
      <c r="H50" s="31" t="s">
        <v>1352</v>
      </c>
      <c r="I50" s="31" t="str">
        <f t="shared" si="0"/>
        <v>DA_Suffix_of_Talons</v>
      </c>
      <c r="J50" s="31" t="str">
        <f t="shared" si="1"/>
        <v>/Game/DungeonSiege/Items/Affixes/Suffix/DA_Suffix_of_Talons</v>
      </c>
    </row>
    <row r="51" spans="1:76" x14ac:dyDescent="0.25">
      <c r="A51" s="44">
        <v>49</v>
      </c>
      <c r="B51" s="44">
        <f>HEX2DEC(A51+Items!$A$29)</f>
        <v>101711945</v>
      </c>
      <c r="C51" s="24" t="s">
        <v>1353</v>
      </c>
      <c r="D51" s="24" t="s">
        <v>1354</v>
      </c>
      <c r="E51" s="24" t="s">
        <v>681</v>
      </c>
      <c r="F51" s="24" t="s">
        <v>1219</v>
      </c>
      <c r="G51" s="24">
        <v>75</v>
      </c>
      <c r="H51" s="31" t="s">
        <v>1355</v>
      </c>
      <c r="I51" s="31" t="str">
        <f t="shared" si="0"/>
        <v>DA_Suffix_of_Magnitude</v>
      </c>
      <c r="J51" s="31" t="str">
        <f t="shared" si="1"/>
        <v>/Game/DungeonSiege/Items/Affixes/Suffix/DA_Suffix_of_Magnitude</v>
      </c>
    </row>
    <row r="52" spans="1:76" x14ac:dyDescent="0.25">
      <c r="A52" s="44">
        <v>50</v>
      </c>
      <c r="B52" s="44">
        <f>HEX2DEC(A52+Items!$A$29)</f>
        <v>101711952</v>
      </c>
      <c r="C52" s="24" t="s">
        <v>1356</v>
      </c>
      <c r="D52" s="24" t="s">
        <v>1357</v>
      </c>
      <c r="E52" s="24" t="s">
        <v>681</v>
      </c>
      <c r="F52" s="24" t="s">
        <v>1219</v>
      </c>
      <c r="G52" s="24">
        <v>75</v>
      </c>
      <c r="H52" s="31" t="s">
        <v>1358</v>
      </c>
      <c r="I52" s="31" t="str">
        <f t="shared" si="0"/>
        <v>DA_Suffix_of_Hostility</v>
      </c>
      <c r="J52" s="31" t="str">
        <f t="shared" si="1"/>
        <v>/Game/DungeonSiege/Items/Affixes/Suffix/DA_Suffix_of_Hostility</v>
      </c>
    </row>
    <row r="53" spans="1:76" x14ac:dyDescent="0.25">
      <c r="A53" s="44">
        <v>51</v>
      </c>
      <c r="B53" s="44">
        <f>HEX2DEC(A53+Items!$A$29)</f>
        <v>101711953</v>
      </c>
      <c r="C53" s="26" t="s">
        <v>1359</v>
      </c>
      <c r="D53" s="37" t="s">
        <v>2382</v>
      </c>
      <c r="E53" s="26" t="s">
        <v>681</v>
      </c>
      <c r="F53" s="26" t="s">
        <v>682</v>
      </c>
      <c r="G53" s="26">
        <v>75</v>
      </c>
      <c r="H53" s="31" t="s">
        <v>1360</v>
      </c>
      <c r="I53" s="31" t="str">
        <f t="shared" si="0"/>
        <v>DA_Suffix_of_Freezing</v>
      </c>
      <c r="J53" s="31" t="str">
        <f t="shared" si="1"/>
        <v>/Game/DungeonSiege/Items/Affixes/Suffix/DA_Suffix_of_Freezing</v>
      </c>
      <c r="BX53" s="36"/>
    </row>
    <row r="54" spans="1:76" x14ac:dyDescent="0.25">
      <c r="A54" s="44">
        <v>52</v>
      </c>
      <c r="B54" s="44">
        <f>HEX2DEC(A54+Items!$A$29)</f>
        <v>101711954</v>
      </c>
      <c r="C54" s="24" t="s">
        <v>1361</v>
      </c>
      <c r="D54" s="24" t="s">
        <v>1362</v>
      </c>
      <c r="E54" s="24" t="s">
        <v>681</v>
      </c>
      <c r="F54" s="24" t="s">
        <v>1243</v>
      </c>
      <c r="G54" s="24">
        <v>75</v>
      </c>
      <c r="H54" s="31" t="s">
        <v>1363</v>
      </c>
      <c r="I54" s="31" t="str">
        <f t="shared" si="0"/>
        <v>DA_Suffix_of_Blizzards</v>
      </c>
      <c r="J54" s="31" t="str">
        <f t="shared" si="1"/>
        <v>/Game/DungeonSiege/Items/Affixes/Suffix/DA_Suffix_of_Blizzards</v>
      </c>
    </row>
    <row r="55" spans="1:76" ht="22.5" x14ac:dyDescent="0.25">
      <c r="A55" s="44">
        <v>53</v>
      </c>
      <c r="B55" s="44">
        <f>HEX2DEC(A55+Items!$A$29)</f>
        <v>101711955</v>
      </c>
      <c r="C55" s="24" t="s">
        <v>1364</v>
      </c>
      <c r="D55" s="24" t="s">
        <v>1365</v>
      </c>
      <c r="E55" s="24" t="s">
        <v>681</v>
      </c>
      <c r="F55" s="24" t="s">
        <v>705</v>
      </c>
      <c r="G55" s="24">
        <v>72</v>
      </c>
      <c r="H55" s="31" t="s">
        <v>1366</v>
      </c>
      <c r="I55" s="31" t="str">
        <f t="shared" si="0"/>
        <v>DA_Suffix_of_Prominence</v>
      </c>
      <c r="J55" s="31" t="str">
        <f t="shared" si="1"/>
        <v>/Game/DungeonSiege/Items/Affixes/Suffix/DA_Suffix_of_Prominence</v>
      </c>
    </row>
    <row r="56" spans="1:76" ht="22.5" x14ac:dyDescent="0.25">
      <c r="A56" s="44">
        <v>54</v>
      </c>
      <c r="B56" s="44">
        <f>HEX2DEC(A56+Items!$A$29)</f>
        <v>101711956</v>
      </c>
      <c r="C56" s="24" t="s">
        <v>1367</v>
      </c>
      <c r="D56" s="24" t="s">
        <v>1368</v>
      </c>
      <c r="E56" s="24" t="s">
        <v>681</v>
      </c>
      <c r="F56" s="24" t="s">
        <v>1226</v>
      </c>
      <c r="G56" s="24">
        <v>72</v>
      </c>
      <c r="H56" s="31" t="s">
        <v>1369</v>
      </c>
      <c r="I56" s="31" t="str">
        <f t="shared" si="0"/>
        <v>DA_Suffix_of_Wisdom</v>
      </c>
      <c r="J56" s="31" t="str">
        <f t="shared" si="1"/>
        <v>/Game/DungeonSiege/Items/Affixes/Suffix/DA_Suffix_of_Wisdom</v>
      </c>
    </row>
    <row r="57" spans="1:76" x14ac:dyDescent="0.25">
      <c r="A57" s="44">
        <v>55</v>
      </c>
      <c r="B57" s="44">
        <f>HEX2DEC(A57+Items!$A$29)</f>
        <v>101711957</v>
      </c>
      <c r="C57" s="24" t="s">
        <v>1370</v>
      </c>
      <c r="D57" s="24" t="s">
        <v>1371</v>
      </c>
      <c r="E57" s="24" t="s">
        <v>681</v>
      </c>
      <c r="F57" s="24" t="s">
        <v>1120</v>
      </c>
      <c r="G57" s="24">
        <v>72</v>
      </c>
      <c r="H57" s="31" t="s">
        <v>1372</v>
      </c>
      <c r="I57" s="31" t="str">
        <f t="shared" si="0"/>
        <v>DA_Suffix_of_the_Predator</v>
      </c>
      <c r="J57" s="31" t="str">
        <f t="shared" si="1"/>
        <v>/Game/DungeonSiege/Items/Affixes/Suffix/DA_Suffix_of_the_Predator</v>
      </c>
    </row>
    <row r="58" spans="1:76" x14ac:dyDescent="0.25">
      <c r="A58" s="44">
        <v>56</v>
      </c>
      <c r="B58" s="44">
        <f>HEX2DEC(A58+Items!$A$29)</f>
        <v>101711958</v>
      </c>
      <c r="C58" s="24" t="s">
        <v>1373</v>
      </c>
      <c r="D58" s="24" t="s">
        <v>1374</v>
      </c>
      <c r="E58" s="24" t="s">
        <v>681</v>
      </c>
      <c r="F58" s="24" t="s">
        <v>682</v>
      </c>
      <c r="G58" s="24">
        <v>72</v>
      </c>
      <c r="H58" s="31" t="s">
        <v>1375</v>
      </c>
      <c r="I58" s="31" t="str">
        <f t="shared" si="0"/>
        <v>DA_Suffix_of_Laceration</v>
      </c>
      <c r="J58" s="31" t="str">
        <f t="shared" si="1"/>
        <v>/Game/DungeonSiege/Items/Affixes/Suffix/DA_Suffix_of_Laceration</v>
      </c>
    </row>
    <row r="59" spans="1:76" ht="22.5" x14ac:dyDescent="0.25">
      <c r="A59" s="44">
        <v>57</v>
      </c>
      <c r="B59" s="44">
        <f>HEX2DEC(A59+Items!$A$29)</f>
        <v>101711959</v>
      </c>
      <c r="C59" s="24" t="s">
        <v>1376</v>
      </c>
      <c r="D59" s="24" t="s">
        <v>1377</v>
      </c>
      <c r="E59" s="24" t="s">
        <v>681</v>
      </c>
      <c r="F59" s="24" t="s">
        <v>1226</v>
      </c>
      <c r="G59" s="24">
        <v>70</v>
      </c>
      <c r="H59" s="31" t="s">
        <v>1378</v>
      </c>
      <c r="I59" s="31" t="str">
        <f t="shared" si="0"/>
        <v>DA_Suffix_of_the_Honed</v>
      </c>
      <c r="J59" s="31" t="str">
        <f t="shared" si="1"/>
        <v>/Game/DungeonSiege/Items/Affixes/Suffix/DA_Suffix_of_the_Honed</v>
      </c>
    </row>
    <row r="60" spans="1:76" ht="22.5" x14ac:dyDescent="0.25">
      <c r="A60" s="44">
        <v>58</v>
      </c>
      <c r="B60" s="44">
        <f>HEX2DEC(A60+Items!$A$29)</f>
        <v>101711960</v>
      </c>
      <c r="C60" s="24" t="s">
        <v>1379</v>
      </c>
      <c r="D60" s="24" t="s">
        <v>1380</v>
      </c>
      <c r="E60" s="24" t="s">
        <v>681</v>
      </c>
      <c r="F60" s="24" t="s">
        <v>1226</v>
      </c>
      <c r="G60" s="24">
        <v>70</v>
      </c>
      <c r="H60" s="31" t="s">
        <v>1381</v>
      </c>
      <c r="I60" s="31" t="str">
        <f t="shared" si="0"/>
        <v>DA_Suffix_of_the_Bear</v>
      </c>
      <c r="J60" s="31" t="str">
        <f t="shared" si="1"/>
        <v>/Game/DungeonSiege/Items/Affixes/Suffix/DA_Suffix_of_the_Bear</v>
      </c>
    </row>
    <row r="61" spans="1:76" ht="22.5" x14ac:dyDescent="0.25">
      <c r="A61" s="44">
        <v>59</v>
      </c>
      <c r="B61" s="44">
        <f>HEX2DEC(A61+Items!$A$29)</f>
        <v>101711961</v>
      </c>
      <c r="C61" s="24" t="s">
        <v>196</v>
      </c>
      <c r="D61" s="24" t="s">
        <v>195</v>
      </c>
      <c r="E61" s="24" t="s">
        <v>681</v>
      </c>
      <c r="F61" s="24" t="s">
        <v>1382</v>
      </c>
      <c r="G61" s="24">
        <v>70</v>
      </c>
      <c r="H61" s="31" t="s">
        <v>194</v>
      </c>
      <c r="I61" s="31" t="str">
        <f t="shared" si="0"/>
        <v>DA_Suffix_of_Invigoration</v>
      </c>
      <c r="J61" s="31" t="str">
        <f t="shared" si="1"/>
        <v>/Game/DungeonSiege/Items/Affixes/Suffix/DA_Suffix_of_Invigoration</v>
      </c>
    </row>
    <row r="62" spans="1:76" x14ac:dyDescent="0.25">
      <c r="A62" s="44">
        <v>60</v>
      </c>
      <c r="B62" s="44">
        <f>HEX2DEC(A62+Items!$A$29)</f>
        <v>101711968</v>
      </c>
      <c r="C62" s="24" t="s">
        <v>1383</v>
      </c>
      <c r="D62" s="24" t="s">
        <v>1384</v>
      </c>
      <c r="E62" s="24" t="s">
        <v>681</v>
      </c>
      <c r="F62" s="24" t="s">
        <v>682</v>
      </c>
      <c r="G62" s="24">
        <v>70</v>
      </c>
      <c r="H62" s="31" t="s">
        <v>1385</v>
      </c>
      <c r="I62" s="31" t="str">
        <f t="shared" si="0"/>
        <v>DA_Suffix_of_the_Venomous</v>
      </c>
      <c r="J62" s="31" t="str">
        <f t="shared" si="1"/>
        <v>/Game/DungeonSiege/Items/Affixes/Suffix/DA_Suffix_of_the_Venomous</v>
      </c>
    </row>
    <row r="63" spans="1:76" x14ac:dyDescent="0.25">
      <c r="A63" s="44">
        <v>61</v>
      </c>
      <c r="B63" s="44">
        <f>HEX2DEC(A63+Items!$A$29)</f>
        <v>101711969</v>
      </c>
      <c r="C63" s="24" t="s">
        <v>1386</v>
      </c>
      <c r="D63" s="24" t="s">
        <v>1387</v>
      </c>
      <c r="E63" s="24" t="s">
        <v>681</v>
      </c>
      <c r="F63" s="24" t="s">
        <v>686</v>
      </c>
      <c r="G63" s="24">
        <v>67</v>
      </c>
      <c r="H63" s="31" t="s">
        <v>1388</v>
      </c>
      <c r="I63" s="31" t="str">
        <f t="shared" si="0"/>
        <v>DA_Suffix_of_Resolution</v>
      </c>
      <c r="J63" s="31" t="str">
        <f t="shared" si="1"/>
        <v>/Game/DungeonSiege/Items/Affixes/Suffix/DA_Suffix_of_Resolution</v>
      </c>
    </row>
    <row r="64" spans="1:76" x14ac:dyDescent="0.25">
      <c r="A64" s="44">
        <v>62</v>
      </c>
      <c r="B64" s="44">
        <f>HEX2DEC(A64+Items!$A$29)</f>
        <v>101711970</v>
      </c>
      <c r="C64" s="24" t="s">
        <v>1389</v>
      </c>
      <c r="D64" s="24" t="s">
        <v>1390</v>
      </c>
      <c r="E64" s="24" t="s">
        <v>681</v>
      </c>
      <c r="F64" s="24" t="s">
        <v>686</v>
      </c>
      <c r="G64" s="24">
        <v>65</v>
      </c>
      <c r="H64" s="31" t="s">
        <v>1391</v>
      </c>
      <c r="I64" s="31" t="str">
        <f t="shared" si="0"/>
        <v>DA_Suffix_of_Beyond</v>
      </c>
      <c r="J64" s="31" t="str">
        <f t="shared" si="1"/>
        <v>/Game/DungeonSiege/Items/Affixes/Suffix/DA_Suffix_of_Beyond</v>
      </c>
    </row>
    <row r="65" spans="1:10" x14ac:dyDescent="0.25">
      <c r="A65" s="44">
        <v>63</v>
      </c>
      <c r="B65" s="44">
        <f>HEX2DEC(A65+Items!$A$29)</f>
        <v>101711971</v>
      </c>
      <c r="C65" s="24" t="s">
        <v>1392</v>
      </c>
      <c r="D65" s="24" t="s">
        <v>1393</v>
      </c>
      <c r="E65" s="24" t="s">
        <v>681</v>
      </c>
      <c r="F65" s="24" t="s">
        <v>686</v>
      </c>
      <c r="G65" s="24">
        <v>63</v>
      </c>
      <c r="H65" s="31" t="s">
        <v>1394</v>
      </c>
      <c r="I65" s="31" t="str">
        <f t="shared" si="0"/>
        <v>DA_Suffix_of_Remoteness</v>
      </c>
      <c r="J65" s="31" t="str">
        <f t="shared" si="1"/>
        <v>/Game/DungeonSiege/Items/Affixes/Suffix/DA_Suffix_of_Remoteness</v>
      </c>
    </row>
    <row r="66" spans="1:10" x14ac:dyDescent="0.25">
      <c r="A66" s="44">
        <v>64</v>
      </c>
      <c r="B66" s="44">
        <f>HEX2DEC(A66+Items!$A$29)</f>
        <v>101711972</v>
      </c>
      <c r="C66" s="24" t="s">
        <v>1395</v>
      </c>
      <c r="D66" s="24" t="s">
        <v>1396</v>
      </c>
      <c r="E66" s="24" t="s">
        <v>681</v>
      </c>
      <c r="F66" s="24" t="s">
        <v>682</v>
      </c>
      <c r="G66" s="24">
        <v>63</v>
      </c>
      <c r="H66" s="31" t="s">
        <v>1397</v>
      </c>
      <c r="I66" s="31" t="str">
        <f t="shared" si="0"/>
        <v>DA_Suffix_of_Cautery</v>
      </c>
      <c r="J66" s="31" t="str">
        <f t="shared" si="1"/>
        <v>/Game/DungeonSiege/Items/Affixes/Suffix/DA_Suffix_of_Cautery</v>
      </c>
    </row>
    <row r="67" spans="1:10" x14ac:dyDescent="0.25">
      <c r="A67" s="44">
        <v>65</v>
      </c>
      <c r="B67" s="44">
        <f>HEX2DEC(A67+Items!$A$29)</f>
        <v>101711973</v>
      </c>
      <c r="C67" s="24" t="s">
        <v>1398</v>
      </c>
      <c r="D67" s="24" t="s">
        <v>1399</v>
      </c>
      <c r="E67" s="24" t="s">
        <v>681</v>
      </c>
      <c r="F67" s="24" t="s">
        <v>686</v>
      </c>
      <c r="G67" s="24">
        <v>63</v>
      </c>
      <c r="H67" s="31" t="s">
        <v>1400</v>
      </c>
      <c r="I67" s="31" t="str">
        <f t="shared" ref="I67:I130" si="2">"DA_Suffix_"&amp; SUBSTITUTE(C67," ","_")</f>
        <v>DA_Suffix_of_Smoke</v>
      </c>
      <c r="J67" s="31" t="str">
        <f t="shared" ref="J67:J130" si="3">"/Game/DungeonSiege/Items/Affixes/Suffix/" &amp; I67</f>
        <v>/Game/DungeonSiege/Items/Affixes/Suffix/DA_Suffix_of_Smoke</v>
      </c>
    </row>
    <row r="68" spans="1:10" ht="22.5" x14ac:dyDescent="0.25">
      <c r="A68" s="44">
        <v>66</v>
      </c>
      <c r="B68" s="44">
        <f>HEX2DEC(A68+Items!$A$29)</f>
        <v>101711974</v>
      </c>
      <c r="C68" s="24" t="s">
        <v>1401</v>
      </c>
      <c r="D68" s="24" t="s">
        <v>1402</v>
      </c>
      <c r="E68" s="24" t="s">
        <v>681</v>
      </c>
      <c r="F68" s="24" t="s">
        <v>819</v>
      </c>
      <c r="G68" s="24">
        <v>61</v>
      </c>
      <c r="H68" s="31" t="s">
        <v>1403</v>
      </c>
      <c r="I68" s="31" t="str">
        <f t="shared" si="2"/>
        <v>DA_Suffix_of_Greater_Nova_Strike</v>
      </c>
      <c r="J68" s="31" t="str">
        <f t="shared" si="3"/>
        <v>/Game/DungeonSiege/Items/Affixes/Suffix/DA_Suffix_of_Greater_Nova_Strike</v>
      </c>
    </row>
    <row r="69" spans="1:10" x14ac:dyDescent="0.25">
      <c r="A69" s="44">
        <v>67</v>
      </c>
      <c r="B69" s="44">
        <f>HEX2DEC(A69+Items!$A$29)</f>
        <v>101711975</v>
      </c>
      <c r="C69" s="24" t="s">
        <v>1404</v>
      </c>
      <c r="D69" s="24" t="s">
        <v>1387</v>
      </c>
      <c r="E69" s="24" t="s">
        <v>681</v>
      </c>
      <c r="F69" s="24" t="s">
        <v>682</v>
      </c>
      <c r="G69" s="24">
        <v>60</v>
      </c>
      <c r="H69" s="31" t="s">
        <v>1405</v>
      </c>
      <c r="I69" s="31" t="str">
        <f t="shared" si="2"/>
        <v>DA_Suffix_of_Score</v>
      </c>
      <c r="J69" s="31" t="str">
        <f t="shared" si="3"/>
        <v>/Game/DungeonSiege/Items/Affixes/Suffix/DA_Suffix_of_Score</v>
      </c>
    </row>
    <row r="70" spans="1:10" x14ac:dyDescent="0.25">
      <c r="A70" s="44">
        <v>68</v>
      </c>
      <c r="B70" s="44">
        <f>HEX2DEC(A70+Items!$A$29)</f>
        <v>101711976</v>
      </c>
      <c r="C70" s="24" t="s">
        <v>1406</v>
      </c>
      <c r="D70" s="24" t="s">
        <v>1407</v>
      </c>
      <c r="E70" s="24" t="s">
        <v>681</v>
      </c>
      <c r="F70" s="24" t="s">
        <v>1120</v>
      </c>
      <c r="G70" s="24">
        <v>60</v>
      </c>
      <c r="H70" s="31" t="s">
        <v>1408</v>
      </c>
      <c r="I70" s="31" t="str">
        <f t="shared" si="2"/>
        <v>DA_Suffix_of_Abundance</v>
      </c>
      <c r="J70" s="31" t="str">
        <f t="shared" si="3"/>
        <v>/Game/DungeonSiege/Items/Affixes/Suffix/DA_Suffix_of_Abundance</v>
      </c>
    </row>
    <row r="71" spans="1:10" x14ac:dyDescent="0.25">
      <c r="A71" s="44">
        <v>69</v>
      </c>
      <c r="B71" s="44">
        <f>HEX2DEC(A71+Items!$A$29)</f>
        <v>101711977</v>
      </c>
      <c r="C71" s="24" t="s">
        <v>1409</v>
      </c>
      <c r="D71" s="24" t="s">
        <v>1410</v>
      </c>
      <c r="E71" s="24" t="s">
        <v>681</v>
      </c>
      <c r="F71" s="24" t="s">
        <v>1120</v>
      </c>
      <c r="G71" s="24">
        <v>60</v>
      </c>
      <c r="H71" s="31" t="s">
        <v>1411</v>
      </c>
      <c r="I71" s="31" t="str">
        <f t="shared" si="2"/>
        <v>DA_Suffix_of_the_Hunter</v>
      </c>
      <c r="J71" s="31" t="str">
        <f t="shared" si="3"/>
        <v>/Game/DungeonSiege/Items/Affixes/Suffix/DA_Suffix_of_the_Hunter</v>
      </c>
    </row>
    <row r="72" spans="1:10" x14ac:dyDescent="0.25">
      <c r="A72" s="44">
        <v>70</v>
      </c>
      <c r="B72" s="44">
        <f>HEX2DEC(A72+Items!$A$29)</f>
        <v>101711984</v>
      </c>
      <c r="C72" s="24" t="s">
        <v>1412</v>
      </c>
      <c r="D72" s="24" t="s">
        <v>1413</v>
      </c>
      <c r="E72" s="24" t="s">
        <v>681</v>
      </c>
      <c r="F72" s="24" t="s">
        <v>686</v>
      </c>
      <c r="G72" s="24">
        <v>60</v>
      </c>
      <c r="H72" s="31" t="s">
        <v>1414</v>
      </c>
      <c r="I72" s="31" t="str">
        <f t="shared" si="2"/>
        <v>DA_Suffix_of_the_Hawk</v>
      </c>
      <c r="J72" s="31" t="str">
        <f t="shared" si="3"/>
        <v>/Game/DungeonSiege/Items/Affixes/Suffix/DA_Suffix_of_the_Hawk</v>
      </c>
    </row>
    <row r="73" spans="1:10" x14ac:dyDescent="0.25">
      <c r="A73" s="44">
        <v>71</v>
      </c>
      <c r="B73" s="44">
        <f>HEX2DEC(A73+Items!$A$29)</f>
        <v>101711985</v>
      </c>
      <c r="C73" s="24" t="s">
        <v>1415</v>
      </c>
      <c r="D73" s="24" t="s">
        <v>1416</v>
      </c>
      <c r="E73" s="24" t="s">
        <v>681</v>
      </c>
      <c r="F73" s="24" t="s">
        <v>1219</v>
      </c>
      <c r="G73" s="24">
        <v>60</v>
      </c>
      <c r="H73" s="31" t="s">
        <v>1417</v>
      </c>
      <c r="I73" s="31" t="str">
        <f t="shared" si="2"/>
        <v>DA_Suffix_of_Joviality</v>
      </c>
      <c r="J73" s="31" t="str">
        <f t="shared" si="3"/>
        <v>/Game/DungeonSiege/Items/Affixes/Suffix/DA_Suffix_of_Joviality</v>
      </c>
    </row>
    <row r="74" spans="1:10" x14ac:dyDescent="0.25">
      <c r="A74" s="44">
        <v>72</v>
      </c>
      <c r="B74" s="44">
        <f>HEX2DEC(A74+Items!$A$29)</f>
        <v>101711986</v>
      </c>
      <c r="C74" s="24" t="s">
        <v>1418</v>
      </c>
      <c r="D74" s="24" t="s">
        <v>1419</v>
      </c>
      <c r="E74" s="24" t="s">
        <v>681</v>
      </c>
      <c r="F74" s="24" t="s">
        <v>1219</v>
      </c>
      <c r="G74" s="24">
        <v>60</v>
      </c>
      <c r="H74" s="31" t="s">
        <v>1420</v>
      </c>
      <c r="I74" s="31" t="str">
        <f t="shared" si="2"/>
        <v>DA_Suffix_of_Foes</v>
      </c>
      <c r="J74" s="31" t="str">
        <f t="shared" si="3"/>
        <v>/Game/DungeonSiege/Items/Affixes/Suffix/DA_Suffix_of_Foes</v>
      </c>
    </row>
    <row r="75" spans="1:10" x14ac:dyDescent="0.25">
      <c r="A75" s="44">
        <v>73</v>
      </c>
      <c r="B75" s="44">
        <f>HEX2DEC(A75+Items!$A$29)</f>
        <v>101711987</v>
      </c>
      <c r="C75" s="24" t="s">
        <v>1421</v>
      </c>
      <c r="D75" s="24" t="s">
        <v>192</v>
      </c>
      <c r="E75" s="24" t="s">
        <v>681</v>
      </c>
      <c r="F75" s="24" t="s">
        <v>813</v>
      </c>
      <c r="G75" s="24">
        <v>60</v>
      </c>
      <c r="H75" s="31" t="s">
        <v>191</v>
      </c>
      <c r="I75" s="31" t="str">
        <f t="shared" si="2"/>
        <v>DA_Suffix_of_The_Glacier</v>
      </c>
      <c r="J75" s="31" t="str">
        <f t="shared" si="3"/>
        <v>/Game/DungeonSiege/Items/Affixes/Suffix/DA_Suffix_of_The_Glacier</v>
      </c>
    </row>
    <row r="76" spans="1:10" x14ac:dyDescent="0.25">
      <c r="A76" s="44">
        <v>74</v>
      </c>
      <c r="B76" s="44">
        <f>HEX2DEC(A76+Items!$A$29)</f>
        <v>101711988</v>
      </c>
      <c r="C76" s="24" t="s">
        <v>1422</v>
      </c>
      <c r="D76" s="24" t="s">
        <v>189</v>
      </c>
      <c r="E76" s="24" t="s">
        <v>681</v>
      </c>
      <c r="F76" s="24" t="s">
        <v>813</v>
      </c>
      <c r="G76" s="24">
        <v>60</v>
      </c>
      <c r="H76" s="31" t="s">
        <v>188</v>
      </c>
      <c r="I76" s="31" t="str">
        <f t="shared" si="2"/>
        <v>DA_Suffix_of_The_Inferno</v>
      </c>
      <c r="J76" s="31" t="str">
        <f t="shared" si="3"/>
        <v>/Game/DungeonSiege/Items/Affixes/Suffix/DA_Suffix_of_The_Inferno</v>
      </c>
    </row>
    <row r="77" spans="1:10" ht="22.5" x14ac:dyDescent="0.25">
      <c r="A77" s="44">
        <v>75</v>
      </c>
      <c r="B77" s="44">
        <f>HEX2DEC(A77+Items!$A$29)</f>
        <v>101711989</v>
      </c>
      <c r="C77" s="24" t="s">
        <v>1423</v>
      </c>
      <c r="D77" s="24" t="s">
        <v>186</v>
      </c>
      <c r="E77" s="24" t="s">
        <v>681</v>
      </c>
      <c r="F77" s="24" t="s">
        <v>813</v>
      </c>
      <c r="G77" s="24">
        <v>60</v>
      </c>
      <c r="H77" s="31" t="s">
        <v>185</v>
      </c>
      <c r="I77" s="31" t="str">
        <f t="shared" si="2"/>
        <v>DA_Suffix_of_The_Thunderbolt</v>
      </c>
      <c r="J77" s="31" t="str">
        <f t="shared" si="3"/>
        <v>/Game/DungeonSiege/Items/Affixes/Suffix/DA_Suffix_of_The_Thunderbolt</v>
      </c>
    </row>
    <row r="78" spans="1:10" x14ac:dyDescent="0.25">
      <c r="A78" s="44">
        <v>76</v>
      </c>
      <c r="B78" s="44">
        <f>HEX2DEC(A78+Items!$A$29)</f>
        <v>101711990</v>
      </c>
      <c r="C78" s="24" t="s">
        <v>184</v>
      </c>
      <c r="D78" s="24" t="s">
        <v>183</v>
      </c>
      <c r="E78" s="24" t="s">
        <v>681</v>
      </c>
      <c r="F78" s="24" t="s">
        <v>813</v>
      </c>
      <c r="G78" s="24">
        <v>60</v>
      </c>
      <c r="H78" s="31" t="s">
        <v>182</v>
      </c>
      <c r="I78" s="31" t="str">
        <f t="shared" si="2"/>
        <v>DA_Suffix_of_Summoning</v>
      </c>
      <c r="J78" s="31" t="str">
        <f t="shared" si="3"/>
        <v>/Game/DungeonSiege/Items/Affixes/Suffix/DA_Suffix_of_Summoning</v>
      </c>
    </row>
    <row r="79" spans="1:10" x14ac:dyDescent="0.25">
      <c r="A79" s="44">
        <v>77</v>
      </c>
      <c r="B79" s="44">
        <f>HEX2DEC(A79+Items!$A$29)</f>
        <v>101711991</v>
      </c>
      <c r="C79" s="24" t="s">
        <v>181</v>
      </c>
      <c r="D79" s="24" t="s">
        <v>180</v>
      </c>
      <c r="E79" s="24" t="s">
        <v>681</v>
      </c>
      <c r="F79" s="24" t="s">
        <v>813</v>
      </c>
      <c r="G79" s="24">
        <v>60</v>
      </c>
      <c r="H79" s="31" t="s">
        <v>179</v>
      </c>
      <c r="I79" s="31" t="str">
        <f t="shared" si="2"/>
        <v>DA_Suffix_of_Grace</v>
      </c>
      <c r="J79" s="31" t="str">
        <f t="shared" si="3"/>
        <v>/Game/DungeonSiege/Items/Affixes/Suffix/DA_Suffix_of_Grace</v>
      </c>
    </row>
    <row r="80" spans="1:10" x14ac:dyDescent="0.25">
      <c r="A80" s="44">
        <v>78</v>
      </c>
      <c r="B80" s="44">
        <f>HEX2DEC(A80+Items!$A$29)</f>
        <v>101711992</v>
      </c>
      <c r="C80" s="24" t="s">
        <v>1424</v>
      </c>
      <c r="D80" s="24" t="s">
        <v>1425</v>
      </c>
      <c r="E80" s="24" t="s">
        <v>681</v>
      </c>
      <c r="F80" s="24" t="s">
        <v>1120</v>
      </c>
      <c r="G80" s="24">
        <v>58</v>
      </c>
      <c r="H80" s="31" t="s">
        <v>1426</v>
      </c>
      <c r="I80" s="31" t="str">
        <f t="shared" si="2"/>
        <v>DA_Suffix_of_Daylight</v>
      </c>
      <c r="J80" s="31" t="str">
        <f t="shared" si="3"/>
        <v>/Game/DungeonSiege/Items/Affixes/Suffix/DA_Suffix_of_Daylight</v>
      </c>
    </row>
    <row r="81" spans="1:14" x14ac:dyDescent="0.25">
      <c r="A81" s="44">
        <v>79</v>
      </c>
      <c r="B81" s="44">
        <f>HEX2DEC(A81+Items!$A$29)</f>
        <v>101711993</v>
      </c>
      <c r="C81" s="24" t="s">
        <v>1427</v>
      </c>
      <c r="D81" s="24" t="s">
        <v>1428</v>
      </c>
      <c r="E81" s="24" t="s">
        <v>681</v>
      </c>
      <c r="F81" s="24" t="s">
        <v>819</v>
      </c>
      <c r="G81" s="24">
        <v>58</v>
      </c>
      <c r="H81" s="31" t="s">
        <v>1429</v>
      </c>
      <c r="I81" s="31" t="str">
        <f t="shared" si="2"/>
        <v>DA_Suffix_of_Vengeance</v>
      </c>
      <c r="J81" s="31" t="str">
        <f t="shared" si="3"/>
        <v>/Game/DungeonSiege/Items/Affixes/Suffix/DA_Suffix_of_Vengeance</v>
      </c>
    </row>
    <row r="82" spans="1:14" x14ac:dyDescent="0.25">
      <c r="A82" s="44">
        <v>80</v>
      </c>
      <c r="B82" s="44">
        <f>HEX2DEC(A82+Items!$A$29)</f>
        <v>101712000</v>
      </c>
      <c r="C82" s="26" t="s">
        <v>1430</v>
      </c>
      <c r="D82" s="37" t="s">
        <v>2319</v>
      </c>
      <c r="E82" s="26" t="s">
        <v>681</v>
      </c>
      <c r="F82" s="26" t="s">
        <v>682</v>
      </c>
      <c r="G82" s="26">
        <v>58</v>
      </c>
      <c r="H82" s="31" t="s">
        <v>1432</v>
      </c>
      <c r="I82" s="31" t="str">
        <f t="shared" si="2"/>
        <v>DA_Suffix_of_Winter</v>
      </c>
      <c r="J82" s="31" t="str">
        <f t="shared" si="3"/>
        <v>/Game/DungeonSiege/Items/Affixes/Suffix/DA_Suffix_of_Winter</v>
      </c>
      <c r="M82" s="36"/>
    </row>
    <row r="83" spans="1:14" x14ac:dyDescent="0.25">
      <c r="A83" s="44">
        <v>81</v>
      </c>
      <c r="B83" s="44">
        <f>HEX2DEC(A83+Items!$A$29)</f>
        <v>101712001</v>
      </c>
      <c r="C83" s="26" t="s">
        <v>1433</v>
      </c>
      <c r="D83" s="37" t="s">
        <v>2320</v>
      </c>
      <c r="E83" s="26" t="s">
        <v>681</v>
      </c>
      <c r="F83" s="26" t="s">
        <v>1243</v>
      </c>
      <c r="G83" s="26">
        <v>58</v>
      </c>
      <c r="H83" s="31" t="s">
        <v>1434</v>
      </c>
      <c r="I83" s="31" t="str">
        <f t="shared" si="2"/>
        <v>DA_Suffix_of_Snowstorms</v>
      </c>
      <c r="J83" s="31" t="str">
        <f t="shared" si="3"/>
        <v>/Game/DungeonSiege/Items/Affixes/Suffix/DA_Suffix_of_Snowstorms</v>
      </c>
      <c r="N83" s="36"/>
    </row>
    <row r="84" spans="1:14" ht="22.5" x14ac:dyDescent="0.25">
      <c r="A84" s="44">
        <v>82</v>
      </c>
      <c r="B84" s="44">
        <f>HEX2DEC(A84+Items!$A$29)</f>
        <v>101712002</v>
      </c>
      <c r="C84" s="24" t="s">
        <v>1435</v>
      </c>
      <c r="D84" s="24" t="s">
        <v>1436</v>
      </c>
      <c r="E84" s="24" t="s">
        <v>681</v>
      </c>
      <c r="F84" s="24" t="s">
        <v>819</v>
      </c>
      <c r="G84" s="24">
        <v>56</v>
      </c>
      <c r="H84" s="31" t="s">
        <v>1437</v>
      </c>
      <c r="I84" s="31" t="str">
        <f t="shared" si="2"/>
        <v>DA_Suffix_of_Greater_Firebomb</v>
      </c>
      <c r="J84" s="31" t="str">
        <f t="shared" si="3"/>
        <v>/Game/DungeonSiege/Items/Affixes/Suffix/DA_Suffix_of_Greater_Firebomb</v>
      </c>
    </row>
    <row r="85" spans="1:14" ht="22.5" x14ac:dyDescent="0.25">
      <c r="A85" s="44">
        <v>83</v>
      </c>
      <c r="B85" s="44">
        <f>HEX2DEC(A85+Items!$A$29)</f>
        <v>101712003</v>
      </c>
      <c r="C85" s="24" t="s">
        <v>1438</v>
      </c>
      <c r="D85" s="24" t="s">
        <v>320</v>
      </c>
      <c r="E85" s="24" t="s">
        <v>681</v>
      </c>
      <c r="F85" s="24" t="s">
        <v>705</v>
      </c>
      <c r="G85" s="24">
        <v>55</v>
      </c>
      <c r="H85" s="31" t="s">
        <v>1439</v>
      </c>
      <c r="I85" s="31" t="str">
        <f t="shared" si="2"/>
        <v>DA_Suffix_of_Might</v>
      </c>
      <c r="J85" s="31" t="str">
        <f t="shared" si="3"/>
        <v>/Game/DungeonSiege/Items/Affixes/Suffix/DA_Suffix_of_Might</v>
      </c>
    </row>
    <row r="86" spans="1:14" ht="22.5" x14ac:dyDescent="0.25">
      <c r="A86" s="44">
        <v>84</v>
      </c>
      <c r="B86" s="44">
        <f>HEX2DEC(A86+Items!$A$29)</f>
        <v>101712004</v>
      </c>
      <c r="C86" s="24" t="s">
        <v>178</v>
      </c>
      <c r="D86" s="24" t="s">
        <v>177</v>
      </c>
      <c r="E86" s="24" t="s">
        <v>681</v>
      </c>
      <c r="F86" s="24" t="s">
        <v>1226</v>
      </c>
      <c r="G86" s="24">
        <v>55</v>
      </c>
      <c r="H86" s="31" t="s">
        <v>176</v>
      </c>
      <c r="I86" s="31" t="str">
        <f t="shared" si="2"/>
        <v>DA_Suffix_of_Judgment</v>
      </c>
      <c r="J86" s="31" t="str">
        <f t="shared" si="3"/>
        <v>/Game/DungeonSiege/Items/Affixes/Suffix/DA_Suffix_of_Judgment</v>
      </c>
    </row>
    <row r="87" spans="1:14" x14ac:dyDescent="0.25">
      <c r="A87" s="44">
        <v>85</v>
      </c>
      <c r="B87" s="44">
        <f>HEX2DEC(A87+Items!$A$29)</f>
        <v>101712005</v>
      </c>
      <c r="C87" s="24" t="s">
        <v>1440</v>
      </c>
      <c r="D87" s="24" t="s">
        <v>1441</v>
      </c>
      <c r="E87" s="24" t="s">
        <v>681</v>
      </c>
      <c r="F87" s="24" t="s">
        <v>686</v>
      </c>
      <c r="G87" s="24">
        <v>55</v>
      </c>
      <c r="H87" s="31" t="s">
        <v>1442</v>
      </c>
      <c r="I87" s="31" t="str">
        <f t="shared" si="2"/>
        <v>DA_Suffix_of_Acceleration</v>
      </c>
      <c r="J87" s="31" t="str">
        <f t="shared" si="3"/>
        <v>/Game/DungeonSiege/Items/Affixes/Suffix/DA_Suffix_of_Acceleration</v>
      </c>
    </row>
    <row r="88" spans="1:14" x14ac:dyDescent="0.25">
      <c r="A88" s="44">
        <v>86</v>
      </c>
      <c r="B88" s="44">
        <f>HEX2DEC(A88+Items!$A$29)</f>
        <v>101712006</v>
      </c>
      <c r="C88" s="24" t="s">
        <v>1443</v>
      </c>
      <c r="D88" s="24" t="s">
        <v>1444</v>
      </c>
      <c r="E88" s="24" t="s">
        <v>681</v>
      </c>
      <c r="F88" s="24" t="s">
        <v>1445</v>
      </c>
      <c r="G88" s="24">
        <v>55</v>
      </c>
      <c r="H88" s="31" t="s">
        <v>1446</v>
      </c>
      <c r="I88" s="31" t="str">
        <f t="shared" si="2"/>
        <v>DA_Suffix_of_Excellence</v>
      </c>
      <c r="J88" s="31" t="str">
        <f t="shared" si="3"/>
        <v>/Game/DungeonSiege/Items/Affixes/Suffix/DA_Suffix_of_Excellence</v>
      </c>
    </row>
    <row r="89" spans="1:14" x14ac:dyDescent="0.25">
      <c r="A89" s="44">
        <v>87</v>
      </c>
      <c r="B89" s="44">
        <f>HEX2DEC(A89+Items!$A$29)</f>
        <v>101712007</v>
      </c>
      <c r="C89" s="24" t="s">
        <v>1447</v>
      </c>
      <c r="D89" s="24" t="s">
        <v>1448</v>
      </c>
      <c r="E89" s="24" t="s">
        <v>681</v>
      </c>
      <c r="F89" s="24" t="s">
        <v>1219</v>
      </c>
      <c r="G89" s="24">
        <v>55</v>
      </c>
      <c r="H89" s="31" t="s">
        <v>1449</v>
      </c>
      <c r="I89" s="31" t="str">
        <f t="shared" si="2"/>
        <v>DA_Suffix_of_Boundlessness</v>
      </c>
      <c r="J89" s="31" t="str">
        <f t="shared" si="3"/>
        <v>/Game/DungeonSiege/Items/Affixes/Suffix/DA_Suffix_of_Boundlessness</v>
      </c>
    </row>
    <row r="90" spans="1:14" x14ac:dyDescent="0.25">
      <c r="A90" s="44">
        <v>88</v>
      </c>
      <c r="B90" s="44">
        <f>HEX2DEC(A90+Items!$A$29)</f>
        <v>101712008</v>
      </c>
      <c r="C90" s="24" t="s">
        <v>1450</v>
      </c>
      <c r="D90" s="24" t="s">
        <v>1451</v>
      </c>
      <c r="E90" s="24" t="s">
        <v>681</v>
      </c>
      <c r="F90" s="24" t="s">
        <v>1219</v>
      </c>
      <c r="G90" s="24">
        <v>55</v>
      </c>
      <c r="H90" s="31" t="s">
        <v>1452</v>
      </c>
      <c r="I90" s="31" t="str">
        <f t="shared" si="2"/>
        <v>DA_Suffix_of_Contention</v>
      </c>
      <c r="J90" s="31" t="str">
        <f t="shared" si="3"/>
        <v>/Game/DungeonSiege/Items/Affixes/Suffix/DA_Suffix_of_Contention</v>
      </c>
    </row>
    <row r="91" spans="1:14" x14ac:dyDescent="0.25">
      <c r="A91" s="44">
        <v>89</v>
      </c>
      <c r="B91" s="44">
        <f>HEX2DEC(A91+Items!$A$29)</f>
        <v>101712009</v>
      </c>
      <c r="C91" s="24" t="s">
        <v>1453</v>
      </c>
      <c r="D91" s="24" t="s">
        <v>1454</v>
      </c>
      <c r="E91" s="24" t="s">
        <v>681</v>
      </c>
      <c r="F91" s="24" t="s">
        <v>682</v>
      </c>
      <c r="G91" s="24">
        <v>55</v>
      </c>
      <c r="H91" s="31" t="s">
        <v>1455</v>
      </c>
      <c r="I91" s="31" t="str">
        <f t="shared" si="2"/>
        <v>DA_Suffix_of_Impalement</v>
      </c>
      <c r="J91" s="31" t="str">
        <f t="shared" si="3"/>
        <v>/Game/DungeonSiege/Items/Affixes/Suffix/DA_Suffix_of_Impalement</v>
      </c>
    </row>
    <row r="92" spans="1:14" ht="22.5" x14ac:dyDescent="0.25">
      <c r="A92" s="44">
        <v>90</v>
      </c>
      <c r="B92" s="44">
        <f>HEX2DEC(A92+Items!$A$29)</f>
        <v>101712016</v>
      </c>
      <c r="C92" s="24" t="s">
        <v>175</v>
      </c>
      <c r="D92" s="24" t="s">
        <v>174</v>
      </c>
      <c r="E92" s="24" t="s">
        <v>681</v>
      </c>
      <c r="F92" s="24" t="s">
        <v>1226</v>
      </c>
      <c r="G92" s="24">
        <v>54</v>
      </c>
      <c r="H92" s="31" t="s">
        <v>173</v>
      </c>
      <c r="I92" s="31" t="str">
        <f t="shared" si="2"/>
        <v>DA_Suffix_of_the_Dexterous</v>
      </c>
      <c r="J92" s="31" t="str">
        <f t="shared" si="3"/>
        <v>/Game/DungeonSiege/Items/Affixes/Suffix/DA_Suffix_of_the_Dexterous</v>
      </c>
    </row>
    <row r="93" spans="1:14" ht="22.5" x14ac:dyDescent="0.25">
      <c r="A93" s="44">
        <v>91</v>
      </c>
      <c r="B93" s="44">
        <f>HEX2DEC(A93+Items!$A$29)</f>
        <v>101712017</v>
      </c>
      <c r="C93" s="24" t="s">
        <v>172</v>
      </c>
      <c r="D93" s="24" t="s">
        <v>171</v>
      </c>
      <c r="E93" s="24" t="s">
        <v>681</v>
      </c>
      <c r="F93" s="24" t="s">
        <v>1382</v>
      </c>
      <c r="G93" s="24">
        <v>54</v>
      </c>
      <c r="H93" s="31" t="s">
        <v>170</v>
      </c>
      <c r="I93" s="31" t="str">
        <f t="shared" si="2"/>
        <v>DA_Suffix_of_Reclamation</v>
      </c>
      <c r="J93" s="31" t="str">
        <f t="shared" si="3"/>
        <v>/Game/DungeonSiege/Items/Affixes/Suffix/DA_Suffix_of_Reclamation</v>
      </c>
    </row>
    <row r="94" spans="1:14" x14ac:dyDescent="0.25">
      <c r="A94" s="44">
        <v>92</v>
      </c>
      <c r="B94" s="44">
        <f>HEX2DEC(A94+Items!$A$29)</f>
        <v>101712018</v>
      </c>
      <c r="C94" s="24" t="s">
        <v>1456</v>
      </c>
      <c r="D94" s="24" t="s">
        <v>1342</v>
      </c>
      <c r="E94" s="24" t="s">
        <v>681</v>
      </c>
      <c r="F94" s="24" t="s">
        <v>682</v>
      </c>
      <c r="G94" s="24">
        <v>54</v>
      </c>
      <c r="H94" s="31" t="s">
        <v>1457</v>
      </c>
      <c r="I94" s="31" t="str">
        <f t="shared" si="2"/>
        <v>DA_Suffix_of_the_Savage</v>
      </c>
      <c r="J94" s="31" t="str">
        <f t="shared" si="3"/>
        <v>/Game/DungeonSiege/Items/Affixes/Suffix/DA_Suffix_of_the_Savage</v>
      </c>
    </row>
    <row r="95" spans="1:14" x14ac:dyDescent="0.25">
      <c r="A95" s="44">
        <v>93</v>
      </c>
      <c r="B95" s="44">
        <f>HEX2DEC(A95+Items!$A$29)</f>
        <v>101712019</v>
      </c>
      <c r="C95" s="24" t="s">
        <v>1458</v>
      </c>
      <c r="D95" s="24" t="s">
        <v>1459</v>
      </c>
      <c r="E95" s="24" t="s">
        <v>681</v>
      </c>
      <c r="F95" s="24" t="s">
        <v>682</v>
      </c>
      <c r="G95" s="24">
        <v>54</v>
      </c>
      <c r="H95" s="31" t="s">
        <v>1460</v>
      </c>
      <c r="I95" s="31" t="str">
        <f t="shared" si="2"/>
        <v>DA_Suffix_of_the_Jolted</v>
      </c>
      <c r="J95" s="31" t="str">
        <f t="shared" si="3"/>
        <v>/Game/DungeonSiege/Items/Affixes/Suffix/DA_Suffix_of_the_Jolted</v>
      </c>
    </row>
    <row r="96" spans="1:14" x14ac:dyDescent="0.25">
      <c r="A96" s="44">
        <v>94</v>
      </c>
      <c r="B96" s="44">
        <f>HEX2DEC(A96+Items!$A$29)</f>
        <v>101712020</v>
      </c>
      <c r="C96" s="24" t="s">
        <v>1461</v>
      </c>
      <c r="D96" s="24" t="s">
        <v>1462</v>
      </c>
      <c r="E96" s="24" t="s">
        <v>681</v>
      </c>
      <c r="F96" s="24" t="s">
        <v>686</v>
      </c>
      <c r="G96" s="24">
        <v>54</v>
      </c>
      <c r="H96" s="31" t="s">
        <v>1463</v>
      </c>
      <c r="I96" s="31" t="str">
        <f t="shared" si="2"/>
        <v>DA_Suffix_of_Cyclones</v>
      </c>
      <c r="J96" s="31" t="str">
        <f t="shared" si="3"/>
        <v>/Game/DungeonSiege/Items/Affixes/Suffix/DA_Suffix_of_Cyclones</v>
      </c>
    </row>
    <row r="97" spans="1:17" x14ac:dyDescent="0.25">
      <c r="A97" s="44">
        <v>95</v>
      </c>
      <c r="B97" s="44">
        <f>HEX2DEC(A97+Items!$A$29)</f>
        <v>101712021</v>
      </c>
      <c r="C97" s="24" t="s">
        <v>1464</v>
      </c>
      <c r="D97" s="24" t="s">
        <v>1465</v>
      </c>
      <c r="E97" s="24" t="s">
        <v>681</v>
      </c>
      <c r="F97" s="24" t="s">
        <v>1120</v>
      </c>
      <c r="G97" s="24">
        <v>52</v>
      </c>
      <c r="H97" s="31" t="s">
        <v>1466</v>
      </c>
      <c r="I97" s="31" t="str">
        <f t="shared" si="2"/>
        <v>DA_Suffix_of_Perjury</v>
      </c>
      <c r="J97" s="31" t="str">
        <f t="shared" si="3"/>
        <v>/Game/DungeonSiege/Items/Affixes/Suffix/DA_Suffix_of_Perjury</v>
      </c>
    </row>
    <row r="98" spans="1:17" x14ac:dyDescent="0.25">
      <c r="A98" s="44">
        <v>96</v>
      </c>
      <c r="B98" s="44">
        <f>HEX2DEC(A98+Items!$A$29)</f>
        <v>101712022</v>
      </c>
      <c r="C98" s="24" t="s">
        <v>1467</v>
      </c>
      <c r="D98" s="24" t="s">
        <v>1468</v>
      </c>
      <c r="E98" s="24" t="s">
        <v>681</v>
      </c>
      <c r="F98" s="24" t="s">
        <v>686</v>
      </c>
      <c r="G98" s="24">
        <v>52</v>
      </c>
      <c r="H98" s="31" t="s">
        <v>1469</v>
      </c>
      <c r="I98" s="31" t="str">
        <f t="shared" si="2"/>
        <v>DA_Suffix_of_Afar</v>
      </c>
      <c r="J98" s="31" t="str">
        <f t="shared" si="3"/>
        <v>/Game/DungeonSiege/Items/Affixes/Suffix/DA_Suffix_of_Afar</v>
      </c>
    </row>
    <row r="99" spans="1:17" ht="22.5" x14ac:dyDescent="0.25">
      <c r="A99" s="44">
        <v>97</v>
      </c>
      <c r="B99" s="44">
        <f>HEX2DEC(A99+Items!$A$29)</f>
        <v>101712023</v>
      </c>
      <c r="C99" s="24" t="s">
        <v>1470</v>
      </c>
      <c r="D99" s="24" t="s">
        <v>1471</v>
      </c>
      <c r="E99" s="24" t="s">
        <v>681</v>
      </c>
      <c r="F99" s="24" t="s">
        <v>819</v>
      </c>
      <c r="G99" s="24">
        <v>52</v>
      </c>
      <c r="H99" s="31" t="s">
        <v>1472</v>
      </c>
      <c r="I99" s="31" t="str">
        <f t="shared" si="2"/>
        <v>DA_Suffix_of_Greater_Starburst</v>
      </c>
      <c r="J99" s="31" t="str">
        <f t="shared" si="3"/>
        <v>/Game/DungeonSiege/Items/Affixes/Suffix/DA_Suffix_of_Greater_Starburst</v>
      </c>
    </row>
    <row r="100" spans="1:17" ht="22.5" x14ac:dyDescent="0.25">
      <c r="A100" s="62">
        <v>98</v>
      </c>
      <c r="B100" s="62">
        <f>HEX2DEC(A100+Items!$A$29)</f>
        <v>101712024</v>
      </c>
      <c r="C100" s="28" t="s">
        <v>1473</v>
      </c>
      <c r="D100" s="39" t="s">
        <v>2321</v>
      </c>
      <c r="E100" s="28" t="s">
        <v>850</v>
      </c>
      <c r="F100" s="28" t="s">
        <v>705</v>
      </c>
      <c r="G100" s="28">
        <v>51</v>
      </c>
      <c r="H100" s="34" t="s">
        <v>1474</v>
      </c>
      <c r="I100" s="74" t="str">
        <f t="shared" si="2"/>
        <v>DA_Suffix_of_Glory</v>
      </c>
      <c r="J100" s="74" t="str">
        <f t="shared" si="3"/>
        <v>/Game/DungeonSiege/Items/Affixes/Suffix/DA_Suffix_of_Glory</v>
      </c>
      <c r="O100" s="36"/>
    </row>
    <row r="101" spans="1:17" ht="22.5" x14ac:dyDescent="0.25">
      <c r="A101" s="44">
        <v>99</v>
      </c>
      <c r="B101" s="44">
        <f>HEX2DEC(A101+Items!$A$29)</f>
        <v>101712025</v>
      </c>
      <c r="C101" s="24" t="s">
        <v>1475</v>
      </c>
      <c r="D101" s="24" t="s">
        <v>1476</v>
      </c>
      <c r="E101" s="24" t="s">
        <v>681</v>
      </c>
      <c r="F101" s="24" t="s">
        <v>819</v>
      </c>
      <c r="G101" s="24">
        <v>51</v>
      </c>
      <c r="H101" s="31" t="s">
        <v>1477</v>
      </c>
      <c r="I101" s="31" t="str">
        <f t="shared" si="2"/>
        <v>DA_Suffix_of_Major_Nova_Strike</v>
      </c>
      <c r="J101" s="31" t="str">
        <f t="shared" si="3"/>
        <v>/Game/DungeonSiege/Items/Affixes/Suffix/DA_Suffix_of_Major_Nova_Strike</v>
      </c>
    </row>
    <row r="102" spans="1:17" ht="22.5" x14ac:dyDescent="0.25">
      <c r="A102" s="44">
        <v>100</v>
      </c>
      <c r="B102" s="44">
        <f>HEX2DEC(A102+Items!$A$29)</f>
        <v>101712128</v>
      </c>
      <c r="C102" s="24" t="s">
        <v>169</v>
      </c>
      <c r="D102" s="24" t="s">
        <v>168</v>
      </c>
      <c r="E102" s="24" t="s">
        <v>681</v>
      </c>
      <c r="F102" s="24" t="s">
        <v>1226</v>
      </c>
      <c r="G102" s="24">
        <v>50</v>
      </c>
      <c r="H102" s="31" t="s">
        <v>167</v>
      </c>
      <c r="I102" s="31" t="str">
        <f t="shared" si="2"/>
        <v>DA_Suffix_of_the_Leopard</v>
      </c>
      <c r="J102" s="31" t="str">
        <f t="shared" si="3"/>
        <v>/Game/DungeonSiege/Items/Affixes/Suffix/DA_Suffix_of_the_Leopard</v>
      </c>
    </row>
    <row r="103" spans="1:17" x14ac:dyDescent="0.25">
      <c r="A103" s="44">
        <v>101</v>
      </c>
      <c r="B103" s="44">
        <f>HEX2DEC(A103+Items!$A$29)</f>
        <v>101712129</v>
      </c>
      <c r="C103" s="24" t="s">
        <v>1478</v>
      </c>
      <c r="D103" s="24" t="s">
        <v>1479</v>
      </c>
      <c r="E103" s="24" t="s">
        <v>681</v>
      </c>
      <c r="F103" s="24" t="s">
        <v>682</v>
      </c>
      <c r="G103" s="24">
        <v>50</v>
      </c>
      <c r="H103" s="31" t="s">
        <v>1480</v>
      </c>
      <c r="I103" s="31" t="str">
        <f t="shared" si="2"/>
        <v>DA_Suffix_of_Tusks</v>
      </c>
      <c r="J103" s="31" t="str">
        <f t="shared" si="3"/>
        <v>/Game/DungeonSiege/Items/Affixes/Suffix/DA_Suffix_of_Tusks</v>
      </c>
    </row>
    <row r="104" spans="1:17" x14ac:dyDescent="0.25">
      <c r="A104" s="44">
        <v>102</v>
      </c>
      <c r="B104" s="44">
        <f>HEX2DEC(A104+Items!$A$29)</f>
        <v>101712130</v>
      </c>
      <c r="C104" s="24" t="s">
        <v>1481</v>
      </c>
      <c r="D104" s="24" t="s">
        <v>1482</v>
      </c>
      <c r="E104" s="24" t="s">
        <v>681</v>
      </c>
      <c r="F104" s="24" t="s">
        <v>1120</v>
      </c>
      <c r="G104" s="24">
        <v>50</v>
      </c>
      <c r="H104" s="31" t="s">
        <v>1483</v>
      </c>
      <c r="I104" s="31" t="str">
        <f t="shared" si="2"/>
        <v>DA_Suffix_of_the_Raider</v>
      </c>
      <c r="J104" s="31" t="str">
        <f t="shared" si="3"/>
        <v>/Game/DungeonSiege/Items/Affixes/Suffix/DA_Suffix_of_the_Raider</v>
      </c>
    </row>
    <row r="105" spans="1:17" x14ac:dyDescent="0.25">
      <c r="A105" s="44">
        <v>103</v>
      </c>
      <c r="B105" s="44">
        <f>HEX2DEC(A105+Items!$A$29)</f>
        <v>101712131</v>
      </c>
      <c r="C105" s="24" t="s">
        <v>1484</v>
      </c>
      <c r="D105" s="24" t="s">
        <v>1485</v>
      </c>
      <c r="E105" s="24" t="s">
        <v>681</v>
      </c>
      <c r="F105" s="24" t="s">
        <v>1219</v>
      </c>
      <c r="G105" s="24">
        <v>50</v>
      </c>
      <c r="H105" s="31" t="s">
        <v>1486</v>
      </c>
      <c r="I105" s="31" t="str">
        <f t="shared" si="2"/>
        <v>DA_Suffix_of_Vibrancy</v>
      </c>
      <c r="J105" s="31" t="str">
        <f t="shared" si="3"/>
        <v>/Game/DungeonSiege/Items/Affixes/Suffix/DA_Suffix_of_Vibrancy</v>
      </c>
    </row>
    <row r="106" spans="1:17" x14ac:dyDescent="0.25">
      <c r="A106" s="44">
        <v>104</v>
      </c>
      <c r="B106" s="44">
        <f>HEX2DEC(A106+Items!$A$29)</f>
        <v>101712132</v>
      </c>
      <c r="C106" s="24" t="s">
        <v>1487</v>
      </c>
      <c r="D106" s="24" t="s">
        <v>1488</v>
      </c>
      <c r="E106" s="24" t="s">
        <v>681</v>
      </c>
      <c r="F106" s="24" t="s">
        <v>1219</v>
      </c>
      <c r="G106" s="24">
        <v>50</v>
      </c>
      <c r="H106" s="31" t="s">
        <v>1489</v>
      </c>
      <c r="I106" s="31" t="str">
        <f t="shared" si="2"/>
        <v>DA_Suffix_of_Clashing</v>
      </c>
      <c r="J106" s="31" t="str">
        <f t="shared" si="3"/>
        <v>/Game/DungeonSiege/Items/Affixes/Suffix/DA_Suffix_of_Clashing</v>
      </c>
    </row>
    <row r="107" spans="1:17" x14ac:dyDescent="0.25">
      <c r="A107" s="44">
        <v>105</v>
      </c>
      <c r="B107" s="44">
        <f>HEX2DEC(A107+Items!$A$29)</f>
        <v>101712133</v>
      </c>
      <c r="C107" s="24" t="s">
        <v>1490</v>
      </c>
      <c r="D107" s="24" t="s">
        <v>1491</v>
      </c>
      <c r="E107" s="24" t="s">
        <v>681</v>
      </c>
      <c r="F107" s="24" t="s">
        <v>682</v>
      </c>
      <c r="G107" s="24">
        <v>50</v>
      </c>
      <c r="H107" s="31" t="s">
        <v>1492</v>
      </c>
      <c r="I107" s="31" t="str">
        <f t="shared" si="2"/>
        <v>DA_Suffix_of_Disease</v>
      </c>
      <c r="J107" s="31" t="str">
        <f t="shared" si="3"/>
        <v>/Game/DungeonSiege/Items/Affixes/Suffix/DA_Suffix_of_Disease</v>
      </c>
    </row>
    <row r="108" spans="1:17" x14ac:dyDescent="0.25">
      <c r="A108" s="44">
        <v>106</v>
      </c>
      <c r="B108" s="44">
        <f>HEX2DEC(A108+Items!$A$29)</f>
        <v>101712134</v>
      </c>
      <c r="C108" s="24" t="s">
        <v>1493</v>
      </c>
      <c r="D108" s="24" t="s">
        <v>1494</v>
      </c>
      <c r="E108" s="24" t="s">
        <v>681</v>
      </c>
      <c r="F108" s="24" t="s">
        <v>686</v>
      </c>
      <c r="G108" s="24">
        <v>50</v>
      </c>
      <c r="H108" s="31" t="s">
        <v>1495</v>
      </c>
      <c r="I108" s="31" t="str">
        <f t="shared" si="2"/>
        <v>DA_Suffix_of_Consumption</v>
      </c>
      <c r="J108" s="31" t="str">
        <f t="shared" si="3"/>
        <v>/Game/DungeonSiege/Items/Affixes/Suffix/DA_Suffix_of_Consumption</v>
      </c>
    </row>
    <row r="109" spans="1:17" x14ac:dyDescent="0.25">
      <c r="A109" s="62">
        <v>107</v>
      </c>
      <c r="B109" s="62">
        <f>HEX2DEC(A109+Items!$A$29)</f>
        <v>101712135</v>
      </c>
      <c r="C109" s="28" t="s">
        <v>1496</v>
      </c>
      <c r="D109" s="39" t="s">
        <v>2322</v>
      </c>
      <c r="E109" s="28" t="s">
        <v>850</v>
      </c>
      <c r="F109" s="28" t="s">
        <v>686</v>
      </c>
      <c r="G109" s="28">
        <v>48</v>
      </c>
      <c r="H109" s="34" t="s">
        <v>1498</v>
      </c>
      <c r="I109" s="74" t="str">
        <f t="shared" si="2"/>
        <v>DA_Suffix_of_Equity</v>
      </c>
      <c r="J109" s="74" t="str">
        <f t="shared" si="3"/>
        <v>/Game/DungeonSiege/Items/Affixes/Suffix/DA_Suffix_of_Equity</v>
      </c>
      <c r="P109" s="36"/>
    </row>
    <row r="110" spans="1:17" x14ac:dyDescent="0.25">
      <c r="A110" s="44">
        <v>108</v>
      </c>
      <c r="B110" s="44">
        <f>HEX2DEC(A110+Items!$A$29)</f>
        <v>101712136</v>
      </c>
      <c r="C110" s="24" t="s">
        <v>1499</v>
      </c>
      <c r="D110" s="24" t="s">
        <v>1500</v>
      </c>
      <c r="E110" s="24" t="s">
        <v>681</v>
      </c>
      <c r="F110" s="24" t="s">
        <v>686</v>
      </c>
      <c r="G110" s="24">
        <v>47</v>
      </c>
      <c r="H110" s="31" t="s">
        <v>1501</v>
      </c>
      <c r="I110" s="31" t="str">
        <f t="shared" si="2"/>
        <v>DA_Suffix_of_Extension</v>
      </c>
      <c r="J110" s="31" t="str">
        <f t="shared" si="3"/>
        <v>/Game/DungeonSiege/Items/Affixes/Suffix/DA_Suffix_of_Extension</v>
      </c>
    </row>
    <row r="111" spans="1:17" x14ac:dyDescent="0.25">
      <c r="A111" s="44">
        <v>109</v>
      </c>
      <c r="B111" s="44">
        <f>HEX2DEC(A111+Items!$A$29)</f>
        <v>101712137</v>
      </c>
      <c r="C111" s="24" t="s">
        <v>1502</v>
      </c>
      <c r="D111" s="24" t="s">
        <v>1503</v>
      </c>
      <c r="E111" s="24" t="s">
        <v>681</v>
      </c>
      <c r="F111" s="24" t="s">
        <v>682</v>
      </c>
      <c r="G111" s="24">
        <v>47</v>
      </c>
      <c r="H111" s="31" t="s">
        <v>1504</v>
      </c>
      <c r="I111" s="31" t="str">
        <f t="shared" si="2"/>
        <v>DA_Suffix_of_Wounding</v>
      </c>
      <c r="J111" s="31" t="str">
        <f t="shared" si="3"/>
        <v>/Game/DungeonSiege/Items/Affixes/Suffix/DA_Suffix_of_Wounding</v>
      </c>
    </row>
    <row r="112" spans="1:17" ht="22.5" x14ac:dyDescent="0.25">
      <c r="A112" s="62">
        <v>110</v>
      </c>
      <c r="B112" s="62">
        <f>HEX2DEC(A112+Items!$A$29)</f>
        <v>101712144</v>
      </c>
      <c r="C112" s="28" t="s">
        <v>1505</v>
      </c>
      <c r="D112" s="39" t="s">
        <v>2323</v>
      </c>
      <c r="E112" s="28" t="s">
        <v>850</v>
      </c>
      <c r="F112" s="28" t="s">
        <v>705</v>
      </c>
      <c r="G112" s="28">
        <v>47</v>
      </c>
      <c r="H112" s="34" t="s">
        <v>1506</v>
      </c>
      <c r="I112" s="74" t="str">
        <f t="shared" si="2"/>
        <v>DA_Suffix_of_Regard</v>
      </c>
      <c r="J112" s="74" t="str">
        <f t="shared" si="3"/>
        <v>/Game/DungeonSiege/Items/Affixes/Suffix/DA_Suffix_of_Regard</v>
      </c>
      <c r="Q112" s="36"/>
    </row>
    <row r="113" spans="1:19" ht="22.5" x14ac:dyDescent="0.25">
      <c r="A113" s="44">
        <v>111</v>
      </c>
      <c r="B113" s="44">
        <f>HEX2DEC(A113+Items!$A$29)</f>
        <v>101712145</v>
      </c>
      <c r="C113" s="24" t="s">
        <v>1507</v>
      </c>
      <c r="D113" s="24" t="s">
        <v>1508</v>
      </c>
      <c r="E113" s="24" t="s">
        <v>681</v>
      </c>
      <c r="F113" s="24" t="s">
        <v>819</v>
      </c>
      <c r="G113" s="24">
        <v>47</v>
      </c>
      <c r="H113" s="31" t="s">
        <v>1509</v>
      </c>
      <c r="I113" s="31" t="str">
        <f t="shared" si="2"/>
        <v>DA_Suffix_of_Greater_Lightray</v>
      </c>
      <c r="J113" s="31" t="str">
        <f t="shared" si="3"/>
        <v>/Game/DungeonSiege/Items/Affixes/Suffix/DA_Suffix_of_Greater_Lightray</v>
      </c>
    </row>
    <row r="114" spans="1:19" ht="22.5" x14ac:dyDescent="0.25">
      <c r="A114" s="44">
        <v>112</v>
      </c>
      <c r="B114" s="44">
        <f>HEX2DEC(A114+Items!$A$29)</f>
        <v>101712146</v>
      </c>
      <c r="C114" s="24" t="s">
        <v>1510</v>
      </c>
      <c r="D114" s="24" t="s">
        <v>1511</v>
      </c>
      <c r="E114" s="24" t="s">
        <v>681</v>
      </c>
      <c r="F114" s="24" t="s">
        <v>819</v>
      </c>
      <c r="G114" s="24">
        <v>47</v>
      </c>
      <c r="H114" s="31" t="s">
        <v>1512</v>
      </c>
      <c r="I114" s="31" t="str">
        <f t="shared" si="2"/>
        <v>DA_Suffix_of_Major_Firebomb</v>
      </c>
      <c r="J114" s="31" t="str">
        <f t="shared" si="3"/>
        <v>/Game/DungeonSiege/Items/Affixes/Suffix/DA_Suffix_of_Major_Firebomb</v>
      </c>
    </row>
    <row r="115" spans="1:19" ht="22.5" x14ac:dyDescent="0.25">
      <c r="A115" s="44">
        <v>113</v>
      </c>
      <c r="B115" s="44">
        <f>HEX2DEC(A115+Items!$A$29)</f>
        <v>101712147</v>
      </c>
      <c r="C115" s="24" t="s">
        <v>166</v>
      </c>
      <c r="D115" s="24" t="s">
        <v>165</v>
      </c>
      <c r="E115" s="24" t="s">
        <v>681</v>
      </c>
      <c r="F115" s="24" t="s">
        <v>1382</v>
      </c>
      <c r="G115" s="24">
        <v>45</v>
      </c>
      <c r="H115" s="31" t="s">
        <v>164</v>
      </c>
      <c r="I115" s="31" t="str">
        <f t="shared" si="2"/>
        <v>DA_Suffix_of_Reinvention</v>
      </c>
      <c r="J115" s="31" t="str">
        <f t="shared" si="3"/>
        <v>/Game/DungeonSiege/Items/Affixes/Suffix/DA_Suffix_of_Reinvention</v>
      </c>
    </row>
    <row r="116" spans="1:19" x14ac:dyDescent="0.25">
      <c r="A116" s="44">
        <v>114</v>
      </c>
      <c r="B116" s="44">
        <f>HEX2DEC(A116+Items!$A$29)</f>
        <v>101712148</v>
      </c>
      <c r="C116" s="24" t="s">
        <v>1513</v>
      </c>
      <c r="D116" s="24" t="s">
        <v>1514</v>
      </c>
      <c r="E116" s="24" t="s">
        <v>681</v>
      </c>
      <c r="F116" s="24" t="s">
        <v>1120</v>
      </c>
      <c r="G116" s="24">
        <v>45</v>
      </c>
      <c r="H116" s="31" t="s">
        <v>1515</v>
      </c>
      <c r="I116" s="31" t="str">
        <f t="shared" si="2"/>
        <v>DA_Suffix_of_Wealth</v>
      </c>
      <c r="J116" s="31" t="str">
        <f t="shared" si="3"/>
        <v>/Game/DungeonSiege/Items/Affixes/Suffix/DA_Suffix_of_Wealth</v>
      </c>
    </row>
    <row r="117" spans="1:19" x14ac:dyDescent="0.25">
      <c r="A117" s="44">
        <v>115</v>
      </c>
      <c r="B117" s="44">
        <f>HEX2DEC(A117+Items!$A$29)</f>
        <v>101712149</v>
      </c>
      <c r="C117" s="24" t="s">
        <v>1516</v>
      </c>
      <c r="D117" s="24" t="s">
        <v>1517</v>
      </c>
      <c r="E117" s="24" t="s">
        <v>681</v>
      </c>
      <c r="F117" s="24" t="s">
        <v>682</v>
      </c>
      <c r="G117" s="24">
        <v>45</v>
      </c>
      <c r="H117" s="31" t="s">
        <v>1518</v>
      </c>
      <c r="I117" s="31" t="str">
        <f t="shared" si="2"/>
        <v>DA_Suffix_of_the_Feral</v>
      </c>
      <c r="J117" s="31" t="str">
        <f t="shared" si="3"/>
        <v>/Game/DungeonSiege/Items/Affixes/Suffix/DA_Suffix_of_the_Feral</v>
      </c>
    </row>
    <row r="118" spans="1:19" x14ac:dyDescent="0.25">
      <c r="A118" s="44">
        <v>116</v>
      </c>
      <c r="B118" s="44">
        <f>HEX2DEC(A118+Items!$A$29)</f>
        <v>101712150</v>
      </c>
      <c r="C118" s="26" t="s">
        <v>1519</v>
      </c>
      <c r="D118" s="37" t="s">
        <v>2325</v>
      </c>
      <c r="E118" s="26" t="s">
        <v>681</v>
      </c>
      <c r="F118" s="26" t="s">
        <v>682</v>
      </c>
      <c r="G118" s="26">
        <v>45</v>
      </c>
      <c r="H118" s="32" t="s">
        <v>1520</v>
      </c>
      <c r="I118" s="31" t="str">
        <f t="shared" si="2"/>
        <v>DA_Suffix_of_Numbness</v>
      </c>
      <c r="J118" s="31" t="str">
        <f t="shared" si="3"/>
        <v>/Game/DungeonSiege/Items/Affixes/Suffix/DA_Suffix_of_Numbness</v>
      </c>
      <c r="S118" s="36"/>
    </row>
    <row r="119" spans="1:19" x14ac:dyDescent="0.25">
      <c r="A119" s="44">
        <v>117</v>
      </c>
      <c r="B119" s="44">
        <f>HEX2DEC(A119+Items!$A$29)</f>
        <v>101712151</v>
      </c>
      <c r="C119" s="26" t="s">
        <v>1521</v>
      </c>
      <c r="D119" s="37" t="s">
        <v>2324</v>
      </c>
      <c r="E119" s="26" t="s">
        <v>681</v>
      </c>
      <c r="F119" s="26" t="s">
        <v>1243</v>
      </c>
      <c r="G119" s="26">
        <v>45</v>
      </c>
      <c r="H119" s="32" t="s">
        <v>1522</v>
      </c>
      <c r="I119" s="31" t="str">
        <f t="shared" si="2"/>
        <v>DA_Suffix_of_Hail</v>
      </c>
      <c r="J119" s="31" t="str">
        <f t="shared" si="3"/>
        <v>/Game/DungeonSiege/Items/Affixes/Suffix/DA_Suffix_of_Hail</v>
      </c>
      <c r="R119" s="36"/>
    </row>
    <row r="120" spans="1:19" ht="22.5" x14ac:dyDescent="0.25">
      <c r="A120" s="44">
        <v>118</v>
      </c>
      <c r="B120" s="44">
        <f>HEX2DEC(A120+Items!$A$29)</f>
        <v>101712152</v>
      </c>
      <c r="C120" s="24" t="s">
        <v>1523</v>
      </c>
      <c r="D120" s="24" t="s">
        <v>1524</v>
      </c>
      <c r="E120" s="24" t="s">
        <v>681</v>
      </c>
      <c r="F120" s="24" t="s">
        <v>819</v>
      </c>
      <c r="G120" s="24">
        <v>43</v>
      </c>
      <c r="H120" s="31" t="s">
        <v>1525</v>
      </c>
      <c r="I120" s="31" t="str">
        <f t="shared" si="2"/>
        <v>DA_Suffix_of_Greater_Lightning_Blast</v>
      </c>
      <c r="J120" s="31" t="str">
        <f t="shared" si="3"/>
        <v>/Game/DungeonSiege/Items/Affixes/Suffix/DA_Suffix_of_Greater_Lightning_Blast</v>
      </c>
    </row>
    <row r="121" spans="1:19" ht="22.5" x14ac:dyDescent="0.25">
      <c r="A121" s="44">
        <v>119</v>
      </c>
      <c r="B121" s="44">
        <f>HEX2DEC(A121+Items!$A$29)</f>
        <v>101712153</v>
      </c>
      <c r="C121" s="24" t="s">
        <v>1526</v>
      </c>
      <c r="D121" s="24" t="s">
        <v>1527</v>
      </c>
      <c r="E121" s="24" t="s">
        <v>681</v>
      </c>
      <c r="F121" s="24" t="s">
        <v>819</v>
      </c>
      <c r="G121" s="24">
        <v>43</v>
      </c>
      <c r="H121" s="31" t="s">
        <v>1528</v>
      </c>
      <c r="I121" s="31" t="str">
        <f t="shared" si="2"/>
        <v>DA_Suffix_of_Major_Starburst</v>
      </c>
      <c r="J121" s="31" t="str">
        <f t="shared" si="3"/>
        <v>/Game/DungeonSiege/Items/Affixes/Suffix/DA_Suffix_of_Major_Starburst</v>
      </c>
    </row>
    <row r="122" spans="1:19" x14ac:dyDescent="0.25">
      <c r="A122" s="44">
        <v>120</v>
      </c>
      <c r="B122" s="44">
        <f>HEX2DEC(A122+Items!$A$29)</f>
        <v>101712160</v>
      </c>
      <c r="C122" s="24" t="s">
        <v>1529</v>
      </c>
      <c r="D122" s="24" t="s">
        <v>1530</v>
      </c>
      <c r="E122" s="24" t="s">
        <v>681</v>
      </c>
      <c r="F122" s="24" t="s">
        <v>686</v>
      </c>
      <c r="G122" s="24">
        <v>41</v>
      </c>
      <c r="H122" s="31" t="s">
        <v>1531</v>
      </c>
      <c r="I122" s="31" t="str">
        <f t="shared" si="2"/>
        <v>DA_Suffix_of_Agility</v>
      </c>
      <c r="J122" s="31" t="str">
        <f t="shared" si="3"/>
        <v>/Game/DungeonSiege/Items/Affixes/Suffix/DA_Suffix_of_Agility</v>
      </c>
    </row>
    <row r="123" spans="1:19" x14ac:dyDescent="0.25">
      <c r="A123" s="44">
        <v>121</v>
      </c>
      <c r="B123" s="44">
        <f>HEX2DEC(A123+Items!$A$29)</f>
        <v>101712161</v>
      </c>
      <c r="C123" s="24" t="s">
        <v>1532</v>
      </c>
      <c r="D123" s="24" t="s">
        <v>1533</v>
      </c>
      <c r="E123" s="24" t="s">
        <v>681</v>
      </c>
      <c r="F123" s="24" t="s">
        <v>1120</v>
      </c>
      <c r="G123" s="24">
        <v>41</v>
      </c>
      <c r="H123" s="31" t="s">
        <v>1534</v>
      </c>
      <c r="I123" s="31" t="str">
        <f t="shared" si="2"/>
        <v>DA_Suffix_of_Threat</v>
      </c>
      <c r="J123" s="31" t="str">
        <f t="shared" si="3"/>
        <v>/Game/DungeonSiege/Items/Affixes/Suffix/DA_Suffix_of_Threat</v>
      </c>
    </row>
    <row r="124" spans="1:19" x14ac:dyDescent="0.25">
      <c r="A124" s="44">
        <v>122</v>
      </c>
      <c r="B124" s="44">
        <f>HEX2DEC(A124+Items!$A$29)</f>
        <v>101712162</v>
      </c>
      <c r="C124" s="24" t="s">
        <v>1535</v>
      </c>
      <c r="D124" s="24" t="s">
        <v>1536</v>
      </c>
      <c r="E124" s="24" t="s">
        <v>681</v>
      </c>
      <c r="F124" s="24" t="s">
        <v>819</v>
      </c>
      <c r="G124" s="24">
        <v>41</v>
      </c>
      <c r="H124" s="31" t="s">
        <v>1537</v>
      </c>
      <c r="I124" s="31" t="str">
        <f t="shared" si="2"/>
        <v>DA_Suffix_of_Retribution</v>
      </c>
      <c r="J124" s="31" t="str">
        <f t="shared" si="3"/>
        <v>/Game/DungeonSiege/Items/Affixes/Suffix/DA_Suffix_of_Retribution</v>
      </c>
    </row>
    <row r="125" spans="1:19" x14ac:dyDescent="0.25">
      <c r="A125" s="44">
        <v>123</v>
      </c>
      <c r="B125" s="44">
        <f>HEX2DEC(A125+Items!$A$29)</f>
        <v>101712163</v>
      </c>
      <c r="C125" s="24" t="s">
        <v>1538</v>
      </c>
      <c r="D125" s="24" t="s">
        <v>1539</v>
      </c>
      <c r="E125" s="24" t="s">
        <v>681</v>
      </c>
      <c r="F125" s="24" t="s">
        <v>686</v>
      </c>
      <c r="G125" s="24">
        <v>41</v>
      </c>
      <c r="H125" s="31" t="s">
        <v>1540</v>
      </c>
      <c r="I125" s="31" t="str">
        <f t="shared" si="2"/>
        <v>DA_Suffix_of_the_Heron</v>
      </c>
      <c r="J125" s="31" t="str">
        <f t="shared" si="3"/>
        <v>/Game/DungeonSiege/Items/Affixes/Suffix/DA_Suffix_of_the_Heron</v>
      </c>
    </row>
    <row r="126" spans="1:19" x14ac:dyDescent="0.25">
      <c r="A126" s="44">
        <v>124</v>
      </c>
      <c r="B126" s="44">
        <f>HEX2DEC(A126+Items!$A$29)</f>
        <v>101712164</v>
      </c>
      <c r="C126" s="24" t="s">
        <v>1541</v>
      </c>
      <c r="D126" s="24" t="s">
        <v>1542</v>
      </c>
      <c r="E126" s="24" t="s">
        <v>681</v>
      </c>
      <c r="F126" s="24" t="s">
        <v>686</v>
      </c>
      <c r="G126" s="24">
        <v>41</v>
      </c>
      <c r="H126" s="31" t="s">
        <v>1543</v>
      </c>
      <c r="I126" s="31" t="str">
        <f t="shared" si="2"/>
        <v>DA_Suffix_of_Breadth</v>
      </c>
      <c r="J126" s="31" t="str">
        <f t="shared" si="3"/>
        <v>/Game/DungeonSiege/Items/Affixes/Suffix/DA_Suffix_of_Breadth</v>
      </c>
    </row>
    <row r="127" spans="1:19" x14ac:dyDescent="0.25">
      <c r="A127" s="44">
        <v>125</v>
      </c>
      <c r="B127" s="44">
        <f>HEX2DEC(A127+Items!$A$29)</f>
        <v>101712165</v>
      </c>
      <c r="C127" s="24" t="s">
        <v>1544</v>
      </c>
      <c r="D127" s="24" t="s">
        <v>1545</v>
      </c>
      <c r="E127" s="24" t="s">
        <v>681</v>
      </c>
      <c r="F127" s="24" t="s">
        <v>819</v>
      </c>
      <c r="G127" s="24">
        <v>41</v>
      </c>
      <c r="H127" s="31" t="s">
        <v>1546</v>
      </c>
      <c r="I127" s="31" t="str">
        <f t="shared" si="2"/>
        <v>DA_Suffix_of_Nova_Strike</v>
      </c>
      <c r="J127" s="31" t="str">
        <f t="shared" si="3"/>
        <v>/Game/DungeonSiege/Items/Affixes/Suffix/DA_Suffix_of_Nova_Strike</v>
      </c>
    </row>
    <row r="128" spans="1:19" x14ac:dyDescent="0.25">
      <c r="A128" s="44">
        <v>126</v>
      </c>
      <c r="B128" s="44">
        <f>HEX2DEC(A128+Items!$A$29)</f>
        <v>101712166</v>
      </c>
      <c r="C128" s="24" t="s">
        <v>1547</v>
      </c>
      <c r="D128" s="24" t="s">
        <v>162</v>
      </c>
      <c r="E128" s="24" t="s">
        <v>681</v>
      </c>
      <c r="F128" s="24" t="s">
        <v>813</v>
      </c>
      <c r="G128" s="24">
        <v>40</v>
      </c>
      <c r="H128" s="31" t="s">
        <v>161</v>
      </c>
      <c r="I128" s="31" t="str">
        <f t="shared" si="2"/>
        <v>DA_Suffix_of_The_Frozen</v>
      </c>
      <c r="J128" s="31" t="str">
        <f t="shared" si="3"/>
        <v>/Game/DungeonSiege/Items/Affixes/Suffix/DA_Suffix_of_The_Frozen</v>
      </c>
    </row>
    <row r="129" spans="1:10" ht="22.5" x14ac:dyDescent="0.25">
      <c r="A129" s="44">
        <v>127</v>
      </c>
      <c r="B129" s="44">
        <f>HEX2DEC(A129+Items!$A$29)</f>
        <v>101712167</v>
      </c>
      <c r="C129" s="24" t="s">
        <v>1548</v>
      </c>
      <c r="D129" s="24" t="s">
        <v>159</v>
      </c>
      <c r="E129" s="24" t="s">
        <v>681</v>
      </c>
      <c r="F129" s="24" t="s">
        <v>813</v>
      </c>
      <c r="G129" s="24">
        <v>40</v>
      </c>
      <c r="H129" s="31" t="s">
        <v>158</v>
      </c>
      <c r="I129" s="31" t="str">
        <f t="shared" si="2"/>
        <v>DA_Suffix_of_The_Conflagration</v>
      </c>
      <c r="J129" s="31" t="str">
        <f t="shared" si="3"/>
        <v>/Game/DungeonSiege/Items/Affixes/Suffix/DA_Suffix_of_The_Conflagration</v>
      </c>
    </row>
    <row r="130" spans="1:10" x14ac:dyDescent="0.25">
      <c r="A130" s="44">
        <v>128</v>
      </c>
      <c r="B130" s="44">
        <f>HEX2DEC(A130+Items!$A$29)</f>
        <v>101712168</v>
      </c>
      <c r="C130" s="24" t="s">
        <v>157</v>
      </c>
      <c r="D130" s="24" t="s">
        <v>156</v>
      </c>
      <c r="E130" s="24" t="s">
        <v>681</v>
      </c>
      <c r="F130" s="24" t="s">
        <v>813</v>
      </c>
      <c r="G130" s="24">
        <v>40</v>
      </c>
      <c r="H130" s="31" t="s">
        <v>155</v>
      </c>
      <c r="I130" s="31" t="str">
        <f t="shared" si="2"/>
        <v>DA_Suffix_of_Electricity</v>
      </c>
      <c r="J130" s="31" t="str">
        <f t="shared" si="3"/>
        <v>/Game/DungeonSiege/Items/Affixes/Suffix/DA_Suffix_of_Electricity</v>
      </c>
    </row>
    <row r="131" spans="1:10" x14ac:dyDescent="0.25">
      <c r="A131" s="44">
        <v>129</v>
      </c>
      <c r="B131" s="44">
        <f>HEX2DEC(A131+Items!$A$29)</f>
        <v>101712169</v>
      </c>
      <c r="C131" s="24" t="s">
        <v>154</v>
      </c>
      <c r="D131" s="24" t="s">
        <v>153</v>
      </c>
      <c r="E131" s="24" t="s">
        <v>681</v>
      </c>
      <c r="F131" s="24" t="s">
        <v>813</v>
      </c>
      <c r="G131" s="24">
        <v>40</v>
      </c>
      <c r="H131" s="31" t="s">
        <v>152</v>
      </c>
      <c r="I131" s="31" t="str">
        <f t="shared" ref="I131:I194" si="4">"DA_Suffix_"&amp; SUBSTITUTE(C131," ","_")</f>
        <v>DA_Suffix_of_Convoking</v>
      </c>
      <c r="J131" s="31" t="str">
        <f t="shared" ref="J131:J194" si="5">"/Game/DungeonSiege/Items/Affixes/Suffix/" &amp; I131</f>
        <v>/Game/DungeonSiege/Items/Affixes/Suffix/DA_Suffix_of_Convoking</v>
      </c>
    </row>
    <row r="132" spans="1:10" x14ac:dyDescent="0.25">
      <c r="A132" s="44">
        <v>130</v>
      </c>
      <c r="B132" s="44">
        <f>HEX2DEC(A132+Items!$A$29)</f>
        <v>101712176</v>
      </c>
      <c r="C132" s="24" t="s">
        <v>151</v>
      </c>
      <c r="D132" s="24" t="s">
        <v>150</v>
      </c>
      <c r="E132" s="24" t="s">
        <v>681</v>
      </c>
      <c r="F132" s="24" t="s">
        <v>813</v>
      </c>
      <c r="G132" s="24">
        <v>40</v>
      </c>
      <c r="H132" s="31" t="s">
        <v>149</v>
      </c>
      <c r="I132" s="31" t="str">
        <f t="shared" si="4"/>
        <v>DA_Suffix_of_Compassion</v>
      </c>
      <c r="J132" s="31" t="str">
        <f t="shared" si="5"/>
        <v>/Game/DungeonSiege/Items/Affixes/Suffix/DA_Suffix_of_Compassion</v>
      </c>
    </row>
    <row r="133" spans="1:10" ht="22.5" x14ac:dyDescent="0.25">
      <c r="A133" s="44">
        <v>131</v>
      </c>
      <c r="B133" s="44">
        <f>HEX2DEC(A133+Items!$A$29)</f>
        <v>101712177</v>
      </c>
      <c r="C133" s="24" t="s">
        <v>1549</v>
      </c>
      <c r="D133" s="24" t="s">
        <v>296</v>
      </c>
      <c r="E133" s="24" t="s">
        <v>681</v>
      </c>
      <c r="F133" s="24" t="s">
        <v>705</v>
      </c>
      <c r="G133" s="24">
        <v>39</v>
      </c>
      <c r="H133" s="31" t="s">
        <v>1550</v>
      </c>
      <c r="I133" s="31" t="str">
        <f t="shared" si="4"/>
        <v>DA_Suffix_of_Virulence</v>
      </c>
      <c r="J133" s="31" t="str">
        <f t="shared" si="5"/>
        <v>/Game/DungeonSiege/Items/Affixes/Suffix/DA_Suffix_of_Virulence</v>
      </c>
    </row>
    <row r="134" spans="1:10" ht="22.5" x14ac:dyDescent="0.25">
      <c r="A134" s="44">
        <v>132</v>
      </c>
      <c r="B134" s="44">
        <f>HEX2DEC(A134+Items!$A$29)</f>
        <v>101712178</v>
      </c>
      <c r="C134" s="24" t="s">
        <v>148</v>
      </c>
      <c r="D134" s="24" t="s">
        <v>147</v>
      </c>
      <c r="E134" s="24" t="s">
        <v>681</v>
      </c>
      <c r="F134" s="24" t="s">
        <v>1226</v>
      </c>
      <c r="G134" s="24">
        <v>39</v>
      </c>
      <c r="H134" s="31" t="s">
        <v>146</v>
      </c>
      <c r="I134" s="31" t="str">
        <f t="shared" si="4"/>
        <v>DA_Suffix_of_Intellect</v>
      </c>
      <c r="J134" s="31" t="str">
        <f t="shared" si="5"/>
        <v>/Game/DungeonSiege/Items/Affixes/Suffix/DA_Suffix_of_Intellect</v>
      </c>
    </row>
    <row r="135" spans="1:10" x14ac:dyDescent="0.25">
      <c r="A135" s="44">
        <v>133</v>
      </c>
      <c r="B135" s="44">
        <f>HEX2DEC(A135+Items!$A$29)</f>
        <v>101712179</v>
      </c>
      <c r="C135" s="24" t="s">
        <v>1551</v>
      </c>
      <c r="D135" s="24" t="s">
        <v>1552</v>
      </c>
      <c r="E135" s="24" t="s">
        <v>681</v>
      </c>
      <c r="F135" s="24" t="s">
        <v>682</v>
      </c>
      <c r="G135" s="24">
        <v>39</v>
      </c>
      <c r="H135" s="31" t="s">
        <v>1553</v>
      </c>
      <c r="I135" s="31" t="str">
        <f t="shared" si="4"/>
        <v>DA_Suffix_of_Claws</v>
      </c>
      <c r="J135" s="31" t="str">
        <f t="shared" si="5"/>
        <v>/Game/DungeonSiege/Items/Affixes/Suffix/DA_Suffix_of_Claws</v>
      </c>
    </row>
    <row r="136" spans="1:10" x14ac:dyDescent="0.25">
      <c r="A136" s="44">
        <v>134</v>
      </c>
      <c r="B136" s="44">
        <f>HEX2DEC(A136+Items!$A$29)</f>
        <v>101712180</v>
      </c>
      <c r="C136" s="24" t="s">
        <v>1554</v>
      </c>
      <c r="D136" s="24" t="s">
        <v>1555</v>
      </c>
      <c r="E136" s="24" t="s">
        <v>681</v>
      </c>
      <c r="F136" s="24" t="s">
        <v>682</v>
      </c>
      <c r="G136" s="24">
        <v>39</v>
      </c>
      <c r="H136" s="31" t="s">
        <v>1556</v>
      </c>
      <c r="I136" s="31" t="str">
        <f t="shared" si="4"/>
        <v>DA_Suffix_of_Target</v>
      </c>
      <c r="J136" s="31" t="str">
        <f t="shared" si="5"/>
        <v>/Game/DungeonSiege/Items/Affixes/Suffix/DA_Suffix_of_Target</v>
      </c>
    </row>
    <row r="137" spans="1:10" x14ac:dyDescent="0.25">
      <c r="A137" s="44">
        <v>135</v>
      </c>
      <c r="B137" s="44">
        <f>HEX2DEC(A137+Items!$A$29)</f>
        <v>101712181</v>
      </c>
      <c r="C137" s="24" t="s">
        <v>1557</v>
      </c>
      <c r="D137" s="24" t="s">
        <v>1558</v>
      </c>
      <c r="E137" s="24" t="s">
        <v>681</v>
      </c>
      <c r="F137" s="24" t="s">
        <v>1120</v>
      </c>
      <c r="G137" s="24">
        <v>39</v>
      </c>
      <c r="H137" s="31" t="s">
        <v>1559</v>
      </c>
      <c r="I137" s="31" t="str">
        <f t="shared" si="4"/>
        <v>DA_Suffix_of_Sunset</v>
      </c>
      <c r="J137" s="31" t="str">
        <f t="shared" si="5"/>
        <v>/Game/DungeonSiege/Items/Affixes/Suffix/DA_Suffix_of_Sunset</v>
      </c>
    </row>
    <row r="138" spans="1:10" x14ac:dyDescent="0.25">
      <c r="A138" s="44">
        <v>136</v>
      </c>
      <c r="B138" s="44">
        <f>HEX2DEC(A138+Items!$A$29)</f>
        <v>101712182</v>
      </c>
      <c r="C138" s="24" t="s">
        <v>1560</v>
      </c>
      <c r="D138" s="24" t="s">
        <v>1561</v>
      </c>
      <c r="E138" s="24" t="s">
        <v>681</v>
      </c>
      <c r="F138" s="24" t="s">
        <v>1445</v>
      </c>
      <c r="G138" s="24">
        <v>39</v>
      </c>
      <c r="H138" s="31" t="s">
        <v>1562</v>
      </c>
      <c r="I138" s="31" t="str">
        <f t="shared" si="4"/>
        <v>DA_Suffix_of_Perfection</v>
      </c>
      <c r="J138" s="31" t="str">
        <f t="shared" si="5"/>
        <v>/Game/DungeonSiege/Items/Affixes/Suffix/DA_Suffix_of_Perfection</v>
      </c>
    </row>
    <row r="139" spans="1:10" x14ac:dyDescent="0.25">
      <c r="A139" s="44">
        <v>137</v>
      </c>
      <c r="B139" s="44">
        <f>HEX2DEC(A139+Items!$A$29)</f>
        <v>101712183</v>
      </c>
      <c r="C139" s="24" t="s">
        <v>1563</v>
      </c>
      <c r="D139" s="24" t="s">
        <v>1564</v>
      </c>
      <c r="E139" s="24" t="s">
        <v>681</v>
      </c>
      <c r="F139" s="24" t="s">
        <v>1219</v>
      </c>
      <c r="G139" s="24">
        <v>39</v>
      </c>
      <c r="H139" s="31" t="s">
        <v>1565</v>
      </c>
      <c r="I139" s="31" t="str">
        <f t="shared" si="4"/>
        <v>DA_Suffix_of_Enormity</v>
      </c>
      <c r="J139" s="31" t="str">
        <f t="shared" si="5"/>
        <v>/Game/DungeonSiege/Items/Affixes/Suffix/DA_Suffix_of_Enormity</v>
      </c>
    </row>
    <row r="140" spans="1:10" x14ac:dyDescent="0.25">
      <c r="A140" s="44">
        <v>138</v>
      </c>
      <c r="B140" s="44">
        <f>HEX2DEC(A140+Items!$A$29)</f>
        <v>101712184</v>
      </c>
      <c r="C140" s="24" t="s">
        <v>1566</v>
      </c>
      <c r="D140" s="24" t="s">
        <v>1567</v>
      </c>
      <c r="E140" s="24" t="s">
        <v>681</v>
      </c>
      <c r="F140" s="24" t="s">
        <v>1219</v>
      </c>
      <c r="G140" s="24">
        <v>39</v>
      </c>
      <c r="H140" s="31" t="s">
        <v>1568</v>
      </c>
      <c r="I140" s="31" t="str">
        <f t="shared" si="4"/>
        <v>DA_Suffix_of_Opposition</v>
      </c>
      <c r="J140" s="31" t="str">
        <f t="shared" si="5"/>
        <v>/Game/DungeonSiege/Items/Affixes/Suffix/DA_Suffix_of_Opposition</v>
      </c>
    </row>
    <row r="141" spans="1:10" x14ac:dyDescent="0.25">
      <c r="A141" s="44">
        <v>139</v>
      </c>
      <c r="B141" s="44">
        <f>HEX2DEC(A141+Items!$A$29)</f>
        <v>101712185</v>
      </c>
      <c r="C141" s="24" t="s">
        <v>1569</v>
      </c>
      <c r="D141" s="24" t="s">
        <v>1570</v>
      </c>
      <c r="E141" s="24" t="s">
        <v>681</v>
      </c>
      <c r="F141" s="24" t="s">
        <v>1219</v>
      </c>
      <c r="G141" s="24">
        <v>39</v>
      </c>
      <c r="H141" s="31" t="s">
        <v>1571</v>
      </c>
      <c r="I141" s="31" t="str">
        <f t="shared" si="4"/>
        <v>DA_Suffix_of_Animation</v>
      </c>
      <c r="J141" s="31" t="str">
        <f t="shared" si="5"/>
        <v>/Game/DungeonSiege/Items/Affixes/Suffix/DA_Suffix_of_Animation</v>
      </c>
    </row>
    <row r="142" spans="1:10" x14ac:dyDescent="0.25">
      <c r="A142" s="44">
        <v>140</v>
      </c>
      <c r="B142" s="44">
        <f>HEX2DEC(A142+Items!$A$29)</f>
        <v>101712192</v>
      </c>
      <c r="C142" s="24" t="s">
        <v>1572</v>
      </c>
      <c r="D142" s="24" t="s">
        <v>1573</v>
      </c>
      <c r="E142" s="24" t="s">
        <v>681</v>
      </c>
      <c r="F142" s="24" t="s">
        <v>1219</v>
      </c>
      <c r="G142" s="24">
        <v>39</v>
      </c>
      <c r="H142" s="31" t="s">
        <v>1574</v>
      </c>
      <c r="I142" s="31" t="str">
        <f t="shared" si="4"/>
        <v>DA_Suffix_of_Dissension</v>
      </c>
      <c r="J142" s="31" t="str">
        <f t="shared" si="5"/>
        <v>/Game/DungeonSiege/Items/Affixes/Suffix/DA_Suffix_of_Dissension</v>
      </c>
    </row>
    <row r="143" spans="1:10" x14ac:dyDescent="0.25">
      <c r="A143" s="44">
        <v>141</v>
      </c>
      <c r="B143" s="44">
        <f>HEX2DEC(A143+Items!$A$29)</f>
        <v>101712193</v>
      </c>
      <c r="C143" s="24" t="s">
        <v>1575</v>
      </c>
      <c r="D143" s="24" t="s">
        <v>1576</v>
      </c>
      <c r="E143" s="24" t="s">
        <v>681</v>
      </c>
      <c r="F143" s="24" t="s">
        <v>682</v>
      </c>
      <c r="G143" s="24">
        <v>39</v>
      </c>
      <c r="H143" s="31" t="s">
        <v>1577</v>
      </c>
      <c r="I143" s="31" t="str">
        <f t="shared" si="4"/>
        <v>DA_Suffix_of_Blistering</v>
      </c>
      <c r="J143" s="31" t="str">
        <f t="shared" si="5"/>
        <v>/Game/DungeonSiege/Items/Affixes/Suffix/DA_Suffix_of_Blistering</v>
      </c>
    </row>
    <row r="144" spans="1:10" x14ac:dyDescent="0.25">
      <c r="A144" s="44">
        <v>142</v>
      </c>
      <c r="B144" s="44">
        <f>HEX2DEC(A144+Items!$A$29)</f>
        <v>101712194</v>
      </c>
      <c r="C144" s="24" t="s">
        <v>1578</v>
      </c>
      <c r="D144" s="24" t="s">
        <v>1579</v>
      </c>
      <c r="E144" s="24" t="s">
        <v>681</v>
      </c>
      <c r="F144" s="24" t="s">
        <v>686</v>
      </c>
      <c r="G144" s="24">
        <v>39</v>
      </c>
      <c r="H144" s="31" t="s">
        <v>1580</v>
      </c>
      <c r="I144" s="31" t="str">
        <f t="shared" si="4"/>
        <v>DA_Suffix_of_Embers</v>
      </c>
      <c r="J144" s="31" t="str">
        <f t="shared" si="5"/>
        <v>/Game/DungeonSiege/Items/Affixes/Suffix/DA_Suffix_of_Embers</v>
      </c>
    </row>
    <row r="145" spans="1:21" x14ac:dyDescent="0.25">
      <c r="A145" s="44">
        <v>143</v>
      </c>
      <c r="B145" s="44">
        <f>HEX2DEC(A145+Items!$A$29)</f>
        <v>101712195</v>
      </c>
      <c r="C145" s="24" t="s">
        <v>1581</v>
      </c>
      <c r="D145" s="24" t="s">
        <v>1582</v>
      </c>
      <c r="E145" s="24" t="s">
        <v>681</v>
      </c>
      <c r="F145" s="24" t="s">
        <v>682</v>
      </c>
      <c r="G145" s="24">
        <v>39</v>
      </c>
      <c r="H145" s="31" t="s">
        <v>1583</v>
      </c>
      <c r="I145" s="31" t="str">
        <f t="shared" si="4"/>
        <v>DA_Suffix_of_Infirmity</v>
      </c>
      <c r="J145" s="31" t="str">
        <f t="shared" si="5"/>
        <v>/Game/DungeonSiege/Items/Affixes/Suffix/DA_Suffix_of_Infirmity</v>
      </c>
    </row>
    <row r="146" spans="1:21" x14ac:dyDescent="0.25">
      <c r="A146" s="44">
        <v>144</v>
      </c>
      <c r="B146" s="44">
        <f>HEX2DEC(A146+Items!$A$29)</f>
        <v>101712196</v>
      </c>
      <c r="C146" s="24" t="s">
        <v>1584</v>
      </c>
      <c r="D146" s="24" t="s">
        <v>1585</v>
      </c>
      <c r="E146" s="24" t="s">
        <v>681</v>
      </c>
      <c r="F146" s="24" t="s">
        <v>686</v>
      </c>
      <c r="G146" s="24">
        <v>39</v>
      </c>
      <c r="H146" s="31" t="s">
        <v>1586</v>
      </c>
      <c r="I146" s="31" t="str">
        <f t="shared" si="4"/>
        <v>DA_Suffix_of_Malady</v>
      </c>
      <c r="J146" s="31" t="str">
        <f t="shared" si="5"/>
        <v>/Game/DungeonSiege/Items/Affixes/Suffix/DA_Suffix_of_Malady</v>
      </c>
    </row>
    <row r="147" spans="1:21" x14ac:dyDescent="0.25">
      <c r="A147" s="62">
        <v>145</v>
      </c>
      <c r="B147" s="62">
        <f>HEX2DEC(A147+Items!$A$29)</f>
        <v>101712197</v>
      </c>
      <c r="C147" s="28" t="s">
        <v>1587</v>
      </c>
      <c r="D147" s="39" t="s">
        <v>2326</v>
      </c>
      <c r="E147" s="28" t="s">
        <v>850</v>
      </c>
      <c r="F147" s="28" t="s">
        <v>682</v>
      </c>
      <c r="G147" s="28">
        <v>39</v>
      </c>
      <c r="H147" s="34" t="s">
        <v>1589</v>
      </c>
      <c r="I147" s="74" t="str">
        <f t="shared" si="4"/>
        <v>DA_Suffix_of_Revenge</v>
      </c>
      <c r="J147" s="74" t="str">
        <f t="shared" si="5"/>
        <v>/Game/DungeonSiege/Items/Affixes/Suffix/DA_Suffix_of_Revenge</v>
      </c>
      <c r="T147" s="36"/>
    </row>
    <row r="148" spans="1:21" x14ac:dyDescent="0.25">
      <c r="A148" s="44">
        <v>146</v>
      </c>
      <c r="B148" s="44">
        <f>HEX2DEC(A148+Items!$A$29)</f>
        <v>101712198</v>
      </c>
      <c r="C148" s="24" t="s">
        <v>1590</v>
      </c>
      <c r="D148" s="24" t="s">
        <v>1591</v>
      </c>
      <c r="E148" s="24" t="s">
        <v>681</v>
      </c>
      <c r="F148" s="24" t="s">
        <v>819</v>
      </c>
      <c r="G148" s="24">
        <v>39</v>
      </c>
      <c r="H148" s="31" t="s">
        <v>1592</v>
      </c>
      <c r="I148" s="31" t="str">
        <f t="shared" si="4"/>
        <v>DA_Suffix_of_Major_Lightray</v>
      </c>
      <c r="J148" s="31" t="str">
        <f t="shared" si="5"/>
        <v>/Game/DungeonSiege/Items/Affixes/Suffix/DA_Suffix_of_Major_Lightray</v>
      </c>
    </row>
    <row r="149" spans="1:21" ht="22.5" x14ac:dyDescent="0.25">
      <c r="A149" s="44">
        <v>147</v>
      </c>
      <c r="B149" s="44">
        <f>HEX2DEC(A149+Items!$A$29)</f>
        <v>101712199</v>
      </c>
      <c r="C149" s="24" t="s">
        <v>145</v>
      </c>
      <c r="D149" s="24" t="s">
        <v>144</v>
      </c>
      <c r="E149" s="24" t="s">
        <v>681</v>
      </c>
      <c r="F149" s="24" t="s">
        <v>1226</v>
      </c>
      <c r="G149" s="24">
        <v>38</v>
      </c>
      <c r="H149" s="31" t="s">
        <v>143</v>
      </c>
      <c r="I149" s="31" t="str">
        <f t="shared" si="4"/>
        <v>DA_Suffix_of_the_Deft</v>
      </c>
      <c r="J149" s="31" t="str">
        <f t="shared" si="5"/>
        <v>/Game/DungeonSiege/Items/Affixes/Suffix/DA_Suffix_of_the_Deft</v>
      </c>
    </row>
    <row r="150" spans="1:21" x14ac:dyDescent="0.25">
      <c r="A150" s="44">
        <v>148</v>
      </c>
      <c r="B150" s="44">
        <f>HEX2DEC(A150+Items!$A$29)</f>
        <v>101712200</v>
      </c>
      <c r="C150" s="24" t="s">
        <v>1593</v>
      </c>
      <c r="D150" s="24" t="s">
        <v>1594</v>
      </c>
      <c r="E150" s="24" t="s">
        <v>681</v>
      </c>
      <c r="F150" s="24" t="s">
        <v>686</v>
      </c>
      <c r="G150" s="24">
        <v>38</v>
      </c>
      <c r="H150" s="31" t="s">
        <v>1595</v>
      </c>
      <c r="I150" s="31" t="str">
        <f t="shared" si="4"/>
        <v>DA_Suffix_of_Endeavor</v>
      </c>
      <c r="J150" s="31" t="str">
        <f t="shared" si="5"/>
        <v>/Game/DungeonSiege/Items/Affixes/Suffix/DA_Suffix_of_Endeavor</v>
      </c>
    </row>
    <row r="151" spans="1:21" x14ac:dyDescent="0.25">
      <c r="A151" s="44">
        <v>149</v>
      </c>
      <c r="B151" s="44">
        <f>HEX2DEC(A151+Items!$A$29)</f>
        <v>101712201</v>
      </c>
      <c r="C151" s="24" t="s">
        <v>1596</v>
      </c>
      <c r="D151" s="24" t="s">
        <v>1597</v>
      </c>
      <c r="E151" s="24" t="s">
        <v>681</v>
      </c>
      <c r="F151" s="24" t="s">
        <v>1120</v>
      </c>
      <c r="G151" s="24">
        <v>38</v>
      </c>
      <c r="H151" s="31" t="s">
        <v>1598</v>
      </c>
      <c r="I151" s="31" t="str">
        <f t="shared" si="4"/>
        <v>DA_Suffix_of_the_Plunderer</v>
      </c>
      <c r="J151" s="31" t="str">
        <f t="shared" si="5"/>
        <v>/Game/DungeonSiege/Items/Affixes/Suffix/DA_Suffix_of_the_Plunderer</v>
      </c>
    </row>
    <row r="152" spans="1:21" x14ac:dyDescent="0.25">
      <c r="A152" s="44">
        <v>150</v>
      </c>
      <c r="B152" s="44">
        <f>HEX2DEC(A152+Items!$A$29)</f>
        <v>101712208</v>
      </c>
      <c r="C152" s="24" t="s">
        <v>1599</v>
      </c>
      <c r="D152" s="24" t="s">
        <v>1600</v>
      </c>
      <c r="E152" s="24" t="s">
        <v>681</v>
      </c>
      <c r="F152" s="24" t="s">
        <v>682</v>
      </c>
      <c r="G152" s="24">
        <v>38</v>
      </c>
      <c r="H152" s="31" t="s">
        <v>1601</v>
      </c>
      <c r="I152" s="31" t="str">
        <f t="shared" si="4"/>
        <v>DA_Suffix_of_Puncture</v>
      </c>
      <c r="J152" s="31" t="str">
        <f t="shared" si="5"/>
        <v>/Game/DungeonSiege/Items/Affixes/Suffix/DA_Suffix_of_Puncture</v>
      </c>
    </row>
    <row r="153" spans="1:21" ht="22.5" x14ac:dyDescent="0.25">
      <c r="A153" s="62">
        <v>151</v>
      </c>
      <c r="B153" s="62">
        <f>HEX2DEC(A153+Items!$A$29)</f>
        <v>101712209</v>
      </c>
      <c r="C153" s="28" t="s">
        <v>1602</v>
      </c>
      <c r="D153" s="39" t="s">
        <v>2327</v>
      </c>
      <c r="E153" s="28" t="s">
        <v>850</v>
      </c>
      <c r="F153" s="28" t="s">
        <v>705</v>
      </c>
      <c r="G153" s="28">
        <v>38</v>
      </c>
      <c r="H153" s="34" t="s">
        <v>1603</v>
      </c>
      <c r="I153" s="74" t="str">
        <f t="shared" si="4"/>
        <v>DA_Suffix_of_Certainty</v>
      </c>
      <c r="J153" s="74" t="str">
        <f t="shared" si="5"/>
        <v>/Game/DungeonSiege/Items/Affixes/Suffix/DA_Suffix_of_Certainty</v>
      </c>
      <c r="U153" s="36"/>
    </row>
    <row r="154" spans="1:21" ht="22.5" x14ac:dyDescent="0.25">
      <c r="A154" s="44">
        <v>152</v>
      </c>
      <c r="B154" s="44">
        <f>HEX2DEC(A154+Items!$A$29)</f>
        <v>101712210</v>
      </c>
      <c r="C154" s="24" t="s">
        <v>1604</v>
      </c>
      <c r="D154" s="24" t="s">
        <v>1605</v>
      </c>
      <c r="E154" s="24" t="s">
        <v>681</v>
      </c>
      <c r="F154" s="24" t="s">
        <v>819</v>
      </c>
      <c r="G154" s="24">
        <v>38</v>
      </c>
      <c r="H154" s="31" t="s">
        <v>1606</v>
      </c>
      <c r="I154" s="31" t="str">
        <f t="shared" si="4"/>
        <v>DA_Suffix_of_Greater_Multispark</v>
      </c>
      <c r="J154" s="31" t="str">
        <f t="shared" si="5"/>
        <v>/Game/DungeonSiege/Items/Affixes/Suffix/DA_Suffix_of_Greater_Multispark</v>
      </c>
    </row>
    <row r="155" spans="1:21" x14ac:dyDescent="0.25">
      <c r="A155" s="44">
        <v>153</v>
      </c>
      <c r="B155" s="44">
        <f>HEX2DEC(A155+Items!$A$29)</f>
        <v>101712211</v>
      </c>
      <c r="C155" s="24" t="s">
        <v>1607</v>
      </c>
      <c r="D155" s="24" t="s">
        <v>1608</v>
      </c>
      <c r="E155" s="24" t="s">
        <v>681</v>
      </c>
      <c r="F155" s="24" t="s">
        <v>819</v>
      </c>
      <c r="G155" s="24">
        <v>38</v>
      </c>
      <c r="H155" s="31" t="s">
        <v>1609</v>
      </c>
      <c r="I155" s="31" t="str">
        <f t="shared" si="4"/>
        <v>DA_Suffix_of_Firebomb</v>
      </c>
      <c r="J155" s="31" t="str">
        <f t="shared" si="5"/>
        <v>/Game/DungeonSiege/Items/Affixes/Suffix/DA_Suffix_of_Firebomb</v>
      </c>
    </row>
    <row r="156" spans="1:21" ht="22.5" x14ac:dyDescent="0.25">
      <c r="A156" s="44">
        <v>154</v>
      </c>
      <c r="B156" s="44">
        <f>HEX2DEC(A156+Items!$A$29)</f>
        <v>101712212</v>
      </c>
      <c r="C156" s="24" t="s">
        <v>142</v>
      </c>
      <c r="D156" s="24" t="s">
        <v>141</v>
      </c>
      <c r="E156" s="24" t="s">
        <v>681</v>
      </c>
      <c r="F156" s="24" t="s">
        <v>1226</v>
      </c>
      <c r="G156" s="24">
        <v>36</v>
      </c>
      <c r="H156" s="31" t="s">
        <v>140</v>
      </c>
      <c r="I156" s="31" t="str">
        <f t="shared" si="4"/>
        <v>DA_Suffix_of_the_Ram</v>
      </c>
      <c r="J156" s="31" t="str">
        <f t="shared" si="5"/>
        <v>/Game/DungeonSiege/Items/Affixes/Suffix/DA_Suffix_of_the_Ram</v>
      </c>
    </row>
    <row r="157" spans="1:21" ht="22.5" x14ac:dyDescent="0.25">
      <c r="A157" s="44">
        <v>155</v>
      </c>
      <c r="B157" s="44">
        <f>HEX2DEC(A157+Items!$A$29)</f>
        <v>101712213</v>
      </c>
      <c r="C157" s="24" t="s">
        <v>139</v>
      </c>
      <c r="D157" s="24" t="s">
        <v>138</v>
      </c>
      <c r="E157" s="24" t="s">
        <v>681</v>
      </c>
      <c r="F157" s="24" t="s">
        <v>1382</v>
      </c>
      <c r="G157" s="24">
        <v>36</v>
      </c>
      <c r="H157" s="31" t="s">
        <v>137</v>
      </c>
      <c r="I157" s="31" t="str">
        <f t="shared" si="4"/>
        <v>DA_Suffix_of_Restoration</v>
      </c>
      <c r="J157" s="31" t="str">
        <f t="shared" si="5"/>
        <v>/Game/DungeonSiege/Items/Affixes/Suffix/DA_Suffix_of_Restoration</v>
      </c>
    </row>
    <row r="158" spans="1:21" x14ac:dyDescent="0.25">
      <c r="A158" s="44">
        <v>156</v>
      </c>
      <c r="B158" s="44">
        <f>HEX2DEC(A158+Items!$A$29)</f>
        <v>101712214</v>
      </c>
      <c r="C158" s="24" t="s">
        <v>1610</v>
      </c>
      <c r="D158" s="24" t="s">
        <v>1611</v>
      </c>
      <c r="E158" s="24" t="s">
        <v>681</v>
      </c>
      <c r="F158" s="24" t="s">
        <v>1120</v>
      </c>
      <c r="G158" s="24">
        <v>36</v>
      </c>
      <c r="H158" s="31" t="s">
        <v>1612</v>
      </c>
      <c r="I158" s="31" t="str">
        <f t="shared" si="4"/>
        <v>DA_Suffix_of_Surplus</v>
      </c>
      <c r="J158" s="31" t="str">
        <f t="shared" si="5"/>
        <v>/Game/DungeonSiege/Items/Affixes/Suffix/DA_Suffix_of_Surplus</v>
      </c>
    </row>
    <row r="159" spans="1:21" x14ac:dyDescent="0.25">
      <c r="A159" s="44">
        <v>157</v>
      </c>
      <c r="B159" s="44">
        <f>HEX2DEC(A159+Items!$A$29)</f>
        <v>101712215</v>
      </c>
      <c r="C159" s="24" t="s">
        <v>1613</v>
      </c>
      <c r="D159" s="24" t="s">
        <v>1614</v>
      </c>
      <c r="E159" s="24" t="s">
        <v>681</v>
      </c>
      <c r="F159" s="24" t="s">
        <v>682</v>
      </c>
      <c r="G159" s="24">
        <v>36</v>
      </c>
      <c r="H159" s="31" t="s">
        <v>1615</v>
      </c>
      <c r="I159" s="31" t="str">
        <f t="shared" si="4"/>
        <v>DA_Suffix_of_the_Rabid</v>
      </c>
      <c r="J159" s="31" t="str">
        <f t="shared" si="5"/>
        <v>/Game/DungeonSiege/Items/Affixes/Suffix/DA_Suffix_of_the_Rabid</v>
      </c>
    </row>
    <row r="160" spans="1:21" x14ac:dyDescent="0.25">
      <c r="A160" s="44">
        <v>158</v>
      </c>
      <c r="B160" s="44">
        <f>HEX2DEC(A160+Items!$A$29)</f>
        <v>101712216</v>
      </c>
      <c r="C160" s="24" t="s">
        <v>1616</v>
      </c>
      <c r="D160" s="24" t="s">
        <v>685</v>
      </c>
      <c r="E160" s="24" t="s">
        <v>681</v>
      </c>
      <c r="F160" s="24" t="s">
        <v>686</v>
      </c>
      <c r="G160" s="24">
        <v>36</v>
      </c>
      <c r="H160" s="31" t="s">
        <v>1617</v>
      </c>
      <c r="I160" s="31" t="str">
        <f t="shared" si="4"/>
        <v>DA_Suffix_of_Reach</v>
      </c>
      <c r="J160" s="31" t="str">
        <f t="shared" si="5"/>
        <v>/Game/DungeonSiege/Items/Affixes/Suffix/DA_Suffix_of_Reach</v>
      </c>
    </row>
    <row r="161" spans="1:26" ht="22.5" x14ac:dyDescent="0.25">
      <c r="A161" s="62">
        <v>159</v>
      </c>
      <c r="B161" s="62">
        <f>HEX2DEC(A161+Items!$A$29)</f>
        <v>101712217</v>
      </c>
      <c r="C161" s="28" t="s">
        <v>1618</v>
      </c>
      <c r="D161" s="39" t="s">
        <v>2328</v>
      </c>
      <c r="E161" s="28" t="s">
        <v>850</v>
      </c>
      <c r="F161" s="28" t="s">
        <v>705</v>
      </c>
      <c r="G161" s="28">
        <v>36</v>
      </c>
      <c r="H161" s="34" t="s">
        <v>1619</v>
      </c>
      <c r="I161" s="74" t="str">
        <f t="shared" si="4"/>
        <v>DA_Suffix_of_Emphasis</v>
      </c>
      <c r="J161" s="74" t="str">
        <f t="shared" si="5"/>
        <v>/Game/DungeonSiege/Items/Affixes/Suffix/DA_Suffix_of_Emphasis</v>
      </c>
      <c r="V161" s="36"/>
    </row>
    <row r="162" spans="1:26" ht="22.5" x14ac:dyDescent="0.25">
      <c r="A162" s="44">
        <v>160</v>
      </c>
      <c r="B162" s="44">
        <f>HEX2DEC(A162+Items!$A$29)</f>
        <v>101712224</v>
      </c>
      <c r="C162" s="24" t="s">
        <v>1620</v>
      </c>
      <c r="D162" s="24" t="s">
        <v>1621</v>
      </c>
      <c r="E162" s="24" t="s">
        <v>681</v>
      </c>
      <c r="F162" s="24" t="s">
        <v>819</v>
      </c>
      <c r="G162" s="24">
        <v>36</v>
      </c>
      <c r="H162" s="31" t="s">
        <v>1622</v>
      </c>
      <c r="I162" s="31" t="str">
        <f t="shared" si="4"/>
        <v>DA_Suffix_of_Major_Lightning_Blast</v>
      </c>
      <c r="J162" s="31" t="str">
        <f t="shared" si="5"/>
        <v>/Game/DungeonSiege/Items/Affixes/Suffix/DA_Suffix_of_Major_Lightning_Blast</v>
      </c>
    </row>
    <row r="163" spans="1:26" x14ac:dyDescent="0.25">
      <c r="A163" s="62">
        <v>161</v>
      </c>
      <c r="B163" s="62">
        <f>HEX2DEC(A163+Items!$A$29)</f>
        <v>101712225</v>
      </c>
      <c r="C163" s="28" t="s">
        <v>1623</v>
      </c>
      <c r="D163" s="39" t="s">
        <v>2329</v>
      </c>
      <c r="E163" s="28" t="s">
        <v>850</v>
      </c>
      <c r="F163" s="28" t="s">
        <v>686</v>
      </c>
      <c r="G163" s="28">
        <v>35</v>
      </c>
      <c r="H163" s="34" t="s">
        <v>1624</v>
      </c>
      <c r="I163" s="74" t="str">
        <f t="shared" si="4"/>
        <v>DA_Suffix_of_Impulse</v>
      </c>
      <c r="J163" s="74" t="str">
        <f t="shared" si="5"/>
        <v>/Game/DungeonSiege/Items/Affixes/Suffix/DA_Suffix_of_Impulse</v>
      </c>
      <c r="W163" s="36"/>
    </row>
    <row r="164" spans="1:26" ht="22.5" x14ac:dyDescent="0.25">
      <c r="A164" s="62">
        <v>162</v>
      </c>
      <c r="B164" s="62">
        <f>HEX2DEC(A164+Items!$A$29)</f>
        <v>101712226</v>
      </c>
      <c r="C164" s="28" t="s">
        <v>1625</v>
      </c>
      <c r="D164" s="39" t="s">
        <v>2330</v>
      </c>
      <c r="E164" s="28" t="s">
        <v>850</v>
      </c>
      <c r="F164" s="28" t="s">
        <v>705</v>
      </c>
      <c r="G164" s="28">
        <v>35</v>
      </c>
      <c r="H164" s="34" t="s">
        <v>1626</v>
      </c>
      <c r="I164" s="74" t="str">
        <f t="shared" si="4"/>
        <v>DA_Suffix_of_Fortitude</v>
      </c>
      <c r="J164" s="74" t="str">
        <f t="shared" si="5"/>
        <v>/Game/DungeonSiege/Items/Affixes/Suffix/DA_Suffix_of_Fortitude</v>
      </c>
      <c r="X164" s="36"/>
    </row>
    <row r="165" spans="1:26" x14ac:dyDescent="0.25">
      <c r="A165" s="44">
        <v>163</v>
      </c>
      <c r="B165" s="44">
        <f>HEX2DEC(A165+Items!$A$29)</f>
        <v>101712227</v>
      </c>
      <c r="C165" s="24" t="s">
        <v>1627</v>
      </c>
      <c r="D165" s="24" t="s">
        <v>1628</v>
      </c>
      <c r="E165" s="24" t="s">
        <v>681</v>
      </c>
      <c r="F165" s="24" t="s">
        <v>819</v>
      </c>
      <c r="G165" s="24">
        <v>35</v>
      </c>
      <c r="H165" s="31" t="s">
        <v>1629</v>
      </c>
      <c r="I165" s="31" t="str">
        <f t="shared" si="4"/>
        <v>DA_Suffix_of_Starburst</v>
      </c>
      <c r="J165" s="31" t="str">
        <f t="shared" si="5"/>
        <v>/Game/DungeonSiege/Items/Affixes/Suffix/DA_Suffix_of_Starburst</v>
      </c>
    </row>
    <row r="166" spans="1:26" ht="22.5" x14ac:dyDescent="0.25">
      <c r="A166" s="44">
        <v>164</v>
      </c>
      <c r="B166" s="44">
        <f>HEX2DEC(A166+Items!$A$29)</f>
        <v>101712228</v>
      </c>
      <c r="C166" s="24" t="s">
        <v>1630</v>
      </c>
      <c r="D166" s="24" t="s">
        <v>1631</v>
      </c>
      <c r="E166" s="24" t="s">
        <v>681</v>
      </c>
      <c r="F166" s="24" t="s">
        <v>819</v>
      </c>
      <c r="G166" s="24">
        <v>34</v>
      </c>
      <c r="H166" s="31" t="s">
        <v>1632</v>
      </c>
      <c r="I166" s="31" t="str">
        <f t="shared" si="4"/>
        <v>DA_Suffix_of_Greater_Fireball</v>
      </c>
      <c r="J166" s="31" t="str">
        <f t="shared" si="5"/>
        <v>/Game/DungeonSiege/Items/Affixes/Suffix/DA_Suffix_of_Greater_Fireball</v>
      </c>
    </row>
    <row r="167" spans="1:26" x14ac:dyDescent="0.25">
      <c r="A167" s="44">
        <v>165</v>
      </c>
      <c r="B167" s="44">
        <f>HEX2DEC(A167+Items!$A$29)</f>
        <v>101712229</v>
      </c>
      <c r="C167" s="24" t="s">
        <v>1633</v>
      </c>
      <c r="D167" s="24" t="s">
        <v>1634</v>
      </c>
      <c r="E167" s="24" t="s">
        <v>681</v>
      </c>
      <c r="F167" s="24" t="s">
        <v>682</v>
      </c>
      <c r="G167" s="24">
        <v>33</v>
      </c>
      <c r="H167" s="31" t="s">
        <v>1635</v>
      </c>
      <c r="I167" s="31" t="str">
        <f t="shared" si="4"/>
        <v>DA_Suffix_of_Teeth</v>
      </c>
      <c r="J167" s="31" t="str">
        <f t="shared" si="5"/>
        <v>/Game/DungeonSiege/Items/Affixes/Suffix/DA_Suffix_of_Teeth</v>
      </c>
    </row>
    <row r="168" spans="1:26" x14ac:dyDescent="0.25">
      <c r="A168" s="44">
        <v>166</v>
      </c>
      <c r="B168" s="44">
        <f>HEX2DEC(A168+Items!$A$29)</f>
        <v>101712230</v>
      </c>
      <c r="C168" s="24" t="s">
        <v>1636</v>
      </c>
      <c r="D168" s="24" t="s">
        <v>1637</v>
      </c>
      <c r="E168" s="24" t="s">
        <v>681</v>
      </c>
      <c r="F168" s="24" t="s">
        <v>1120</v>
      </c>
      <c r="G168" s="24">
        <v>33</v>
      </c>
      <c r="H168" s="31" t="s">
        <v>1638</v>
      </c>
      <c r="I168" s="31" t="str">
        <f t="shared" si="4"/>
        <v>DA_Suffix_of_Malevolence</v>
      </c>
      <c r="J168" s="31" t="str">
        <f t="shared" si="5"/>
        <v>/Game/DungeonSiege/Items/Affixes/Suffix/DA_Suffix_of_Malevolence</v>
      </c>
    </row>
    <row r="169" spans="1:26" x14ac:dyDescent="0.25">
      <c r="A169" s="44">
        <v>167</v>
      </c>
      <c r="B169" s="44">
        <f>HEX2DEC(A169+Items!$A$29)</f>
        <v>101712231</v>
      </c>
      <c r="C169" s="24" t="s">
        <v>1639</v>
      </c>
      <c r="D169" s="24" t="s">
        <v>703</v>
      </c>
      <c r="E169" s="24" t="s">
        <v>681</v>
      </c>
      <c r="F169" s="24" t="s">
        <v>819</v>
      </c>
      <c r="G169" s="24">
        <v>33</v>
      </c>
      <c r="H169" s="31" t="s">
        <v>1640</v>
      </c>
      <c r="I169" s="31" t="str">
        <f t="shared" si="4"/>
        <v>DA_Suffix_of_Defiance</v>
      </c>
      <c r="J169" s="31" t="str">
        <f t="shared" si="5"/>
        <v>/Game/DungeonSiege/Items/Affixes/Suffix/DA_Suffix_of_Defiance</v>
      </c>
    </row>
    <row r="170" spans="1:26" x14ac:dyDescent="0.25">
      <c r="A170" s="44">
        <v>168</v>
      </c>
      <c r="B170" s="44">
        <f>HEX2DEC(A170+Items!$A$29)</f>
        <v>101712232</v>
      </c>
      <c r="C170" s="24" t="s">
        <v>1641</v>
      </c>
      <c r="D170" s="24" t="s">
        <v>1497</v>
      </c>
      <c r="E170" s="24" t="s">
        <v>681</v>
      </c>
      <c r="F170" s="24" t="s">
        <v>686</v>
      </c>
      <c r="G170" s="24">
        <v>33</v>
      </c>
      <c r="H170" s="31" t="s">
        <v>1642</v>
      </c>
      <c r="I170" s="31" t="str">
        <f t="shared" si="4"/>
        <v>DA_Suffix_of_the_Raven</v>
      </c>
      <c r="J170" s="31" t="str">
        <f t="shared" si="5"/>
        <v>/Game/DungeonSiege/Items/Affixes/Suffix/DA_Suffix_of_the_Raven</v>
      </c>
    </row>
    <row r="171" spans="1:26" x14ac:dyDescent="0.25">
      <c r="A171" s="44">
        <v>169</v>
      </c>
      <c r="B171" s="44">
        <f>HEX2DEC(A171+Items!$A$29)</f>
        <v>101712233</v>
      </c>
      <c r="C171" s="26" t="s">
        <v>1643</v>
      </c>
      <c r="D171" s="37" t="s">
        <v>2332</v>
      </c>
      <c r="E171" s="26" t="s">
        <v>681</v>
      </c>
      <c r="F171" s="26" t="s">
        <v>682</v>
      </c>
      <c r="G171" s="26">
        <v>33</v>
      </c>
      <c r="H171" s="32" t="s">
        <v>1644</v>
      </c>
      <c r="I171" s="31" t="str">
        <f t="shared" si="4"/>
        <v>DA_Suffix_of_Frigidity</v>
      </c>
      <c r="J171" s="31" t="str">
        <f t="shared" si="5"/>
        <v>/Game/DungeonSiege/Items/Affixes/Suffix/DA_Suffix_of_Frigidity</v>
      </c>
      <c r="Z171" s="36"/>
    </row>
    <row r="172" spans="1:26" x14ac:dyDescent="0.25">
      <c r="A172" s="44">
        <v>170</v>
      </c>
      <c r="B172" s="44">
        <f>HEX2DEC(A172+Items!$A$29)</f>
        <v>101712240</v>
      </c>
      <c r="C172" s="24" t="s">
        <v>1645</v>
      </c>
      <c r="D172" s="24" t="s">
        <v>1646</v>
      </c>
      <c r="E172" s="24" t="s">
        <v>681</v>
      </c>
      <c r="F172" s="24" t="s">
        <v>1243</v>
      </c>
      <c r="G172" s="24">
        <v>33</v>
      </c>
      <c r="H172" s="31" t="s">
        <v>1647</v>
      </c>
      <c r="I172" s="31" t="str">
        <f t="shared" si="4"/>
        <v>DA_Suffix_of_Sleet</v>
      </c>
      <c r="J172" s="31" t="str">
        <f t="shared" si="5"/>
        <v>/Game/DungeonSiege/Items/Affixes/Suffix/DA_Suffix_of_Sleet</v>
      </c>
    </row>
    <row r="173" spans="1:26" x14ac:dyDescent="0.25">
      <c r="A173" s="62">
        <v>171</v>
      </c>
      <c r="B173" s="62">
        <f>HEX2DEC(A173+Items!$A$29)</f>
        <v>101712241</v>
      </c>
      <c r="C173" s="28" t="s">
        <v>1648</v>
      </c>
      <c r="D173" s="39" t="s">
        <v>2331</v>
      </c>
      <c r="E173" s="28" t="s">
        <v>850</v>
      </c>
      <c r="F173" s="28" t="s">
        <v>1650</v>
      </c>
      <c r="G173" s="28">
        <v>32</v>
      </c>
      <c r="H173" s="34" t="s">
        <v>1651</v>
      </c>
      <c r="I173" s="74" t="str">
        <f t="shared" si="4"/>
        <v>DA_Suffix_of_Virtue</v>
      </c>
      <c r="J173" s="74" t="str">
        <f t="shared" si="5"/>
        <v>/Game/DungeonSiege/Items/Affixes/Suffix/DA_Suffix_of_Virtue</v>
      </c>
      <c r="Y173" s="36"/>
    </row>
    <row r="174" spans="1:26" ht="22.5" x14ac:dyDescent="0.25">
      <c r="A174" s="44">
        <v>172</v>
      </c>
      <c r="B174" s="44">
        <f>HEX2DEC(A174+Items!$A$29)</f>
        <v>101712242</v>
      </c>
      <c r="C174" s="24" t="s">
        <v>1652</v>
      </c>
      <c r="D174" s="24" t="s">
        <v>1653</v>
      </c>
      <c r="E174" s="24" t="s">
        <v>681</v>
      </c>
      <c r="F174" s="24" t="s">
        <v>819</v>
      </c>
      <c r="G174" s="24">
        <v>32</v>
      </c>
      <c r="H174" s="31" t="s">
        <v>1654</v>
      </c>
      <c r="I174" s="31" t="str">
        <f t="shared" si="4"/>
        <v>DA_Suffix_of_Major_Multispark</v>
      </c>
      <c r="J174" s="31" t="str">
        <f t="shared" si="5"/>
        <v>/Game/DungeonSiege/Items/Affixes/Suffix/DA_Suffix_of_Major_Multispark</v>
      </c>
    </row>
    <row r="175" spans="1:26" x14ac:dyDescent="0.25">
      <c r="A175" s="44">
        <v>173</v>
      </c>
      <c r="B175" s="44">
        <f>HEX2DEC(A175+Items!$A$29)</f>
        <v>101712243</v>
      </c>
      <c r="C175" s="24" t="s">
        <v>1655</v>
      </c>
      <c r="D175" s="24" t="s">
        <v>1656</v>
      </c>
      <c r="E175" s="24" t="s">
        <v>681</v>
      </c>
      <c r="F175" s="24" t="s">
        <v>819</v>
      </c>
      <c r="G175" s="24">
        <v>32</v>
      </c>
      <c r="H175" s="31" t="s">
        <v>1657</v>
      </c>
      <c r="I175" s="31" t="str">
        <f t="shared" si="4"/>
        <v>DA_Suffix_of_Lightray</v>
      </c>
      <c r="J175" s="31" t="str">
        <f t="shared" si="5"/>
        <v>/Game/DungeonSiege/Items/Affixes/Suffix/DA_Suffix_of_Lightray</v>
      </c>
    </row>
    <row r="176" spans="1:26" x14ac:dyDescent="0.25">
      <c r="A176" s="44">
        <v>174</v>
      </c>
      <c r="B176" s="44">
        <f>HEX2DEC(A176+Items!$A$29)</f>
        <v>101712244</v>
      </c>
      <c r="C176" s="24" t="s">
        <v>1658</v>
      </c>
      <c r="D176" s="24" t="s">
        <v>1659</v>
      </c>
      <c r="E176" s="24" t="s">
        <v>681</v>
      </c>
      <c r="F176" s="24" t="s">
        <v>1120</v>
      </c>
      <c r="G176" s="24">
        <v>31</v>
      </c>
      <c r="H176" s="31" t="s">
        <v>1660</v>
      </c>
      <c r="I176" s="31" t="str">
        <f t="shared" si="4"/>
        <v>DA_Suffix_of_the_Pillager</v>
      </c>
      <c r="J176" s="31" t="str">
        <f t="shared" si="5"/>
        <v>/Game/DungeonSiege/Items/Affixes/Suffix/DA_Suffix_of_the_Pillager</v>
      </c>
    </row>
    <row r="177" spans="1:33" x14ac:dyDescent="0.25">
      <c r="A177" s="44">
        <v>175</v>
      </c>
      <c r="B177" s="44">
        <f>HEX2DEC(A177+Items!$A$29)</f>
        <v>101712245</v>
      </c>
      <c r="C177" s="24" t="s">
        <v>1661</v>
      </c>
      <c r="D177" s="24" t="s">
        <v>1662</v>
      </c>
      <c r="E177" s="24" t="s">
        <v>681</v>
      </c>
      <c r="F177" s="24" t="s">
        <v>1120</v>
      </c>
      <c r="G177" s="24">
        <v>31</v>
      </c>
      <c r="H177" s="31" t="s">
        <v>1663</v>
      </c>
      <c r="I177" s="31" t="str">
        <f t="shared" si="4"/>
        <v>DA_Suffix_of_Shadows</v>
      </c>
      <c r="J177" s="31" t="str">
        <f t="shared" si="5"/>
        <v>/Game/DungeonSiege/Items/Affixes/Suffix/DA_Suffix_of_Shadows</v>
      </c>
    </row>
    <row r="178" spans="1:33" x14ac:dyDescent="0.25">
      <c r="A178" s="44">
        <v>176</v>
      </c>
      <c r="B178" s="44">
        <f>HEX2DEC(A178+Items!$A$29)</f>
        <v>101712246</v>
      </c>
      <c r="C178" s="24" t="s">
        <v>1664</v>
      </c>
      <c r="D178" s="24" t="s">
        <v>1665</v>
      </c>
      <c r="E178" s="24" t="s">
        <v>681</v>
      </c>
      <c r="F178" s="24" t="s">
        <v>1445</v>
      </c>
      <c r="G178" s="24">
        <v>31</v>
      </c>
      <c r="H178" s="31" t="s">
        <v>1666</v>
      </c>
      <c r="I178" s="31" t="str">
        <f t="shared" si="4"/>
        <v>DA_Suffix_of_Detail</v>
      </c>
      <c r="J178" s="31" t="str">
        <f t="shared" si="5"/>
        <v>/Game/DungeonSiege/Items/Affixes/Suffix/DA_Suffix_of_Detail</v>
      </c>
    </row>
    <row r="179" spans="1:33" x14ac:dyDescent="0.25">
      <c r="A179" s="44">
        <v>177</v>
      </c>
      <c r="B179" s="44">
        <f>HEX2DEC(A179+Items!$A$29)</f>
        <v>101712247</v>
      </c>
      <c r="C179" s="24" t="s">
        <v>1667</v>
      </c>
      <c r="D179" s="24" t="s">
        <v>1668</v>
      </c>
      <c r="E179" s="24" t="s">
        <v>681</v>
      </c>
      <c r="F179" s="24" t="s">
        <v>682</v>
      </c>
      <c r="G179" s="24">
        <v>31</v>
      </c>
      <c r="H179" s="31" t="s">
        <v>1669</v>
      </c>
      <c r="I179" s="31" t="str">
        <f t="shared" si="4"/>
        <v>DA_Suffix_of_Perforation</v>
      </c>
      <c r="J179" s="31" t="str">
        <f t="shared" si="5"/>
        <v>/Game/DungeonSiege/Items/Affixes/Suffix/DA_Suffix_of_Perforation</v>
      </c>
    </row>
    <row r="180" spans="1:33" ht="22.5" x14ac:dyDescent="0.25">
      <c r="A180" s="62">
        <v>178</v>
      </c>
      <c r="B180" s="62">
        <f>HEX2DEC(A180+Items!$A$29)</f>
        <v>101712248</v>
      </c>
      <c r="C180" s="28" t="s">
        <v>1670</v>
      </c>
      <c r="D180" s="39" t="s">
        <v>2333</v>
      </c>
      <c r="E180" s="28" t="s">
        <v>850</v>
      </c>
      <c r="F180" s="28" t="s">
        <v>705</v>
      </c>
      <c r="G180" s="28">
        <v>31</v>
      </c>
      <c r="H180" s="34" t="s">
        <v>1671</v>
      </c>
      <c r="I180" s="74" t="str">
        <f t="shared" si="4"/>
        <v>DA_Suffix_of_Confidence</v>
      </c>
      <c r="J180" s="74" t="str">
        <f t="shared" si="5"/>
        <v>/Game/DungeonSiege/Items/Affixes/Suffix/DA_Suffix_of_Confidence</v>
      </c>
      <c r="AA180" s="36"/>
    </row>
    <row r="181" spans="1:33" x14ac:dyDescent="0.25">
      <c r="A181" s="62">
        <v>179</v>
      </c>
      <c r="B181" s="62">
        <f>HEX2DEC(A181+Items!$A$29)</f>
        <v>101712249</v>
      </c>
      <c r="C181" s="28" t="s">
        <v>1672</v>
      </c>
      <c r="D181" s="39" t="s">
        <v>2334</v>
      </c>
      <c r="E181" s="28" t="s">
        <v>850</v>
      </c>
      <c r="F181" s="28" t="s">
        <v>682</v>
      </c>
      <c r="G181" s="28">
        <v>31</v>
      </c>
      <c r="H181" s="34" t="s">
        <v>1673</v>
      </c>
      <c r="I181" s="74" t="str">
        <f t="shared" si="4"/>
        <v>DA_Suffix_of_Calculation</v>
      </c>
      <c r="J181" s="74" t="str">
        <f t="shared" si="5"/>
        <v>/Game/DungeonSiege/Items/Affixes/Suffix/DA_Suffix_of_Calculation</v>
      </c>
      <c r="AB181" s="36"/>
    </row>
    <row r="182" spans="1:33" x14ac:dyDescent="0.25">
      <c r="A182" s="62">
        <v>180</v>
      </c>
      <c r="B182" s="62">
        <f>HEX2DEC(A182+Items!$A$29)</f>
        <v>101712256</v>
      </c>
      <c r="C182" s="28" t="s">
        <v>1674</v>
      </c>
      <c r="D182" s="39" t="s">
        <v>2335</v>
      </c>
      <c r="E182" s="28" t="s">
        <v>850</v>
      </c>
      <c r="F182" s="28" t="s">
        <v>686</v>
      </c>
      <c r="G182" s="28">
        <v>31</v>
      </c>
      <c r="H182" s="34" t="s">
        <v>1675</v>
      </c>
      <c r="I182" s="74" t="str">
        <f t="shared" si="4"/>
        <v>DA_Suffix_of_the_Proud</v>
      </c>
      <c r="J182" s="74" t="str">
        <f t="shared" si="5"/>
        <v>/Game/DungeonSiege/Items/Affixes/Suffix/DA_Suffix_of_the_Proud</v>
      </c>
      <c r="AC182" s="36"/>
    </row>
    <row r="183" spans="1:33" ht="22.5" x14ac:dyDescent="0.25">
      <c r="A183" s="44">
        <v>181</v>
      </c>
      <c r="B183" s="44">
        <f>HEX2DEC(A183+Items!$A$29)</f>
        <v>101712257</v>
      </c>
      <c r="C183" s="24" t="s">
        <v>1676</v>
      </c>
      <c r="D183" s="24" t="s">
        <v>1677</v>
      </c>
      <c r="E183" s="24" t="s">
        <v>681</v>
      </c>
      <c r="F183" s="24" t="s">
        <v>819</v>
      </c>
      <c r="G183" s="24">
        <v>30</v>
      </c>
      <c r="H183" s="31" t="s">
        <v>1678</v>
      </c>
      <c r="I183" s="31" t="str">
        <f t="shared" si="4"/>
        <v>DA_Suffix_of_Minor_Nova_Strike</v>
      </c>
      <c r="J183" s="31" t="str">
        <f t="shared" si="5"/>
        <v>/Game/DungeonSiege/Items/Affixes/Suffix/DA_Suffix_of_Minor_Nova_Strike</v>
      </c>
    </row>
    <row r="184" spans="1:33" ht="22.5" x14ac:dyDescent="0.25">
      <c r="A184" s="62">
        <v>182</v>
      </c>
      <c r="B184" s="62">
        <f>HEX2DEC(A184+Items!$A$29)</f>
        <v>101712258</v>
      </c>
      <c r="C184" s="28" t="s">
        <v>1679</v>
      </c>
      <c r="D184" s="39" t="s">
        <v>2336</v>
      </c>
      <c r="E184" s="28" t="s">
        <v>850</v>
      </c>
      <c r="F184" s="28" t="s">
        <v>705</v>
      </c>
      <c r="G184" s="28">
        <v>29</v>
      </c>
      <c r="H184" s="34" t="s">
        <v>1682</v>
      </c>
      <c r="I184" s="74" t="str">
        <f t="shared" si="4"/>
        <v>DA_Suffix_of_Independence</v>
      </c>
      <c r="J184" s="74" t="str">
        <f t="shared" si="5"/>
        <v>/Game/DungeonSiege/Items/Affixes/Suffix/DA_Suffix_of_Independence</v>
      </c>
      <c r="AD184" s="36"/>
    </row>
    <row r="185" spans="1:33" ht="22.5" x14ac:dyDescent="0.25">
      <c r="A185" s="44">
        <v>183</v>
      </c>
      <c r="B185" s="44">
        <f>HEX2DEC(A185+Items!$A$29)</f>
        <v>101712259</v>
      </c>
      <c r="C185" s="24" t="s">
        <v>1683</v>
      </c>
      <c r="D185" s="24" t="s">
        <v>1684</v>
      </c>
      <c r="E185" s="24" t="s">
        <v>681</v>
      </c>
      <c r="F185" s="24" t="s">
        <v>819</v>
      </c>
      <c r="G185" s="24">
        <v>29</v>
      </c>
      <c r="H185" s="31" t="s">
        <v>1685</v>
      </c>
      <c r="I185" s="31" t="str">
        <f t="shared" si="4"/>
        <v>DA_Suffix_of_Greater_Lightning</v>
      </c>
      <c r="J185" s="31" t="str">
        <f t="shared" si="5"/>
        <v>/Game/DungeonSiege/Items/Affixes/Suffix/DA_Suffix_of_Greater_Lightning</v>
      </c>
    </row>
    <row r="186" spans="1:33" x14ac:dyDescent="0.25">
      <c r="A186" s="44">
        <v>184</v>
      </c>
      <c r="B186" s="44">
        <f>HEX2DEC(A186+Items!$A$29)</f>
        <v>101712260</v>
      </c>
      <c r="C186" s="24" t="s">
        <v>1686</v>
      </c>
      <c r="D186" s="24" t="s">
        <v>1687</v>
      </c>
      <c r="E186" s="24" t="s">
        <v>681</v>
      </c>
      <c r="F186" s="24" t="s">
        <v>819</v>
      </c>
      <c r="G186" s="24">
        <v>29</v>
      </c>
      <c r="H186" s="31" t="s">
        <v>1688</v>
      </c>
      <c r="I186" s="31" t="str">
        <f t="shared" si="4"/>
        <v>DA_Suffix_of_Lightning_Blast</v>
      </c>
      <c r="J186" s="31" t="str">
        <f t="shared" si="5"/>
        <v>/Game/DungeonSiege/Items/Affixes/Suffix/DA_Suffix_of_Lightning_Blast</v>
      </c>
    </row>
    <row r="187" spans="1:33" x14ac:dyDescent="0.25">
      <c r="A187" s="62">
        <v>185</v>
      </c>
      <c r="B187" s="62">
        <f>HEX2DEC(A187+Items!$A$29)</f>
        <v>101712261</v>
      </c>
      <c r="C187" s="28" t="s">
        <v>1689</v>
      </c>
      <c r="D187" s="39" t="s">
        <v>2337</v>
      </c>
      <c r="E187" s="28" t="s">
        <v>850</v>
      </c>
      <c r="F187" s="28" t="s">
        <v>682</v>
      </c>
      <c r="G187" s="28">
        <v>28</v>
      </c>
      <c r="H187" s="34" t="s">
        <v>1690</v>
      </c>
      <c r="I187" s="74" t="str">
        <f t="shared" si="4"/>
        <v>DA_Suffix_of_the_Forgiven</v>
      </c>
      <c r="J187" s="74" t="str">
        <f t="shared" si="5"/>
        <v>/Game/DungeonSiege/Items/Affixes/Suffix/DA_Suffix_of_the_Forgiven</v>
      </c>
      <c r="AE187" s="36"/>
    </row>
    <row r="188" spans="1:33" x14ac:dyDescent="0.25">
      <c r="A188" s="62">
        <v>186</v>
      </c>
      <c r="B188" s="62">
        <f>HEX2DEC(A188+Items!$A$29)</f>
        <v>101712262</v>
      </c>
      <c r="C188" s="28" t="s">
        <v>1691</v>
      </c>
      <c r="D188" s="39" t="s">
        <v>2338</v>
      </c>
      <c r="E188" s="28" t="s">
        <v>850</v>
      </c>
      <c r="F188" s="28" t="s">
        <v>682</v>
      </c>
      <c r="G188" s="28">
        <v>28</v>
      </c>
      <c r="H188" s="34" t="s">
        <v>1692</v>
      </c>
      <c r="I188" s="74" t="str">
        <f t="shared" si="4"/>
        <v>DA_Suffix_of_Conviction</v>
      </c>
      <c r="J188" s="74" t="str">
        <f t="shared" si="5"/>
        <v>/Game/DungeonSiege/Items/Affixes/Suffix/DA_Suffix_of_Conviction</v>
      </c>
      <c r="AF188" s="36"/>
    </row>
    <row r="189" spans="1:33" x14ac:dyDescent="0.25">
      <c r="A189" s="44">
        <v>187</v>
      </c>
      <c r="B189" s="44">
        <f>HEX2DEC(A189+Items!$A$29)</f>
        <v>101712263</v>
      </c>
      <c r="C189" s="24" t="s">
        <v>1693</v>
      </c>
      <c r="D189" s="24" t="s">
        <v>1694</v>
      </c>
      <c r="E189" s="24" t="s">
        <v>681</v>
      </c>
      <c r="F189" s="24" t="s">
        <v>819</v>
      </c>
      <c r="G189" s="24">
        <v>28</v>
      </c>
      <c r="H189" s="31" t="s">
        <v>1695</v>
      </c>
      <c r="I189" s="31" t="str">
        <f t="shared" si="4"/>
        <v>DA_Suffix_of_Major_Fireball</v>
      </c>
      <c r="J189" s="31" t="str">
        <f t="shared" si="5"/>
        <v>/Game/DungeonSiege/Items/Affixes/Suffix/DA_Suffix_of_Major_Fireball</v>
      </c>
    </row>
    <row r="190" spans="1:33" ht="22.5" x14ac:dyDescent="0.25">
      <c r="A190" s="44">
        <v>188</v>
      </c>
      <c r="B190" s="44">
        <f>HEX2DEC(A190+Items!$A$29)</f>
        <v>101712264</v>
      </c>
      <c r="C190" s="24" t="s">
        <v>1696</v>
      </c>
      <c r="D190" s="24" t="s">
        <v>1697</v>
      </c>
      <c r="E190" s="24" t="s">
        <v>681</v>
      </c>
      <c r="F190" s="24" t="s">
        <v>819</v>
      </c>
      <c r="G190" s="24">
        <v>28</v>
      </c>
      <c r="H190" s="31" t="s">
        <v>1698</v>
      </c>
      <c r="I190" s="31" t="str">
        <f t="shared" si="4"/>
        <v>DA_Suffix_of_Minor_Firebomb</v>
      </c>
      <c r="J190" s="31" t="str">
        <f t="shared" si="5"/>
        <v>/Game/DungeonSiege/Items/Affixes/Suffix/DA_Suffix_of_Minor_Firebomb</v>
      </c>
    </row>
    <row r="191" spans="1:33" x14ac:dyDescent="0.25">
      <c r="A191" s="62">
        <v>189</v>
      </c>
      <c r="B191" s="62">
        <f>HEX2DEC(A191+Items!$A$29)</f>
        <v>101712265</v>
      </c>
      <c r="C191" s="28" t="s">
        <v>1699</v>
      </c>
      <c r="D191" s="39" t="s">
        <v>2339</v>
      </c>
      <c r="E191" s="28" t="s">
        <v>850</v>
      </c>
      <c r="F191" s="28" t="s">
        <v>686</v>
      </c>
      <c r="G191" s="28">
        <v>27</v>
      </c>
      <c r="H191" s="34" t="s">
        <v>1700</v>
      </c>
      <c r="I191" s="74" t="str">
        <f t="shared" si="4"/>
        <v>DA_Suffix_of_Risk</v>
      </c>
      <c r="J191" s="74" t="str">
        <f t="shared" si="5"/>
        <v>/Game/DungeonSiege/Items/Affixes/Suffix/DA_Suffix_of_Risk</v>
      </c>
      <c r="AG191" s="36"/>
    </row>
    <row r="192" spans="1:33" x14ac:dyDescent="0.25">
      <c r="A192" s="44">
        <v>190</v>
      </c>
      <c r="B192" s="44">
        <f>HEX2DEC(A192+Items!$A$29)</f>
        <v>101712272</v>
      </c>
      <c r="C192" s="24" t="s">
        <v>1701</v>
      </c>
      <c r="D192" s="24" t="s">
        <v>1702</v>
      </c>
      <c r="E192" s="24" t="s">
        <v>681</v>
      </c>
      <c r="F192" s="24" t="s">
        <v>686</v>
      </c>
      <c r="G192" s="24">
        <v>26</v>
      </c>
      <c r="H192" s="31" t="s">
        <v>1703</v>
      </c>
      <c r="I192" s="31" t="str">
        <f t="shared" si="4"/>
        <v>DA_Suffix_of_Talent</v>
      </c>
      <c r="J192" s="31" t="str">
        <f t="shared" si="5"/>
        <v>/Game/DungeonSiege/Items/Affixes/Suffix/DA_Suffix_of_Talent</v>
      </c>
    </row>
    <row r="193" spans="1:35" x14ac:dyDescent="0.25">
      <c r="A193" s="62">
        <v>191</v>
      </c>
      <c r="B193" s="62">
        <f>HEX2DEC(A193+Items!$A$29)</f>
        <v>101712273</v>
      </c>
      <c r="C193" s="28" t="s">
        <v>1704</v>
      </c>
      <c r="D193" s="39" t="s">
        <v>2340</v>
      </c>
      <c r="E193" s="28" t="s">
        <v>850</v>
      </c>
      <c r="F193" s="28" t="s">
        <v>686</v>
      </c>
      <c r="G193" s="28">
        <v>26</v>
      </c>
      <c r="H193" s="34" t="s">
        <v>1706</v>
      </c>
      <c r="I193" s="74" t="str">
        <f t="shared" si="4"/>
        <v>DA_Suffix_of_Reliance</v>
      </c>
      <c r="J193" s="74" t="str">
        <f t="shared" si="5"/>
        <v>/Game/DungeonSiege/Items/Affixes/Suffix/DA_Suffix_of_Reliance</v>
      </c>
      <c r="AH193" s="36"/>
    </row>
    <row r="194" spans="1:35" ht="22.5" x14ac:dyDescent="0.25">
      <c r="A194" s="62">
        <v>192</v>
      </c>
      <c r="B194" s="62">
        <f>HEX2DEC(A194+Items!$A$29)</f>
        <v>101712274</v>
      </c>
      <c r="C194" s="28" t="s">
        <v>1707</v>
      </c>
      <c r="D194" s="39" t="s">
        <v>2341</v>
      </c>
      <c r="E194" s="28" t="s">
        <v>850</v>
      </c>
      <c r="F194" s="28" t="s">
        <v>705</v>
      </c>
      <c r="G194" s="28">
        <v>26</v>
      </c>
      <c r="H194" s="34" t="s">
        <v>1708</v>
      </c>
      <c r="I194" s="74" t="str">
        <f t="shared" si="4"/>
        <v>DA_Suffix_of_Aspiration</v>
      </c>
      <c r="J194" s="74" t="str">
        <f t="shared" si="5"/>
        <v>/Game/DungeonSiege/Items/Affixes/Suffix/DA_Suffix_of_Aspiration</v>
      </c>
      <c r="AI194" s="36"/>
    </row>
    <row r="195" spans="1:35" x14ac:dyDescent="0.25">
      <c r="A195" s="44">
        <v>193</v>
      </c>
      <c r="B195" s="44">
        <f>HEX2DEC(A195+Items!$A$29)</f>
        <v>101712275</v>
      </c>
      <c r="C195" s="24" t="s">
        <v>1709</v>
      </c>
      <c r="D195" s="24" t="s">
        <v>1710</v>
      </c>
      <c r="E195" s="24" t="s">
        <v>681</v>
      </c>
      <c r="F195" s="24" t="s">
        <v>819</v>
      </c>
      <c r="G195" s="24">
        <v>26</v>
      </c>
      <c r="H195" s="31" t="s">
        <v>1711</v>
      </c>
      <c r="I195" s="31" t="str">
        <f t="shared" ref="I195:I258" si="6">"DA_Suffix_"&amp; SUBSTITUTE(C195," ","_")</f>
        <v>DA_Suffix_of_Multispark</v>
      </c>
      <c r="J195" s="31" t="str">
        <f t="shared" ref="J195:J258" si="7">"/Game/DungeonSiege/Items/Affixes/Suffix/" &amp; I195</f>
        <v>/Game/DungeonSiege/Items/Affixes/Suffix/DA_Suffix_of_Multispark</v>
      </c>
    </row>
    <row r="196" spans="1:35" ht="22.5" x14ac:dyDescent="0.25">
      <c r="A196" s="44">
        <v>194</v>
      </c>
      <c r="B196" s="44">
        <f>HEX2DEC(A196+Items!$A$29)</f>
        <v>101712276</v>
      </c>
      <c r="C196" s="24" t="s">
        <v>1712</v>
      </c>
      <c r="D196" s="24" t="s">
        <v>1713</v>
      </c>
      <c r="E196" s="24" t="s">
        <v>681</v>
      </c>
      <c r="F196" s="24" t="s">
        <v>819</v>
      </c>
      <c r="G196" s="24">
        <v>26</v>
      </c>
      <c r="H196" s="31" t="s">
        <v>1714</v>
      </c>
      <c r="I196" s="31" t="str">
        <f t="shared" si="6"/>
        <v>DA_Suffix_of_Minor_Starburst</v>
      </c>
      <c r="J196" s="31" t="str">
        <f t="shared" si="7"/>
        <v>/Game/DungeonSiege/Items/Affixes/Suffix/DA_Suffix_of_Minor_Starburst</v>
      </c>
    </row>
    <row r="197" spans="1:35" ht="22.5" x14ac:dyDescent="0.25">
      <c r="A197" s="44">
        <v>195</v>
      </c>
      <c r="B197" s="44">
        <f>HEX2DEC(A197+Items!$A$29)</f>
        <v>101712277</v>
      </c>
      <c r="C197" s="24" t="s">
        <v>1715</v>
      </c>
      <c r="D197" s="24" t="s">
        <v>278</v>
      </c>
      <c r="E197" s="24" t="s">
        <v>681</v>
      </c>
      <c r="F197" s="24" t="s">
        <v>705</v>
      </c>
      <c r="G197" s="24">
        <v>25</v>
      </c>
      <c r="H197" s="31" t="s">
        <v>1716</v>
      </c>
      <c r="I197" s="31" t="str">
        <f t="shared" si="6"/>
        <v>DA_Suffix_of_Robustness</v>
      </c>
      <c r="J197" s="31" t="str">
        <f t="shared" si="7"/>
        <v>/Game/DungeonSiege/Items/Affixes/Suffix/DA_Suffix_of_Robustness</v>
      </c>
    </row>
    <row r="198" spans="1:35" ht="22.5" x14ac:dyDescent="0.25">
      <c r="A198" s="44">
        <v>196</v>
      </c>
      <c r="B198" s="44">
        <f>HEX2DEC(A198+Items!$A$29)</f>
        <v>101712278</v>
      </c>
      <c r="C198" s="24" t="s">
        <v>136</v>
      </c>
      <c r="D198" s="24" t="s">
        <v>135</v>
      </c>
      <c r="E198" s="24" t="s">
        <v>681</v>
      </c>
      <c r="F198" s="24" t="s">
        <v>1226</v>
      </c>
      <c r="G198" s="24">
        <v>25</v>
      </c>
      <c r="H198" s="31" t="s">
        <v>134</v>
      </c>
      <c r="I198" s="31" t="str">
        <f t="shared" si="6"/>
        <v>DA_Suffix_of_Knowledge</v>
      </c>
      <c r="J198" s="31" t="str">
        <f t="shared" si="7"/>
        <v>/Game/DungeonSiege/Items/Affixes/Suffix/DA_Suffix_of_Knowledge</v>
      </c>
    </row>
    <row r="199" spans="1:35" ht="22.5" x14ac:dyDescent="0.25">
      <c r="A199" s="44">
        <v>197</v>
      </c>
      <c r="B199" s="44">
        <f>HEX2DEC(A199+Items!$A$29)</f>
        <v>101712279</v>
      </c>
      <c r="C199" s="24" t="s">
        <v>133</v>
      </c>
      <c r="D199" s="24" t="s">
        <v>132</v>
      </c>
      <c r="E199" s="24" t="s">
        <v>681</v>
      </c>
      <c r="F199" s="24" t="s">
        <v>1382</v>
      </c>
      <c r="G199" s="24">
        <v>25</v>
      </c>
      <c r="H199" s="31" t="s">
        <v>131</v>
      </c>
      <c r="I199" s="31" t="str">
        <f t="shared" si="6"/>
        <v>DA_Suffix_of_Recovery</v>
      </c>
      <c r="J199" s="31" t="str">
        <f t="shared" si="7"/>
        <v>/Game/DungeonSiege/Items/Affixes/Suffix/DA_Suffix_of_Recovery</v>
      </c>
    </row>
    <row r="200" spans="1:35" x14ac:dyDescent="0.25">
      <c r="A200" s="44">
        <v>198</v>
      </c>
      <c r="B200" s="44">
        <f>HEX2DEC(A200+Items!$A$29)</f>
        <v>101712280</v>
      </c>
      <c r="C200" s="24" t="s">
        <v>1717</v>
      </c>
      <c r="D200" s="24" t="s">
        <v>1718</v>
      </c>
      <c r="E200" s="24" t="s">
        <v>681</v>
      </c>
      <c r="F200" s="24" t="s">
        <v>686</v>
      </c>
      <c r="G200" s="24">
        <v>25</v>
      </c>
      <c r="H200" s="31" t="s">
        <v>1719</v>
      </c>
      <c r="I200" s="31" t="str">
        <f t="shared" si="6"/>
        <v>DA_Suffix_of_Momentum</v>
      </c>
      <c r="J200" s="31" t="str">
        <f t="shared" si="7"/>
        <v>/Game/DungeonSiege/Items/Affixes/Suffix/DA_Suffix_of_Momentum</v>
      </c>
    </row>
    <row r="201" spans="1:35" x14ac:dyDescent="0.25">
      <c r="A201" s="44">
        <v>199</v>
      </c>
      <c r="B201" s="44">
        <f>HEX2DEC(A201+Items!$A$29)</f>
        <v>101712281</v>
      </c>
      <c r="C201" s="24" t="s">
        <v>1720</v>
      </c>
      <c r="D201" s="24" t="s">
        <v>1721</v>
      </c>
      <c r="E201" s="24" t="s">
        <v>681</v>
      </c>
      <c r="F201" s="24" t="s">
        <v>1219</v>
      </c>
      <c r="G201" s="24">
        <v>25</v>
      </c>
      <c r="H201" s="31" t="s">
        <v>1722</v>
      </c>
      <c r="I201" s="31" t="str">
        <f t="shared" si="6"/>
        <v>DA_Suffix_of_Vastness</v>
      </c>
      <c r="J201" s="31" t="str">
        <f t="shared" si="7"/>
        <v>/Game/DungeonSiege/Items/Affixes/Suffix/DA_Suffix_of_Vastness</v>
      </c>
    </row>
    <row r="202" spans="1:35" x14ac:dyDescent="0.25">
      <c r="A202" s="44">
        <v>200</v>
      </c>
      <c r="B202" s="44">
        <f>HEX2DEC(A202+Items!$A$29)</f>
        <v>101712384</v>
      </c>
      <c r="C202" s="24" t="s">
        <v>1723</v>
      </c>
      <c r="D202" s="24" t="s">
        <v>1724</v>
      </c>
      <c r="E202" s="24" t="s">
        <v>681</v>
      </c>
      <c r="F202" s="24" t="s">
        <v>1219</v>
      </c>
      <c r="G202" s="24">
        <v>25</v>
      </c>
      <c r="H202" s="31" t="s">
        <v>1725</v>
      </c>
      <c r="I202" s="31" t="str">
        <f t="shared" si="6"/>
        <v>DA_Suffix_of_Rivalry</v>
      </c>
      <c r="J202" s="31" t="str">
        <f t="shared" si="7"/>
        <v>/Game/DungeonSiege/Items/Affixes/Suffix/DA_Suffix_of_Rivalry</v>
      </c>
    </row>
    <row r="203" spans="1:35" x14ac:dyDescent="0.25">
      <c r="A203" s="44">
        <v>201</v>
      </c>
      <c r="B203" s="44">
        <f>HEX2DEC(A203+Items!$A$29)</f>
        <v>101712385</v>
      </c>
      <c r="C203" s="24" t="s">
        <v>1726</v>
      </c>
      <c r="D203" s="24" t="s">
        <v>1727</v>
      </c>
      <c r="E203" s="24" t="s">
        <v>681</v>
      </c>
      <c r="F203" s="24" t="s">
        <v>1219</v>
      </c>
      <c r="G203" s="24">
        <v>25</v>
      </c>
      <c r="H203" s="31" t="s">
        <v>1728</v>
      </c>
      <c r="I203" s="31" t="str">
        <f t="shared" si="6"/>
        <v>DA_Suffix_of_Vitality</v>
      </c>
      <c r="J203" s="31" t="str">
        <f t="shared" si="7"/>
        <v>/Game/DungeonSiege/Items/Affixes/Suffix/DA_Suffix_of_Vitality</v>
      </c>
    </row>
    <row r="204" spans="1:35" x14ac:dyDescent="0.25">
      <c r="A204" s="44">
        <v>202</v>
      </c>
      <c r="B204" s="44">
        <f>HEX2DEC(A204+Items!$A$29)</f>
        <v>101712386</v>
      </c>
      <c r="C204" s="24" t="s">
        <v>1729</v>
      </c>
      <c r="D204" s="24" t="s">
        <v>1730</v>
      </c>
      <c r="E204" s="24" t="s">
        <v>681</v>
      </c>
      <c r="F204" s="24" t="s">
        <v>1219</v>
      </c>
      <c r="G204" s="24">
        <v>25</v>
      </c>
      <c r="H204" s="31" t="s">
        <v>1731</v>
      </c>
      <c r="I204" s="31" t="str">
        <f t="shared" si="6"/>
        <v>DA_Suffix_of_Disparity</v>
      </c>
      <c r="J204" s="31" t="str">
        <f t="shared" si="7"/>
        <v>/Game/DungeonSiege/Items/Affixes/Suffix/DA_Suffix_of_Disparity</v>
      </c>
    </row>
    <row r="205" spans="1:35" x14ac:dyDescent="0.25">
      <c r="A205" s="44">
        <v>203</v>
      </c>
      <c r="B205" s="44">
        <f>HEX2DEC(A205+Items!$A$29)</f>
        <v>101712387</v>
      </c>
      <c r="C205" s="24" t="s">
        <v>1732</v>
      </c>
      <c r="D205" s="24" t="s">
        <v>1733</v>
      </c>
      <c r="E205" s="24" t="s">
        <v>681</v>
      </c>
      <c r="F205" s="24" t="s">
        <v>682</v>
      </c>
      <c r="G205" s="24">
        <v>25</v>
      </c>
      <c r="H205" s="31" t="s">
        <v>1734</v>
      </c>
      <c r="I205" s="31" t="str">
        <f t="shared" si="6"/>
        <v>DA_Suffix_of_Scorching</v>
      </c>
      <c r="J205" s="31" t="str">
        <f t="shared" si="7"/>
        <v>/Game/DungeonSiege/Items/Affixes/Suffix/DA_Suffix_of_Scorching</v>
      </c>
    </row>
    <row r="206" spans="1:35" x14ac:dyDescent="0.25">
      <c r="A206" s="44">
        <v>204</v>
      </c>
      <c r="B206" s="44">
        <f>HEX2DEC(A206+Items!$A$29)</f>
        <v>101712388</v>
      </c>
      <c r="C206" s="24" t="s">
        <v>1735</v>
      </c>
      <c r="D206" s="24" t="s">
        <v>1736</v>
      </c>
      <c r="E206" s="24" t="s">
        <v>681</v>
      </c>
      <c r="F206" s="24" t="s">
        <v>686</v>
      </c>
      <c r="G206" s="24">
        <v>25</v>
      </c>
      <c r="H206" s="31" t="s">
        <v>1737</v>
      </c>
      <c r="I206" s="31" t="str">
        <f t="shared" si="6"/>
        <v>DA_Suffix_of_Coals</v>
      </c>
      <c r="J206" s="31" t="str">
        <f t="shared" si="7"/>
        <v>/Game/DungeonSiege/Items/Affixes/Suffix/DA_Suffix_of_Coals</v>
      </c>
    </row>
    <row r="207" spans="1:35" x14ac:dyDescent="0.25">
      <c r="A207" s="44">
        <v>205</v>
      </c>
      <c r="B207" s="44">
        <f>HEX2DEC(A207+Items!$A$29)</f>
        <v>101712389</v>
      </c>
      <c r="C207" s="24" t="s">
        <v>1738</v>
      </c>
      <c r="D207" s="24" t="s">
        <v>129</v>
      </c>
      <c r="E207" s="24" t="s">
        <v>681</v>
      </c>
      <c r="F207" s="24" t="s">
        <v>813</v>
      </c>
      <c r="G207" s="24">
        <v>25</v>
      </c>
      <c r="H207" s="31" t="s">
        <v>128</v>
      </c>
      <c r="I207" s="31" t="str">
        <f t="shared" si="6"/>
        <v>DA_Suffix_of_The_Frigid</v>
      </c>
      <c r="J207" s="31" t="str">
        <f t="shared" si="7"/>
        <v>/Game/DungeonSiege/Items/Affixes/Suffix/DA_Suffix_of_The_Frigid</v>
      </c>
    </row>
    <row r="208" spans="1:35" x14ac:dyDescent="0.25">
      <c r="A208" s="44">
        <v>206</v>
      </c>
      <c r="B208" s="44">
        <f>HEX2DEC(A208+Items!$A$29)</f>
        <v>101712390</v>
      </c>
      <c r="C208" s="24" t="s">
        <v>1739</v>
      </c>
      <c r="D208" s="24" t="s">
        <v>126</v>
      </c>
      <c r="E208" s="24" t="s">
        <v>681</v>
      </c>
      <c r="F208" s="24" t="s">
        <v>813</v>
      </c>
      <c r="G208" s="24">
        <v>25</v>
      </c>
      <c r="H208" s="31" t="s">
        <v>125</v>
      </c>
      <c r="I208" s="31" t="str">
        <f t="shared" si="6"/>
        <v>DA_Suffix_of_The_Fire</v>
      </c>
      <c r="J208" s="31" t="str">
        <f t="shared" si="7"/>
        <v>/Game/DungeonSiege/Items/Affixes/Suffix/DA_Suffix_of_The_Fire</v>
      </c>
    </row>
    <row r="209" spans="1:40" x14ac:dyDescent="0.25">
      <c r="A209" s="44">
        <v>207</v>
      </c>
      <c r="B209" s="44">
        <f>HEX2DEC(A209+Items!$A$29)</f>
        <v>101712391</v>
      </c>
      <c r="C209" s="24" t="s">
        <v>1740</v>
      </c>
      <c r="D209" s="24" t="s">
        <v>123</v>
      </c>
      <c r="E209" s="24" t="s">
        <v>681</v>
      </c>
      <c r="F209" s="24" t="s">
        <v>813</v>
      </c>
      <c r="G209" s="24">
        <v>25</v>
      </c>
      <c r="H209" s="31" t="s">
        <v>122</v>
      </c>
      <c r="I209" s="31" t="str">
        <f t="shared" si="6"/>
        <v>DA_Suffix_of_The_Spark</v>
      </c>
      <c r="J209" s="31" t="str">
        <f t="shared" si="7"/>
        <v>/Game/DungeonSiege/Items/Affixes/Suffix/DA_Suffix_of_The_Spark</v>
      </c>
    </row>
    <row r="210" spans="1:40" x14ac:dyDescent="0.25">
      <c r="A210" s="44">
        <v>208</v>
      </c>
      <c r="B210" s="44">
        <f>HEX2DEC(A210+Items!$A$29)</f>
        <v>101712392</v>
      </c>
      <c r="C210" s="24" t="s">
        <v>121</v>
      </c>
      <c r="D210" s="24" t="s">
        <v>120</v>
      </c>
      <c r="E210" s="24" t="s">
        <v>681</v>
      </c>
      <c r="F210" s="24" t="s">
        <v>813</v>
      </c>
      <c r="G210" s="24">
        <v>25</v>
      </c>
      <c r="H210" s="31" t="s">
        <v>119</v>
      </c>
      <c r="I210" s="31" t="str">
        <f t="shared" si="6"/>
        <v>DA_Suffix_of_Commanding</v>
      </c>
      <c r="J210" s="31" t="str">
        <f t="shared" si="7"/>
        <v>/Game/DungeonSiege/Items/Affixes/Suffix/DA_Suffix_of_Commanding</v>
      </c>
    </row>
    <row r="211" spans="1:40" x14ac:dyDescent="0.25">
      <c r="A211" s="44">
        <v>209</v>
      </c>
      <c r="B211" s="44">
        <f>HEX2DEC(A211+Items!$A$29)</f>
        <v>101712393</v>
      </c>
      <c r="C211" s="24" t="s">
        <v>118</v>
      </c>
      <c r="D211" s="24" t="s">
        <v>117</v>
      </c>
      <c r="E211" s="24" t="s">
        <v>681</v>
      </c>
      <c r="F211" s="24" t="s">
        <v>813</v>
      </c>
      <c r="G211" s="24">
        <v>25</v>
      </c>
      <c r="H211" s="31" t="s">
        <v>116</v>
      </c>
      <c r="I211" s="31" t="str">
        <f t="shared" si="6"/>
        <v>DA_Suffix_of_Mercy</v>
      </c>
      <c r="J211" s="31" t="str">
        <f t="shared" si="7"/>
        <v>/Game/DungeonSiege/Items/Affixes/Suffix/DA_Suffix_of_Mercy</v>
      </c>
    </row>
    <row r="212" spans="1:40" ht="22.5" x14ac:dyDescent="0.25">
      <c r="A212" s="44">
        <v>210</v>
      </c>
      <c r="B212" s="44">
        <f>HEX2DEC(A212+Items!$A$29)</f>
        <v>101712400</v>
      </c>
      <c r="C212" s="24" t="s">
        <v>1741</v>
      </c>
      <c r="D212" s="24" t="s">
        <v>1742</v>
      </c>
      <c r="E212" s="24" t="s">
        <v>681</v>
      </c>
      <c r="F212" s="24" t="s">
        <v>819</v>
      </c>
      <c r="G212" s="24">
        <v>25</v>
      </c>
      <c r="H212" s="31" t="s">
        <v>1743</v>
      </c>
      <c r="I212" s="31" t="str">
        <f t="shared" si="6"/>
        <v>DA_Suffix_of_Greater_Fireskull</v>
      </c>
      <c r="J212" s="31" t="str">
        <f t="shared" si="7"/>
        <v>/Game/DungeonSiege/Items/Affixes/Suffix/DA_Suffix_of_Greater_Fireskull</v>
      </c>
    </row>
    <row r="213" spans="1:40" ht="22.5" x14ac:dyDescent="0.25">
      <c r="A213" s="62">
        <v>211</v>
      </c>
      <c r="B213" s="62">
        <f>HEX2DEC(A213+Items!$A$29)</f>
        <v>101712401</v>
      </c>
      <c r="C213" s="28" t="s">
        <v>1744</v>
      </c>
      <c r="D213" s="39" t="s">
        <v>2342</v>
      </c>
      <c r="E213" s="28" t="s">
        <v>850</v>
      </c>
      <c r="F213" s="28" t="s">
        <v>705</v>
      </c>
      <c r="G213" s="28">
        <v>24</v>
      </c>
      <c r="H213" s="34" t="s">
        <v>1745</v>
      </c>
      <c r="I213" s="74" t="str">
        <f t="shared" si="6"/>
        <v>DA_Suffix_of_Courage</v>
      </c>
      <c r="J213" s="74" t="str">
        <f t="shared" si="7"/>
        <v>/Game/DungeonSiege/Items/Affixes/Suffix/DA_Suffix_of_Courage</v>
      </c>
      <c r="AJ213" s="36"/>
    </row>
    <row r="214" spans="1:40" x14ac:dyDescent="0.25">
      <c r="A214" s="44">
        <v>212</v>
      </c>
      <c r="B214" s="44">
        <f>HEX2DEC(A214+Items!$A$29)</f>
        <v>101712402</v>
      </c>
      <c r="C214" s="24" t="s">
        <v>1746</v>
      </c>
      <c r="D214" s="24" t="s">
        <v>1747</v>
      </c>
      <c r="E214" s="24" t="s">
        <v>681</v>
      </c>
      <c r="F214" s="24" t="s">
        <v>819</v>
      </c>
      <c r="G214" s="24">
        <v>24</v>
      </c>
      <c r="H214" s="31" t="s">
        <v>1748</v>
      </c>
      <c r="I214" s="31" t="str">
        <f t="shared" si="6"/>
        <v>DA_Suffix_of_Minor_Lightray</v>
      </c>
      <c r="J214" s="31" t="str">
        <f t="shared" si="7"/>
        <v>/Game/DungeonSiege/Items/Affixes/Suffix/DA_Suffix_of_Minor_Lightray</v>
      </c>
    </row>
    <row r="215" spans="1:40" ht="22.5" x14ac:dyDescent="0.25">
      <c r="A215" s="62">
        <v>213</v>
      </c>
      <c r="B215" s="62">
        <f>HEX2DEC(A215+Items!$A$29)</f>
        <v>101712403</v>
      </c>
      <c r="C215" s="28" t="s">
        <v>1749</v>
      </c>
      <c r="D215" s="39" t="s">
        <v>2343</v>
      </c>
      <c r="E215" s="28" t="s">
        <v>850</v>
      </c>
      <c r="F215" s="28" t="s">
        <v>705</v>
      </c>
      <c r="G215" s="28">
        <v>23</v>
      </c>
      <c r="H215" s="34" t="s">
        <v>1750</v>
      </c>
      <c r="I215" s="74" t="str">
        <f t="shared" si="6"/>
        <v>DA_Suffix_of_Valor</v>
      </c>
      <c r="J215" s="74" t="str">
        <f t="shared" si="7"/>
        <v>/Game/DungeonSiege/Items/Affixes/Suffix/DA_Suffix_of_Valor</v>
      </c>
      <c r="AK215" s="36"/>
    </row>
    <row r="216" spans="1:40" ht="22.5" x14ac:dyDescent="0.25">
      <c r="A216" s="62">
        <v>214</v>
      </c>
      <c r="B216" s="62">
        <f>HEX2DEC(A216+Items!$A$29)</f>
        <v>101712404</v>
      </c>
      <c r="C216" s="28" t="s">
        <v>1751</v>
      </c>
      <c r="D216" s="39" t="s">
        <v>2344</v>
      </c>
      <c r="E216" s="28" t="s">
        <v>850</v>
      </c>
      <c r="F216" s="28" t="s">
        <v>705</v>
      </c>
      <c r="G216" s="28">
        <v>23</v>
      </c>
      <c r="H216" s="34" t="s">
        <v>1752</v>
      </c>
      <c r="I216" s="74" t="str">
        <f t="shared" si="6"/>
        <v>DA_Suffix_of_Retaliation</v>
      </c>
      <c r="J216" s="74" t="str">
        <f t="shared" si="7"/>
        <v>/Game/DungeonSiege/Items/Affixes/Suffix/DA_Suffix_of_Retaliation</v>
      </c>
      <c r="AL216" s="36"/>
    </row>
    <row r="217" spans="1:40" ht="22.5" x14ac:dyDescent="0.25">
      <c r="A217" s="62">
        <v>215</v>
      </c>
      <c r="B217" s="62">
        <f>HEX2DEC(A217+Items!$A$29)</f>
        <v>101712405</v>
      </c>
      <c r="C217" s="28" t="s">
        <v>1753</v>
      </c>
      <c r="D217" s="39" t="s">
        <v>2345</v>
      </c>
      <c r="E217" s="28" t="s">
        <v>850</v>
      </c>
      <c r="F217" s="28" t="s">
        <v>705</v>
      </c>
      <c r="G217" s="28">
        <v>23</v>
      </c>
      <c r="H217" s="34" t="s">
        <v>1754</v>
      </c>
      <c r="I217" s="74" t="str">
        <f t="shared" si="6"/>
        <v>DA_Suffix_of_Secrecy</v>
      </c>
      <c r="J217" s="74" t="str">
        <f t="shared" si="7"/>
        <v>/Game/DungeonSiege/Items/Affixes/Suffix/DA_Suffix_of_Secrecy</v>
      </c>
      <c r="AM217" s="36"/>
    </row>
    <row r="218" spans="1:40" x14ac:dyDescent="0.25">
      <c r="A218" s="44">
        <v>216</v>
      </c>
      <c r="B218" s="44">
        <f>HEX2DEC(A218+Items!$A$29)</f>
        <v>101712406</v>
      </c>
      <c r="C218" s="24" t="s">
        <v>1755</v>
      </c>
      <c r="D218" s="24" t="s">
        <v>1756</v>
      </c>
      <c r="E218" s="24" t="s">
        <v>681</v>
      </c>
      <c r="F218" s="24" t="s">
        <v>819</v>
      </c>
      <c r="G218" s="24">
        <v>23</v>
      </c>
      <c r="H218" s="31" t="s">
        <v>1757</v>
      </c>
      <c r="I218" s="31" t="str">
        <f t="shared" si="6"/>
        <v>DA_Suffix_of_Fireball</v>
      </c>
      <c r="J218" s="31" t="str">
        <f t="shared" si="7"/>
        <v>/Game/DungeonSiege/Items/Affixes/Suffix/DA_Suffix_of_Fireball</v>
      </c>
    </row>
    <row r="219" spans="1:40" ht="22.5" x14ac:dyDescent="0.25">
      <c r="A219" s="44">
        <v>217</v>
      </c>
      <c r="B219" s="44">
        <f>HEX2DEC(A219+Items!$A$29)</f>
        <v>101712407</v>
      </c>
      <c r="C219" s="24" t="s">
        <v>115</v>
      </c>
      <c r="D219" s="24" t="s">
        <v>114</v>
      </c>
      <c r="E219" s="24" t="s">
        <v>681</v>
      </c>
      <c r="F219" s="24" t="s">
        <v>1226</v>
      </c>
      <c r="G219" s="24">
        <v>22</v>
      </c>
      <c r="H219" s="31" t="s">
        <v>113</v>
      </c>
      <c r="I219" s="31" t="str">
        <f t="shared" si="6"/>
        <v>DA_Suffix_of_the_Nimble</v>
      </c>
      <c r="J219" s="31" t="str">
        <f t="shared" si="7"/>
        <v>/Game/DungeonSiege/Items/Affixes/Suffix/DA_Suffix_of_the_Nimble</v>
      </c>
    </row>
    <row r="220" spans="1:40" x14ac:dyDescent="0.25">
      <c r="A220" s="44">
        <v>218</v>
      </c>
      <c r="B220" s="44">
        <f>HEX2DEC(A220+Items!$A$29)</f>
        <v>101712408</v>
      </c>
      <c r="C220" s="24" t="s">
        <v>1758</v>
      </c>
      <c r="D220" s="24" t="s">
        <v>1759</v>
      </c>
      <c r="E220" s="24" t="s">
        <v>681</v>
      </c>
      <c r="F220" s="24" t="s">
        <v>1120</v>
      </c>
      <c r="G220" s="24">
        <v>22</v>
      </c>
      <c r="H220" s="31" t="s">
        <v>1760</v>
      </c>
      <c r="I220" s="31" t="str">
        <f t="shared" si="6"/>
        <v>DA_Suffix_of_Excess</v>
      </c>
      <c r="J220" s="31" t="str">
        <f t="shared" si="7"/>
        <v>/Game/DungeonSiege/Items/Affixes/Suffix/DA_Suffix_of_Excess</v>
      </c>
    </row>
    <row r="221" spans="1:40" x14ac:dyDescent="0.25">
      <c r="A221" s="44">
        <v>219</v>
      </c>
      <c r="B221" s="44">
        <f>HEX2DEC(A221+Items!$A$29)</f>
        <v>101712409</v>
      </c>
      <c r="C221" s="24" t="s">
        <v>1761</v>
      </c>
      <c r="D221" s="24" t="s">
        <v>1762</v>
      </c>
      <c r="E221" s="24" t="s">
        <v>681</v>
      </c>
      <c r="F221" s="24" t="s">
        <v>686</v>
      </c>
      <c r="G221" s="24">
        <v>22</v>
      </c>
      <c r="H221" s="31" t="s">
        <v>1763</v>
      </c>
      <c r="I221" s="31" t="str">
        <f t="shared" si="6"/>
        <v>DA_Suffix_of_Stride</v>
      </c>
      <c r="J221" s="31" t="str">
        <f t="shared" si="7"/>
        <v>/Game/DungeonSiege/Items/Affixes/Suffix/DA_Suffix_of_Stride</v>
      </c>
    </row>
    <row r="222" spans="1:40" x14ac:dyDescent="0.25">
      <c r="A222" s="44">
        <v>220</v>
      </c>
      <c r="B222" s="44">
        <f>HEX2DEC(A222+Items!$A$29)</f>
        <v>101712416</v>
      </c>
      <c r="C222" s="24" t="s">
        <v>1764</v>
      </c>
      <c r="D222" s="24" t="s">
        <v>1765</v>
      </c>
      <c r="E222" s="24" t="s">
        <v>681</v>
      </c>
      <c r="F222" s="24" t="s">
        <v>682</v>
      </c>
      <c r="G222" s="24">
        <v>22</v>
      </c>
      <c r="H222" s="31" t="s">
        <v>1766</v>
      </c>
      <c r="I222" s="31" t="str">
        <f t="shared" si="6"/>
        <v>DA_Suffix_of_the_Wild</v>
      </c>
      <c r="J222" s="31" t="str">
        <f t="shared" si="7"/>
        <v>/Game/DungeonSiege/Items/Affixes/Suffix/DA_Suffix_of_the_Wild</v>
      </c>
    </row>
    <row r="223" spans="1:40" x14ac:dyDescent="0.25">
      <c r="A223" s="44">
        <v>221</v>
      </c>
      <c r="B223" s="44">
        <f>HEX2DEC(A223+Items!$A$29)</f>
        <v>101712417</v>
      </c>
      <c r="C223" s="24" t="s">
        <v>1767</v>
      </c>
      <c r="D223" s="24" t="s">
        <v>730</v>
      </c>
      <c r="E223" s="24" t="s">
        <v>681</v>
      </c>
      <c r="F223" s="24" t="s">
        <v>686</v>
      </c>
      <c r="G223" s="24">
        <v>22</v>
      </c>
      <c r="H223" s="31" t="s">
        <v>1768</v>
      </c>
      <c r="I223" s="31" t="str">
        <f t="shared" si="6"/>
        <v>DA_Suffix_of_Stretch</v>
      </c>
      <c r="J223" s="31" t="str">
        <f t="shared" si="7"/>
        <v>/Game/DungeonSiege/Items/Affixes/Suffix/DA_Suffix_of_Stretch</v>
      </c>
    </row>
    <row r="224" spans="1:40" x14ac:dyDescent="0.25">
      <c r="A224" s="62">
        <v>222</v>
      </c>
      <c r="B224" s="62">
        <f>HEX2DEC(A224+Items!$A$29)</f>
        <v>101712418</v>
      </c>
      <c r="C224" s="28" t="s">
        <v>1769</v>
      </c>
      <c r="D224" s="39" t="s">
        <v>2346</v>
      </c>
      <c r="E224" s="28" t="s">
        <v>850</v>
      </c>
      <c r="F224" s="28" t="s">
        <v>682</v>
      </c>
      <c r="G224" s="28">
        <v>22</v>
      </c>
      <c r="H224" s="34" t="s">
        <v>1770</v>
      </c>
      <c r="I224" s="74" t="str">
        <f t="shared" si="6"/>
        <v>DA_Suffix_of_Vigilance</v>
      </c>
      <c r="J224" s="74" t="str">
        <f t="shared" si="7"/>
        <v>/Game/DungeonSiege/Items/Affixes/Suffix/DA_Suffix_of_Vigilance</v>
      </c>
      <c r="AN224" s="36"/>
    </row>
    <row r="225" spans="1:41" ht="22.5" x14ac:dyDescent="0.25">
      <c r="A225" s="62">
        <v>223</v>
      </c>
      <c r="B225" s="62">
        <f>HEX2DEC(A225+Items!$A$29)</f>
        <v>101712419</v>
      </c>
      <c r="C225" s="28" t="s">
        <v>1771</v>
      </c>
      <c r="D225" s="39" t="s">
        <v>2347</v>
      </c>
      <c r="E225" s="28" t="s">
        <v>850</v>
      </c>
      <c r="F225" s="28" t="s">
        <v>705</v>
      </c>
      <c r="G225" s="28">
        <v>21</v>
      </c>
      <c r="H225" s="34" t="s">
        <v>1772</v>
      </c>
      <c r="I225" s="74" t="str">
        <f t="shared" si="6"/>
        <v>DA_Suffix_of_Patience</v>
      </c>
      <c r="J225" s="74" t="str">
        <f t="shared" si="7"/>
        <v>/Game/DungeonSiege/Items/Affixes/Suffix/DA_Suffix_of_Patience</v>
      </c>
      <c r="AO225" s="36"/>
    </row>
    <row r="226" spans="1:41" x14ac:dyDescent="0.25">
      <c r="A226" s="44">
        <v>224</v>
      </c>
      <c r="B226" s="44">
        <f>HEX2DEC(A226+Items!$A$29)</f>
        <v>101712420</v>
      </c>
      <c r="C226" s="24" t="s">
        <v>1773</v>
      </c>
      <c r="D226" s="24" t="s">
        <v>1774</v>
      </c>
      <c r="E226" s="24" t="s">
        <v>681</v>
      </c>
      <c r="F226" s="24" t="s">
        <v>819</v>
      </c>
      <c r="G226" s="24">
        <v>21</v>
      </c>
      <c r="H226" s="31" t="s">
        <v>1775</v>
      </c>
      <c r="I226" s="31" t="str">
        <f t="shared" si="6"/>
        <v>DA_Suffix_of_Major_Fireskull</v>
      </c>
      <c r="J226" s="31" t="str">
        <f t="shared" si="7"/>
        <v>/Game/DungeonSiege/Items/Affixes/Suffix/DA_Suffix_of_Major_Fireskull</v>
      </c>
    </row>
    <row r="227" spans="1:41" ht="22.5" x14ac:dyDescent="0.25">
      <c r="A227" s="44">
        <v>225</v>
      </c>
      <c r="B227" s="44">
        <f>HEX2DEC(A227+Items!$A$29)</f>
        <v>101712421</v>
      </c>
      <c r="C227" s="24" t="s">
        <v>1776</v>
      </c>
      <c r="D227" s="24" t="s">
        <v>1777</v>
      </c>
      <c r="E227" s="24" t="s">
        <v>681</v>
      </c>
      <c r="F227" s="24" t="s">
        <v>819</v>
      </c>
      <c r="G227" s="24">
        <v>21</v>
      </c>
      <c r="H227" s="31" t="s">
        <v>1778</v>
      </c>
      <c r="I227" s="31" t="str">
        <f t="shared" si="6"/>
        <v>DA_Suffix_of_Minor_Lightning_Blast</v>
      </c>
      <c r="J227" s="31" t="str">
        <f t="shared" si="7"/>
        <v>/Game/DungeonSiege/Items/Affixes/Suffix/DA_Suffix_of_Minor_Lightning_Blast</v>
      </c>
    </row>
    <row r="228" spans="1:41" ht="22.5" x14ac:dyDescent="0.25">
      <c r="A228" s="61">
        <v>226</v>
      </c>
      <c r="B228" s="61">
        <f>HEX2DEC(A228+Items!$A$29)</f>
        <v>101712422</v>
      </c>
      <c r="C228" s="25" t="s">
        <v>1779</v>
      </c>
      <c r="D228" s="25" t="s">
        <v>1780</v>
      </c>
      <c r="E228" s="25" t="s">
        <v>704</v>
      </c>
      <c r="F228" s="25" t="s">
        <v>1120</v>
      </c>
      <c r="G228" s="25">
        <v>20</v>
      </c>
      <c r="H228" s="64" t="s">
        <v>1781</v>
      </c>
      <c r="I228" s="64" t="str">
        <f t="shared" si="6"/>
        <v>DA_Suffix_of_Personal_Battle_Rally</v>
      </c>
      <c r="J228" s="64" t="str">
        <f t="shared" si="7"/>
        <v>/Game/DungeonSiege/Items/Affixes/Suffix/DA_Suffix_of_Personal_Battle_Rally</v>
      </c>
    </row>
    <row r="229" spans="1:41" ht="22.5" x14ac:dyDescent="0.25">
      <c r="A229" s="44">
        <v>227</v>
      </c>
      <c r="B229" s="44">
        <f>HEX2DEC(A229+Items!$A$29)</f>
        <v>101712423</v>
      </c>
      <c r="C229" s="24" t="s">
        <v>1782</v>
      </c>
      <c r="D229" s="24" t="s">
        <v>1783</v>
      </c>
      <c r="E229" s="24" t="s">
        <v>681</v>
      </c>
      <c r="F229" s="24" t="s">
        <v>819</v>
      </c>
      <c r="G229" s="24">
        <v>20</v>
      </c>
      <c r="H229" s="31" t="s">
        <v>1784</v>
      </c>
      <c r="I229" s="31" t="str">
        <f t="shared" si="6"/>
        <v>DA_Suffix_of_Greater_Firespray</v>
      </c>
      <c r="J229" s="31" t="str">
        <f t="shared" si="7"/>
        <v>/Game/DungeonSiege/Items/Affixes/Suffix/DA_Suffix_of_Greater_Firespray</v>
      </c>
    </row>
    <row r="230" spans="1:41" ht="22.5" x14ac:dyDescent="0.25">
      <c r="A230" s="77">
        <v>228</v>
      </c>
      <c r="B230" s="77">
        <f>HEX2DEC(A230+Items!$A$29)</f>
        <v>101712424</v>
      </c>
      <c r="C230" s="78" t="s">
        <v>3351</v>
      </c>
      <c r="D230" s="78" t="s">
        <v>1785</v>
      </c>
      <c r="E230" s="78" t="s">
        <v>681</v>
      </c>
      <c r="F230" s="78" t="s">
        <v>819</v>
      </c>
      <c r="G230" s="78">
        <v>20</v>
      </c>
      <c r="H230" s="79" t="s">
        <v>1786</v>
      </c>
      <c r="I230" s="79" t="str">
        <f t="shared" si="6"/>
        <v>DA_Suffix_of_Lightning_Defense</v>
      </c>
      <c r="J230" s="79" t="str">
        <f t="shared" si="7"/>
        <v>/Game/DungeonSiege/Items/Affixes/Suffix/DA_Suffix_of_Lightning_Defense</v>
      </c>
    </row>
    <row r="231" spans="1:41" ht="22.5" x14ac:dyDescent="0.25">
      <c r="A231" s="44">
        <v>229</v>
      </c>
      <c r="B231" s="44">
        <f>HEX2DEC(A231+Items!$A$29)</f>
        <v>101712425</v>
      </c>
      <c r="C231" s="24" t="s">
        <v>1787</v>
      </c>
      <c r="D231" s="24" t="s">
        <v>1788</v>
      </c>
      <c r="E231" s="24" t="s">
        <v>681</v>
      </c>
      <c r="F231" s="24" t="s">
        <v>819</v>
      </c>
      <c r="G231" s="24">
        <v>20</v>
      </c>
      <c r="H231" s="31" t="s">
        <v>1789</v>
      </c>
      <c r="I231" s="31" t="str">
        <f t="shared" si="6"/>
        <v>DA_Suffix_of_Lesser_Nova_Strike</v>
      </c>
      <c r="J231" s="31" t="str">
        <f t="shared" si="7"/>
        <v>/Game/DungeonSiege/Items/Affixes/Suffix/DA_Suffix_of_Lesser_Nova_Strike</v>
      </c>
    </row>
    <row r="232" spans="1:41" ht="22.5" x14ac:dyDescent="0.25">
      <c r="A232" s="44">
        <v>230</v>
      </c>
      <c r="B232" s="44">
        <f>HEX2DEC(A232+Items!$A$29)</f>
        <v>101712432</v>
      </c>
      <c r="C232" s="24" t="s">
        <v>112</v>
      </c>
      <c r="D232" s="24" t="s">
        <v>111</v>
      </c>
      <c r="E232" s="24" t="s">
        <v>681</v>
      </c>
      <c r="F232" s="24" t="s">
        <v>1226</v>
      </c>
      <c r="G232" s="24">
        <v>19</v>
      </c>
      <c r="H232" s="31" t="s">
        <v>110</v>
      </c>
      <c r="I232" s="31" t="str">
        <f t="shared" si="6"/>
        <v>DA_Suffix_of_the_Wolf</v>
      </c>
      <c r="J232" s="31" t="str">
        <f t="shared" si="7"/>
        <v>/Game/DungeonSiege/Items/Affixes/Suffix/DA_Suffix_of_the_Wolf</v>
      </c>
    </row>
    <row r="233" spans="1:41" x14ac:dyDescent="0.25">
      <c r="A233" s="44">
        <v>231</v>
      </c>
      <c r="B233" s="44">
        <f>HEX2DEC(A233+Items!$A$29)</f>
        <v>101712433</v>
      </c>
      <c r="C233" s="24" t="s">
        <v>1790</v>
      </c>
      <c r="D233" s="24" t="s">
        <v>734</v>
      </c>
      <c r="E233" s="24" t="s">
        <v>681</v>
      </c>
      <c r="F233" s="24" t="s">
        <v>682</v>
      </c>
      <c r="G233" s="24">
        <v>19</v>
      </c>
      <c r="H233" s="31" t="s">
        <v>1791</v>
      </c>
      <c r="I233" s="31" t="str">
        <f t="shared" si="6"/>
        <v>DA_Suffix_of_Spikes</v>
      </c>
      <c r="J233" s="31" t="str">
        <f t="shared" si="7"/>
        <v>/Game/DungeonSiege/Items/Affixes/Suffix/DA_Suffix_of_Spikes</v>
      </c>
    </row>
    <row r="234" spans="1:41" x14ac:dyDescent="0.25">
      <c r="A234" s="44">
        <v>232</v>
      </c>
      <c r="B234" s="44">
        <f>HEX2DEC(A234+Items!$A$29)</f>
        <v>101712434</v>
      </c>
      <c r="C234" s="24" t="s">
        <v>1792</v>
      </c>
      <c r="D234" s="24" t="s">
        <v>1588</v>
      </c>
      <c r="E234" s="24" t="s">
        <v>681</v>
      </c>
      <c r="F234" s="24" t="s">
        <v>682</v>
      </c>
      <c r="G234" s="24">
        <v>19</v>
      </c>
      <c r="H234" s="31" t="s">
        <v>1793</v>
      </c>
      <c r="I234" s="31" t="str">
        <f t="shared" si="6"/>
        <v>DA_Suffix_of_Strike</v>
      </c>
      <c r="J234" s="31" t="str">
        <f t="shared" si="7"/>
        <v>/Game/DungeonSiege/Items/Affixes/Suffix/DA_Suffix_of_Strike</v>
      </c>
    </row>
    <row r="235" spans="1:41" x14ac:dyDescent="0.25">
      <c r="A235" s="44">
        <v>233</v>
      </c>
      <c r="B235" s="44">
        <f>HEX2DEC(A235+Items!$A$29)</f>
        <v>101712435</v>
      </c>
      <c r="C235" s="24" t="s">
        <v>1794</v>
      </c>
      <c r="D235" s="24" t="s">
        <v>794</v>
      </c>
      <c r="E235" s="24" t="s">
        <v>681</v>
      </c>
      <c r="F235" s="24" t="s">
        <v>686</v>
      </c>
      <c r="G235" s="24">
        <v>19</v>
      </c>
      <c r="H235" s="31" t="s">
        <v>1795</v>
      </c>
      <c r="I235" s="31" t="str">
        <f t="shared" si="6"/>
        <v>DA_Suffix_of_Resolve</v>
      </c>
      <c r="J235" s="31" t="str">
        <f t="shared" si="7"/>
        <v>/Game/DungeonSiege/Items/Affixes/Suffix/DA_Suffix_of_Resolve</v>
      </c>
    </row>
    <row r="236" spans="1:41" x14ac:dyDescent="0.25">
      <c r="A236" s="44">
        <v>234</v>
      </c>
      <c r="B236" s="44">
        <f>HEX2DEC(A236+Items!$A$29)</f>
        <v>101712436</v>
      </c>
      <c r="C236" s="24" t="s">
        <v>1796</v>
      </c>
      <c r="D236" s="24" t="s">
        <v>1797</v>
      </c>
      <c r="E236" s="24" t="s">
        <v>681</v>
      </c>
      <c r="F236" s="24" t="s">
        <v>1120</v>
      </c>
      <c r="G236" s="24">
        <v>19</v>
      </c>
      <c r="H236" s="31" t="s">
        <v>1798</v>
      </c>
      <c r="I236" s="31" t="str">
        <f t="shared" si="6"/>
        <v>DA_Suffix_of_Greed</v>
      </c>
      <c r="J236" s="31" t="str">
        <f t="shared" si="7"/>
        <v>/Game/DungeonSiege/Items/Affixes/Suffix/DA_Suffix_of_Greed</v>
      </c>
    </row>
    <row r="237" spans="1:41" x14ac:dyDescent="0.25">
      <c r="A237" s="44">
        <v>235</v>
      </c>
      <c r="B237" s="44">
        <f>HEX2DEC(A237+Items!$A$29)</f>
        <v>101712437</v>
      </c>
      <c r="C237" s="24" t="s">
        <v>1799</v>
      </c>
      <c r="D237" s="24" t="s">
        <v>722</v>
      </c>
      <c r="E237" s="24" t="s">
        <v>681</v>
      </c>
      <c r="F237" s="24" t="s">
        <v>1120</v>
      </c>
      <c r="G237" s="24">
        <v>19</v>
      </c>
      <c r="H237" s="31" t="s">
        <v>1800</v>
      </c>
      <c r="I237" s="31" t="str">
        <f t="shared" si="6"/>
        <v>DA_Suffix_of_the_Thief</v>
      </c>
      <c r="J237" s="31" t="str">
        <f t="shared" si="7"/>
        <v>/Game/DungeonSiege/Items/Affixes/Suffix/DA_Suffix_of_the_Thief</v>
      </c>
    </row>
    <row r="238" spans="1:41" x14ac:dyDescent="0.25">
      <c r="A238" s="44">
        <v>236</v>
      </c>
      <c r="B238" s="44">
        <f>HEX2DEC(A238+Items!$A$29)</f>
        <v>101712438</v>
      </c>
      <c r="C238" s="24" t="s">
        <v>1801</v>
      </c>
      <c r="D238" s="24" t="s">
        <v>1802</v>
      </c>
      <c r="E238" s="24" t="s">
        <v>681</v>
      </c>
      <c r="F238" s="24" t="s">
        <v>686</v>
      </c>
      <c r="G238" s="24">
        <v>19</v>
      </c>
      <c r="H238" s="31" t="s">
        <v>1803</v>
      </c>
      <c r="I238" s="31" t="str">
        <f t="shared" si="6"/>
        <v>DA_Suffix_of_the_Gull</v>
      </c>
      <c r="J238" s="31" t="str">
        <f t="shared" si="7"/>
        <v>/Game/DungeonSiege/Items/Affixes/Suffix/DA_Suffix_of_the_Gull</v>
      </c>
    </row>
    <row r="239" spans="1:41" x14ac:dyDescent="0.25">
      <c r="A239" s="44">
        <v>237</v>
      </c>
      <c r="B239" s="44">
        <f>HEX2DEC(A239+Items!$A$29)</f>
        <v>101712439</v>
      </c>
      <c r="C239" s="24" t="s">
        <v>1804</v>
      </c>
      <c r="D239" s="24" t="s">
        <v>1805</v>
      </c>
      <c r="E239" s="24" t="s">
        <v>681</v>
      </c>
      <c r="F239" s="24" t="s">
        <v>682</v>
      </c>
      <c r="G239" s="24">
        <v>19</v>
      </c>
      <c r="H239" s="31" t="s">
        <v>1806</v>
      </c>
      <c r="I239" s="31" t="str">
        <f t="shared" si="6"/>
        <v>DA_Suffix_of_the_Startled</v>
      </c>
      <c r="J239" s="31" t="str">
        <f t="shared" si="7"/>
        <v>/Game/DungeonSiege/Items/Affixes/Suffix/DA_Suffix_of_the_Startled</v>
      </c>
    </row>
    <row r="240" spans="1:41" x14ac:dyDescent="0.25">
      <c r="A240" s="44">
        <v>238</v>
      </c>
      <c r="B240" s="44">
        <f>HEX2DEC(A240+Items!$A$29)</f>
        <v>101712440</v>
      </c>
      <c r="C240" s="24" t="s">
        <v>1807</v>
      </c>
      <c r="D240" s="24" t="s">
        <v>1808</v>
      </c>
      <c r="E240" s="24" t="s">
        <v>681</v>
      </c>
      <c r="F240" s="24" t="s">
        <v>686</v>
      </c>
      <c r="G240" s="24">
        <v>19</v>
      </c>
      <c r="H240" s="31" t="s">
        <v>1809</v>
      </c>
      <c r="I240" s="31" t="str">
        <f t="shared" si="6"/>
        <v>DA_Suffix_of_Hurricanes</v>
      </c>
      <c r="J240" s="31" t="str">
        <f t="shared" si="7"/>
        <v>/Game/DungeonSiege/Items/Affixes/Suffix/DA_Suffix_of_Hurricanes</v>
      </c>
    </row>
    <row r="241" spans="1:50" x14ac:dyDescent="0.25">
      <c r="A241" s="62">
        <v>239</v>
      </c>
      <c r="B241" s="62">
        <f>HEX2DEC(A241+Items!$A$29)</f>
        <v>101712441</v>
      </c>
      <c r="C241" s="28" t="s">
        <v>1810</v>
      </c>
      <c r="D241" s="39" t="s">
        <v>2348</v>
      </c>
      <c r="E241" s="28" t="s">
        <v>850</v>
      </c>
      <c r="F241" s="28" t="s">
        <v>686</v>
      </c>
      <c r="G241" s="28">
        <v>19</v>
      </c>
      <c r="H241" s="34" t="s">
        <v>1811</v>
      </c>
      <c r="I241" s="74" t="str">
        <f t="shared" si="6"/>
        <v>DA_Suffix_of_the_Redeemed</v>
      </c>
      <c r="J241" s="74" t="str">
        <f t="shared" si="7"/>
        <v>/Game/DungeonSiege/Items/Affixes/Suffix/DA_Suffix_of_the_Redeemed</v>
      </c>
      <c r="AP241" s="36"/>
    </row>
    <row r="242" spans="1:50" x14ac:dyDescent="0.25">
      <c r="A242" s="62">
        <v>240</v>
      </c>
      <c r="B242" s="62">
        <f>HEX2DEC(A242+Items!$A$29)</f>
        <v>101712448</v>
      </c>
      <c r="C242" s="28" t="s">
        <v>1812</v>
      </c>
      <c r="D242" s="39" t="s">
        <v>2349</v>
      </c>
      <c r="E242" s="28" t="s">
        <v>850</v>
      </c>
      <c r="F242" s="28" t="s">
        <v>686</v>
      </c>
      <c r="G242" s="28">
        <v>19</v>
      </c>
      <c r="H242" s="34" t="s">
        <v>1813</v>
      </c>
      <c r="I242" s="74" t="str">
        <f t="shared" si="6"/>
        <v>DA_Suffix_of_Diligence</v>
      </c>
      <c r="J242" s="74" t="str">
        <f t="shared" si="7"/>
        <v>/Game/DungeonSiege/Items/Affixes/Suffix/DA_Suffix_of_Diligence</v>
      </c>
      <c r="AQ242" s="36"/>
    </row>
    <row r="243" spans="1:50" ht="22.5" x14ac:dyDescent="0.25">
      <c r="A243" s="44">
        <v>241</v>
      </c>
      <c r="B243" s="44">
        <f>HEX2DEC(A243+Items!$A$29)</f>
        <v>101712449</v>
      </c>
      <c r="C243" s="24" t="s">
        <v>1814</v>
      </c>
      <c r="D243" s="24" t="s">
        <v>1815</v>
      </c>
      <c r="E243" s="24" t="s">
        <v>681</v>
      </c>
      <c r="F243" s="24" t="s">
        <v>819</v>
      </c>
      <c r="G243" s="24">
        <v>19</v>
      </c>
      <c r="H243" s="31" t="s">
        <v>1816</v>
      </c>
      <c r="I243" s="31" t="str">
        <f t="shared" si="6"/>
        <v>DA_Suffix_of_Minor_Multispark</v>
      </c>
      <c r="J243" s="31" t="str">
        <f t="shared" si="7"/>
        <v>/Game/DungeonSiege/Items/Affixes/Suffix/DA_Suffix_of_Minor_Multispark</v>
      </c>
    </row>
    <row r="244" spans="1:50" ht="22.5" x14ac:dyDescent="0.25">
      <c r="A244" s="44">
        <v>242</v>
      </c>
      <c r="B244" s="44">
        <f>HEX2DEC(A244+Items!$A$29)</f>
        <v>101712450</v>
      </c>
      <c r="C244" s="24" t="s">
        <v>1817</v>
      </c>
      <c r="D244" s="24" t="s">
        <v>1818</v>
      </c>
      <c r="E244" s="24" t="s">
        <v>681</v>
      </c>
      <c r="F244" s="24" t="s">
        <v>819</v>
      </c>
      <c r="G244" s="24">
        <v>19</v>
      </c>
      <c r="H244" s="31" t="s">
        <v>1819</v>
      </c>
      <c r="I244" s="31" t="str">
        <f t="shared" si="6"/>
        <v>DA_Suffix_of_Lesser_Firebomb</v>
      </c>
      <c r="J244" s="31" t="str">
        <f t="shared" si="7"/>
        <v>/Game/DungeonSiege/Items/Affixes/Suffix/DA_Suffix_of_Lesser_Firebomb</v>
      </c>
    </row>
    <row r="245" spans="1:50" x14ac:dyDescent="0.25">
      <c r="A245" s="44">
        <v>243</v>
      </c>
      <c r="B245" s="44">
        <f>HEX2DEC(A245+Items!$A$29)</f>
        <v>101712451</v>
      </c>
      <c r="C245" s="24" t="s">
        <v>1820</v>
      </c>
      <c r="D245" s="24" t="s">
        <v>1821</v>
      </c>
      <c r="E245" s="24" t="s">
        <v>681</v>
      </c>
      <c r="F245" s="24" t="s">
        <v>686</v>
      </c>
      <c r="G245" s="24">
        <v>18</v>
      </c>
      <c r="H245" s="31" t="s">
        <v>1822</v>
      </c>
      <c r="I245" s="31" t="str">
        <f t="shared" si="6"/>
        <v>DA_Suffix_of_Craft</v>
      </c>
      <c r="J245" s="31" t="str">
        <f t="shared" si="7"/>
        <v>/Game/DungeonSiege/Items/Affixes/Suffix/DA_Suffix_of_Craft</v>
      </c>
    </row>
    <row r="246" spans="1:50" ht="22.5" x14ac:dyDescent="0.25">
      <c r="A246" s="62">
        <v>244</v>
      </c>
      <c r="B246" s="62">
        <f>HEX2DEC(A246+Items!$A$29)</f>
        <v>101712452</v>
      </c>
      <c r="C246" s="28" t="s">
        <v>1823</v>
      </c>
      <c r="D246" s="39" t="s">
        <v>2350</v>
      </c>
      <c r="E246" s="28" t="s">
        <v>850</v>
      </c>
      <c r="F246" s="28" t="s">
        <v>705</v>
      </c>
      <c r="G246" s="28">
        <v>18</v>
      </c>
      <c r="H246" s="34" t="s">
        <v>1824</v>
      </c>
      <c r="I246" s="74" t="str">
        <f t="shared" si="6"/>
        <v>DA_Suffix_of_the_Banished</v>
      </c>
      <c r="J246" s="74" t="str">
        <f t="shared" si="7"/>
        <v>/Game/DungeonSiege/Items/Affixes/Suffix/DA_Suffix_of_the_Banished</v>
      </c>
      <c r="AR246" s="36"/>
    </row>
    <row r="247" spans="1:50" ht="22.5" x14ac:dyDescent="0.25">
      <c r="A247" s="62">
        <v>245</v>
      </c>
      <c r="B247" s="62">
        <f>HEX2DEC(A247+Items!$A$29)</f>
        <v>101712453</v>
      </c>
      <c r="C247" s="28" t="s">
        <v>1825</v>
      </c>
      <c r="D247" s="39" t="s">
        <v>2351</v>
      </c>
      <c r="E247" s="28" t="s">
        <v>850</v>
      </c>
      <c r="F247" s="28" t="s">
        <v>705</v>
      </c>
      <c r="G247" s="28">
        <v>18</v>
      </c>
      <c r="H247" s="34" t="s">
        <v>1826</v>
      </c>
      <c r="I247" s="74" t="str">
        <f t="shared" si="6"/>
        <v>DA_Suffix_of_Contempt</v>
      </c>
      <c r="J247" s="74" t="str">
        <f t="shared" si="7"/>
        <v>/Game/DungeonSiege/Items/Affixes/Suffix/DA_Suffix_of_Contempt</v>
      </c>
      <c r="AS247" s="36"/>
    </row>
    <row r="248" spans="1:50" x14ac:dyDescent="0.25">
      <c r="A248" s="62">
        <v>246</v>
      </c>
      <c r="B248" s="62">
        <f>HEX2DEC(A248+Items!$A$29)</f>
        <v>101712454</v>
      </c>
      <c r="C248" s="28" t="s">
        <v>1827</v>
      </c>
      <c r="D248" s="39" t="s">
        <v>2352</v>
      </c>
      <c r="E248" s="28" t="s">
        <v>850</v>
      </c>
      <c r="F248" s="28" t="s">
        <v>682</v>
      </c>
      <c r="G248" s="28">
        <v>18</v>
      </c>
      <c r="H248" s="34" t="s">
        <v>1828</v>
      </c>
      <c r="I248" s="74" t="str">
        <f t="shared" si="6"/>
        <v>DA_Suffix_of_Mortality</v>
      </c>
      <c r="J248" s="74" t="str">
        <f t="shared" si="7"/>
        <v>/Game/DungeonSiege/Items/Affixes/Suffix/DA_Suffix_of_Mortality</v>
      </c>
      <c r="AT248" s="36"/>
    </row>
    <row r="249" spans="1:50" x14ac:dyDescent="0.25">
      <c r="A249" s="61">
        <v>247</v>
      </c>
      <c r="B249" s="61">
        <f>HEX2DEC(A249+Items!$A$29)</f>
        <v>101712455</v>
      </c>
      <c r="C249" s="25" t="s">
        <v>1829</v>
      </c>
      <c r="D249" s="25" t="s">
        <v>1830</v>
      </c>
      <c r="E249" s="25" t="s">
        <v>704</v>
      </c>
      <c r="F249" s="25" t="s">
        <v>1831</v>
      </c>
      <c r="G249" s="25">
        <v>18</v>
      </c>
      <c r="H249" s="64" t="s">
        <v>1832</v>
      </c>
      <c r="I249" s="64" t="str">
        <f t="shared" si="6"/>
        <v>DA_Suffix_of_Eagle_Eye</v>
      </c>
      <c r="J249" s="64" t="str">
        <f t="shared" si="7"/>
        <v>/Game/DungeonSiege/Items/Affixes/Suffix/DA_Suffix_of_Eagle_Eye</v>
      </c>
    </row>
    <row r="250" spans="1:50" x14ac:dyDescent="0.25">
      <c r="A250" s="44">
        <v>248</v>
      </c>
      <c r="B250" s="44">
        <f>HEX2DEC(A250+Items!$A$29)</f>
        <v>101712456</v>
      </c>
      <c r="C250" s="26" t="s">
        <v>1833</v>
      </c>
      <c r="D250" s="37" t="s">
        <v>2353</v>
      </c>
      <c r="E250" s="26" t="s">
        <v>681</v>
      </c>
      <c r="F250" s="26" t="s">
        <v>682</v>
      </c>
      <c r="G250" s="26">
        <v>17</v>
      </c>
      <c r="H250" s="32" t="s">
        <v>1834</v>
      </c>
      <c r="I250" s="31" t="str">
        <f t="shared" si="6"/>
        <v>DA_Suffix_of_Stability</v>
      </c>
      <c r="J250" s="31" t="str">
        <f t="shared" si="7"/>
        <v>/Game/DungeonSiege/Items/Affixes/Suffix/DA_Suffix_of_Stability</v>
      </c>
      <c r="AU250" s="36"/>
    </row>
    <row r="251" spans="1:50" ht="22.5" x14ac:dyDescent="0.25">
      <c r="A251" s="62">
        <v>249</v>
      </c>
      <c r="B251" s="62">
        <f>HEX2DEC(A251+Items!$A$29)</f>
        <v>101712457</v>
      </c>
      <c r="C251" s="28" t="s">
        <v>1835</v>
      </c>
      <c r="D251" s="39" t="s">
        <v>2354</v>
      </c>
      <c r="E251" s="28" t="s">
        <v>850</v>
      </c>
      <c r="F251" s="28" t="s">
        <v>705</v>
      </c>
      <c r="G251" s="28">
        <v>17</v>
      </c>
      <c r="H251" s="34" t="s">
        <v>1836</v>
      </c>
      <c r="I251" s="74" t="str">
        <f t="shared" si="6"/>
        <v>DA_Suffix_of_Old</v>
      </c>
      <c r="J251" s="74" t="str">
        <f t="shared" si="7"/>
        <v>/Game/DungeonSiege/Items/Affixes/Suffix/DA_Suffix_of_Old</v>
      </c>
      <c r="AV251" s="36"/>
    </row>
    <row r="252" spans="1:50" ht="22.5" x14ac:dyDescent="0.25">
      <c r="A252" s="62">
        <v>250</v>
      </c>
      <c r="B252" s="62">
        <f>HEX2DEC(A252+Items!$A$29)</f>
        <v>101712464</v>
      </c>
      <c r="C252" s="28" t="s">
        <v>1837</v>
      </c>
      <c r="D252" s="39" t="s">
        <v>2355</v>
      </c>
      <c r="E252" s="28" t="s">
        <v>850</v>
      </c>
      <c r="F252" s="28" t="s">
        <v>705</v>
      </c>
      <c r="G252" s="28">
        <v>17</v>
      </c>
      <c r="H252" s="34" t="s">
        <v>1838</v>
      </c>
      <c r="I252" s="74" t="str">
        <f t="shared" si="6"/>
        <v>DA_Suffix_of_the_Haughty</v>
      </c>
      <c r="J252" s="74" t="str">
        <f t="shared" si="7"/>
        <v>/Game/DungeonSiege/Items/Affixes/Suffix/DA_Suffix_of_the_Haughty</v>
      </c>
      <c r="AW252" s="36"/>
    </row>
    <row r="253" spans="1:50" x14ac:dyDescent="0.25">
      <c r="A253" s="62">
        <v>251</v>
      </c>
      <c r="B253" s="62">
        <f>HEX2DEC(A253+Items!$A$29)</f>
        <v>101712465</v>
      </c>
      <c r="C253" s="28" t="s">
        <v>1839</v>
      </c>
      <c r="D253" s="39" t="s">
        <v>2356</v>
      </c>
      <c r="E253" s="28" t="s">
        <v>850</v>
      </c>
      <c r="F253" s="28" t="s">
        <v>686</v>
      </c>
      <c r="G253" s="28">
        <v>17</v>
      </c>
      <c r="H253" s="34" t="s">
        <v>1840</v>
      </c>
      <c r="I253" s="74" t="str">
        <f t="shared" si="6"/>
        <v>DA_Suffix_of_Pretense</v>
      </c>
      <c r="J253" s="74" t="str">
        <f t="shared" si="7"/>
        <v>/Game/DungeonSiege/Items/Affixes/Suffix/DA_Suffix_of_Pretense</v>
      </c>
      <c r="AX253" s="36"/>
    </row>
    <row r="254" spans="1:50" ht="22.5" x14ac:dyDescent="0.25">
      <c r="A254" s="44">
        <v>252</v>
      </c>
      <c r="B254" s="44">
        <f>HEX2DEC(A254+Items!$A$29)</f>
        <v>101712466</v>
      </c>
      <c r="C254" s="24" t="s">
        <v>1841</v>
      </c>
      <c r="D254" s="24" t="s">
        <v>1842</v>
      </c>
      <c r="E254" s="24" t="s">
        <v>681</v>
      </c>
      <c r="F254" s="24" t="s">
        <v>819</v>
      </c>
      <c r="G254" s="24">
        <v>17</v>
      </c>
      <c r="H254" s="31" t="s">
        <v>1843</v>
      </c>
      <c r="I254" s="31" t="str">
        <f t="shared" si="6"/>
        <v>DA_Suffix_of_Major_Firespray</v>
      </c>
      <c r="J254" s="31" t="str">
        <f t="shared" si="7"/>
        <v>/Game/DungeonSiege/Items/Affixes/Suffix/DA_Suffix_of_Major_Firespray</v>
      </c>
    </row>
    <row r="255" spans="1:50" x14ac:dyDescent="0.25">
      <c r="A255" s="44">
        <v>253</v>
      </c>
      <c r="B255" s="44">
        <f>HEX2DEC(A255+Items!$A$29)</f>
        <v>101712467</v>
      </c>
      <c r="C255" s="24" t="s">
        <v>1844</v>
      </c>
      <c r="D255" s="24" t="s">
        <v>1845</v>
      </c>
      <c r="E255" s="24" t="s">
        <v>681</v>
      </c>
      <c r="F255" s="24" t="s">
        <v>819</v>
      </c>
      <c r="G255" s="24">
        <v>17</v>
      </c>
      <c r="H255" s="31" t="s">
        <v>1846</v>
      </c>
      <c r="I255" s="31" t="str">
        <f t="shared" si="6"/>
        <v>DA_Suffix_of_Fireskull</v>
      </c>
      <c r="J255" s="31" t="str">
        <f t="shared" si="7"/>
        <v>/Game/DungeonSiege/Items/Affixes/Suffix/DA_Suffix_of_Fireskull</v>
      </c>
    </row>
    <row r="256" spans="1:50" x14ac:dyDescent="0.25">
      <c r="A256" s="44">
        <v>254</v>
      </c>
      <c r="B256" s="44">
        <f>HEX2DEC(A256+Items!$A$29)</f>
        <v>101712468</v>
      </c>
      <c r="C256" s="24" t="s">
        <v>1847</v>
      </c>
      <c r="D256" s="24" t="s">
        <v>1848</v>
      </c>
      <c r="E256" s="24" t="s">
        <v>681</v>
      </c>
      <c r="F256" s="24" t="s">
        <v>819</v>
      </c>
      <c r="G256" s="24">
        <v>17</v>
      </c>
      <c r="H256" s="31" t="s">
        <v>1849</v>
      </c>
      <c r="I256" s="31" t="str">
        <f t="shared" si="6"/>
        <v>DA_Suffix_of_Minor_Fireball</v>
      </c>
      <c r="J256" s="31" t="str">
        <f t="shared" si="7"/>
        <v>/Game/DungeonSiege/Items/Affixes/Suffix/DA_Suffix_of_Minor_Fireball</v>
      </c>
    </row>
    <row r="257" spans="1:51" ht="22.5" x14ac:dyDescent="0.25">
      <c r="A257" s="44">
        <v>255</v>
      </c>
      <c r="B257" s="44">
        <f>HEX2DEC(A257+Items!$A$29)</f>
        <v>101712469</v>
      </c>
      <c r="C257" s="24" t="s">
        <v>1850</v>
      </c>
      <c r="D257" s="24" t="s">
        <v>1851</v>
      </c>
      <c r="E257" s="24" t="s">
        <v>681</v>
      </c>
      <c r="F257" s="24" t="s">
        <v>819</v>
      </c>
      <c r="G257" s="24">
        <v>17</v>
      </c>
      <c r="H257" s="31" t="s">
        <v>1852</v>
      </c>
      <c r="I257" s="31" t="str">
        <f t="shared" si="6"/>
        <v>DA_Suffix_of_Lesser_Starburst</v>
      </c>
      <c r="J257" s="31" t="str">
        <f t="shared" si="7"/>
        <v>/Game/DungeonSiege/Items/Affixes/Suffix/DA_Suffix_of_Lesser_Starburst</v>
      </c>
    </row>
    <row r="258" spans="1:51" x14ac:dyDescent="0.25">
      <c r="A258" s="44">
        <v>256</v>
      </c>
      <c r="B258" s="44">
        <f>HEX2DEC(A258+Items!$A$29)</f>
        <v>101712470</v>
      </c>
      <c r="C258" s="24" t="s">
        <v>1853</v>
      </c>
      <c r="D258" s="24" t="s">
        <v>1705</v>
      </c>
      <c r="E258" s="24" t="s">
        <v>681</v>
      </c>
      <c r="F258" s="24" t="s">
        <v>686</v>
      </c>
      <c r="G258" s="24">
        <v>16</v>
      </c>
      <c r="H258" s="31" t="s">
        <v>1854</v>
      </c>
      <c r="I258" s="31" t="str">
        <f t="shared" si="6"/>
        <v>DA_Suffix_of_Urgency</v>
      </c>
      <c r="J258" s="31" t="str">
        <f t="shared" si="7"/>
        <v>/Game/DungeonSiege/Items/Affixes/Suffix/DA_Suffix_of_Urgency</v>
      </c>
    </row>
    <row r="259" spans="1:51" x14ac:dyDescent="0.25">
      <c r="A259" s="44">
        <v>257</v>
      </c>
      <c r="B259" s="44">
        <f>HEX2DEC(A259+Items!$A$29)</f>
        <v>101712471</v>
      </c>
      <c r="C259" s="24" t="s">
        <v>1855</v>
      </c>
      <c r="D259" s="24" t="s">
        <v>744</v>
      </c>
      <c r="E259" s="24" t="s">
        <v>681</v>
      </c>
      <c r="F259" s="24" t="s">
        <v>1120</v>
      </c>
      <c r="G259" s="24">
        <v>16</v>
      </c>
      <c r="H259" s="31" t="s">
        <v>1856</v>
      </c>
      <c r="I259" s="31" t="str">
        <f t="shared" ref="I259:I322" si="8">"DA_Suffix_"&amp; SUBSTITUTE(C259," ","_")</f>
        <v>DA_Suffix_of_Dusk</v>
      </c>
      <c r="J259" s="31" t="str">
        <f t="shared" ref="J259:J322" si="9">"/Game/DungeonSiege/Items/Affixes/Suffix/" &amp; I259</f>
        <v>/Game/DungeonSiege/Items/Affixes/Suffix/DA_Suffix_of_Dusk</v>
      </c>
    </row>
    <row r="260" spans="1:51" x14ac:dyDescent="0.25">
      <c r="A260" s="44">
        <v>258</v>
      </c>
      <c r="B260" s="44">
        <f>HEX2DEC(A260+Items!$A$29)</f>
        <v>101712472</v>
      </c>
      <c r="C260" s="24" t="s">
        <v>1857</v>
      </c>
      <c r="D260" s="24" t="s">
        <v>1858</v>
      </c>
      <c r="E260" s="24" t="s">
        <v>681</v>
      </c>
      <c r="F260" s="24" t="s">
        <v>1445</v>
      </c>
      <c r="G260" s="24">
        <v>16</v>
      </c>
      <c r="H260" s="31" t="s">
        <v>1859</v>
      </c>
      <c r="I260" s="31" t="str">
        <f t="shared" si="8"/>
        <v>DA_Suffix_of_Exactness</v>
      </c>
      <c r="J260" s="31" t="str">
        <f t="shared" si="9"/>
        <v>/Game/DungeonSiege/Items/Affixes/Suffix/DA_Suffix_of_Exactness</v>
      </c>
    </row>
    <row r="261" spans="1:51" x14ac:dyDescent="0.25">
      <c r="A261" s="44">
        <v>259</v>
      </c>
      <c r="B261" s="44">
        <f>HEX2DEC(A261+Items!$A$29)</f>
        <v>101712473</v>
      </c>
      <c r="C261" s="24" t="s">
        <v>1860</v>
      </c>
      <c r="D261" s="24" t="s">
        <v>1861</v>
      </c>
      <c r="E261" s="24" t="s">
        <v>681</v>
      </c>
      <c r="F261" s="24" t="s">
        <v>682</v>
      </c>
      <c r="G261" s="24">
        <v>16</v>
      </c>
      <c r="H261" s="31" t="s">
        <v>1862</v>
      </c>
      <c r="I261" s="31" t="str">
        <f t="shared" si="8"/>
        <v>DA_Suffix_of_Stabbing</v>
      </c>
      <c r="J261" s="31" t="str">
        <f t="shared" si="9"/>
        <v>/Game/DungeonSiege/Items/Affixes/Suffix/DA_Suffix_of_Stabbing</v>
      </c>
    </row>
    <row r="262" spans="1:51" x14ac:dyDescent="0.25">
      <c r="A262" s="44">
        <v>260</v>
      </c>
      <c r="B262" s="44">
        <f>HEX2DEC(A262+Items!$A$29)</f>
        <v>101712480</v>
      </c>
      <c r="C262" s="24" t="s">
        <v>1863</v>
      </c>
      <c r="D262" s="24" t="s">
        <v>1864</v>
      </c>
      <c r="E262" s="24" t="s">
        <v>681</v>
      </c>
      <c r="F262" s="24" t="s">
        <v>682</v>
      </c>
      <c r="G262" s="24">
        <v>16</v>
      </c>
      <c r="H262" s="31" t="s">
        <v>1865</v>
      </c>
      <c r="I262" s="31" t="str">
        <f t="shared" si="8"/>
        <v>DA_Suffix_of_Infection</v>
      </c>
      <c r="J262" s="31" t="str">
        <f t="shared" si="9"/>
        <v>/Game/DungeonSiege/Items/Affixes/Suffix/DA_Suffix_of_Infection</v>
      </c>
    </row>
    <row r="263" spans="1:51" x14ac:dyDescent="0.25">
      <c r="A263" s="44">
        <v>261</v>
      </c>
      <c r="B263" s="44">
        <f>HEX2DEC(A263+Items!$A$29)</f>
        <v>101712481</v>
      </c>
      <c r="C263" s="24" t="s">
        <v>1866</v>
      </c>
      <c r="D263" s="24" t="s">
        <v>1867</v>
      </c>
      <c r="E263" s="24" t="s">
        <v>681</v>
      </c>
      <c r="F263" s="24" t="s">
        <v>686</v>
      </c>
      <c r="G263" s="24">
        <v>16</v>
      </c>
      <c r="H263" s="31" t="s">
        <v>1868</v>
      </c>
      <c r="I263" s="31" t="str">
        <f t="shared" si="8"/>
        <v>DA_Suffix_of_Ailment</v>
      </c>
      <c r="J263" s="31" t="str">
        <f t="shared" si="9"/>
        <v>/Game/DungeonSiege/Items/Affixes/Suffix/DA_Suffix_of_Ailment</v>
      </c>
    </row>
    <row r="264" spans="1:51" x14ac:dyDescent="0.25">
      <c r="A264" s="44">
        <v>262</v>
      </c>
      <c r="B264" s="44">
        <f>HEX2DEC(A264+Items!$A$29)</f>
        <v>101712482</v>
      </c>
      <c r="C264" s="24" t="s">
        <v>1869</v>
      </c>
      <c r="D264" s="24" t="s">
        <v>1870</v>
      </c>
      <c r="E264" s="24" t="s">
        <v>681</v>
      </c>
      <c r="F264" s="24" t="s">
        <v>819</v>
      </c>
      <c r="G264" s="24">
        <v>16</v>
      </c>
      <c r="H264" s="31" t="s">
        <v>1871</v>
      </c>
      <c r="I264" s="31" t="str">
        <f t="shared" si="8"/>
        <v>DA_Suffix_of_Greater_Spark</v>
      </c>
      <c r="J264" s="31" t="str">
        <f t="shared" si="9"/>
        <v>/Game/DungeonSiege/Items/Affixes/Suffix/DA_Suffix_of_Greater_Spark</v>
      </c>
    </row>
    <row r="265" spans="1:51" x14ac:dyDescent="0.25">
      <c r="A265" s="44">
        <v>263</v>
      </c>
      <c r="B265" s="44">
        <f>HEX2DEC(A265+Items!$A$29)</f>
        <v>101712483</v>
      </c>
      <c r="C265" s="24" t="s">
        <v>1872</v>
      </c>
      <c r="D265" s="24" t="s">
        <v>1873</v>
      </c>
      <c r="E265" s="24" t="s">
        <v>681</v>
      </c>
      <c r="F265" s="24" t="s">
        <v>819</v>
      </c>
      <c r="G265" s="24">
        <v>16</v>
      </c>
      <c r="H265" s="31" t="s">
        <v>1874</v>
      </c>
      <c r="I265" s="31" t="str">
        <f t="shared" si="8"/>
        <v>DA_Suffix_of_Lesser_Lightray</v>
      </c>
      <c r="J265" s="31" t="str">
        <f t="shared" si="9"/>
        <v>/Game/DungeonSiege/Items/Affixes/Suffix/DA_Suffix_of_Lesser_Lightray</v>
      </c>
    </row>
    <row r="266" spans="1:51" x14ac:dyDescent="0.25">
      <c r="A266" s="44">
        <v>264</v>
      </c>
      <c r="B266" s="44">
        <f>HEX2DEC(A266+Items!$A$29)</f>
        <v>101712484</v>
      </c>
      <c r="C266" s="24" t="s">
        <v>1875</v>
      </c>
      <c r="D266" s="24" t="s">
        <v>108</v>
      </c>
      <c r="E266" s="24" t="s">
        <v>681</v>
      </c>
      <c r="F266" s="24" t="s">
        <v>813</v>
      </c>
      <c r="G266" s="24">
        <v>15</v>
      </c>
      <c r="H266" s="31" t="s">
        <v>107</v>
      </c>
      <c r="I266" s="31" t="str">
        <f t="shared" si="8"/>
        <v>DA_Suffix_of_The_Frost</v>
      </c>
      <c r="J266" s="31" t="str">
        <f t="shared" si="9"/>
        <v>/Game/DungeonSiege/Items/Affixes/Suffix/DA_Suffix_of_The_Frost</v>
      </c>
    </row>
    <row r="267" spans="1:51" x14ac:dyDescent="0.25">
      <c r="A267" s="44">
        <v>265</v>
      </c>
      <c r="B267" s="44">
        <f>HEX2DEC(A267+Items!$A$29)</f>
        <v>101712485</v>
      </c>
      <c r="C267" s="24" t="s">
        <v>1876</v>
      </c>
      <c r="D267" s="24" t="s">
        <v>105</v>
      </c>
      <c r="E267" s="24" t="s">
        <v>681</v>
      </c>
      <c r="F267" s="24" t="s">
        <v>813</v>
      </c>
      <c r="G267" s="24">
        <v>15</v>
      </c>
      <c r="H267" s="31" t="s">
        <v>104</v>
      </c>
      <c r="I267" s="31" t="str">
        <f t="shared" si="8"/>
        <v>DA_Suffix_of_The_Blaze</v>
      </c>
      <c r="J267" s="31" t="str">
        <f t="shared" si="9"/>
        <v>/Game/DungeonSiege/Items/Affixes/Suffix/DA_Suffix_of_The_Blaze</v>
      </c>
    </row>
    <row r="268" spans="1:51" x14ac:dyDescent="0.25">
      <c r="A268" s="44">
        <v>266</v>
      </c>
      <c r="B268" s="44">
        <f>HEX2DEC(A268+Items!$A$29)</f>
        <v>101712486</v>
      </c>
      <c r="C268" s="24" t="s">
        <v>1877</v>
      </c>
      <c r="D268" s="24" t="s">
        <v>102</v>
      </c>
      <c r="E268" s="24" t="s">
        <v>681</v>
      </c>
      <c r="F268" s="24" t="s">
        <v>813</v>
      </c>
      <c r="G268" s="24">
        <v>15</v>
      </c>
      <c r="H268" s="31" t="s">
        <v>101</v>
      </c>
      <c r="I268" s="31" t="str">
        <f t="shared" si="8"/>
        <v>DA_Suffix_of_The_Charge</v>
      </c>
      <c r="J268" s="31" t="str">
        <f t="shared" si="9"/>
        <v>/Game/DungeonSiege/Items/Affixes/Suffix/DA_Suffix_of_The_Charge</v>
      </c>
    </row>
    <row r="269" spans="1:51" x14ac:dyDescent="0.25">
      <c r="A269" s="44">
        <v>267</v>
      </c>
      <c r="B269" s="44">
        <f>HEX2DEC(A269+Items!$A$29)</f>
        <v>101712487</v>
      </c>
      <c r="C269" s="24" t="s">
        <v>100</v>
      </c>
      <c r="D269" s="24" t="s">
        <v>99</v>
      </c>
      <c r="E269" s="24" t="s">
        <v>681</v>
      </c>
      <c r="F269" s="24" t="s">
        <v>813</v>
      </c>
      <c r="G269" s="24">
        <v>15</v>
      </c>
      <c r="H269" s="31" t="s">
        <v>98</v>
      </c>
      <c r="I269" s="31" t="str">
        <f t="shared" si="8"/>
        <v>DA_Suffix_of_Convening</v>
      </c>
      <c r="J269" s="31" t="str">
        <f t="shared" si="9"/>
        <v>/Game/DungeonSiege/Items/Affixes/Suffix/DA_Suffix_of_Convening</v>
      </c>
    </row>
    <row r="270" spans="1:51" x14ac:dyDescent="0.25">
      <c r="A270" s="44">
        <v>268</v>
      </c>
      <c r="B270" s="44">
        <f>HEX2DEC(A270+Items!$A$29)</f>
        <v>101712488</v>
      </c>
      <c r="C270" s="24" t="s">
        <v>97</v>
      </c>
      <c r="D270" s="24" t="s">
        <v>96</v>
      </c>
      <c r="E270" s="24" t="s">
        <v>681</v>
      </c>
      <c r="F270" s="24" t="s">
        <v>813</v>
      </c>
      <c r="G270" s="24">
        <v>15</v>
      </c>
      <c r="H270" s="31" t="s">
        <v>95</v>
      </c>
      <c r="I270" s="31" t="str">
        <f t="shared" si="8"/>
        <v>DA_Suffix_of_Clemency</v>
      </c>
      <c r="J270" s="31" t="str">
        <f t="shared" si="9"/>
        <v>/Game/DungeonSiege/Items/Affixes/Suffix/DA_Suffix_of_Clemency</v>
      </c>
    </row>
    <row r="271" spans="1:51" x14ac:dyDescent="0.25">
      <c r="A271" s="44">
        <v>269</v>
      </c>
      <c r="B271" s="44">
        <f>HEX2DEC(A271+Items!$A$29)</f>
        <v>101712489</v>
      </c>
      <c r="C271" s="24" t="s">
        <v>1878</v>
      </c>
      <c r="D271" s="24" t="s">
        <v>1879</v>
      </c>
      <c r="E271" s="24" t="s">
        <v>681</v>
      </c>
      <c r="F271" s="24" t="s">
        <v>819</v>
      </c>
      <c r="G271" s="24">
        <v>15</v>
      </c>
      <c r="H271" s="31" t="s">
        <v>1880</v>
      </c>
      <c r="I271" s="31" t="str">
        <f t="shared" si="8"/>
        <v>DA_Suffix_of_Minor_Lightning</v>
      </c>
      <c r="J271" s="31" t="str">
        <f t="shared" si="9"/>
        <v>/Game/DungeonSiege/Items/Affixes/Suffix/DA_Suffix_of_Minor_Lightning</v>
      </c>
    </row>
    <row r="272" spans="1:51" x14ac:dyDescent="0.25">
      <c r="A272" s="62">
        <v>270</v>
      </c>
      <c r="B272" s="62">
        <f>HEX2DEC(A272+Items!$A$29)</f>
        <v>101712496</v>
      </c>
      <c r="C272" s="28" t="s">
        <v>1881</v>
      </c>
      <c r="D272" s="39" t="s">
        <v>2357</v>
      </c>
      <c r="E272" s="28" t="s">
        <v>850</v>
      </c>
      <c r="F272" s="28" t="s">
        <v>686</v>
      </c>
      <c r="G272" s="28">
        <v>14</v>
      </c>
      <c r="H272" s="34" t="s">
        <v>1883</v>
      </c>
      <c r="I272" s="74" t="str">
        <f t="shared" si="8"/>
        <v>DA_Suffix_of_Honor</v>
      </c>
      <c r="J272" s="74" t="str">
        <f t="shared" si="9"/>
        <v>/Game/DungeonSiege/Items/Affixes/Suffix/DA_Suffix_of_Honor</v>
      </c>
      <c r="AY272" s="36"/>
    </row>
    <row r="273" spans="1:55" x14ac:dyDescent="0.25">
      <c r="A273" s="44">
        <v>271</v>
      </c>
      <c r="B273" s="44">
        <f>HEX2DEC(A273+Items!$A$29)</f>
        <v>101712497</v>
      </c>
      <c r="C273" s="24" t="s">
        <v>1884</v>
      </c>
      <c r="D273" s="24" t="s">
        <v>1885</v>
      </c>
      <c r="E273" s="24" t="s">
        <v>681</v>
      </c>
      <c r="F273" s="24" t="s">
        <v>819</v>
      </c>
      <c r="G273" s="24">
        <v>14</v>
      </c>
      <c r="H273" s="31" t="s">
        <v>1886</v>
      </c>
      <c r="I273" s="31" t="str">
        <f t="shared" si="8"/>
        <v>DA_Suffix_of_Firespray</v>
      </c>
      <c r="J273" s="31" t="str">
        <f t="shared" si="9"/>
        <v>/Game/DungeonSiege/Items/Affixes/Suffix/DA_Suffix_of_Firespray</v>
      </c>
    </row>
    <row r="274" spans="1:55" x14ac:dyDescent="0.25">
      <c r="A274" s="44">
        <v>272</v>
      </c>
      <c r="B274" s="44">
        <f>HEX2DEC(A274+Items!$A$29)</f>
        <v>101712498</v>
      </c>
      <c r="C274" s="24" t="s">
        <v>1887</v>
      </c>
      <c r="D274" s="24" t="s">
        <v>1888</v>
      </c>
      <c r="E274" s="24" t="s">
        <v>681</v>
      </c>
      <c r="F274" s="24" t="s">
        <v>819</v>
      </c>
      <c r="G274" s="24">
        <v>14</v>
      </c>
      <c r="H274" s="31" t="s">
        <v>1889</v>
      </c>
      <c r="I274" s="31" t="str">
        <f t="shared" si="8"/>
        <v>DA_Suffix_of_Major_Lightning</v>
      </c>
      <c r="J274" s="31" t="str">
        <f t="shared" si="9"/>
        <v>/Game/DungeonSiege/Items/Affixes/Suffix/DA_Suffix_of_Major_Lightning</v>
      </c>
    </row>
    <row r="275" spans="1:55" ht="22.5" x14ac:dyDescent="0.25">
      <c r="A275" s="44">
        <v>273</v>
      </c>
      <c r="B275" s="44">
        <f>HEX2DEC(A275+Items!$A$29)</f>
        <v>101712499</v>
      </c>
      <c r="C275" s="24" t="s">
        <v>1890</v>
      </c>
      <c r="D275" s="24" t="s">
        <v>1891</v>
      </c>
      <c r="E275" s="24" t="s">
        <v>681</v>
      </c>
      <c r="F275" s="24" t="s">
        <v>819</v>
      </c>
      <c r="G275" s="24">
        <v>14</v>
      </c>
      <c r="H275" s="31" t="s">
        <v>1892</v>
      </c>
      <c r="I275" s="31" t="str">
        <f t="shared" si="8"/>
        <v>DA_Suffix_of_Lesser_Lightning_Blast</v>
      </c>
      <c r="J275" s="31" t="str">
        <f t="shared" si="9"/>
        <v>/Game/DungeonSiege/Items/Affixes/Suffix/DA_Suffix_of_Lesser_Lightning_Blast</v>
      </c>
    </row>
    <row r="276" spans="1:55" ht="22.5" x14ac:dyDescent="0.25">
      <c r="A276" s="44">
        <v>274</v>
      </c>
      <c r="B276" s="44">
        <f>HEX2DEC(A276+Items!$A$29)</f>
        <v>101712500</v>
      </c>
      <c r="C276" s="24" t="s">
        <v>1893</v>
      </c>
      <c r="D276" s="24" t="s">
        <v>242</v>
      </c>
      <c r="E276" s="24" t="s">
        <v>681</v>
      </c>
      <c r="F276" s="24" t="s">
        <v>705</v>
      </c>
      <c r="G276" s="24">
        <v>13</v>
      </c>
      <c r="H276" s="31" t="s">
        <v>1894</v>
      </c>
      <c r="I276" s="31" t="str">
        <f t="shared" si="8"/>
        <v>DA_Suffix_of_Sturdiness</v>
      </c>
      <c r="J276" s="31" t="str">
        <f t="shared" si="9"/>
        <v>/Game/DungeonSiege/Items/Affixes/Suffix/DA_Suffix_of_Sturdiness</v>
      </c>
    </row>
    <row r="277" spans="1:55" ht="22.5" x14ac:dyDescent="0.25">
      <c r="A277" s="44">
        <v>275</v>
      </c>
      <c r="B277" s="44">
        <f>HEX2DEC(A277+Items!$A$29)</f>
        <v>101712501</v>
      </c>
      <c r="C277" s="24" t="s">
        <v>94</v>
      </c>
      <c r="D277" s="24" t="s">
        <v>93</v>
      </c>
      <c r="E277" s="24" t="s">
        <v>681</v>
      </c>
      <c r="F277" s="24" t="s">
        <v>1226</v>
      </c>
      <c r="G277" s="24">
        <v>13</v>
      </c>
      <c r="H277" s="31" t="s">
        <v>92</v>
      </c>
      <c r="I277" s="31" t="str">
        <f t="shared" si="8"/>
        <v>DA_Suffix_of_Insight</v>
      </c>
      <c r="J277" s="31" t="str">
        <f t="shared" si="9"/>
        <v>/Game/DungeonSiege/Items/Affixes/Suffix/DA_Suffix_of_Insight</v>
      </c>
    </row>
    <row r="278" spans="1:55" ht="22.5" x14ac:dyDescent="0.25">
      <c r="A278" s="44">
        <v>276</v>
      </c>
      <c r="B278" s="44">
        <f>HEX2DEC(A278+Items!$A$29)</f>
        <v>101712502</v>
      </c>
      <c r="C278" s="24" t="s">
        <v>91</v>
      </c>
      <c r="D278" s="24" t="s">
        <v>90</v>
      </c>
      <c r="E278" s="24" t="s">
        <v>681</v>
      </c>
      <c r="F278" s="24" t="s">
        <v>1382</v>
      </c>
      <c r="G278" s="24">
        <v>13</v>
      </c>
      <c r="H278" s="31" t="s">
        <v>89</v>
      </c>
      <c r="I278" s="31" t="str">
        <f t="shared" si="8"/>
        <v>DA_Suffix_of_Recuperation</v>
      </c>
      <c r="J278" s="31" t="str">
        <f t="shared" si="9"/>
        <v>/Game/DungeonSiege/Items/Affixes/Suffix/DA_Suffix_of_Recuperation</v>
      </c>
    </row>
    <row r="279" spans="1:55" x14ac:dyDescent="0.25">
      <c r="A279" s="44">
        <v>277</v>
      </c>
      <c r="B279" s="44">
        <f>HEX2DEC(A279+Items!$A$29)</f>
        <v>101712503</v>
      </c>
      <c r="C279" s="24" t="s">
        <v>1895</v>
      </c>
      <c r="D279" s="24" t="s">
        <v>1681</v>
      </c>
      <c r="E279" s="24" t="s">
        <v>681</v>
      </c>
      <c r="F279" s="24" t="s">
        <v>1219</v>
      </c>
      <c r="G279" s="24">
        <v>13</v>
      </c>
      <c r="H279" s="31" t="s">
        <v>1896</v>
      </c>
      <c r="I279" s="31" t="str">
        <f t="shared" si="8"/>
        <v>DA_Suffix_of_Liveliness</v>
      </c>
      <c r="J279" s="31" t="str">
        <f t="shared" si="9"/>
        <v>/Game/DungeonSiege/Items/Affixes/Suffix/DA_Suffix_of_Liveliness</v>
      </c>
    </row>
    <row r="280" spans="1:55" x14ac:dyDescent="0.25">
      <c r="A280" s="44">
        <v>278</v>
      </c>
      <c r="B280" s="44">
        <f>HEX2DEC(A280+Items!$A$29)</f>
        <v>101712504</v>
      </c>
      <c r="C280" s="24" t="s">
        <v>1897</v>
      </c>
      <c r="D280" s="24" t="s">
        <v>1898</v>
      </c>
      <c r="E280" s="24" t="s">
        <v>681</v>
      </c>
      <c r="F280" s="24" t="s">
        <v>1219</v>
      </c>
      <c r="G280" s="24">
        <v>13</v>
      </c>
      <c r="H280" s="31" t="s">
        <v>1899</v>
      </c>
      <c r="I280" s="31" t="str">
        <f t="shared" si="8"/>
        <v>DA_Suffix_of_Protest</v>
      </c>
      <c r="J280" s="31" t="str">
        <f t="shared" si="9"/>
        <v>/Game/DungeonSiege/Items/Affixes/Suffix/DA_Suffix_of_Protest</v>
      </c>
    </row>
    <row r="281" spans="1:55" x14ac:dyDescent="0.25">
      <c r="A281" s="44">
        <v>279</v>
      </c>
      <c r="B281" s="44">
        <f>HEX2DEC(A281+Items!$A$29)</f>
        <v>101712505</v>
      </c>
      <c r="C281" s="26" t="s">
        <v>1900</v>
      </c>
      <c r="D281" s="37" t="s">
        <v>2359</v>
      </c>
      <c r="E281" s="26" t="s">
        <v>681</v>
      </c>
      <c r="F281" s="26" t="s">
        <v>682</v>
      </c>
      <c r="G281" s="26">
        <v>13</v>
      </c>
      <c r="H281" s="32" t="s">
        <v>1901</v>
      </c>
      <c r="I281" s="31" t="str">
        <f t="shared" si="8"/>
        <v>DA_Suffix_of_Chilling</v>
      </c>
      <c r="J281" s="31" t="str">
        <f t="shared" si="9"/>
        <v>/Game/DungeonSiege/Items/Affixes/Suffix/DA_Suffix_of_Chilling</v>
      </c>
      <c r="BA281" s="36"/>
    </row>
    <row r="282" spans="1:55" x14ac:dyDescent="0.25">
      <c r="A282" s="44">
        <v>280</v>
      </c>
      <c r="B282" s="44">
        <f>HEX2DEC(A282+Items!$A$29)</f>
        <v>101712512</v>
      </c>
      <c r="C282" s="26" t="s">
        <v>1902</v>
      </c>
      <c r="D282" s="37" t="s">
        <v>2358</v>
      </c>
      <c r="E282" s="26" t="s">
        <v>681</v>
      </c>
      <c r="F282" s="26" t="s">
        <v>1243</v>
      </c>
      <c r="G282" s="26">
        <v>13</v>
      </c>
      <c r="H282" s="32" t="s">
        <v>1903</v>
      </c>
      <c r="I282" s="31" t="str">
        <f t="shared" si="8"/>
        <v>DA_Suffix_of_Slush</v>
      </c>
      <c r="J282" s="31" t="str">
        <f t="shared" si="9"/>
        <v>/Game/DungeonSiege/Items/Affixes/Suffix/DA_Suffix_of_Slush</v>
      </c>
      <c r="AZ282" s="36"/>
    </row>
    <row r="283" spans="1:55" ht="22.5" x14ac:dyDescent="0.25">
      <c r="A283" s="44">
        <v>281</v>
      </c>
      <c r="B283" s="44">
        <f>HEX2DEC(A283+Items!$A$29)</f>
        <v>101712513</v>
      </c>
      <c r="C283" s="26" t="s">
        <v>1904</v>
      </c>
      <c r="D283" s="37" t="s">
        <v>2361</v>
      </c>
      <c r="E283" s="26" t="s">
        <v>681</v>
      </c>
      <c r="F283" s="26" t="s">
        <v>705</v>
      </c>
      <c r="G283" s="26">
        <v>13</v>
      </c>
      <c r="H283" s="32" t="s">
        <v>1905</v>
      </c>
      <c r="I283" s="31" t="str">
        <f t="shared" si="8"/>
        <v>DA_Suffix_of_Privilege</v>
      </c>
      <c r="J283" s="31" t="str">
        <f t="shared" si="9"/>
        <v>/Game/DungeonSiege/Items/Affixes/Suffix/DA_Suffix_of_Privilege</v>
      </c>
      <c r="BC283" s="36"/>
    </row>
    <row r="284" spans="1:55" ht="22.5" x14ac:dyDescent="0.25">
      <c r="A284" s="62">
        <v>282</v>
      </c>
      <c r="B284" s="62">
        <f>HEX2DEC(A284+Items!$A$29)</f>
        <v>101712514</v>
      </c>
      <c r="C284" s="28" t="s">
        <v>1906</v>
      </c>
      <c r="D284" s="39" t="s">
        <v>2360</v>
      </c>
      <c r="E284" s="28" t="s">
        <v>850</v>
      </c>
      <c r="F284" s="28" t="s">
        <v>705</v>
      </c>
      <c r="G284" s="28">
        <v>13</v>
      </c>
      <c r="H284" s="34" t="s">
        <v>1908</v>
      </c>
      <c r="I284" s="74" t="str">
        <f t="shared" si="8"/>
        <v>DA_Suffix_of_Faith</v>
      </c>
      <c r="J284" s="74" t="str">
        <f t="shared" si="9"/>
        <v>/Game/DungeonSiege/Items/Affixes/Suffix/DA_Suffix_of_Faith</v>
      </c>
      <c r="BB284" s="36"/>
    </row>
    <row r="285" spans="1:55" x14ac:dyDescent="0.25">
      <c r="A285" s="61">
        <v>283</v>
      </c>
      <c r="B285" s="61">
        <f>HEX2DEC(A285+Items!$A$29)</f>
        <v>101712515</v>
      </c>
      <c r="C285" s="25" t="s">
        <v>1909</v>
      </c>
      <c r="D285" s="25" t="s">
        <v>1780</v>
      </c>
      <c r="E285" s="25" t="s">
        <v>704</v>
      </c>
      <c r="F285" s="25" t="s">
        <v>682</v>
      </c>
      <c r="G285" s="25">
        <v>13</v>
      </c>
      <c r="H285" s="64" t="s">
        <v>1910</v>
      </c>
      <c r="I285" s="64" t="str">
        <f t="shared" si="8"/>
        <v>DA_Suffix_of_Clean_Strike</v>
      </c>
      <c r="J285" s="64" t="str">
        <f t="shared" si="9"/>
        <v>/Game/DungeonSiege/Items/Affixes/Suffix/DA_Suffix_of_Clean_Strike</v>
      </c>
    </row>
    <row r="286" spans="1:55" x14ac:dyDescent="0.25">
      <c r="A286" s="44">
        <v>284</v>
      </c>
      <c r="B286" s="44">
        <f>HEX2DEC(A286+Items!$A$29)</f>
        <v>101712516</v>
      </c>
      <c r="C286" s="24" t="s">
        <v>1911</v>
      </c>
      <c r="D286" s="24" t="s">
        <v>1912</v>
      </c>
      <c r="E286" s="24" t="s">
        <v>681</v>
      </c>
      <c r="F286" s="24" t="s">
        <v>819</v>
      </c>
      <c r="G286" s="24">
        <v>13</v>
      </c>
      <c r="H286" s="31" t="s">
        <v>1913</v>
      </c>
      <c r="I286" s="31" t="str">
        <f t="shared" si="8"/>
        <v>DA_Suffix_of_Major_Spark</v>
      </c>
      <c r="J286" s="31" t="str">
        <f t="shared" si="9"/>
        <v>/Game/DungeonSiege/Items/Affixes/Suffix/DA_Suffix_of_Major_Spark</v>
      </c>
    </row>
    <row r="287" spans="1:55" ht="22.5" x14ac:dyDescent="0.25">
      <c r="A287" s="44">
        <v>285</v>
      </c>
      <c r="B287" s="44">
        <f>HEX2DEC(A287+Items!$A$29)</f>
        <v>101712517</v>
      </c>
      <c r="C287" s="24" t="s">
        <v>1914</v>
      </c>
      <c r="D287" s="24" t="s">
        <v>1915</v>
      </c>
      <c r="E287" s="24" t="s">
        <v>681</v>
      </c>
      <c r="F287" s="24" t="s">
        <v>819</v>
      </c>
      <c r="G287" s="24">
        <v>13</v>
      </c>
      <c r="H287" s="31" t="s">
        <v>1916</v>
      </c>
      <c r="I287" s="31" t="str">
        <f t="shared" si="8"/>
        <v>DA_Suffix_of_Lesser_Multispark</v>
      </c>
      <c r="J287" s="31" t="str">
        <f t="shared" si="9"/>
        <v>/Game/DungeonSiege/Items/Affixes/Suffix/DA_Suffix_of_Lesser_Multispark</v>
      </c>
    </row>
    <row r="288" spans="1:55" ht="22.5" x14ac:dyDescent="0.25">
      <c r="A288" s="44">
        <v>286</v>
      </c>
      <c r="B288" s="44">
        <f>HEX2DEC(A288+Items!$A$29)</f>
        <v>101712518</v>
      </c>
      <c r="C288" s="24" t="s">
        <v>88</v>
      </c>
      <c r="D288" s="24" t="s">
        <v>87</v>
      </c>
      <c r="E288" s="24" t="s">
        <v>681</v>
      </c>
      <c r="F288" s="24" t="s">
        <v>1226</v>
      </c>
      <c r="G288" s="24">
        <v>12</v>
      </c>
      <c r="H288" s="31" t="s">
        <v>86</v>
      </c>
      <c r="I288" s="31" t="str">
        <f t="shared" si="8"/>
        <v>DA_Suffix_of_the_Spry</v>
      </c>
      <c r="J288" s="31" t="str">
        <f t="shared" si="9"/>
        <v>/Game/DungeonSiege/Items/Affixes/Suffix/DA_Suffix_of_the_Spry</v>
      </c>
    </row>
    <row r="289" spans="1:56" x14ac:dyDescent="0.25">
      <c r="A289" s="44">
        <v>287</v>
      </c>
      <c r="B289" s="44">
        <f>HEX2DEC(A289+Items!$A$29)</f>
        <v>101712519</v>
      </c>
      <c r="C289" s="24" t="s">
        <v>1917</v>
      </c>
      <c r="D289" s="24" t="s">
        <v>912</v>
      </c>
      <c r="E289" s="24" t="s">
        <v>681</v>
      </c>
      <c r="F289" s="24" t="s">
        <v>682</v>
      </c>
      <c r="G289" s="24">
        <v>12</v>
      </c>
      <c r="H289" s="31" t="s">
        <v>1918</v>
      </c>
      <c r="I289" s="31" t="str">
        <f t="shared" si="8"/>
        <v>DA_Suffix_of_Briars</v>
      </c>
      <c r="J289" s="31" t="str">
        <f t="shared" si="9"/>
        <v>/Game/DungeonSiege/Items/Affixes/Suffix/DA_Suffix_of_Briars</v>
      </c>
    </row>
    <row r="290" spans="1:56" x14ac:dyDescent="0.25">
      <c r="A290" s="44">
        <v>288</v>
      </c>
      <c r="B290" s="44">
        <f>HEX2DEC(A290+Items!$A$29)</f>
        <v>101712520</v>
      </c>
      <c r="C290" s="24" t="s">
        <v>1919</v>
      </c>
      <c r="D290" s="24" t="s">
        <v>804</v>
      </c>
      <c r="E290" s="24" t="s">
        <v>681</v>
      </c>
      <c r="F290" s="24" t="s">
        <v>682</v>
      </c>
      <c r="G290" s="24">
        <v>12</v>
      </c>
      <c r="H290" s="31" t="s">
        <v>1920</v>
      </c>
      <c r="I290" s="31" t="str">
        <f t="shared" si="8"/>
        <v>DA_Suffix_of_Precision</v>
      </c>
      <c r="J290" s="31" t="str">
        <f t="shared" si="9"/>
        <v>/Game/DungeonSiege/Items/Affixes/Suffix/DA_Suffix_of_Precision</v>
      </c>
    </row>
    <row r="291" spans="1:56" x14ac:dyDescent="0.25">
      <c r="A291" s="44">
        <v>289</v>
      </c>
      <c r="B291" s="44">
        <f>HEX2DEC(A291+Items!$A$29)</f>
        <v>101712521</v>
      </c>
      <c r="C291" s="24" t="s">
        <v>1921</v>
      </c>
      <c r="D291" s="24" t="s">
        <v>1922</v>
      </c>
      <c r="E291" s="24" t="s">
        <v>681</v>
      </c>
      <c r="F291" s="24" t="s">
        <v>1120</v>
      </c>
      <c r="G291" s="24">
        <v>12</v>
      </c>
      <c r="H291" s="31" t="s">
        <v>1923</v>
      </c>
      <c r="I291" s="31" t="str">
        <f t="shared" si="8"/>
        <v>DA_Suffix_of_Twilight</v>
      </c>
      <c r="J291" s="31" t="str">
        <f t="shared" si="9"/>
        <v>/Game/DungeonSiege/Items/Affixes/Suffix/DA_Suffix_of_Twilight</v>
      </c>
    </row>
    <row r="292" spans="1:56" x14ac:dyDescent="0.25">
      <c r="A292" s="44">
        <v>290</v>
      </c>
      <c r="B292" s="44">
        <f>HEX2DEC(A292+Items!$A$29)</f>
        <v>101712528</v>
      </c>
      <c r="C292" s="24" t="s">
        <v>1924</v>
      </c>
      <c r="D292" s="24" t="s">
        <v>797</v>
      </c>
      <c r="E292" s="24" t="s">
        <v>681</v>
      </c>
      <c r="F292" s="24" t="s">
        <v>819</v>
      </c>
      <c r="G292" s="24">
        <v>12</v>
      </c>
      <c r="H292" s="31" t="s">
        <v>1925</v>
      </c>
      <c r="I292" s="31" t="str">
        <f t="shared" si="8"/>
        <v>DA_Suffix_of_Exchange</v>
      </c>
      <c r="J292" s="31" t="str">
        <f t="shared" si="9"/>
        <v>/Game/DungeonSiege/Items/Affixes/Suffix/DA_Suffix_of_Exchange</v>
      </c>
    </row>
    <row r="293" spans="1:56" x14ac:dyDescent="0.25">
      <c r="A293" s="44">
        <v>291</v>
      </c>
      <c r="B293" s="44">
        <f>HEX2DEC(A293+Items!$A$29)</f>
        <v>101712529</v>
      </c>
      <c r="C293" s="24" t="s">
        <v>1926</v>
      </c>
      <c r="D293" s="24" t="s">
        <v>1927</v>
      </c>
      <c r="E293" s="24" t="s">
        <v>681</v>
      </c>
      <c r="F293" s="24" t="s">
        <v>682</v>
      </c>
      <c r="G293" s="24">
        <v>12</v>
      </c>
      <c r="H293" s="31" t="s">
        <v>1928</v>
      </c>
      <c r="I293" s="31" t="str">
        <f t="shared" si="8"/>
        <v>DA_Suffix_of_the_Provoked</v>
      </c>
      <c r="J293" s="31" t="str">
        <f t="shared" si="9"/>
        <v>/Game/DungeonSiege/Items/Affixes/Suffix/DA_Suffix_of_the_Provoked</v>
      </c>
    </row>
    <row r="294" spans="1:56" x14ac:dyDescent="0.25">
      <c r="A294" s="44">
        <v>292</v>
      </c>
      <c r="B294" s="44">
        <f>HEX2DEC(A294+Items!$A$29)</f>
        <v>101712530</v>
      </c>
      <c r="C294" s="24" t="s">
        <v>1929</v>
      </c>
      <c r="D294" s="24" t="s">
        <v>858</v>
      </c>
      <c r="E294" s="24" t="s">
        <v>681</v>
      </c>
      <c r="F294" s="24" t="s">
        <v>686</v>
      </c>
      <c r="G294" s="24">
        <v>12</v>
      </c>
      <c r="H294" s="31" t="s">
        <v>1930</v>
      </c>
      <c r="I294" s="31" t="str">
        <f t="shared" si="8"/>
        <v>DA_Suffix_of_Horizon</v>
      </c>
      <c r="J294" s="31" t="str">
        <f t="shared" si="9"/>
        <v>/Game/DungeonSiege/Items/Affixes/Suffix/DA_Suffix_of_Horizon</v>
      </c>
    </row>
    <row r="295" spans="1:56" x14ac:dyDescent="0.25">
      <c r="A295" s="44">
        <v>293</v>
      </c>
      <c r="B295" s="44">
        <f>HEX2DEC(A295+Items!$A$29)</f>
        <v>101712531</v>
      </c>
      <c r="C295" s="24" t="s">
        <v>1931</v>
      </c>
      <c r="D295" s="24" t="s">
        <v>1932</v>
      </c>
      <c r="E295" s="24" t="s">
        <v>681</v>
      </c>
      <c r="F295" s="24" t="s">
        <v>682</v>
      </c>
      <c r="G295" s="24">
        <v>12</v>
      </c>
      <c r="H295" s="31" t="s">
        <v>1933</v>
      </c>
      <c r="I295" s="31" t="str">
        <f t="shared" si="8"/>
        <v>DA_Suffix_of_Searing</v>
      </c>
      <c r="J295" s="31" t="str">
        <f t="shared" si="9"/>
        <v>/Game/DungeonSiege/Items/Affixes/Suffix/DA_Suffix_of_Searing</v>
      </c>
    </row>
    <row r="296" spans="1:56" x14ac:dyDescent="0.25">
      <c r="A296" s="77">
        <v>294</v>
      </c>
      <c r="B296" s="77">
        <f>HEX2DEC(A296+Items!$A$29)</f>
        <v>101712532</v>
      </c>
      <c r="C296" s="78" t="s">
        <v>1347</v>
      </c>
      <c r="D296" s="78" t="s">
        <v>1934</v>
      </c>
      <c r="E296" s="78" t="s">
        <v>681</v>
      </c>
      <c r="F296" s="78" t="s">
        <v>686</v>
      </c>
      <c r="G296" s="78">
        <v>12</v>
      </c>
      <c r="H296" s="79" t="s">
        <v>1935</v>
      </c>
      <c r="I296" s="79" t="str">
        <f t="shared" si="8"/>
        <v>DA_Suffix_of_Cinders</v>
      </c>
      <c r="J296" s="79" t="str">
        <f t="shared" si="9"/>
        <v>/Game/DungeonSiege/Items/Affixes/Suffix/DA_Suffix_of_Cinders</v>
      </c>
    </row>
    <row r="297" spans="1:56" x14ac:dyDescent="0.25">
      <c r="A297" s="44">
        <v>295</v>
      </c>
      <c r="B297" s="44">
        <f>HEX2DEC(A297+Items!$A$29)</f>
        <v>101712533</v>
      </c>
      <c r="C297" s="26" t="s">
        <v>1936</v>
      </c>
      <c r="D297" s="26" t="s">
        <v>913</v>
      </c>
      <c r="E297" s="26" t="s">
        <v>681</v>
      </c>
      <c r="F297" s="26" t="s">
        <v>682</v>
      </c>
      <c r="G297" s="26">
        <v>12</v>
      </c>
      <c r="H297" s="32" t="s">
        <v>1937</v>
      </c>
      <c r="I297" s="31" t="str">
        <f t="shared" si="8"/>
        <v>DA_Suffix_of_Youth</v>
      </c>
      <c r="J297" s="31" t="str">
        <f t="shared" si="9"/>
        <v>/Game/DungeonSiege/Items/Affixes/Suffix/DA_Suffix_of_Youth</v>
      </c>
    </row>
    <row r="298" spans="1:56" x14ac:dyDescent="0.25">
      <c r="A298" s="62">
        <v>296</v>
      </c>
      <c r="B298" s="62">
        <f>HEX2DEC(A298+Items!$A$29)</f>
        <v>101712534</v>
      </c>
      <c r="C298" s="28" t="s">
        <v>1938</v>
      </c>
      <c r="D298" s="39" t="s">
        <v>2362</v>
      </c>
      <c r="E298" s="28" t="s">
        <v>850</v>
      </c>
      <c r="F298" s="28" t="s">
        <v>682</v>
      </c>
      <c r="G298" s="28">
        <v>12</v>
      </c>
      <c r="H298" s="34" t="s">
        <v>1939</v>
      </c>
      <c r="I298" s="74" t="str">
        <f t="shared" si="8"/>
        <v>DA_Suffix_of_Truth</v>
      </c>
      <c r="J298" s="74" t="str">
        <f t="shared" si="9"/>
        <v>/Game/DungeonSiege/Items/Affixes/Suffix/DA_Suffix_of_Truth</v>
      </c>
      <c r="BD298" s="36"/>
    </row>
    <row r="299" spans="1:56" ht="22.5" x14ac:dyDescent="0.25">
      <c r="A299" s="61">
        <v>297</v>
      </c>
      <c r="B299" s="61">
        <f>HEX2DEC(A299+Items!$A$29)</f>
        <v>101712535</v>
      </c>
      <c r="C299" s="25" t="s">
        <v>1940</v>
      </c>
      <c r="D299" s="25" t="s">
        <v>1941</v>
      </c>
      <c r="E299" s="25" t="s">
        <v>704</v>
      </c>
      <c r="F299" s="25" t="s">
        <v>819</v>
      </c>
      <c r="G299" s="25">
        <v>12</v>
      </c>
      <c r="H299" s="64" t="s">
        <v>1942</v>
      </c>
      <c r="I299" s="64" t="str">
        <f t="shared" si="8"/>
        <v>DA_Suffix_of_Personal_Stone_Skin</v>
      </c>
      <c r="J299" s="64" t="str">
        <f t="shared" si="9"/>
        <v>/Game/DungeonSiege/Items/Affixes/Suffix/DA_Suffix_of_Personal_Stone_Skin</v>
      </c>
    </row>
    <row r="300" spans="1:56" x14ac:dyDescent="0.25">
      <c r="A300" s="44">
        <v>298</v>
      </c>
      <c r="B300" s="44">
        <f>HEX2DEC(A300+Items!$A$29)</f>
        <v>101712536</v>
      </c>
      <c r="C300" s="24" t="s">
        <v>1943</v>
      </c>
      <c r="D300" s="24" t="s">
        <v>1944</v>
      </c>
      <c r="E300" s="24" t="s">
        <v>681</v>
      </c>
      <c r="F300" s="24" t="s">
        <v>819</v>
      </c>
      <c r="G300" s="24">
        <v>12</v>
      </c>
      <c r="H300" s="31" t="s">
        <v>1945</v>
      </c>
      <c r="I300" s="31" t="str">
        <f t="shared" si="8"/>
        <v>DA_Suffix_of_Minor_Fireskull</v>
      </c>
      <c r="J300" s="31" t="str">
        <f t="shared" si="9"/>
        <v>/Game/DungeonSiege/Items/Affixes/Suffix/DA_Suffix_of_Minor_Fireskull</v>
      </c>
    </row>
    <row r="301" spans="1:56" x14ac:dyDescent="0.25">
      <c r="A301" s="44">
        <v>299</v>
      </c>
      <c r="B301" s="44">
        <f>HEX2DEC(A301+Items!$A$29)</f>
        <v>101712537</v>
      </c>
      <c r="C301" s="24" t="s">
        <v>1946</v>
      </c>
      <c r="D301" s="24" t="s">
        <v>1053</v>
      </c>
      <c r="E301" s="24" t="s">
        <v>681</v>
      </c>
      <c r="F301" s="24" t="s">
        <v>686</v>
      </c>
      <c r="G301" s="24">
        <v>11</v>
      </c>
      <c r="H301" s="31" t="s">
        <v>1947</v>
      </c>
      <c r="I301" s="31" t="str">
        <f t="shared" si="8"/>
        <v>DA_Suffix_of_Purpose</v>
      </c>
      <c r="J301" s="31" t="str">
        <f t="shared" si="9"/>
        <v>/Game/DungeonSiege/Items/Affixes/Suffix/DA_Suffix_of_Purpose</v>
      </c>
    </row>
    <row r="302" spans="1:56" x14ac:dyDescent="0.25">
      <c r="A302" s="44">
        <v>300</v>
      </c>
      <c r="B302" s="44">
        <f>HEX2DEC(A302+Items!$A$29)</f>
        <v>101712640</v>
      </c>
      <c r="C302" s="24" t="s">
        <v>1948</v>
      </c>
      <c r="D302" s="24" t="s">
        <v>737</v>
      </c>
      <c r="E302" s="24" t="s">
        <v>681</v>
      </c>
      <c r="F302" s="24" t="s">
        <v>1120</v>
      </c>
      <c r="G302" s="24">
        <v>11</v>
      </c>
      <c r="H302" s="31" t="s">
        <v>1949</v>
      </c>
      <c r="I302" s="31" t="str">
        <f t="shared" si="8"/>
        <v>DA_Suffix_of_Lechery</v>
      </c>
      <c r="J302" s="31" t="str">
        <f t="shared" si="9"/>
        <v>/Game/DungeonSiege/Items/Affixes/Suffix/DA_Suffix_of_Lechery</v>
      </c>
    </row>
    <row r="303" spans="1:56" x14ac:dyDescent="0.25">
      <c r="A303" s="44">
        <v>301</v>
      </c>
      <c r="B303" s="44">
        <f>HEX2DEC(A303+Items!$A$29)</f>
        <v>101712641</v>
      </c>
      <c r="C303" s="24" t="s">
        <v>1950</v>
      </c>
      <c r="D303" s="24" t="s">
        <v>701</v>
      </c>
      <c r="E303" s="24" t="s">
        <v>681</v>
      </c>
      <c r="F303" s="24" t="s">
        <v>1120</v>
      </c>
      <c r="G303" s="24">
        <v>11</v>
      </c>
      <c r="H303" s="31" t="s">
        <v>1951</v>
      </c>
      <c r="I303" s="31" t="str">
        <f t="shared" si="8"/>
        <v>DA_Suffix_of_the_Looter</v>
      </c>
      <c r="J303" s="31" t="str">
        <f t="shared" si="9"/>
        <v>/Game/DungeonSiege/Items/Affixes/Suffix/DA_Suffix_of_the_Looter</v>
      </c>
    </row>
    <row r="304" spans="1:56" x14ac:dyDescent="0.25">
      <c r="A304" s="44">
        <v>302</v>
      </c>
      <c r="B304" s="44">
        <f>HEX2DEC(A304+Items!$A$29)</f>
        <v>101712642</v>
      </c>
      <c r="C304" s="24" t="s">
        <v>1952</v>
      </c>
      <c r="D304" s="24" t="s">
        <v>1953</v>
      </c>
      <c r="E304" s="24" t="s">
        <v>681</v>
      </c>
      <c r="F304" s="24" t="s">
        <v>686</v>
      </c>
      <c r="G304" s="24">
        <v>11</v>
      </c>
      <c r="H304" s="31" t="s">
        <v>1954</v>
      </c>
      <c r="I304" s="31" t="str">
        <f t="shared" si="8"/>
        <v>DA_Suffix_of_the_Dove</v>
      </c>
      <c r="J304" s="31" t="str">
        <f t="shared" si="9"/>
        <v>/Game/DungeonSiege/Items/Affixes/Suffix/DA_Suffix_of_the_Dove</v>
      </c>
    </row>
    <row r="305" spans="1:60" x14ac:dyDescent="0.25">
      <c r="A305" s="44">
        <v>303</v>
      </c>
      <c r="B305" s="44">
        <f>HEX2DEC(A305+Items!$A$29)</f>
        <v>101712643</v>
      </c>
      <c r="C305" s="24" t="s">
        <v>1955</v>
      </c>
      <c r="D305" s="24" t="s">
        <v>1956</v>
      </c>
      <c r="E305" s="24" t="s">
        <v>681</v>
      </c>
      <c r="F305" s="24" t="s">
        <v>1219</v>
      </c>
      <c r="G305" s="24">
        <v>11</v>
      </c>
      <c r="H305" s="31" t="s">
        <v>1957</v>
      </c>
      <c r="I305" s="31" t="str">
        <f t="shared" si="8"/>
        <v>DA_Suffix_of_Expanse</v>
      </c>
      <c r="J305" s="31" t="str">
        <f t="shared" si="9"/>
        <v>/Game/DungeonSiege/Items/Affixes/Suffix/DA_Suffix_of_Expanse</v>
      </c>
    </row>
    <row r="306" spans="1:60" x14ac:dyDescent="0.25">
      <c r="A306" s="44">
        <v>304</v>
      </c>
      <c r="B306" s="44">
        <f>HEX2DEC(A306+Items!$A$29)</f>
        <v>101712644</v>
      </c>
      <c r="C306" s="24" t="s">
        <v>1958</v>
      </c>
      <c r="D306" s="24" t="s">
        <v>1959</v>
      </c>
      <c r="E306" s="24" t="s">
        <v>681</v>
      </c>
      <c r="F306" s="24" t="s">
        <v>1219</v>
      </c>
      <c r="G306" s="24">
        <v>11</v>
      </c>
      <c r="H306" s="31" t="s">
        <v>1960</v>
      </c>
      <c r="I306" s="31" t="str">
        <f t="shared" si="8"/>
        <v>DA_Suffix_of_Discord</v>
      </c>
      <c r="J306" s="31" t="str">
        <f t="shared" si="9"/>
        <v>/Game/DungeonSiege/Items/Affixes/Suffix/DA_Suffix_of_Discord</v>
      </c>
    </row>
    <row r="307" spans="1:60" x14ac:dyDescent="0.25">
      <c r="A307" s="44">
        <v>305</v>
      </c>
      <c r="B307" s="44">
        <f>HEX2DEC(A307+Items!$A$29)</f>
        <v>101712645</v>
      </c>
      <c r="C307" s="24" t="s">
        <v>1961</v>
      </c>
      <c r="D307" s="24" t="s">
        <v>913</v>
      </c>
      <c r="E307" s="24" t="s">
        <v>681</v>
      </c>
      <c r="F307" s="24" t="s">
        <v>682</v>
      </c>
      <c r="G307" s="24">
        <v>11</v>
      </c>
      <c r="H307" s="31" t="s">
        <v>1962</v>
      </c>
      <c r="I307" s="31" t="str">
        <f t="shared" si="8"/>
        <v>DA_Suffix_of_Carving</v>
      </c>
      <c r="J307" s="31" t="str">
        <f t="shared" si="9"/>
        <v>/Game/DungeonSiege/Items/Affixes/Suffix/DA_Suffix_of_Carving</v>
      </c>
    </row>
    <row r="308" spans="1:60" ht="22.5" x14ac:dyDescent="0.25">
      <c r="A308" s="62">
        <v>306</v>
      </c>
      <c r="B308" s="62">
        <f>HEX2DEC(A308+Items!$A$29)</f>
        <v>101712646</v>
      </c>
      <c r="C308" s="28" t="s">
        <v>1963</v>
      </c>
      <c r="D308" s="39" t="s">
        <v>2363</v>
      </c>
      <c r="E308" s="28" t="s">
        <v>850</v>
      </c>
      <c r="F308" s="28" t="s">
        <v>705</v>
      </c>
      <c r="G308" s="28">
        <v>11</v>
      </c>
      <c r="H308" s="34" t="s">
        <v>1964</v>
      </c>
      <c r="I308" s="74" t="str">
        <f t="shared" si="8"/>
        <v>DA_Suffix_of_Dread</v>
      </c>
      <c r="J308" s="74" t="str">
        <f t="shared" si="9"/>
        <v>/Game/DungeonSiege/Items/Affixes/Suffix/DA_Suffix_of_Dread</v>
      </c>
      <c r="BE308" s="36"/>
    </row>
    <row r="309" spans="1:60" ht="22.5" x14ac:dyDescent="0.25">
      <c r="A309" s="62">
        <v>307</v>
      </c>
      <c r="B309" s="62">
        <f>HEX2DEC(A309+Items!$A$29)</f>
        <v>101712647</v>
      </c>
      <c r="C309" s="28" t="s">
        <v>1965</v>
      </c>
      <c r="D309" s="39" t="s">
        <v>2364</v>
      </c>
      <c r="E309" s="28" t="s">
        <v>850</v>
      </c>
      <c r="F309" s="28" t="s">
        <v>705</v>
      </c>
      <c r="G309" s="28">
        <v>11</v>
      </c>
      <c r="H309" s="34" t="s">
        <v>1966</v>
      </c>
      <c r="I309" s="74" t="str">
        <f t="shared" si="8"/>
        <v>DA_Suffix_of_Prosperity</v>
      </c>
      <c r="J309" s="74" t="str">
        <f t="shared" si="9"/>
        <v>/Game/DungeonSiege/Items/Affixes/Suffix/DA_Suffix_of_Prosperity</v>
      </c>
      <c r="BF309" s="36"/>
    </row>
    <row r="310" spans="1:60" ht="22.5" x14ac:dyDescent="0.25">
      <c r="A310" s="44">
        <v>308</v>
      </c>
      <c r="B310" s="44">
        <f>HEX2DEC(A310+Items!$A$29)</f>
        <v>101712648</v>
      </c>
      <c r="C310" s="24" t="s">
        <v>1967</v>
      </c>
      <c r="D310" s="24" t="s">
        <v>1968</v>
      </c>
      <c r="E310" s="24" t="s">
        <v>681</v>
      </c>
      <c r="F310" s="24" t="s">
        <v>819</v>
      </c>
      <c r="G310" s="24">
        <v>11</v>
      </c>
      <c r="H310" s="31" t="s">
        <v>1969</v>
      </c>
      <c r="I310" s="31" t="str">
        <f t="shared" si="8"/>
        <v>DA_Suffix_of_Greater_Fireshot</v>
      </c>
      <c r="J310" s="31" t="str">
        <f t="shared" si="9"/>
        <v>/Game/DungeonSiege/Items/Affixes/Suffix/DA_Suffix_of_Greater_Fireshot</v>
      </c>
    </row>
    <row r="311" spans="1:60" x14ac:dyDescent="0.25">
      <c r="A311" s="44">
        <v>309</v>
      </c>
      <c r="B311" s="44">
        <f>HEX2DEC(A311+Items!$A$29)</f>
        <v>101712649</v>
      </c>
      <c r="C311" s="24" t="s">
        <v>1970</v>
      </c>
      <c r="D311" s="24" t="s">
        <v>1971</v>
      </c>
      <c r="E311" s="24" t="s">
        <v>681</v>
      </c>
      <c r="F311" s="24" t="s">
        <v>819</v>
      </c>
      <c r="G311" s="24">
        <v>11</v>
      </c>
      <c r="H311" s="31" t="s">
        <v>1972</v>
      </c>
      <c r="I311" s="31" t="str">
        <f t="shared" si="8"/>
        <v>DA_Suffix_of_Spark</v>
      </c>
      <c r="J311" s="31" t="str">
        <f t="shared" si="9"/>
        <v>/Game/DungeonSiege/Items/Affixes/Suffix/DA_Suffix_of_Spark</v>
      </c>
    </row>
    <row r="312" spans="1:60" x14ac:dyDescent="0.25">
      <c r="A312" s="44">
        <v>310</v>
      </c>
      <c r="B312" s="44">
        <f>HEX2DEC(A312+Items!$A$29)</f>
        <v>101712656</v>
      </c>
      <c r="C312" s="24" t="s">
        <v>1973</v>
      </c>
      <c r="D312" s="24" t="s">
        <v>1974</v>
      </c>
      <c r="E312" s="24" t="s">
        <v>681</v>
      </c>
      <c r="F312" s="24" t="s">
        <v>819</v>
      </c>
      <c r="G312" s="24">
        <v>11</v>
      </c>
      <c r="H312" s="31" t="s">
        <v>1975</v>
      </c>
      <c r="I312" s="31" t="str">
        <f t="shared" si="8"/>
        <v>DA_Suffix_of_Lesser_Fireball</v>
      </c>
      <c r="J312" s="31" t="str">
        <f t="shared" si="9"/>
        <v>/Game/DungeonSiege/Items/Affixes/Suffix/DA_Suffix_of_Lesser_Fireball</v>
      </c>
    </row>
    <row r="313" spans="1:60" ht="22.5" x14ac:dyDescent="0.25">
      <c r="A313" s="63">
        <v>311</v>
      </c>
      <c r="B313" s="63">
        <f>HEX2DEC(A313+Items!$A$29)</f>
        <v>101712657</v>
      </c>
      <c r="C313" s="29" t="s">
        <v>1976</v>
      </c>
      <c r="D313" s="40" t="s">
        <v>2365</v>
      </c>
      <c r="E313" s="29" t="s">
        <v>681</v>
      </c>
      <c r="F313" s="29" t="s">
        <v>705</v>
      </c>
      <c r="G313" s="29">
        <v>10</v>
      </c>
      <c r="H313" s="35" t="s">
        <v>1977</v>
      </c>
      <c r="I313" s="75" t="str">
        <f t="shared" si="8"/>
        <v>DA_Suffix_of_Monstrosity</v>
      </c>
      <c r="J313" s="75" t="str">
        <f t="shared" si="9"/>
        <v>/Game/DungeonSiege/Items/Affixes/Suffix/DA_Suffix_of_Monstrosity</v>
      </c>
      <c r="BG313" s="36"/>
    </row>
    <row r="314" spans="1:60" x14ac:dyDescent="0.25">
      <c r="A314" s="62">
        <v>312</v>
      </c>
      <c r="B314" s="62">
        <f>HEX2DEC(A314+Items!$A$29)</f>
        <v>101712658</v>
      </c>
      <c r="C314" s="28" t="s">
        <v>1978</v>
      </c>
      <c r="D314" s="39" t="s">
        <v>2366</v>
      </c>
      <c r="E314" s="28" t="s">
        <v>850</v>
      </c>
      <c r="F314" s="28" t="s">
        <v>682</v>
      </c>
      <c r="G314" s="28">
        <v>10</v>
      </c>
      <c r="H314" s="34" t="s">
        <v>1979</v>
      </c>
      <c r="I314" s="74" t="str">
        <f t="shared" si="8"/>
        <v>DA_Suffix_of_Currents</v>
      </c>
      <c r="J314" s="74" t="str">
        <f t="shared" si="9"/>
        <v>/Game/DungeonSiege/Items/Affixes/Suffix/DA_Suffix_of_Currents</v>
      </c>
      <c r="BH314" s="36"/>
    </row>
    <row r="315" spans="1:60" ht="22.5" x14ac:dyDescent="0.25">
      <c r="A315" s="44">
        <v>313</v>
      </c>
      <c r="B315" s="44">
        <f>HEX2DEC(A315+Items!$A$29)</f>
        <v>101712659</v>
      </c>
      <c r="C315" s="24" t="s">
        <v>1980</v>
      </c>
      <c r="D315" s="24" t="s">
        <v>1981</v>
      </c>
      <c r="E315" s="24" t="s">
        <v>681</v>
      </c>
      <c r="F315" s="24" t="s">
        <v>819</v>
      </c>
      <c r="G315" s="24">
        <v>10</v>
      </c>
      <c r="H315" s="31" t="s">
        <v>1982</v>
      </c>
      <c r="I315" s="31" t="str">
        <f t="shared" si="8"/>
        <v>DA_Suffix_of_Minor_Firespray</v>
      </c>
      <c r="J315" s="31" t="str">
        <f t="shared" si="9"/>
        <v>/Game/DungeonSiege/Items/Affixes/Suffix/DA_Suffix_of_Minor_Firespray</v>
      </c>
    </row>
    <row r="316" spans="1:60" ht="22.5" x14ac:dyDescent="0.25">
      <c r="A316" s="44">
        <v>314</v>
      </c>
      <c r="B316" s="44">
        <f>HEX2DEC(A316+Items!$A$29)</f>
        <v>101712660</v>
      </c>
      <c r="C316" s="24" t="s">
        <v>1983</v>
      </c>
      <c r="D316" s="24" t="s">
        <v>1984</v>
      </c>
      <c r="E316" s="24" t="s">
        <v>681</v>
      </c>
      <c r="F316" s="24" t="s">
        <v>819</v>
      </c>
      <c r="G316" s="24">
        <v>10</v>
      </c>
      <c r="H316" s="31" t="s">
        <v>1985</v>
      </c>
      <c r="I316" s="31" t="str">
        <f t="shared" si="8"/>
        <v>DA_Suffix_of_Lesser_Lightning</v>
      </c>
      <c r="J316" s="31" t="str">
        <f t="shared" si="9"/>
        <v>/Game/DungeonSiege/Items/Affixes/Suffix/DA_Suffix_of_Lesser_Lightning</v>
      </c>
    </row>
    <row r="317" spans="1:60" ht="22.5" x14ac:dyDescent="0.25">
      <c r="A317" s="44">
        <v>315</v>
      </c>
      <c r="B317" s="44">
        <f>HEX2DEC(A317+Items!$A$29)</f>
        <v>101712661</v>
      </c>
      <c r="C317" s="24" t="s">
        <v>85</v>
      </c>
      <c r="D317" s="24" t="s">
        <v>84</v>
      </c>
      <c r="E317" s="24" t="s">
        <v>681</v>
      </c>
      <c r="F317" s="24" t="s">
        <v>1226</v>
      </c>
      <c r="G317" s="24">
        <v>9</v>
      </c>
      <c r="H317" s="31" t="s">
        <v>83</v>
      </c>
      <c r="I317" s="31" t="str">
        <f t="shared" si="8"/>
        <v>DA_Suffix_of_the_Boar</v>
      </c>
      <c r="J317" s="31" t="str">
        <f t="shared" si="9"/>
        <v>/Game/DungeonSiege/Items/Affixes/Suffix/DA_Suffix_of_the_Boar</v>
      </c>
    </row>
    <row r="318" spans="1:60" ht="22.5" x14ac:dyDescent="0.25">
      <c r="A318" s="44">
        <v>316</v>
      </c>
      <c r="B318" s="44">
        <f>HEX2DEC(A318+Items!$A$29)</f>
        <v>101712662</v>
      </c>
      <c r="C318" s="24" t="s">
        <v>82</v>
      </c>
      <c r="D318" s="24" t="s">
        <v>81</v>
      </c>
      <c r="E318" s="24" t="s">
        <v>681</v>
      </c>
      <c r="F318" s="24" t="s">
        <v>1382</v>
      </c>
      <c r="G318" s="24">
        <v>9</v>
      </c>
      <c r="H318" s="31" t="s">
        <v>80</v>
      </c>
      <c r="I318" s="31" t="str">
        <f t="shared" si="8"/>
        <v>DA_Suffix_of_Rejuvenation</v>
      </c>
      <c r="J318" s="31" t="str">
        <f t="shared" si="9"/>
        <v>/Game/DungeonSiege/Items/Affixes/Suffix/DA_Suffix_of_Rejuvenation</v>
      </c>
    </row>
    <row r="319" spans="1:60" x14ac:dyDescent="0.25">
      <c r="A319" s="44">
        <v>317</v>
      </c>
      <c r="B319" s="44">
        <f>HEX2DEC(A319+Items!$A$29)</f>
        <v>101712663</v>
      </c>
      <c r="C319" s="24" t="s">
        <v>1986</v>
      </c>
      <c r="D319" s="24" t="s">
        <v>700</v>
      </c>
      <c r="E319" s="24" t="s">
        <v>681</v>
      </c>
      <c r="F319" s="24" t="s">
        <v>1120</v>
      </c>
      <c r="G319" s="24">
        <v>9</v>
      </c>
      <c r="H319" s="31" t="s">
        <v>1987</v>
      </c>
      <c r="I319" s="31" t="str">
        <f t="shared" si="8"/>
        <v>DA_Suffix_of_Affluence</v>
      </c>
      <c r="J319" s="31" t="str">
        <f t="shared" si="9"/>
        <v>/Game/DungeonSiege/Items/Affixes/Suffix/DA_Suffix_of_Affluence</v>
      </c>
    </row>
    <row r="320" spans="1:60" x14ac:dyDescent="0.25">
      <c r="A320" s="44">
        <v>318</v>
      </c>
      <c r="B320" s="44">
        <f>HEX2DEC(A320+Items!$A$29)</f>
        <v>101712664</v>
      </c>
      <c r="C320" s="24" t="s">
        <v>1988</v>
      </c>
      <c r="D320" s="24" t="s">
        <v>935</v>
      </c>
      <c r="E320" s="24" t="s">
        <v>681</v>
      </c>
      <c r="F320" s="24" t="s">
        <v>686</v>
      </c>
      <c r="G320" s="24">
        <v>9</v>
      </c>
      <c r="H320" s="31" t="s">
        <v>1989</v>
      </c>
      <c r="I320" s="31" t="str">
        <f t="shared" si="8"/>
        <v>DA_Suffix_of_Distance</v>
      </c>
      <c r="J320" s="31" t="str">
        <f t="shared" si="9"/>
        <v>/Game/DungeonSiege/Items/Affixes/Suffix/DA_Suffix_of_Distance</v>
      </c>
    </row>
    <row r="321" spans="1:63" x14ac:dyDescent="0.25">
      <c r="A321" s="44">
        <v>319</v>
      </c>
      <c r="B321" s="44">
        <f>HEX2DEC(A321+Items!$A$29)</f>
        <v>101712665</v>
      </c>
      <c r="C321" s="24" t="s">
        <v>1990</v>
      </c>
      <c r="D321" s="24" t="s">
        <v>1991</v>
      </c>
      <c r="E321" s="24" t="s">
        <v>681</v>
      </c>
      <c r="F321" s="24" t="s">
        <v>1219</v>
      </c>
      <c r="G321" s="24">
        <v>9</v>
      </c>
      <c r="H321" s="31" t="s">
        <v>1992</v>
      </c>
      <c r="I321" s="31" t="str">
        <f t="shared" si="8"/>
        <v>DA_Suffix_of_Energy</v>
      </c>
      <c r="J321" s="31" t="str">
        <f t="shared" si="9"/>
        <v>/Game/DungeonSiege/Items/Affixes/Suffix/DA_Suffix_of_Energy</v>
      </c>
    </row>
    <row r="322" spans="1:63" x14ac:dyDescent="0.25">
      <c r="A322" s="44">
        <v>320</v>
      </c>
      <c r="B322" s="44">
        <f>HEX2DEC(A322+Items!$A$29)</f>
        <v>101712672</v>
      </c>
      <c r="C322" s="24" t="s">
        <v>1993</v>
      </c>
      <c r="D322" s="24" t="s">
        <v>801</v>
      </c>
      <c r="E322" s="24" t="s">
        <v>681</v>
      </c>
      <c r="F322" s="24" t="s">
        <v>1219</v>
      </c>
      <c r="G322" s="24">
        <v>9</v>
      </c>
      <c r="H322" s="31" t="s">
        <v>1994</v>
      </c>
      <c r="I322" s="31" t="str">
        <f t="shared" si="8"/>
        <v>DA_Suffix_of_Objection</v>
      </c>
      <c r="J322" s="31" t="str">
        <f t="shared" si="9"/>
        <v>/Game/DungeonSiege/Items/Affixes/Suffix/DA_Suffix_of_Objection</v>
      </c>
    </row>
    <row r="323" spans="1:63" x14ac:dyDescent="0.25">
      <c r="A323" s="62">
        <v>321</v>
      </c>
      <c r="B323" s="62">
        <f>HEX2DEC(A323+Items!$A$29)</f>
        <v>101712673</v>
      </c>
      <c r="C323" s="28" t="s">
        <v>1995</v>
      </c>
      <c r="D323" s="39" t="s">
        <v>2367</v>
      </c>
      <c r="E323" s="28" t="s">
        <v>850</v>
      </c>
      <c r="F323" s="28" t="s">
        <v>682</v>
      </c>
      <c r="G323" s="28">
        <v>9</v>
      </c>
      <c r="H323" s="34" t="s">
        <v>1996</v>
      </c>
      <c r="I323" s="74" t="str">
        <f t="shared" ref="I323:I386" si="10">"DA_Suffix_"&amp; SUBSTITUTE(C323," ","_")</f>
        <v>DA_Suffix_of_Hope</v>
      </c>
      <c r="J323" s="74" t="str">
        <f t="shared" ref="J323:J386" si="11">"/Game/DungeonSiege/Items/Affixes/Suffix/" &amp; I323</f>
        <v>/Game/DungeonSiege/Items/Affixes/Suffix/DA_Suffix_of_Hope</v>
      </c>
      <c r="BI323" s="36"/>
    </row>
    <row r="324" spans="1:63" x14ac:dyDescent="0.25">
      <c r="A324" s="44">
        <v>322</v>
      </c>
      <c r="B324" s="44">
        <f>HEX2DEC(A324+Items!$A$29)</f>
        <v>101712674</v>
      </c>
      <c r="C324" s="24" t="s">
        <v>1997</v>
      </c>
      <c r="D324" s="24" t="s">
        <v>1998</v>
      </c>
      <c r="E324" s="24" t="s">
        <v>681</v>
      </c>
      <c r="F324" s="24" t="s">
        <v>819</v>
      </c>
      <c r="G324" s="24">
        <v>9</v>
      </c>
      <c r="H324" s="31" t="s">
        <v>1999</v>
      </c>
      <c r="I324" s="31" t="str">
        <f t="shared" si="10"/>
        <v>DA_Suffix_of_Major_Fireshot</v>
      </c>
      <c r="J324" s="31" t="str">
        <f t="shared" si="11"/>
        <v>/Game/DungeonSiege/Items/Affixes/Suffix/DA_Suffix_of_Major_Fireshot</v>
      </c>
    </row>
    <row r="325" spans="1:63" x14ac:dyDescent="0.25">
      <c r="A325" s="61">
        <v>323</v>
      </c>
      <c r="B325" s="61">
        <f>HEX2DEC(A325+Items!$A$29)</f>
        <v>101712675</v>
      </c>
      <c r="C325" s="25" t="s">
        <v>2000</v>
      </c>
      <c r="D325" s="25" t="s">
        <v>2001</v>
      </c>
      <c r="E325" s="25" t="s">
        <v>704</v>
      </c>
      <c r="F325" s="25" t="s">
        <v>686</v>
      </c>
      <c r="G325" s="25">
        <v>8</v>
      </c>
      <c r="H325" s="64" t="s">
        <v>2002</v>
      </c>
      <c r="I325" s="64" t="str">
        <f t="shared" si="10"/>
        <v>DA_Suffix_of_Range_Boost</v>
      </c>
      <c r="J325" s="64" t="str">
        <f t="shared" si="11"/>
        <v>/Game/DungeonSiege/Items/Affixes/Suffix/DA_Suffix_of_Range_Boost</v>
      </c>
    </row>
    <row r="326" spans="1:63" x14ac:dyDescent="0.25">
      <c r="A326" s="44">
        <v>324</v>
      </c>
      <c r="B326" s="44">
        <f>HEX2DEC(A326+Items!$A$29)</f>
        <v>101712676</v>
      </c>
      <c r="C326" s="24" t="s">
        <v>2003</v>
      </c>
      <c r="D326" s="24" t="s">
        <v>2004</v>
      </c>
      <c r="E326" s="24" t="s">
        <v>681</v>
      </c>
      <c r="F326" s="24" t="s">
        <v>819</v>
      </c>
      <c r="G326" s="24">
        <v>8</v>
      </c>
      <c r="H326" s="31" t="s">
        <v>2005</v>
      </c>
      <c r="I326" s="31" t="str">
        <f t="shared" si="10"/>
        <v>DA_Suffix_of_Fireshot</v>
      </c>
      <c r="J326" s="31" t="str">
        <f t="shared" si="11"/>
        <v>/Game/DungeonSiege/Items/Affixes/Suffix/DA_Suffix_of_Fireshot</v>
      </c>
    </row>
    <row r="327" spans="1:63" x14ac:dyDescent="0.25">
      <c r="A327" s="44">
        <v>325</v>
      </c>
      <c r="B327" s="44">
        <f>HEX2DEC(A327+Items!$A$29)</f>
        <v>101712677</v>
      </c>
      <c r="C327" s="24" t="s">
        <v>2006</v>
      </c>
      <c r="D327" s="24" t="s">
        <v>2007</v>
      </c>
      <c r="E327" s="24" t="s">
        <v>681</v>
      </c>
      <c r="F327" s="24" t="s">
        <v>819</v>
      </c>
      <c r="G327" s="24">
        <v>8</v>
      </c>
      <c r="H327" s="31" t="s">
        <v>2008</v>
      </c>
      <c r="I327" s="31" t="str">
        <f t="shared" si="10"/>
        <v>DA_Suffix_of_Minor_Spark</v>
      </c>
      <c r="J327" s="31" t="str">
        <f t="shared" si="11"/>
        <v>/Game/DungeonSiege/Items/Affixes/Suffix/DA_Suffix_of_Minor_Spark</v>
      </c>
    </row>
    <row r="328" spans="1:63" ht="22.5" x14ac:dyDescent="0.25">
      <c r="A328" s="44">
        <v>326</v>
      </c>
      <c r="B328" s="44">
        <f>HEX2DEC(A328+Items!$A$29)</f>
        <v>101712678</v>
      </c>
      <c r="C328" s="24" t="s">
        <v>2009</v>
      </c>
      <c r="D328" s="24" t="s">
        <v>2010</v>
      </c>
      <c r="E328" s="24" t="s">
        <v>681</v>
      </c>
      <c r="F328" s="24" t="s">
        <v>819</v>
      </c>
      <c r="G328" s="24">
        <v>8</v>
      </c>
      <c r="H328" s="31" t="s">
        <v>2011</v>
      </c>
      <c r="I328" s="31" t="str">
        <f t="shared" si="10"/>
        <v>DA_Suffix_of_Lesser_Fireskull</v>
      </c>
      <c r="J328" s="31" t="str">
        <f t="shared" si="11"/>
        <v>/Game/DungeonSiege/Items/Affixes/Suffix/DA_Suffix_of_Lesser_Fireskull</v>
      </c>
    </row>
    <row r="329" spans="1:63" ht="22.5" x14ac:dyDescent="0.25">
      <c r="A329" s="44">
        <v>327</v>
      </c>
      <c r="B329" s="44">
        <f>HEX2DEC(A329+Items!$A$29)</f>
        <v>101712679</v>
      </c>
      <c r="C329" s="24" t="s">
        <v>79</v>
      </c>
      <c r="D329" s="24" t="s">
        <v>78</v>
      </c>
      <c r="E329" s="24" t="s">
        <v>681</v>
      </c>
      <c r="F329" s="24" t="s">
        <v>1382</v>
      </c>
      <c r="G329" s="24">
        <v>7</v>
      </c>
      <c r="H329" s="31" t="s">
        <v>77</v>
      </c>
      <c r="I329" s="31" t="str">
        <f t="shared" si="10"/>
        <v>DA_Suffix_of_Revendication</v>
      </c>
      <c r="J329" s="31" t="str">
        <f t="shared" si="11"/>
        <v>/Game/DungeonSiege/Items/Affixes/Suffix/DA_Suffix_of_Revendication</v>
      </c>
    </row>
    <row r="330" spans="1:63" ht="22.5" x14ac:dyDescent="0.25">
      <c r="A330" s="62">
        <v>328</v>
      </c>
      <c r="B330" s="62">
        <f>HEX2DEC(A330+Items!$A$29)</f>
        <v>101712680</v>
      </c>
      <c r="C330" s="28" t="s">
        <v>2012</v>
      </c>
      <c r="D330" s="39" t="s">
        <v>2368</v>
      </c>
      <c r="E330" s="28" t="s">
        <v>850</v>
      </c>
      <c r="F330" s="28" t="s">
        <v>705</v>
      </c>
      <c r="G330" s="28">
        <v>7</v>
      </c>
      <c r="H330" s="34" t="s">
        <v>2013</v>
      </c>
      <c r="I330" s="74" t="str">
        <f t="shared" si="10"/>
        <v>DA_Suffix_of_Sorrows</v>
      </c>
      <c r="J330" s="74" t="str">
        <f t="shared" si="11"/>
        <v>/Game/DungeonSiege/Items/Affixes/Suffix/DA_Suffix_of_Sorrows</v>
      </c>
      <c r="BJ330" s="36"/>
    </row>
    <row r="331" spans="1:63" x14ac:dyDescent="0.25">
      <c r="A331" s="44">
        <v>329</v>
      </c>
      <c r="B331" s="44">
        <f>HEX2DEC(A331+Items!$A$29)</f>
        <v>101712681</v>
      </c>
      <c r="C331" s="24" t="s">
        <v>2014</v>
      </c>
      <c r="D331" s="24" t="s">
        <v>2015</v>
      </c>
      <c r="E331" s="24" t="s">
        <v>681</v>
      </c>
      <c r="F331" s="24" t="s">
        <v>819</v>
      </c>
      <c r="G331" s="24">
        <v>7</v>
      </c>
      <c r="H331" s="31" t="s">
        <v>2016</v>
      </c>
      <c r="I331" s="31" t="str">
        <f t="shared" si="10"/>
        <v>DA_Suffix_of_Greater_Zap</v>
      </c>
      <c r="J331" s="31" t="str">
        <f t="shared" si="11"/>
        <v>/Game/DungeonSiege/Items/Affixes/Suffix/DA_Suffix_of_Greater_Zap</v>
      </c>
    </row>
    <row r="332" spans="1:63" ht="22.5" x14ac:dyDescent="0.25">
      <c r="A332" s="44">
        <v>330</v>
      </c>
      <c r="B332" s="44">
        <f>HEX2DEC(A332+Items!$A$29)</f>
        <v>101712688</v>
      </c>
      <c r="C332" s="24" t="s">
        <v>2017</v>
      </c>
      <c r="D332" s="24" t="s">
        <v>2018</v>
      </c>
      <c r="E332" s="24" t="s">
        <v>681</v>
      </c>
      <c r="F332" s="24" t="s">
        <v>819</v>
      </c>
      <c r="G332" s="24">
        <v>7</v>
      </c>
      <c r="H332" s="31" t="s">
        <v>2019</v>
      </c>
      <c r="I332" s="31" t="str">
        <f t="shared" si="10"/>
        <v>DA_Suffix_of_Lesser_Firespray</v>
      </c>
      <c r="J332" s="31" t="str">
        <f t="shared" si="11"/>
        <v>/Game/DungeonSiege/Items/Affixes/Suffix/DA_Suffix_of_Lesser_Firespray</v>
      </c>
    </row>
    <row r="333" spans="1:63" ht="22.5" x14ac:dyDescent="0.25">
      <c r="A333" s="61">
        <v>331</v>
      </c>
      <c r="B333" s="61">
        <f>HEX2DEC(A333+Items!$A$29)</f>
        <v>101712689</v>
      </c>
      <c r="C333" s="27" t="s">
        <v>2020</v>
      </c>
      <c r="D333" s="38" t="s">
        <v>2369</v>
      </c>
      <c r="E333" s="27" t="s">
        <v>704</v>
      </c>
      <c r="F333" s="27" t="s">
        <v>705</v>
      </c>
      <c r="G333" s="27">
        <v>7</v>
      </c>
      <c r="H333" s="33" t="s">
        <v>2021</v>
      </c>
      <c r="I333" s="64" t="str">
        <f t="shared" si="10"/>
        <v>DA_Suffix_of_Ferocity</v>
      </c>
      <c r="J333" s="64" t="str">
        <f t="shared" si="11"/>
        <v>/Game/DungeonSiege/Items/Affixes/Suffix/DA_Suffix_of_Ferocity</v>
      </c>
      <c r="BK333" s="36"/>
    </row>
    <row r="334" spans="1:63" ht="22.5" x14ac:dyDescent="0.25">
      <c r="A334" s="44">
        <v>332</v>
      </c>
      <c r="B334" s="44">
        <f>HEX2DEC(A334+Items!$A$29)</f>
        <v>101712690</v>
      </c>
      <c r="C334" s="24" t="s">
        <v>2022</v>
      </c>
      <c r="D334" s="24" t="s">
        <v>227</v>
      </c>
      <c r="E334" s="24" t="s">
        <v>681</v>
      </c>
      <c r="F334" s="24" t="s">
        <v>705</v>
      </c>
      <c r="G334" s="24">
        <v>6</v>
      </c>
      <c r="H334" s="31" t="s">
        <v>2023</v>
      </c>
      <c r="I334" s="31" t="str">
        <f t="shared" si="10"/>
        <v>DA_Suffix_of_Hardiness</v>
      </c>
      <c r="J334" s="31" t="str">
        <f t="shared" si="11"/>
        <v>/Game/DungeonSiege/Items/Affixes/Suffix/DA_Suffix_of_Hardiness</v>
      </c>
    </row>
    <row r="335" spans="1:63" ht="22.5" x14ac:dyDescent="0.25">
      <c r="A335" s="44">
        <v>333</v>
      </c>
      <c r="B335" s="44">
        <f>HEX2DEC(A335+Items!$A$29)</f>
        <v>101712691</v>
      </c>
      <c r="C335" s="24" t="s">
        <v>76</v>
      </c>
      <c r="D335" s="24" t="s">
        <v>75</v>
      </c>
      <c r="E335" s="24" t="s">
        <v>681</v>
      </c>
      <c r="F335" s="24" t="s">
        <v>1226</v>
      </c>
      <c r="G335" s="24">
        <v>6</v>
      </c>
      <c r="H335" s="31" t="s">
        <v>74</v>
      </c>
      <c r="I335" s="31" t="str">
        <f t="shared" si="10"/>
        <v>DA_Suffix_of_Awareness</v>
      </c>
      <c r="J335" s="31" t="str">
        <f t="shared" si="11"/>
        <v>/Game/DungeonSiege/Items/Affixes/Suffix/DA_Suffix_of_Awareness</v>
      </c>
    </row>
    <row r="336" spans="1:63" ht="22.5" x14ac:dyDescent="0.25">
      <c r="A336" s="44">
        <v>334</v>
      </c>
      <c r="B336" s="44">
        <f>HEX2DEC(A336+Items!$A$29)</f>
        <v>101712692</v>
      </c>
      <c r="C336" s="24" t="s">
        <v>73</v>
      </c>
      <c r="D336" s="24" t="s">
        <v>72</v>
      </c>
      <c r="E336" s="24" t="s">
        <v>681</v>
      </c>
      <c r="F336" s="24" t="s">
        <v>1226</v>
      </c>
      <c r="G336" s="24">
        <v>6</v>
      </c>
      <c r="H336" s="31" t="s">
        <v>71</v>
      </c>
      <c r="I336" s="31" t="str">
        <f t="shared" si="10"/>
        <v>DA_Suffix_of_the_Serpent</v>
      </c>
      <c r="J336" s="31" t="str">
        <f t="shared" si="11"/>
        <v>/Game/DungeonSiege/Items/Affixes/Suffix/DA_Suffix_of_the_Serpent</v>
      </c>
    </row>
    <row r="337" spans="1:68" x14ac:dyDescent="0.25">
      <c r="A337" s="44">
        <v>335</v>
      </c>
      <c r="B337" s="44">
        <f>HEX2DEC(A337+Items!$A$29)</f>
        <v>101712693</v>
      </c>
      <c r="C337" s="24" t="s">
        <v>2024</v>
      </c>
      <c r="D337" s="24" t="s">
        <v>943</v>
      </c>
      <c r="E337" s="24" t="s">
        <v>681</v>
      </c>
      <c r="F337" s="24" t="s">
        <v>686</v>
      </c>
      <c r="G337" s="24">
        <v>6</v>
      </c>
      <c r="H337" s="31" t="s">
        <v>2025</v>
      </c>
      <c r="I337" s="31" t="str">
        <f t="shared" si="10"/>
        <v>DA_Suffix_of_Haste</v>
      </c>
      <c r="J337" s="31" t="str">
        <f t="shared" si="11"/>
        <v>/Game/DungeonSiege/Items/Affixes/Suffix/DA_Suffix_of_Haste</v>
      </c>
    </row>
    <row r="338" spans="1:68" x14ac:dyDescent="0.25">
      <c r="A338" s="44">
        <v>336</v>
      </c>
      <c r="B338" s="44">
        <f>HEX2DEC(A338+Items!$A$29)</f>
        <v>101712694</v>
      </c>
      <c r="C338" s="24" t="s">
        <v>2026</v>
      </c>
      <c r="D338" s="24" t="s">
        <v>1053</v>
      </c>
      <c r="E338" s="24" t="s">
        <v>681</v>
      </c>
      <c r="F338" s="24" t="s">
        <v>682</v>
      </c>
      <c r="G338" s="24">
        <v>6</v>
      </c>
      <c r="H338" s="31" t="s">
        <v>2027</v>
      </c>
      <c r="I338" s="31" t="str">
        <f t="shared" si="10"/>
        <v>DA_Suffix_of_Measure</v>
      </c>
      <c r="J338" s="31" t="str">
        <f t="shared" si="11"/>
        <v>/Game/DungeonSiege/Items/Affixes/Suffix/DA_Suffix_of_Measure</v>
      </c>
    </row>
    <row r="339" spans="1:68" x14ac:dyDescent="0.25">
      <c r="A339" s="44">
        <v>337</v>
      </c>
      <c r="B339" s="44">
        <f>HEX2DEC(A339+Items!$A$29)</f>
        <v>101712695</v>
      </c>
      <c r="C339" s="24" t="s">
        <v>2028</v>
      </c>
      <c r="D339" s="24" t="s">
        <v>911</v>
      </c>
      <c r="E339" s="24" t="s">
        <v>681</v>
      </c>
      <c r="F339" s="24" t="s">
        <v>1120</v>
      </c>
      <c r="G339" s="24">
        <v>6</v>
      </c>
      <c r="H339" s="31" t="s">
        <v>2029</v>
      </c>
      <c r="I339" s="31" t="str">
        <f t="shared" si="10"/>
        <v>DA_Suffix_of_Endowment</v>
      </c>
      <c r="J339" s="31" t="str">
        <f t="shared" si="11"/>
        <v>/Game/DungeonSiege/Items/Affixes/Suffix/DA_Suffix_of_Endowment</v>
      </c>
    </row>
    <row r="340" spans="1:68" x14ac:dyDescent="0.25">
      <c r="A340" s="44">
        <v>338</v>
      </c>
      <c r="B340" s="44">
        <f>HEX2DEC(A340+Items!$A$29)</f>
        <v>101712696</v>
      </c>
      <c r="C340" s="24" t="s">
        <v>2030</v>
      </c>
      <c r="D340" s="24" t="s">
        <v>1649</v>
      </c>
      <c r="E340" s="24" t="s">
        <v>681</v>
      </c>
      <c r="F340" s="24" t="s">
        <v>1120</v>
      </c>
      <c r="G340" s="24">
        <v>6</v>
      </c>
      <c r="H340" s="31" t="s">
        <v>2031</v>
      </c>
      <c r="I340" s="31" t="str">
        <f t="shared" si="10"/>
        <v>DA_Suffix_of_Starlight</v>
      </c>
      <c r="J340" s="31" t="str">
        <f t="shared" si="11"/>
        <v>/Game/DungeonSiege/Items/Affixes/Suffix/DA_Suffix_of_Starlight</v>
      </c>
    </row>
    <row r="341" spans="1:68" x14ac:dyDescent="0.25">
      <c r="A341" s="44">
        <v>339</v>
      </c>
      <c r="B341" s="44">
        <f>HEX2DEC(A341+Items!$A$29)</f>
        <v>101712697</v>
      </c>
      <c r="C341" s="24" t="s">
        <v>2032</v>
      </c>
      <c r="D341" s="24" t="s">
        <v>2033</v>
      </c>
      <c r="E341" s="24" t="s">
        <v>681</v>
      </c>
      <c r="F341" s="24" t="s">
        <v>1445</v>
      </c>
      <c r="G341" s="24">
        <v>6</v>
      </c>
      <c r="H341" s="31" t="s">
        <v>2034</v>
      </c>
      <c r="I341" s="31" t="str">
        <f t="shared" si="10"/>
        <v>DA_Suffix_of_Focus</v>
      </c>
      <c r="J341" s="31" t="str">
        <f t="shared" si="11"/>
        <v>/Game/DungeonSiege/Items/Affixes/Suffix/DA_Suffix_of_Focus</v>
      </c>
    </row>
    <row r="342" spans="1:68" x14ac:dyDescent="0.25">
      <c r="A342" s="44">
        <v>340</v>
      </c>
      <c r="B342" s="44">
        <f>HEX2DEC(A342+Items!$A$29)</f>
        <v>101712704</v>
      </c>
      <c r="C342" s="24" t="s">
        <v>2035</v>
      </c>
      <c r="D342" s="24" t="s">
        <v>715</v>
      </c>
      <c r="E342" s="24" t="s">
        <v>681</v>
      </c>
      <c r="F342" s="24" t="s">
        <v>819</v>
      </c>
      <c r="G342" s="24">
        <v>6</v>
      </c>
      <c r="H342" s="31" t="s">
        <v>2036</v>
      </c>
      <c r="I342" s="31" t="str">
        <f t="shared" si="10"/>
        <v>DA_Suffix_of_Reversal</v>
      </c>
      <c r="J342" s="31" t="str">
        <f t="shared" si="11"/>
        <v>/Game/DungeonSiege/Items/Affixes/Suffix/DA_Suffix_of_Reversal</v>
      </c>
    </row>
    <row r="343" spans="1:68" x14ac:dyDescent="0.25">
      <c r="A343" s="44">
        <v>341</v>
      </c>
      <c r="B343" s="44">
        <f>HEX2DEC(A343+Items!$A$29)</f>
        <v>101712705</v>
      </c>
      <c r="C343" s="24" t="s">
        <v>2037</v>
      </c>
      <c r="D343" s="24" t="s">
        <v>2038</v>
      </c>
      <c r="E343" s="24" t="s">
        <v>681</v>
      </c>
      <c r="F343" s="24" t="s">
        <v>682</v>
      </c>
      <c r="G343" s="24">
        <v>6</v>
      </c>
      <c r="H343" s="31" t="s">
        <v>2039</v>
      </c>
      <c r="I343" s="31" t="str">
        <f t="shared" si="10"/>
        <v>DA_Suffix_of_the_Untamed</v>
      </c>
      <c r="J343" s="31" t="str">
        <f t="shared" si="11"/>
        <v>/Game/DungeonSiege/Items/Affixes/Suffix/DA_Suffix_of_the_Untamed</v>
      </c>
    </row>
    <row r="344" spans="1:68" x14ac:dyDescent="0.25">
      <c r="A344" s="44">
        <v>342</v>
      </c>
      <c r="B344" s="44">
        <f>HEX2DEC(A344+Items!$A$29)</f>
        <v>101712706</v>
      </c>
      <c r="C344" s="24" t="s">
        <v>2040</v>
      </c>
      <c r="D344" s="24" t="s">
        <v>970</v>
      </c>
      <c r="E344" s="24" t="s">
        <v>681</v>
      </c>
      <c r="F344" s="24" t="s">
        <v>686</v>
      </c>
      <c r="G344" s="24">
        <v>6</v>
      </c>
      <c r="H344" s="31" t="s">
        <v>2041</v>
      </c>
      <c r="I344" s="31" t="str">
        <f t="shared" si="10"/>
        <v>DA_Suffix_of_Length</v>
      </c>
      <c r="J344" s="31" t="str">
        <f t="shared" si="11"/>
        <v>/Game/DungeonSiege/Items/Affixes/Suffix/DA_Suffix_of_Length</v>
      </c>
    </row>
    <row r="345" spans="1:68" x14ac:dyDescent="0.25">
      <c r="A345" s="44">
        <v>343</v>
      </c>
      <c r="B345" s="44">
        <f>HEX2DEC(A345+Items!$A$29)</f>
        <v>101712707</v>
      </c>
      <c r="C345" s="26" t="s">
        <v>2042</v>
      </c>
      <c r="D345" s="37" t="s">
        <v>2372</v>
      </c>
      <c r="E345" s="26" t="s">
        <v>681</v>
      </c>
      <c r="F345" s="26" t="s">
        <v>682</v>
      </c>
      <c r="G345" s="26">
        <v>6</v>
      </c>
      <c r="H345" s="32" t="s">
        <v>2043</v>
      </c>
      <c r="I345" s="31" t="str">
        <f t="shared" si="10"/>
        <v>DA_Suffix_of_Coldness</v>
      </c>
      <c r="J345" s="31" t="str">
        <f t="shared" si="11"/>
        <v>/Game/DungeonSiege/Items/Affixes/Suffix/DA_Suffix_of_Coldness</v>
      </c>
      <c r="BN345" s="36"/>
    </row>
    <row r="346" spans="1:68" x14ac:dyDescent="0.25">
      <c r="A346" s="44">
        <v>344</v>
      </c>
      <c r="B346" s="44">
        <f>HEX2DEC(A346+Items!$A$29)</f>
        <v>101712708</v>
      </c>
      <c r="C346" s="26" t="s">
        <v>2044</v>
      </c>
      <c r="D346" s="37" t="s">
        <v>2371</v>
      </c>
      <c r="E346" s="26" t="s">
        <v>681</v>
      </c>
      <c r="F346" s="26" t="s">
        <v>1243</v>
      </c>
      <c r="G346" s="26">
        <v>6</v>
      </c>
      <c r="H346" s="32" t="s">
        <v>2045</v>
      </c>
      <c r="I346" s="31" t="str">
        <f t="shared" si="10"/>
        <v>DA_Suffix_of_Snowflakes</v>
      </c>
      <c r="J346" s="31" t="str">
        <f t="shared" si="11"/>
        <v>/Game/DungeonSiege/Items/Affixes/Suffix/DA_Suffix_of_Snowflakes</v>
      </c>
      <c r="BM346" s="36"/>
    </row>
    <row r="347" spans="1:68" x14ac:dyDescent="0.25">
      <c r="A347" s="44">
        <v>345</v>
      </c>
      <c r="B347" s="44">
        <f>HEX2DEC(A347+Items!$A$29)</f>
        <v>101712709</v>
      </c>
      <c r="C347" s="24" t="s">
        <v>2046</v>
      </c>
      <c r="D347" s="24" t="s">
        <v>2047</v>
      </c>
      <c r="E347" s="24" t="s">
        <v>681</v>
      </c>
      <c r="F347" s="24" t="s">
        <v>682</v>
      </c>
      <c r="G347" s="24">
        <v>6</v>
      </c>
      <c r="H347" s="31" t="s">
        <v>2048</v>
      </c>
      <c r="I347" s="31" t="str">
        <f t="shared" si="10"/>
        <v>DA_Suffix_of_the_Jarred</v>
      </c>
      <c r="J347" s="31" t="str">
        <f t="shared" si="11"/>
        <v>/Game/DungeonSiege/Items/Affixes/Suffix/DA_Suffix_of_the_Jarred</v>
      </c>
    </row>
    <row r="348" spans="1:68" x14ac:dyDescent="0.25">
      <c r="A348" s="44">
        <v>346</v>
      </c>
      <c r="B348" s="44">
        <f>HEX2DEC(A348+Items!$A$29)</f>
        <v>101712710</v>
      </c>
      <c r="C348" s="24" t="s">
        <v>2049</v>
      </c>
      <c r="D348" s="24" t="s">
        <v>2050</v>
      </c>
      <c r="E348" s="24" t="s">
        <v>681</v>
      </c>
      <c r="F348" s="24" t="s">
        <v>686</v>
      </c>
      <c r="G348" s="24">
        <v>6</v>
      </c>
      <c r="H348" s="31" t="s">
        <v>2051</v>
      </c>
      <c r="I348" s="31" t="str">
        <f t="shared" si="10"/>
        <v>DA_Suffix_of_Thunder</v>
      </c>
      <c r="J348" s="31" t="str">
        <f t="shared" si="11"/>
        <v>/Game/DungeonSiege/Items/Affixes/Suffix/DA_Suffix_of_Thunder</v>
      </c>
    </row>
    <row r="349" spans="1:68" x14ac:dyDescent="0.25">
      <c r="A349" s="44">
        <v>347</v>
      </c>
      <c r="B349" s="44">
        <f>HEX2DEC(A349+Items!$A$29)</f>
        <v>101712711</v>
      </c>
      <c r="C349" s="26" t="s">
        <v>2052</v>
      </c>
      <c r="D349" s="37" t="s">
        <v>2370</v>
      </c>
      <c r="E349" s="26" t="s">
        <v>681</v>
      </c>
      <c r="F349" s="26" t="s">
        <v>682</v>
      </c>
      <c r="G349" s="26">
        <v>6</v>
      </c>
      <c r="H349" s="32" t="s">
        <v>2053</v>
      </c>
      <c r="I349" s="31" t="str">
        <f t="shared" si="10"/>
        <v>DA_Suffix_of_Aggression</v>
      </c>
      <c r="J349" s="31" t="str">
        <f t="shared" si="11"/>
        <v>/Game/DungeonSiege/Items/Affixes/Suffix/DA_Suffix_of_Aggression</v>
      </c>
      <c r="BL349" s="36"/>
    </row>
    <row r="350" spans="1:68" x14ac:dyDescent="0.25">
      <c r="A350" s="44">
        <v>348</v>
      </c>
      <c r="B350" s="44">
        <f>HEX2DEC(A350+Items!$A$29)</f>
        <v>101712712</v>
      </c>
      <c r="C350" s="26" t="s">
        <v>2054</v>
      </c>
      <c r="D350" s="37" t="s">
        <v>2373</v>
      </c>
      <c r="E350" s="26" t="s">
        <v>681</v>
      </c>
      <c r="F350" s="26" t="s">
        <v>686</v>
      </c>
      <c r="G350" s="26">
        <v>6</v>
      </c>
      <c r="H350" s="32" t="s">
        <v>2055</v>
      </c>
      <c r="I350" s="31" t="str">
        <f t="shared" si="10"/>
        <v>DA_Suffix_of_Carnage</v>
      </c>
      <c r="J350" s="31" t="str">
        <f t="shared" si="11"/>
        <v>/Game/DungeonSiege/Items/Affixes/Suffix/DA_Suffix_of_Carnage</v>
      </c>
      <c r="BO350" s="36"/>
    </row>
    <row r="351" spans="1:68" x14ac:dyDescent="0.25">
      <c r="A351" s="61">
        <v>349</v>
      </c>
      <c r="B351" s="61">
        <f>HEX2DEC(A351+Items!$A$29)</f>
        <v>101712713</v>
      </c>
      <c r="C351" s="25" t="s">
        <v>2056</v>
      </c>
      <c r="D351" s="25" t="s">
        <v>2057</v>
      </c>
      <c r="E351" s="25" t="s">
        <v>704</v>
      </c>
      <c r="F351" s="25" t="s">
        <v>819</v>
      </c>
      <c r="G351" s="25">
        <v>6</v>
      </c>
      <c r="H351" s="64" t="s">
        <v>2058</v>
      </c>
      <c r="I351" s="64" t="str">
        <f t="shared" si="10"/>
        <v>DA_Suffix_of_Spirit_Armor</v>
      </c>
      <c r="J351" s="64" t="str">
        <f t="shared" si="11"/>
        <v>/Game/DungeonSiege/Items/Affixes/Suffix/DA_Suffix_of_Spirit_Armor</v>
      </c>
    </row>
    <row r="352" spans="1:68" ht="22.5" x14ac:dyDescent="0.25">
      <c r="A352" s="61">
        <v>350</v>
      </c>
      <c r="B352" s="61">
        <f>HEX2DEC(A352+Items!$A$29)</f>
        <v>101712720</v>
      </c>
      <c r="C352" s="27" t="s">
        <v>2059</v>
      </c>
      <c r="D352" s="38" t="s">
        <v>2374</v>
      </c>
      <c r="E352" s="27" t="s">
        <v>704</v>
      </c>
      <c r="F352" s="27" t="s">
        <v>690</v>
      </c>
      <c r="G352" s="27">
        <v>6</v>
      </c>
      <c r="H352" s="33" t="s">
        <v>2060</v>
      </c>
      <c r="I352" s="64" t="str">
        <f t="shared" si="10"/>
        <v>DA_Suffix_of_Personal_Mystic_Aid</v>
      </c>
      <c r="J352" s="64" t="str">
        <f t="shared" si="11"/>
        <v>/Game/DungeonSiege/Items/Affixes/Suffix/DA_Suffix_of_Personal_Mystic_Aid</v>
      </c>
      <c r="BP352" s="36"/>
    </row>
    <row r="353" spans="1:70" x14ac:dyDescent="0.25">
      <c r="A353" s="44">
        <v>351</v>
      </c>
      <c r="B353" s="44">
        <f>HEX2DEC(A353+Items!$A$29)</f>
        <v>101712721</v>
      </c>
      <c r="C353" s="24" t="s">
        <v>2061</v>
      </c>
      <c r="D353" s="24" t="s">
        <v>2062</v>
      </c>
      <c r="E353" s="24" t="s">
        <v>681</v>
      </c>
      <c r="F353" s="24" t="s">
        <v>819</v>
      </c>
      <c r="G353" s="24">
        <v>6</v>
      </c>
      <c r="H353" s="31" t="s">
        <v>2063</v>
      </c>
      <c r="I353" s="31" t="str">
        <f t="shared" si="10"/>
        <v>DA_Suffix_of_Major_Zap</v>
      </c>
      <c r="J353" s="31" t="str">
        <f t="shared" si="11"/>
        <v>/Game/DungeonSiege/Items/Affixes/Suffix/DA_Suffix_of_Major_Zap</v>
      </c>
    </row>
    <row r="354" spans="1:70" x14ac:dyDescent="0.25">
      <c r="A354" s="44">
        <v>352</v>
      </c>
      <c r="B354" s="44">
        <f>HEX2DEC(A354+Items!$A$29)</f>
        <v>101712722</v>
      </c>
      <c r="C354" s="24" t="s">
        <v>2064</v>
      </c>
      <c r="D354" s="24" t="s">
        <v>2065</v>
      </c>
      <c r="E354" s="24" t="s">
        <v>681</v>
      </c>
      <c r="F354" s="24" t="s">
        <v>819</v>
      </c>
      <c r="G354" s="24">
        <v>6</v>
      </c>
      <c r="H354" s="31" t="s">
        <v>2066</v>
      </c>
      <c r="I354" s="31" t="str">
        <f t="shared" si="10"/>
        <v>DA_Suffix_of_Minor_Fireshot</v>
      </c>
      <c r="J354" s="31" t="str">
        <f t="shared" si="11"/>
        <v>/Game/DungeonSiege/Items/Affixes/Suffix/DA_Suffix_of_Minor_Fireshot</v>
      </c>
    </row>
    <row r="355" spans="1:70" ht="22.5" x14ac:dyDescent="0.25">
      <c r="A355" s="63">
        <v>353</v>
      </c>
      <c r="B355" s="63">
        <f>HEX2DEC(A355+Items!$A$29)</f>
        <v>101712723</v>
      </c>
      <c r="C355" s="29" t="s">
        <v>2067</v>
      </c>
      <c r="D355" s="40" t="s">
        <v>2375</v>
      </c>
      <c r="E355" s="29" t="s">
        <v>681</v>
      </c>
      <c r="F355" s="29" t="s">
        <v>705</v>
      </c>
      <c r="G355" s="29">
        <v>5</v>
      </c>
      <c r="H355" s="35" t="s">
        <v>2068</v>
      </c>
      <c r="I355" s="75" t="str">
        <f t="shared" si="10"/>
        <v>DA_Suffix_of_Refuge</v>
      </c>
      <c r="J355" s="75" t="str">
        <f t="shared" si="11"/>
        <v>/Game/DungeonSiege/Items/Affixes/Suffix/DA_Suffix_of_Refuge</v>
      </c>
      <c r="BQ355" s="36"/>
    </row>
    <row r="356" spans="1:70" x14ac:dyDescent="0.25">
      <c r="A356" s="61">
        <v>354</v>
      </c>
      <c r="B356" s="61">
        <f>HEX2DEC(A356+Items!$A$29)</f>
        <v>101712724</v>
      </c>
      <c r="C356" s="25" t="s">
        <v>2069</v>
      </c>
      <c r="D356" s="25" t="s">
        <v>2070</v>
      </c>
      <c r="E356" s="25" t="s">
        <v>704</v>
      </c>
      <c r="F356" s="25" t="s">
        <v>690</v>
      </c>
      <c r="G356" s="25">
        <v>5</v>
      </c>
      <c r="H356" s="64" t="s">
        <v>2071</v>
      </c>
      <c r="I356" s="64" t="str">
        <f t="shared" si="10"/>
        <v>DA_Suffix_of_Ogres_Might</v>
      </c>
      <c r="J356" s="64" t="str">
        <f t="shared" si="11"/>
        <v>/Game/DungeonSiege/Items/Affixes/Suffix/DA_Suffix_of_Ogres_Might</v>
      </c>
    </row>
    <row r="357" spans="1:70" x14ac:dyDescent="0.25">
      <c r="A357" s="44">
        <v>355</v>
      </c>
      <c r="B357" s="44">
        <f>HEX2DEC(A357+Items!$A$29)</f>
        <v>101712725</v>
      </c>
      <c r="C357" s="24" t="s">
        <v>2072</v>
      </c>
      <c r="D357" s="24" t="s">
        <v>69</v>
      </c>
      <c r="E357" s="24" t="s">
        <v>681</v>
      </c>
      <c r="F357" s="24" t="s">
        <v>813</v>
      </c>
      <c r="G357" s="24">
        <v>5</v>
      </c>
      <c r="H357" s="31" t="s">
        <v>68</v>
      </c>
      <c r="I357" s="31" t="str">
        <f t="shared" si="10"/>
        <v>DA_Suffix_of_The_Chill</v>
      </c>
      <c r="J357" s="31" t="str">
        <f t="shared" si="11"/>
        <v>/Game/DungeonSiege/Items/Affixes/Suffix/DA_Suffix_of_The_Chill</v>
      </c>
    </row>
    <row r="358" spans="1:70" x14ac:dyDescent="0.25">
      <c r="A358" s="44">
        <v>356</v>
      </c>
      <c r="B358" s="44">
        <f>HEX2DEC(A358+Items!$A$29)</f>
        <v>101712726</v>
      </c>
      <c r="C358" s="24" t="s">
        <v>2073</v>
      </c>
      <c r="D358" s="24" t="s">
        <v>66</v>
      </c>
      <c r="E358" s="24" t="s">
        <v>681</v>
      </c>
      <c r="F358" s="24" t="s">
        <v>813</v>
      </c>
      <c r="G358" s="24">
        <v>5</v>
      </c>
      <c r="H358" s="31" t="s">
        <v>65</v>
      </c>
      <c r="I358" s="31" t="str">
        <f t="shared" si="10"/>
        <v>DA_Suffix_of_The_Flame</v>
      </c>
      <c r="J358" s="31" t="str">
        <f t="shared" si="11"/>
        <v>/Game/DungeonSiege/Items/Affixes/Suffix/DA_Suffix_of_The_Flame</v>
      </c>
    </row>
    <row r="359" spans="1:70" x14ac:dyDescent="0.25">
      <c r="A359" s="44">
        <v>357</v>
      </c>
      <c r="B359" s="44">
        <f>HEX2DEC(A359+Items!$A$29)</f>
        <v>101712727</v>
      </c>
      <c r="C359" s="24" t="s">
        <v>64</v>
      </c>
      <c r="D359" s="24" t="s">
        <v>63</v>
      </c>
      <c r="E359" s="24" t="s">
        <v>681</v>
      </c>
      <c r="F359" s="24" t="s">
        <v>813</v>
      </c>
      <c r="G359" s="24">
        <v>5</v>
      </c>
      <c r="H359" s="31" t="s">
        <v>62</v>
      </c>
      <c r="I359" s="31" t="str">
        <f t="shared" si="10"/>
        <v>DA_Suffix_of_Static</v>
      </c>
      <c r="J359" s="31" t="str">
        <f t="shared" si="11"/>
        <v>/Game/DungeonSiege/Items/Affixes/Suffix/DA_Suffix_of_Static</v>
      </c>
    </row>
    <row r="360" spans="1:70" x14ac:dyDescent="0.25">
      <c r="A360" s="44">
        <v>358</v>
      </c>
      <c r="B360" s="44">
        <f>HEX2DEC(A360+Items!$A$29)</f>
        <v>101712728</v>
      </c>
      <c r="C360" s="24" t="s">
        <v>61</v>
      </c>
      <c r="D360" s="24" t="s">
        <v>60</v>
      </c>
      <c r="E360" s="24" t="s">
        <v>681</v>
      </c>
      <c r="F360" s="24" t="s">
        <v>813</v>
      </c>
      <c r="G360" s="24">
        <v>5</v>
      </c>
      <c r="H360" s="31" t="s">
        <v>59</v>
      </c>
      <c r="I360" s="31" t="str">
        <f t="shared" si="10"/>
        <v>DA_Suffix_of_Bidding</v>
      </c>
      <c r="J360" s="31" t="str">
        <f t="shared" si="11"/>
        <v>/Game/DungeonSiege/Items/Affixes/Suffix/DA_Suffix_of_Bidding</v>
      </c>
    </row>
    <row r="361" spans="1:70" x14ac:dyDescent="0.25">
      <c r="A361" s="44">
        <v>359</v>
      </c>
      <c r="B361" s="44">
        <f>HEX2DEC(A361+Items!$A$29)</f>
        <v>101712729</v>
      </c>
      <c r="C361" s="24" t="s">
        <v>58</v>
      </c>
      <c r="D361" s="24" t="s">
        <v>57</v>
      </c>
      <c r="E361" s="24" t="s">
        <v>681</v>
      </c>
      <c r="F361" s="24" t="s">
        <v>813</v>
      </c>
      <c r="G361" s="24">
        <v>5</v>
      </c>
      <c r="H361" s="31" t="s">
        <v>56</v>
      </c>
      <c r="I361" s="31" t="str">
        <f t="shared" si="10"/>
        <v>DA_Suffix_of_Charity</v>
      </c>
      <c r="J361" s="31" t="str">
        <f t="shared" si="11"/>
        <v>/Game/DungeonSiege/Items/Affixes/Suffix/DA_Suffix_of_Charity</v>
      </c>
    </row>
    <row r="362" spans="1:70" x14ac:dyDescent="0.25">
      <c r="A362" s="44">
        <v>360</v>
      </c>
      <c r="B362" s="44">
        <f>HEX2DEC(A362+Items!$A$29)</f>
        <v>101712736</v>
      </c>
      <c r="C362" s="24" t="s">
        <v>2074</v>
      </c>
      <c r="D362" s="24" t="s">
        <v>2075</v>
      </c>
      <c r="E362" s="24" t="s">
        <v>681</v>
      </c>
      <c r="F362" s="24" t="s">
        <v>819</v>
      </c>
      <c r="G362" s="24">
        <v>5</v>
      </c>
      <c r="H362" s="31" t="s">
        <v>2076</v>
      </c>
      <c r="I362" s="31" t="str">
        <f t="shared" si="10"/>
        <v>DA_Suffix_of_Zap</v>
      </c>
      <c r="J362" s="31" t="str">
        <f t="shared" si="11"/>
        <v>/Game/DungeonSiege/Items/Affixes/Suffix/DA_Suffix_of_Zap</v>
      </c>
    </row>
    <row r="363" spans="1:70" x14ac:dyDescent="0.25">
      <c r="A363" s="44">
        <v>361</v>
      </c>
      <c r="B363" s="44">
        <f>HEX2DEC(A363+Items!$A$29)</f>
        <v>101712737</v>
      </c>
      <c r="C363" s="24" t="s">
        <v>2077</v>
      </c>
      <c r="D363" s="24" t="s">
        <v>2078</v>
      </c>
      <c r="E363" s="24" t="s">
        <v>681</v>
      </c>
      <c r="F363" s="24" t="s">
        <v>819</v>
      </c>
      <c r="G363" s="24">
        <v>5</v>
      </c>
      <c r="H363" s="31" t="s">
        <v>2079</v>
      </c>
      <c r="I363" s="31" t="str">
        <f t="shared" si="10"/>
        <v>DA_Suffix_of_Lesser_Spark</v>
      </c>
      <c r="J363" s="31" t="str">
        <f t="shared" si="11"/>
        <v>/Game/DungeonSiege/Items/Affixes/Suffix/DA_Suffix_of_Lesser_Spark</v>
      </c>
    </row>
    <row r="364" spans="1:70" x14ac:dyDescent="0.25">
      <c r="A364" s="61">
        <v>362</v>
      </c>
      <c r="B364" s="61">
        <f>HEX2DEC(A364+Items!$A$29)</f>
        <v>101712738</v>
      </c>
      <c r="C364" s="27" t="s">
        <v>2080</v>
      </c>
      <c r="D364" s="38" t="s">
        <v>2376</v>
      </c>
      <c r="E364" s="27" t="s">
        <v>704</v>
      </c>
      <c r="F364" s="27" t="s">
        <v>690</v>
      </c>
      <c r="G364" s="27">
        <v>5</v>
      </c>
      <c r="H364" s="33" t="s">
        <v>2081</v>
      </c>
      <c r="I364" s="64" t="str">
        <f t="shared" si="10"/>
        <v>DA_Suffix_of_Pluck</v>
      </c>
      <c r="J364" s="64" t="str">
        <f t="shared" si="11"/>
        <v>/Game/DungeonSiege/Items/Affixes/Suffix/DA_Suffix_of_Pluck</v>
      </c>
      <c r="BR364" s="36"/>
    </row>
    <row r="365" spans="1:70" ht="22.5" x14ac:dyDescent="0.25">
      <c r="A365" s="44">
        <v>363</v>
      </c>
      <c r="B365" s="44">
        <f>HEX2DEC(A365+Items!$A$29)</f>
        <v>101712739</v>
      </c>
      <c r="C365" s="24" t="s">
        <v>55</v>
      </c>
      <c r="D365" s="24" t="s">
        <v>54</v>
      </c>
      <c r="E365" s="24" t="s">
        <v>681</v>
      </c>
      <c r="F365" s="24" t="s">
        <v>1226</v>
      </c>
      <c r="G365" s="24">
        <v>4</v>
      </c>
      <c r="H365" s="31" t="s">
        <v>53</v>
      </c>
      <c r="I365" s="31" t="str">
        <f t="shared" si="10"/>
        <v>DA_Suffix_of_the_Swift</v>
      </c>
      <c r="J365" s="31" t="str">
        <f t="shared" si="11"/>
        <v>/Game/DungeonSiege/Items/Affixes/Suffix/DA_Suffix_of_the_Swift</v>
      </c>
    </row>
    <row r="366" spans="1:70" ht="22.5" x14ac:dyDescent="0.25">
      <c r="A366" s="44">
        <v>364</v>
      </c>
      <c r="B366" s="44">
        <f>HEX2DEC(A366+Items!$A$29)</f>
        <v>101712740</v>
      </c>
      <c r="C366" s="24" t="s">
        <v>52</v>
      </c>
      <c r="D366" s="24" t="s">
        <v>51</v>
      </c>
      <c r="E366" s="24" t="s">
        <v>681</v>
      </c>
      <c r="F366" s="24" t="s">
        <v>1226</v>
      </c>
      <c r="G366" s="24">
        <v>4</v>
      </c>
      <c r="H366" s="31" t="s">
        <v>50</v>
      </c>
      <c r="I366" s="31" t="str">
        <f t="shared" si="10"/>
        <v>DA_Suffix_of_the_Dog</v>
      </c>
      <c r="J366" s="31" t="str">
        <f t="shared" si="11"/>
        <v>/Game/DungeonSiege/Items/Affixes/Suffix/DA_Suffix_of_the_Dog</v>
      </c>
    </row>
    <row r="367" spans="1:70" ht="22.5" x14ac:dyDescent="0.25">
      <c r="A367" s="44">
        <v>365</v>
      </c>
      <c r="B367" s="44">
        <f>HEX2DEC(A367+Items!$A$29)</f>
        <v>101712741</v>
      </c>
      <c r="C367" s="24" t="s">
        <v>49</v>
      </c>
      <c r="D367" s="24" t="s">
        <v>48</v>
      </c>
      <c r="E367" s="24" t="s">
        <v>681</v>
      </c>
      <c r="F367" s="24" t="s">
        <v>1382</v>
      </c>
      <c r="G367" s="24">
        <v>4</v>
      </c>
      <c r="H367" s="31" t="s">
        <v>47</v>
      </c>
      <c r="I367" s="31" t="str">
        <f t="shared" si="10"/>
        <v>DA_Suffix_of_Reprieval</v>
      </c>
      <c r="J367" s="31" t="str">
        <f t="shared" si="11"/>
        <v>/Game/DungeonSiege/Items/Affixes/Suffix/DA_Suffix_of_Reprieval</v>
      </c>
    </row>
    <row r="368" spans="1:70" x14ac:dyDescent="0.25">
      <c r="A368" s="44">
        <v>366</v>
      </c>
      <c r="B368" s="44">
        <f>HEX2DEC(A368+Items!$A$29)</f>
        <v>101712742</v>
      </c>
      <c r="C368" s="24" t="s">
        <v>2082</v>
      </c>
      <c r="D368" s="24" t="s">
        <v>943</v>
      </c>
      <c r="E368" s="24" t="s">
        <v>681</v>
      </c>
      <c r="F368" s="24" t="s">
        <v>682</v>
      </c>
      <c r="G368" s="24">
        <v>4</v>
      </c>
      <c r="H368" s="31" t="s">
        <v>2083</v>
      </c>
      <c r="I368" s="31" t="str">
        <f t="shared" si="10"/>
        <v>DA_Suffix_of_Thorns</v>
      </c>
      <c r="J368" s="31" t="str">
        <f t="shared" si="11"/>
        <v>/Game/DungeonSiege/Items/Affixes/Suffix/DA_Suffix_of_Thorns</v>
      </c>
    </row>
    <row r="369" spans="1:73" x14ac:dyDescent="0.25">
      <c r="A369" s="44">
        <v>367</v>
      </c>
      <c r="B369" s="44">
        <f>HEX2DEC(A369+Items!$A$29)</f>
        <v>101712743</v>
      </c>
      <c r="C369" s="24" t="s">
        <v>2084</v>
      </c>
      <c r="D369" s="24" t="s">
        <v>861</v>
      </c>
      <c r="E369" s="24" t="s">
        <v>681</v>
      </c>
      <c r="F369" s="24" t="s">
        <v>1120</v>
      </c>
      <c r="G369" s="24">
        <v>4</v>
      </c>
      <c r="H369" s="31" t="s">
        <v>2085</v>
      </c>
      <c r="I369" s="31" t="str">
        <f t="shared" si="10"/>
        <v>DA_Suffix_of_Deception</v>
      </c>
      <c r="J369" s="31" t="str">
        <f t="shared" si="11"/>
        <v>/Game/DungeonSiege/Items/Affixes/Suffix/DA_Suffix_of_Deception</v>
      </c>
    </row>
    <row r="370" spans="1:73" x14ac:dyDescent="0.25">
      <c r="A370" s="44">
        <v>368</v>
      </c>
      <c r="B370" s="44">
        <f>HEX2DEC(A370+Items!$A$29)</f>
        <v>101712744</v>
      </c>
      <c r="C370" s="24" t="s">
        <v>2086</v>
      </c>
      <c r="D370" s="24" t="s">
        <v>950</v>
      </c>
      <c r="E370" s="24" t="s">
        <v>681</v>
      </c>
      <c r="F370" s="24" t="s">
        <v>686</v>
      </c>
      <c r="G370" s="24">
        <v>4</v>
      </c>
      <c r="H370" s="31" t="s">
        <v>2087</v>
      </c>
      <c r="I370" s="31" t="str">
        <f t="shared" si="10"/>
        <v>DA_Suffix_of_Projection</v>
      </c>
      <c r="J370" s="31" t="str">
        <f t="shared" si="11"/>
        <v>/Game/DungeonSiege/Items/Affixes/Suffix/DA_Suffix_of_Projection</v>
      </c>
    </row>
    <row r="371" spans="1:73" x14ac:dyDescent="0.25">
      <c r="A371" s="44">
        <v>369</v>
      </c>
      <c r="B371" s="44">
        <f>HEX2DEC(A371+Items!$A$29)</f>
        <v>101712745</v>
      </c>
      <c r="C371" s="24" t="s">
        <v>2088</v>
      </c>
      <c r="D371" s="24" t="s">
        <v>800</v>
      </c>
      <c r="E371" s="24" t="s">
        <v>681</v>
      </c>
      <c r="F371" s="24" t="s">
        <v>1219</v>
      </c>
      <c r="G371" s="24">
        <v>4</v>
      </c>
      <c r="H371" s="31" t="s">
        <v>2089</v>
      </c>
      <c r="I371" s="31" t="str">
        <f t="shared" si="10"/>
        <v>DA_Suffix_of_Creation</v>
      </c>
      <c r="J371" s="31" t="str">
        <f t="shared" si="11"/>
        <v>/Game/DungeonSiege/Items/Affixes/Suffix/DA_Suffix_of_Creation</v>
      </c>
    </row>
    <row r="372" spans="1:73" x14ac:dyDescent="0.25">
      <c r="A372" s="44">
        <v>370</v>
      </c>
      <c r="B372" s="44">
        <f>HEX2DEC(A372+Items!$A$29)</f>
        <v>101712752</v>
      </c>
      <c r="C372" s="24" t="s">
        <v>2090</v>
      </c>
      <c r="D372" s="24" t="s">
        <v>958</v>
      </c>
      <c r="E372" s="24" t="s">
        <v>681</v>
      </c>
      <c r="F372" s="24" t="s">
        <v>1219</v>
      </c>
      <c r="G372" s="24">
        <v>4</v>
      </c>
      <c r="H372" s="31" t="s">
        <v>2091</v>
      </c>
      <c r="I372" s="31" t="str">
        <f t="shared" si="10"/>
        <v>DA_Suffix_of_Struggle</v>
      </c>
      <c r="J372" s="31" t="str">
        <f t="shared" si="11"/>
        <v>/Game/DungeonSiege/Items/Affixes/Suffix/DA_Suffix_of_Struggle</v>
      </c>
    </row>
    <row r="373" spans="1:73" x14ac:dyDescent="0.25">
      <c r="A373" s="44">
        <v>371</v>
      </c>
      <c r="B373" s="44">
        <f>HEX2DEC(A373+Items!$A$29)</f>
        <v>101712753</v>
      </c>
      <c r="C373" s="24" t="s">
        <v>2092</v>
      </c>
      <c r="D373" s="24" t="s">
        <v>1882</v>
      </c>
      <c r="E373" s="24" t="s">
        <v>681</v>
      </c>
      <c r="F373" s="24" t="s">
        <v>686</v>
      </c>
      <c r="G373" s="24">
        <v>4</v>
      </c>
      <c r="H373" s="31" t="s">
        <v>2093</v>
      </c>
      <c r="I373" s="31" t="str">
        <f t="shared" si="10"/>
        <v>DA_Suffix_of_the_Sparrow</v>
      </c>
      <c r="J373" s="31" t="str">
        <f t="shared" si="11"/>
        <v>/Game/DungeonSiege/Items/Affixes/Suffix/DA_Suffix_of_the_Sparrow</v>
      </c>
    </row>
    <row r="374" spans="1:73" x14ac:dyDescent="0.25">
      <c r="A374" s="44">
        <v>372</v>
      </c>
      <c r="B374" s="44">
        <f>HEX2DEC(A374+Items!$A$29)</f>
        <v>101712754</v>
      </c>
      <c r="C374" s="24" t="s">
        <v>2094</v>
      </c>
      <c r="D374" s="24" t="s">
        <v>1907</v>
      </c>
      <c r="E374" s="24" t="s">
        <v>681</v>
      </c>
      <c r="F374" s="24" t="s">
        <v>1219</v>
      </c>
      <c r="G374" s="24">
        <v>4</v>
      </c>
      <c r="H374" s="31" t="s">
        <v>2095</v>
      </c>
      <c r="I374" s="31" t="str">
        <f t="shared" si="10"/>
        <v>DA_Suffix_of_Greatness</v>
      </c>
      <c r="J374" s="31" t="str">
        <f t="shared" si="11"/>
        <v>/Game/DungeonSiege/Items/Affixes/Suffix/DA_Suffix_of_Greatness</v>
      </c>
    </row>
    <row r="375" spans="1:73" x14ac:dyDescent="0.25">
      <c r="A375" s="44">
        <v>373</v>
      </c>
      <c r="B375" s="44">
        <f>HEX2DEC(A375+Items!$A$29)</f>
        <v>101712755</v>
      </c>
      <c r="C375" s="24" t="s">
        <v>2096</v>
      </c>
      <c r="D375" s="24" t="s">
        <v>1680</v>
      </c>
      <c r="E375" s="24" t="s">
        <v>681</v>
      </c>
      <c r="F375" s="24" t="s">
        <v>1219</v>
      </c>
      <c r="G375" s="24">
        <v>4</v>
      </c>
      <c r="H375" s="31" t="s">
        <v>2097</v>
      </c>
      <c r="I375" s="31" t="str">
        <f t="shared" si="10"/>
        <v>DA_Suffix_of_Strife</v>
      </c>
      <c r="J375" s="31" t="str">
        <f t="shared" si="11"/>
        <v>/Game/DungeonSiege/Items/Affixes/Suffix/DA_Suffix_of_Strife</v>
      </c>
    </row>
    <row r="376" spans="1:73" x14ac:dyDescent="0.25">
      <c r="A376" s="44">
        <v>374</v>
      </c>
      <c r="B376" s="44">
        <f>HEX2DEC(A376+Items!$A$29)</f>
        <v>101712756</v>
      </c>
      <c r="C376" s="24" t="s">
        <v>2098</v>
      </c>
      <c r="D376" s="24" t="s">
        <v>1138</v>
      </c>
      <c r="E376" s="24" t="s">
        <v>681</v>
      </c>
      <c r="F376" s="24" t="s">
        <v>686</v>
      </c>
      <c r="G376" s="24">
        <v>4</v>
      </c>
      <c r="H376" s="31" t="s">
        <v>2099</v>
      </c>
      <c r="I376" s="31" t="str">
        <f t="shared" si="10"/>
        <v>DA_Suffix_of_Span</v>
      </c>
      <c r="J376" s="31" t="str">
        <f t="shared" si="11"/>
        <v>/Game/DungeonSiege/Items/Affixes/Suffix/DA_Suffix_of_Span</v>
      </c>
    </row>
    <row r="377" spans="1:73" x14ac:dyDescent="0.25">
      <c r="A377" s="44">
        <v>375</v>
      </c>
      <c r="B377" s="44">
        <f>HEX2DEC(A377+Items!$A$29)</f>
        <v>101712757</v>
      </c>
      <c r="C377" s="24" t="s">
        <v>2100</v>
      </c>
      <c r="D377" s="24" t="s">
        <v>2101</v>
      </c>
      <c r="E377" s="24" t="s">
        <v>681</v>
      </c>
      <c r="F377" s="24" t="s">
        <v>682</v>
      </c>
      <c r="G377" s="24">
        <v>4</v>
      </c>
      <c r="H377" s="31" t="s">
        <v>2102</v>
      </c>
      <c r="I377" s="31" t="str">
        <f t="shared" si="10"/>
        <v>DA_Suffix_of_Singeing</v>
      </c>
      <c r="J377" s="31" t="str">
        <f t="shared" si="11"/>
        <v>/Game/DungeonSiege/Items/Affixes/Suffix/DA_Suffix_of_Singeing</v>
      </c>
    </row>
    <row r="378" spans="1:73" x14ac:dyDescent="0.25">
      <c r="A378" s="44">
        <v>376</v>
      </c>
      <c r="B378" s="44">
        <f>HEX2DEC(A378+Items!$A$29)</f>
        <v>101712758</v>
      </c>
      <c r="C378" s="24" t="s">
        <v>2103</v>
      </c>
      <c r="D378" s="24" t="s">
        <v>2104</v>
      </c>
      <c r="E378" s="24" t="s">
        <v>681</v>
      </c>
      <c r="F378" s="24" t="s">
        <v>686</v>
      </c>
      <c r="G378" s="24">
        <v>4</v>
      </c>
      <c r="H378" s="31" t="s">
        <v>2105</v>
      </c>
      <c r="I378" s="31" t="str">
        <f t="shared" si="10"/>
        <v>DA_Suffix_of_Ash</v>
      </c>
      <c r="J378" s="31" t="str">
        <f t="shared" si="11"/>
        <v>/Game/DungeonSiege/Items/Affixes/Suffix/DA_Suffix_of_Ash</v>
      </c>
    </row>
    <row r="379" spans="1:73" x14ac:dyDescent="0.25">
      <c r="A379" s="44">
        <v>377</v>
      </c>
      <c r="B379" s="44">
        <f>HEX2DEC(A379+Items!$A$29)</f>
        <v>101712759</v>
      </c>
      <c r="C379" s="24" t="s">
        <v>2106</v>
      </c>
      <c r="D379" s="24" t="s">
        <v>2107</v>
      </c>
      <c r="E379" s="24" t="s">
        <v>681</v>
      </c>
      <c r="F379" s="24" t="s">
        <v>682</v>
      </c>
      <c r="G379" s="24">
        <v>4</v>
      </c>
      <c r="H379" s="31" t="s">
        <v>2108</v>
      </c>
      <c r="I379" s="31" t="str">
        <f t="shared" si="10"/>
        <v>DA_Suffix_of_Illness</v>
      </c>
      <c r="J379" s="31" t="str">
        <f t="shared" si="11"/>
        <v>/Game/DungeonSiege/Items/Affixes/Suffix/DA_Suffix_of_Illness</v>
      </c>
    </row>
    <row r="380" spans="1:73" x14ac:dyDescent="0.25">
      <c r="A380" s="44">
        <v>378</v>
      </c>
      <c r="B380" s="44">
        <f>HEX2DEC(A380+Items!$A$29)</f>
        <v>101712760</v>
      </c>
      <c r="C380" s="24" t="s">
        <v>2109</v>
      </c>
      <c r="D380" s="24" t="s">
        <v>2110</v>
      </c>
      <c r="E380" s="24" t="s">
        <v>681</v>
      </c>
      <c r="F380" s="24" t="s">
        <v>686</v>
      </c>
      <c r="G380" s="24">
        <v>4</v>
      </c>
      <c r="H380" s="31" t="s">
        <v>2111</v>
      </c>
      <c r="I380" s="31" t="str">
        <f t="shared" si="10"/>
        <v>DA_Suffix_of_Sickness</v>
      </c>
      <c r="J380" s="31" t="str">
        <f t="shared" si="11"/>
        <v>/Game/DungeonSiege/Items/Affixes/Suffix/DA_Suffix_of_Sickness</v>
      </c>
    </row>
    <row r="381" spans="1:73" ht="22.5" x14ac:dyDescent="0.25">
      <c r="A381" s="62">
        <v>379</v>
      </c>
      <c r="B381" s="62">
        <f>HEX2DEC(A381+Items!$A$29)</f>
        <v>101712761</v>
      </c>
      <c r="C381" s="28" t="s">
        <v>2112</v>
      </c>
      <c r="D381" s="39" t="s">
        <v>2377</v>
      </c>
      <c r="E381" s="28" t="s">
        <v>850</v>
      </c>
      <c r="F381" s="28" t="s">
        <v>705</v>
      </c>
      <c r="G381" s="28">
        <v>4</v>
      </c>
      <c r="H381" s="34" t="s">
        <v>2113</v>
      </c>
      <c r="I381" s="74" t="str">
        <f t="shared" si="10"/>
        <v>DA_Suffix_of_Influence</v>
      </c>
      <c r="J381" s="74" t="str">
        <f t="shared" si="11"/>
        <v>/Game/DungeonSiege/Items/Affixes/Suffix/DA_Suffix_of_Influence</v>
      </c>
      <c r="BS381" s="36"/>
    </row>
    <row r="382" spans="1:73" ht="22.5" x14ac:dyDescent="0.25">
      <c r="A382" s="62">
        <v>380</v>
      </c>
      <c r="B382" s="62">
        <f>HEX2DEC(A382+Items!$A$29)</f>
        <v>101712768</v>
      </c>
      <c r="C382" s="28" t="s">
        <v>2114</v>
      </c>
      <c r="D382" s="39" t="s">
        <v>2378</v>
      </c>
      <c r="E382" s="28" t="s">
        <v>850</v>
      </c>
      <c r="F382" s="28" t="s">
        <v>705</v>
      </c>
      <c r="G382" s="28">
        <v>4</v>
      </c>
      <c r="H382" s="34" t="s">
        <v>2115</v>
      </c>
      <c r="I382" s="74" t="str">
        <f t="shared" si="10"/>
        <v>DA_Suffix_of_Seasons</v>
      </c>
      <c r="J382" s="74" t="str">
        <f t="shared" si="11"/>
        <v>/Game/DungeonSiege/Items/Affixes/Suffix/DA_Suffix_of_Seasons</v>
      </c>
      <c r="BT382" s="36"/>
    </row>
    <row r="383" spans="1:73" ht="22.5" x14ac:dyDescent="0.25">
      <c r="A383" s="44">
        <v>381</v>
      </c>
      <c r="B383" s="44">
        <f>HEX2DEC(A383+Items!$A$29)</f>
        <v>101712769</v>
      </c>
      <c r="C383" s="24" t="s">
        <v>2116</v>
      </c>
      <c r="D383" s="24" t="s">
        <v>2117</v>
      </c>
      <c r="E383" s="24" t="s">
        <v>681</v>
      </c>
      <c r="F383" s="24" t="s">
        <v>819</v>
      </c>
      <c r="G383" s="24">
        <v>4</v>
      </c>
      <c r="H383" s="31" t="s">
        <v>2118</v>
      </c>
      <c r="I383" s="31" t="str">
        <f t="shared" si="10"/>
        <v>DA_Suffix_of_Lesser_Fireshot</v>
      </c>
      <c r="J383" s="31" t="str">
        <f t="shared" si="11"/>
        <v>/Game/DungeonSiege/Items/Affixes/Suffix/DA_Suffix_of_Lesser_Fireshot</v>
      </c>
    </row>
    <row r="384" spans="1:73" x14ac:dyDescent="0.25">
      <c r="A384" s="61">
        <v>382</v>
      </c>
      <c r="B384" s="61">
        <f>HEX2DEC(A384+Items!$A$29)</f>
        <v>101712770</v>
      </c>
      <c r="C384" s="27" t="s">
        <v>2119</v>
      </c>
      <c r="D384" s="38" t="s">
        <v>2379</v>
      </c>
      <c r="E384" s="27" t="s">
        <v>704</v>
      </c>
      <c r="F384" s="27" t="s">
        <v>690</v>
      </c>
      <c r="G384" s="27">
        <v>4</v>
      </c>
      <c r="H384" s="33" t="s">
        <v>2120</v>
      </c>
      <c r="I384" s="64" t="str">
        <f t="shared" si="10"/>
        <v>DA_Suffix_of_Zest</v>
      </c>
      <c r="J384" s="64" t="str">
        <f t="shared" si="11"/>
        <v>/Game/DungeonSiege/Items/Affixes/Suffix/DA_Suffix_of_Zest</v>
      </c>
      <c r="BU384" s="36"/>
    </row>
    <row r="385" spans="1:74" ht="22.5" x14ac:dyDescent="0.25">
      <c r="A385" s="44">
        <v>383</v>
      </c>
      <c r="B385" s="44">
        <f>HEX2DEC(A385+Items!$A$29)</f>
        <v>101712771</v>
      </c>
      <c r="C385" s="24" t="s">
        <v>46</v>
      </c>
      <c r="D385" s="24" t="s">
        <v>45</v>
      </c>
      <c r="E385" s="24" t="s">
        <v>681</v>
      </c>
      <c r="F385" s="24" t="s">
        <v>1226</v>
      </c>
      <c r="G385" s="24">
        <v>3</v>
      </c>
      <c r="H385" s="31" t="s">
        <v>44</v>
      </c>
      <c r="I385" s="31" t="str">
        <f t="shared" si="10"/>
        <v>DA_Suffix_of_the_Owl</v>
      </c>
      <c r="J385" s="31" t="str">
        <f t="shared" si="11"/>
        <v>/Game/DungeonSiege/Items/Affixes/Suffix/DA_Suffix_of_the_Owl</v>
      </c>
    </row>
    <row r="386" spans="1:74" ht="22.5" x14ac:dyDescent="0.25">
      <c r="A386" s="44">
        <v>384</v>
      </c>
      <c r="B386" s="44">
        <f>HEX2DEC(A386+Items!$A$29)</f>
        <v>101712772</v>
      </c>
      <c r="C386" s="24" t="s">
        <v>43</v>
      </c>
      <c r="D386" s="24" t="s">
        <v>42</v>
      </c>
      <c r="E386" s="24" t="s">
        <v>681</v>
      </c>
      <c r="F386" s="24" t="s">
        <v>1382</v>
      </c>
      <c r="G386" s="24">
        <v>3</v>
      </c>
      <c r="H386" s="31" t="s">
        <v>41</v>
      </c>
      <c r="I386" s="31" t="str">
        <f t="shared" si="10"/>
        <v>DA_Suffix_of_Revival</v>
      </c>
      <c r="J386" s="31" t="str">
        <f t="shared" si="11"/>
        <v>/Game/DungeonSiege/Items/Affixes/Suffix/DA_Suffix_of_Revival</v>
      </c>
    </row>
    <row r="387" spans="1:74" x14ac:dyDescent="0.25">
      <c r="A387" s="62">
        <v>385</v>
      </c>
      <c r="B387" s="62">
        <f>HEX2DEC(A387+Items!$A$29)</f>
        <v>101712773</v>
      </c>
      <c r="C387" s="28" t="s">
        <v>2121</v>
      </c>
      <c r="D387" s="39" t="s">
        <v>2380</v>
      </c>
      <c r="E387" s="28" t="s">
        <v>850</v>
      </c>
      <c r="F387" s="28" t="s">
        <v>682</v>
      </c>
      <c r="G387" s="28">
        <v>3</v>
      </c>
      <c r="H387" s="34" t="s">
        <v>2122</v>
      </c>
      <c r="I387" s="74" t="str">
        <f t="shared" ref="I387:I412" si="12">"DA_Suffix_"&amp; SUBSTITUTE(C387," ","_")</f>
        <v>DA_Suffix_of_Promise</v>
      </c>
      <c r="J387" s="74" t="str">
        <f t="shared" ref="J387:J412" si="13">"/Game/DungeonSiege/Items/Affixes/Suffix/" &amp; I387</f>
        <v>/Game/DungeonSiege/Items/Affixes/Suffix/DA_Suffix_of_Promise</v>
      </c>
      <c r="BV387" s="36"/>
    </row>
    <row r="388" spans="1:74" x14ac:dyDescent="0.25">
      <c r="A388" s="44">
        <v>386</v>
      </c>
      <c r="B388" s="44">
        <f>HEX2DEC(A388+Items!$A$29)</f>
        <v>101712774</v>
      </c>
      <c r="C388" s="24" t="s">
        <v>2123</v>
      </c>
      <c r="D388" s="24" t="s">
        <v>2124</v>
      </c>
      <c r="E388" s="24" t="s">
        <v>681</v>
      </c>
      <c r="F388" s="24" t="s">
        <v>819</v>
      </c>
      <c r="G388" s="24">
        <v>3</v>
      </c>
      <c r="H388" s="31" t="s">
        <v>2125</v>
      </c>
      <c r="I388" s="31" t="str">
        <f t="shared" si="12"/>
        <v>DA_Suffix_of_Minor_Zap</v>
      </c>
      <c r="J388" s="31" t="str">
        <f t="shared" si="13"/>
        <v>/Game/DungeonSiege/Items/Affixes/Suffix/DA_Suffix_of_Minor_Zap</v>
      </c>
    </row>
    <row r="389" spans="1:74" ht="22.5" x14ac:dyDescent="0.25">
      <c r="A389" s="44">
        <v>387</v>
      </c>
      <c r="B389" s="44">
        <f>HEX2DEC(A389+Items!$A$29)</f>
        <v>101712775</v>
      </c>
      <c r="C389" s="24" t="s">
        <v>40</v>
      </c>
      <c r="D389" s="24" t="s">
        <v>39</v>
      </c>
      <c r="E389" s="24" t="s">
        <v>681</v>
      </c>
      <c r="F389" s="24" t="s">
        <v>1226</v>
      </c>
      <c r="G389" s="24">
        <v>2</v>
      </c>
      <c r="H389" s="31" t="s">
        <v>38</v>
      </c>
      <c r="I389" s="31" t="str">
        <f t="shared" si="12"/>
        <v>DA_Suffix_of_the_Badger</v>
      </c>
      <c r="J389" s="31" t="str">
        <f t="shared" si="13"/>
        <v>/Game/DungeonSiege/Items/Affixes/Suffix/DA_Suffix_of_the_Badger</v>
      </c>
    </row>
    <row r="390" spans="1:74" ht="22.5" x14ac:dyDescent="0.25">
      <c r="A390" s="44">
        <v>388</v>
      </c>
      <c r="B390" s="44">
        <f>HEX2DEC(A390+Items!$A$29)</f>
        <v>101712776</v>
      </c>
      <c r="C390" s="24" t="s">
        <v>37</v>
      </c>
      <c r="D390" s="24" t="s">
        <v>36</v>
      </c>
      <c r="E390" s="24" t="s">
        <v>681</v>
      </c>
      <c r="F390" s="24" t="s">
        <v>1382</v>
      </c>
      <c r="G390" s="24">
        <v>2</v>
      </c>
      <c r="H390" s="31" t="s">
        <v>35</v>
      </c>
      <c r="I390" s="31" t="str">
        <f t="shared" si="12"/>
        <v>DA_Suffix_of_Refreshment</v>
      </c>
      <c r="J390" s="31" t="str">
        <f t="shared" si="13"/>
        <v>/Game/DungeonSiege/Items/Affixes/Suffix/DA_Suffix_of_Refreshment</v>
      </c>
    </row>
    <row r="391" spans="1:74" x14ac:dyDescent="0.25">
      <c r="A391" s="44">
        <v>389</v>
      </c>
      <c r="B391" s="44">
        <f>HEX2DEC(A391+Items!$A$29)</f>
        <v>101712777</v>
      </c>
      <c r="C391" s="24" t="s">
        <v>2126</v>
      </c>
      <c r="D391" s="24" t="s">
        <v>1092</v>
      </c>
      <c r="E391" s="24" t="s">
        <v>681</v>
      </c>
      <c r="F391" s="24" t="s">
        <v>686</v>
      </c>
      <c r="G391" s="24">
        <v>2</v>
      </c>
      <c r="H391" s="31" t="s">
        <v>2127</v>
      </c>
      <c r="I391" s="31" t="str">
        <f t="shared" si="12"/>
        <v>DA_Suffix_of_Design</v>
      </c>
      <c r="J391" s="31" t="str">
        <f t="shared" si="13"/>
        <v>/Game/DungeonSiege/Items/Affixes/Suffix/DA_Suffix_of_Design</v>
      </c>
    </row>
    <row r="392" spans="1:74" x14ac:dyDescent="0.25">
      <c r="A392" s="44">
        <v>390</v>
      </c>
      <c r="B392" s="44">
        <f>HEX2DEC(A392+Items!$A$29)</f>
        <v>101712784</v>
      </c>
      <c r="C392" s="24" t="s">
        <v>2128</v>
      </c>
      <c r="D392" s="24" t="s">
        <v>934</v>
      </c>
      <c r="E392" s="24" t="s">
        <v>681</v>
      </c>
      <c r="F392" s="24" t="s">
        <v>1120</v>
      </c>
      <c r="G392" s="24">
        <v>2</v>
      </c>
      <c r="H392" s="31" t="s">
        <v>2129</v>
      </c>
      <c r="I392" s="31" t="str">
        <f t="shared" si="12"/>
        <v>DA_Suffix_of_Enhancement</v>
      </c>
      <c r="J392" s="31" t="str">
        <f t="shared" si="13"/>
        <v>/Game/DungeonSiege/Items/Affixes/Suffix/DA_Suffix_of_Enhancement</v>
      </c>
    </row>
    <row r="393" spans="1:74" x14ac:dyDescent="0.25">
      <c r="A393" s="44">
        <v>391</v>
      </c>
      <c r="B393" s="44">
        <f>HEX2DEC(A393+Items!$A$29)</f>
        <v>101712785</v>
      </c>
      <c r="C393" s="24" t="s">
        <v>2130</v>
      </c>
      <c r="D393" s="24" t="s">
        <v>950</v>
      </c>
      <c r="E393" s="24" t="s">
        <v>681</v>
      </c>
      <c r="F393" s="24" t="s">
        <v>682</v>
      </c>
      <c r="G393" s="24">
        <v>2</v>
      </c>
      <c r="H393" s="31" t="s">
        <v>2131</v>
      </c>
      <c r="I393" s="31" t="str">
        <f t="shared" si="12"/>
        <v>DA_Suffix_of_Sharpness</v>
      </c>
      <c r="J393" s="31" t="str">
        <f t="shared" si="13"/>
        <v>/Game/DungeonSiege/Items/Affixes/Suffix/DA_Suffix_of_Sharpness</v>
      </c>
    </row>
    <row r="394" spans="1:74" x14ac:dyDescent="0.25">
      <c r="A394" s="44">
        <v>392</v>
      </c>
      <c r="B394" s="44">
        <f>HEX2DEC(A394+Items!$A$29)</f>
        <v>101712786</v>
      </c>
      <c r="C394" s="24" t="s">
        <v>2132</v>
      </c>
      <c r="D394" s="24" t="s">
        <v>979</v>
      </c>
      <c r="E394" s="24" t="s">
        <v>681</v>
      </c>
      <c r="F394" s="24" t="s">
        <v>682</v>
      </c>
      <c r="G394" s="24">
        <v>2</v>
      </c>
      <c r="H394" s="31" t="s">
        <v>2133</v>
      </c>
      <c r="I394" s="31" t="str">
        <f t="shared" si="12"/>
        <v>DA_Suffix_of_the_Unbridled</v>
      </c>
      <c r="J394" s="31" t="str">
        <f t="shared" si="13"/>
        <v>/Game/DungeonSiege/Items/Affixes/Suffix/DA_Suffix_of_the_Unbridled</v>
      </c>
    </row>
    <row r="395" spans="1:74" x14ac:dyDescent="0.25">
      <c r="A395" s="44">
        <v>393</v>
      </c>
      <c r="B395" s="44">
        <f>HEX2DEC(A395+Items!$A$29)</f>
        <v>101712787</v>
      </c>
      <c r="C395" s="24" t="s">
        <v>2134</v>
      </c>
      <c r="D395" s="24" t="s">
        <v>1020</v>
      </c>
      <c r="E395" s="24" t="s">
        <v>681</v>
      </c>
      <c r="F395" s="24" t="s">
        <v>682</v>
      </c>
      <c r="G395" s="24">
        <v>2</v>
      </c>
      <c r="H395" s="31" t="s">
        <v>2135</v>
      </c>
      <c r="I395" s="31" t="str">
        <f t="shared" si="12"/>
        <v>DA_Suffix_of_Slicing</v>
      </c>
      <c r="J395" s="31" t="str">
        <f t="shared" si="13"/>
        <v>/Game/DungeonSiege/Items/Affixes/Suffix/DA_Suffix_of_Slicing</v>
      </c>
    </row>
    <row r="396" spans="1:74" x14ac:dyDescent="0.25">
      <c r="A396" s="44">
        <v>394</v>
      </c>
      <c r="B396" s="44">
        <f>HEX2DEC(A396+Items!$A$29)</f>
        <v>101712788</v>
      </c>
      <c r="C396" s="24" t="s">
        <v>2136</v>
      </c>
      <c r="D396" s="24" t="s">
        <v>2137</v>
      </c>
      <c r="E396" s="24" t="s">
        <v>681</v>
      </c>
      <c r="F396" s="24" t="s">
        <v>1219</v>
      </c>
      <c r="G396" s="24">
        <v>2</v>
      </c>
      <c r="H396" s="31" t="s">
        <v>2138</v>
      </c>
      <c r="I396" s="31" t="str">
        <f t="shared" si="12"/>
        <v>DA_Suffix_of_Survival</v>
      </c>
      <c r="J396" s="31" t="str">
        <f t="shared" si="13"/>
        <v>/Game/DungeonSiege/Items/Affixes/Suffix/DA_Suffix_of_Survival</v>
      </c>
    </row>
    <row r="397" spans="1:74" x14ac:dyDescent="0.25">
      <c r="A397" s="44">
        <v>395</v>
      </c>
      <c r="B397" s="44">
        <f>HEX2DEC(A397+Items!$A$29)</f>
        <v>101712789</v>
      </c>
      <c r="C397" s="24" t="s">
        <v>2139</v>
      </c>
      <c r="D397" s="24" t="s">
        <v>2140</v>
      </c>
      <c r="E397" s="24" t="s">
        <v>681</v>
      </c>
      <c r="F397" s="24" t="s">
        <v>1219</v>
      </c>
      <c r="G397" s="24">
        <v>2</v>
      </c>
      <c r="H397" s="31" t="s">
        <v>2141</v>
      </c>
      <c r="I397" s="31" t="str">
        <f t="shared" si="12"/>
        <v>DA_Suffix_of_Dispute</v>
      </c>
      <c r="J397" s="31" t="str">
        <f t="shared" si="13"/>
        <v>/Game/DungeonSiege/Items/Affixes/Suffix/DA_Suffix_of_Dispute</v>
      </c>
    </row>
    <row r="398" spans="1:74" x14ac:dyDescent="0.25">
      <c r="A398" s="44">
        <v>396</v>
      </c>
      <c r="B398" s="44">
        <f>HEX2DEC(A398+Items!$A$29)</f>
        <v>101712790</v>
      </c>
      <c r="C398" s="26" t="s">
        <v>2142</v>
      </c>
      <c r="D398" s="26" t="s">
        <v>1431</v>
      </c>
      <c r="E398" s="26" t="s">
        <v>681</v>
      </c>
      <c r="F398" s="26" t="s">
        <v>682</v>
      </c>
      <c r="G398" s="26">
        <v>2</v>
      </c>
      <c r="H398" s="32" t="s">
        <v>2143</v>
      </c>
      <c r="I398" s="31" t="str">
        <f t="shared" si="12"/>
        <v>DA_Suffix_of_Shivering</v>
      </c>
      <c r="J398" s="31" t="str">
        <f t="shared" si="13"/>
        <v>/Game/DungeonSiege/Items/Affixes/Suffix/DA_Suffix_of_Shivering</v>
      </c>
    </row>
    <row r="399" spans="1:74" x14ac:dyDescent="0.25">
      <c r="A399" s="44">
        <v>397</v>
      </c>
      <c r="B399" s="44">
        <f>HEX2DEC(A399+Items!$A$29)</f>
        <v>101712791</v>
      </c>
      <c r="C399" s="24" t="s">
        <v>2144</v>
      </c>
      <c r="D399" s="24" t="s">
        <v>2145</v>
      </c>
      <c r="E399" s="24" t="s">
        <v>681</v>
      </c>
      <c r="F399" s="24" t="s">
        <v>682</v>
      </c>
      <c r="G399" s="24">
        <v>2</v>
      </c>
      <c r="H399" s="31" t="s">
        <v>2146</v>
      </c>
      <c r="I399" s="31" t="str">
        <f t="shared" si="12"/>
        <v>DA_Suffix_of_the_Shaken</v>
      </c>
      <c r="J399" s="31" t="str">
        <f t="shared" si="13"/>
        <v>/Game/DungeonSiege/Items/Affixes/Suffix/DA_Suffix_of_the_Shaken</v>
      </c>
    </row>
    <row r="400" spans="1:74" x14ac:dyDescent="0.25">
      <c r="A400" s="61">
        <v>398</v>
      </c>
      <c r="B400" s="61">
        <f>HEX2DEC(A400+Items!$A$29)</f>
        <v>101712792</v>
      </c>
      <c r="C400" s="25" t="s">
        <v>2147</v>
      </c>
      <c r="D400" s="25" t="s">
        <v>2148</v>
      </c>
      <c r="E400" s="25" t="s">
        <v>704</v>
      </c>
      <c r="F400" s="25" t="s">
        <v>1120</v>
      </c>
      <c r="G400" s="25">
        <v>2</v>
      </c>
      <c r="H400" s="64" t="s">
        <v>2149</v>
      </c>
      <c r="I400" s="64" t="str">
        <f t="shared" si="12"/>
        <v>DA_Suffix_of_Life_Force</v>
      </c>
      <c r="J400" s="64" t="str">
        <f t="shared" si="13"/>
        <v>/Game/DungeonSiege/Items/Affixes/Suffix/DA_Suffix_of_Life_Force</v>
      </c>
    </row>
    <row r="401" spans="1:75" x14ac:dyDescent="0.25">
      <c r="A401" s="44">
        <v>399</v>
      </c>
      <c r="B401" s="44">
        <f>HEX2DEC(A401+Items!$A$29)</f>
        <v>101712793</v>
      </c>
      <c r="C401" s="24" t="s">
        <v>2150</v>
      </c>
      <c r="D401" s="24" t="s">
        <v>2151</v>
      </c>
      <c r="E401" s="24" t="s">
        <v>681</v>
      </c>
      <c r="F401" s="24" t="s">
        <v>819</v>
      </c>
      <c r="G401" s="24">
        <v>2</v>
      </c>
      <c r="H401" s="31" t="s">
        <v>2152</v>
      </c>
      <c r="I401" s="31" t="str">
        <f t="shared" si="12"/>
        <v>DA_Suffix_of_Lesser_Zap</v>
      </c>
      <c r="J401" s="31" t="str">
        <f t="shared" si="13"/>
        <v>/Game/DungeonSiege/Items/Affixes/Suffix/DA_Suffix_of_Lesser_Zap</v>
      </c>
    </row>
    <row r="402" spans="1:75" x14ac:dyDescent="0.25">
      <c r="A402" s="44">
        <v>400</v>
      </c>
      <c r="B402" s="44">
        <f>HEX2DEC(A402+Items!$A$29)</f>
        <v>101712896</v>
      </c>
      <c r="C402" s="26" t="s">
        <v>2153</v>
      </c>
      <c r="D402" s="37" t="s">
        <v>2381</v>
      </c>
      <c r="E402" s="26" t="s">
        <v>681</v>
      </c>
      <c r="F402" s="26" t="s">
        <v>682</v>
      </c>
      <c r="G402" s="26">
        <v>2</v>
      </c>
      <c r="H402" s="32" t="s">
        <v>2154</v>
      </c>
      <c r="I402" s="31" t="str">
        <f t="shared" si="12"/>
        <v>DA_Suffix_of_Poison</v>
      </c>
      <c r="J402" s="31" t="str">
        <f t="shared" si="13"/>
        <v>/Game/DungeonSiege/Items/Affixes/Suffix/DA_Suffix_of_Poison</v>
      </c>
      <c r="BW402" s="36"/>
    </row>
    <row r="403" spans="1:75" ht="22.5" x14ac:dyDescent="0.25">
      <c r="A403" s="44">
        <v>401</v>
      </c>
      <c r="B403" s="44">
        <f>HEX2DEC(A403+Items!$A$29)</f>
        <v>101712897</v>
      </c>
      <c r="C403" s="24" t="s">
        <v>34</v>
      </c>
      <c r="D403" s="24" t="s">
        <v>33</v>
      </c>
      <c r="E403" s="24" t="s">
        <v>681</v>
      </c>
      <c r="F403" s="24" t="s">
        <v>1226</v>
      </c>
      <c r="G403" s="24">
        <v>1</v>
      </c>
      <c r="H403" s="31" t="s">
        <v>32</v>
      </c>
      <c r="I403" s="31" t="str">
        <f t="shared" si="12"/>
        <v>DA_Suffix_of_the_Fox</v>
      </c>
      <c r="J403" s="31" t="str">
        <f t="shared" si="13"/>
        <v>/Game/DungeonSiege/Items/Affixes/Suffix/DA_Suffix_of_the_Fox</v>
      </c>
    </row>
    <row r="404" spans="1:75" ht="22.5" x14ac:dyDescent="0.25">
      <c r="A404" s="44">
        <v>402</v>
      </c>
      <c r="B404" s="44">
        <f>HEX2DEC(A404+Items!$A$29)</f>
        <v>101712898</v>
      </c>
      <c r="C404" s="24" t="s">
        <v>31</v>
      </c>
      <c r="D404" s="24" t="s">
        <v>30</v>
      </c>
      <c r="E404" s="24" t="s">
        <v>681</v>
      </c>
      <c r="F404" s="24" t="s">
        <v>1382</v>
      </c>
      <c r="G404" s="24">
        <v>1</v>
      </c>
      <c r="H404" s="31" t="s">
        <v>29</v>
      </c>
      <c r="I404" s="31" t="str">
        <f t="shared" si="12"/>
        <v>DA_Suffix_of_Renewal</v>
      </c>
      <c r="J404" s="31" t="str">
        <f t="shared" si="13"/>
        <v>/Game/DungeonSiege/Items/Affixes/Suffix/DA_Suffix_of_Renewal</v>
      </c>
    </row>
    <row r="405" spans="1:75" x14ac:dyDescent="0.25">
      <c r="A405" s="44">
        <v>403</v>
      </c>
      <c r="B405" s="44">
        <f>HEX2DEC(A405+Items!$A$29)</f>
        <v>101712899</v>
      </c>
      <c r="C405" s="24" t="s">
        <v>2155</v>
      </c>
      <c r="D405" s="24" t="s">
        <v>1095</v>
      </c>
      <c r="E405" s="24" t="s">
        <v>681</v>
      </c>
      <c r="F405" s="24" t="s">
        <v>682</v>
      </c>
      <c r="G405" s="24">
        <v>1</v>
      </c>
      <c r="H405" s="31" t="s">
        <v>2156</v>
      </c>
      <c r="I405" s="31" t="str">
        <f t="shared" si="12"/>
        <v>DA_Suffix_of_Accuracy</v>
      </c>
      <c r="J405" s="31" t="str">
        <f t="shared" si="13"/>
        <v>/Game/DungeonSiege/Items/Affixes/Suffix/DA_Suffix_of_Accuracy</v>
      </c>
    </row>
    <row r="406" spans="1:75" x14ac:dyDescent="0.25">
      <c r="A406" s="44">
        <v>404</v>
      </c>
      <c r="B406" s="44">
        <f>HEX2DEC(A406+Items!$A$29)</f>
        <v>101712900</v>
      </c>
      <c r="C406" s="24" t="s">
        <v>2157</v>
      </c>
      <c r="D406" s="24" t="s">
        <v>881</v>
      </c>
      <c r="E406" s="24" t="s">
        <v>681</v>
      </c>
      <c r="F406" s="24" t="s">
        <v>1120</v>
      </c>
      <c r="G406" s="24">
        <v>1</v>
      </c>
      <c r="H406" s="31" t="s">
        <v>2158</v>
      </c>
      <c r="I406" s="31" t="str">
        <f t="shared" si="12"/>
        <v>DA_Suffix_of_the_Parasite</v>
      </c>
      <c r="J406" s="31" t="str">
        <f t="shared" si="13"/>
        <v>/Game/DungeonSiege/Items/Affixes/Suffix/DA_Suffix_of_the_Parasite</v>
      </c>
    </row>
    <row r="407" spans="1:75" x14ac:dyDescent="0.25">
      <c r="A407" s="44">
        <v>405</v>
      </c>
      <c r="B407" s="44">
        <f>HEX2DEC(A407+Items!$A$29)</f>
        <v>101712901</v>
      </c>
      <c r="C407" s="24" t="s">
        <v>2159</v>
      </c>
      <c r="D407" s="24" t="s">
        <v>884</v>
      </c>
      <c r="E407" s="24" t="s">
        <v>681</v>
      </c>
      <c r="F407" s="24" t="s">
        <v>1120</v>
      </c>
      <c r="G407" s="24">
        <v>1</v>
      </c>
      <c r="H407" s="31" t="s">
        <v>2160</v>
      </c>
      <c r="I407" s="31" t="str">
        <f t="shared" si="12"/>
        <v>DA_Suffix_of_Midnight</v>
      </c>
      <c r="J407" s="31" t="str">
        <f t="shared" si="13"/>
        <v>/Game/DungeonSiege/Items/Affixes/Suffix/DA_Suffix_of_Midnight</v>
      </c>
    </row>
    <row r="408" spans="1:75" x14ac:dyDescent="0.25">
      <c r="A408" s="44">
        <v>406</v>
      </c>
      <c r="B408" s="44">
        <f>HEX2DEC(A408+Items!$A$29)</f>
        <v>101712902</v>
      </c>
      <c r="C408" s="24" t="s">
        <v>2161</v>
      </c>
      <c r="D408" s="24" t="s">
        <v>2162</v>
      </c>
      <c r="E408" s="24" t="s">
        <v>681</v>
      </c>
      <c r="F408" s="24" t="s">
        <v>682</v>
      </c>
      <c r="G408" s="24">
        <v>1</v>
      </c>
      <c r="H408" s="31" t="s">
        <v>2163</v>
      </c>
      <c r="I408" s="31" t="str">
        <f t="shared" si="12"/>
        <v>DA_Suffix_of_Burning</v>
      </c>
      <c r="J408" s="31" t="str">
        <f t="shared" si="13"/>
        <v>/Game/DungeonSiege/Items/Affixes/Suffix/DA_Suffix_of_Burning</v>
      </c>
    </row>
    <row r="409" spans="1:75" x14ac:dyDescent="0.25">
      <c r="A409" s="44">
        <v>407</v>
      </c>
      <c r="B409" s="44">
        <f>HEX2DEC(A409+Items!$A$29)</f>
        <v>101712903</v>
      </c>
      <c r="C409" s="24" t="s">
        <v>2164</v>
      </c>
      <c r="D409" s="24" t="s">
        <v>2165</v>
      </c>
      <c r="E409" s="24" t="s">
        <v>681</v>
      </c>
      <c r="F409" s="24" t="s">
        <v>682</v>
      </c>
      <c r="G409" s="24">
        <v>1</v>
      </c>
      <c r="H409" s="31" t="s">
        <v>2166</v>
      </c>
      <c r="I409" s="31" t="str">
        <f t="shared" si="12"/>
        <v>DA_Suffix_of_Symptoms</v>
      </c>
      <c r="J409" s="31" t="str">
        <f t="shared" si="13"/>
        <v>/Game/DungeonSiege/Items/Affixes/Suffix/DA_Suffix_of_Symptoms</v>
      </c>
    </row>
    <row r="410" spans="1:75" ht="22.5" x14ac:dyDescent="0.25">
      <c r="A410" s="61">
        <v>408</v>
      </c>
      <c r="B410" s="61">
        <f>HEX2DEC(A410+Items!$A$29)</f>
        <v>101712904</v>
      </c>
      <c r="C410" s="25" t="s">
        <v>2167</v>
      </c>
      <c r="D410" s="25" t="s">
        <v>1941</v>
      </c>
      <c r="E410" s="25" t="s">
        <v>704</v>
      </c>
      <c r="F410" s="25" t="s">
        <v>819</v>
      </c>
      <c r="G410" s="25">
        <v>1</v>
      </c>
      <c r="H410" s="64" t="s">
        <v>2168</v>
      </c>
      <c r="I410" s="64" t="str">
        <f t="shared" si="12"/>
        <v>DA_Suffix_of_Magic_Armor</v>
      </c>
      <c r="J410" s="64" t="str">
        <f t="shared" si="13"/>
        <v>/Game/DungeonSiege/Items/Affixes/Suffix/DA_Suffix_of_Magic_Armor</v>
      </c>
    </row>
    <row r="411" spans="1:75" x14ac:dyDescent="0.25">
      <c r="A411" s="61">
        <v>409</v>
      </c>
      <c r="B411" s="61">
        <f>HEX2DEC(A411+Items!$A$29)</f>
        <v>101712905</v>
      </c>
      <c r="C411" s="25" t="s">
        <v>2169</v>
      </c>
      <c r="D411" s="25" t="s">
        <v>2170</v>
      </c>
      <c r="E411" s="25" t="s">
        <v>704</v>
      </c>
      <c r="F411" s="25" t="s">
        <v>2171</v>
      </c>
      <c r="G411" s="25">
        <v>1</v>
      </c>
      <c r="H411" s="64" t="s">
        <v>2172</v>
      </c>
      <c r="I411" s="64" t="str">
        <f t="shared" si="12"/>
        <v>DA_Suffix_of_Charged_Fist</v>
      </c>
      <c r="J411" s="64" t="str">
        <f t="shared" si="13"/>
        <v>/Game/DungeonSiege/Items/Affixes/Suffix/DA_Suffix_of_Charged_Fist</v>
      </c>
    </row>
    <row r="412" spans="1:75" x14ac:dyDescent="0.25">
      <c r="A412" s="61">
        <v>410</v>
      </c>
      <c r="B412" s="61">
        <f>HEX2DEC(A412+Items!$A$29)</f>
        <v>101712912</v>
      </c>
      <c r="C412" s="25" t="s">
        <v>2173</v>
      </c>
      <c r="D412" s="25" t="s">
        <v>2174</v>
      </c>
      <c r="E412" s="25" t="s">
        <v>704</v>
      </c>
      <c r="F412" s="25" t="s">
        <v>2175</v>
      </c>
      <c r="G412" s="25">
        <v>1</v>
      </c>
      <c r="H412" s="64" t="s">
        <v>2176</v>
      </c>
      <c r="I412" s="64" t="str">
        <f t="shared" si="12"/>
        <v>DA_Suffix_of_Anchored_Shot</v>
      </c>
      <c r="J412" s="64" t="str">
        <f t="shared" si="13"/>
        <v>/Game/DungeonSiege/Items/Affixes/Suffix/DA_Suffix_of_Anchored_Shot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4" r:id="rId3" name="Button 2">
              <controlPr defaultSize="0" print="0" autoFill="0" autoPict="0" macro="[0]!ExportSuffixes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0</xdr:col>
                    <xdr:colOff>1133475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4" name="Button 3">
              <controlPr defaultSize="0" print="0" autoFill="0" autoPict="0" macro="[0]!changecolor">
                <anchor moveWithCells="1" sizeWithCells="1">
                  <from>
                    <xdr:col>10</xdr:col>
                    <xdr:colOff>133350</xdr:colOff>
                    <xdr:row>0</xdr:row>
                    <xdr:rowOff>66675</xdr:rowOff>
                  </from>
                  <to>
                    <xdr:col>12</xdr:col>
                    <xdr:colOff>190500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5179D-1EC8-4000-A66F-1C0161E4A37B}">
  <sheetPr codeName="Sheet9"/>
  <dimension ref="A2:O580"/>
  <sheetViews>
    <sheetView tabSelected="1" workbookViewId="0">
      <selection activeCell="F14" sqref="F14"/>
    </sheetView>
  </sheetViews>
  <sheetFormatPr defaultRowHeight="15" x14ac:dyDescent="0.25"/>
  <cols>
    <col min="2" max="2" width="30.5703125" style="23" customWidth="1"/>
    <col min="3" max="3" width="34.42578125" customWidth="1"/>
    <col min="4" max="4" width="57.7109375" bestFit="1" customWidth="1"/>
    <col min="5" max="5" width="17.85546875" bestFit="1" customWidth="1"/>
    <col min="6" max="6" width="188.42578125" bestFit="1" customWidth="1"/>
    <col min="7" max="7" width="105.7109375" bestFit="1" customWidth="1"/>
    <col min="8" max="8" width="141.140625" customWidth="1"/>
  </cols>
  <sheetData>
    <row r="2" spans="1:15" x14ac:dyDescent="0.25">
      <c r="A2" s="43" t="s">
        <v>3070</v>
      </c>
      <c r="B2" s="43" t="s">
        <v>3362</v>
      </c>
      <c r="C2" s="43" t="s">
        <v>0</v>
      </c>
      <c r="D2" s="43" t="s">
        <v>3134</v>
      </c>
      <c r="E2" s="43" t="s">
        <v>3352</v>
      </c>
      <c r="F2" s="43" t="s">
        <v>3372</v>
      </c>
      <c r="G2" s="43" t="s">
        <v>3373</v>
      </c>
      <c r="H2" s="43" t="s">
        <v>3374</v>
      </c>
      <c r="I2" s="43"/>
      <c r="J2" s="43"/>
      <c r="K2" s="43"/>
      <c r="L2" s="43"/>
      <c r="M2" s="43"/>
      <c r="N2" s="43"/>
      <c r="O2" s="43"/>
    </row>
    <row r="3" spans="1:15" ht="22.5" x14ac:dyDescent="0.25">
      <c r="A3" s="43">
        <v>1</v>
      </c>
      <c r="B3" s="43" t="s">
        <v>3379</v>
      </c>
      <c r="C3" s="43" t="s">
        <v>3065</v>
      </c>
      <c r="D3" s="43" t="str">
        <f>CONCATENATE("DungeonSiegeAttributeSet.",C3)</f>
        <v>DungeonSiegeAttributeSet.Strength</v>
      </c>
      <c r="E3" s="43" t="s">
        <v>3387</v>
      </c>
      <c r="F3" s="43" t="str">
        <f>"UPROPERTY(EditAnywhere, BlueprintReadWrite, Category= """&amp; E3 &amp;""", ReplicatedUsing= OnRep_" &amp; C3 &amp;") FGameplayAttributeData " &amp; C3 &amp; "; ATTRIBUTE_ACCESSORS(U"&amp; B3 &amp;", " &amp; C3 &amp;")"</f>
        <v>UPROPERTY(EditAnywhere, BlueprintReadWrite, Category= "Experience|Class", ReplicatedUsing= OnRep_Strength) FGameplayAttributeData Strength; ATTRIBUTE_ACCESSORS(UDungeonSiegeExperienceAttributeSet, Strength)</v>
      </c>
      <c r="G3" s="43" t="str">
        <f>"UFUNCTION() virtual void OnRep_" &amp; C3 &amp;"(const FGameplayAttributeData&amp; Old" &amp; C3 &amp;");"</f>
        <v>UFUNCTION() virtual void OnRep_Strength(const FGameplayAttributeData&amp; OldStrength);</v>
      </c>
      <c r="H3" s="43" t="str">
        <f>"void U"&amp; B3 &amp;"::OnRep_" &amp; C3 &amp;"( const FGameplayAttributeData&amp; Old" &amp; C3 &amp;"){ GAMEPLAYATTRIBUTE_REPNOTIFY(U"&amp; B3 &amp; ", " &amp; C3 &amp; ",  Old" &amp; C3 &amp;");}"</f>
        <v>void UDungeonSiegeExperienceAttributeSet::OnRep_Strength( const FGameplayAttributeData&amp; OldStrength){ GAMEPLAYATTRIBUTE_REPNOTIFY(UDungeonSiegeExperienceAttributeSet, Strength,  OldStrength);}</v>
      </c>
      <c r="I3" s="43"/>
      <c r="J3" s="43"/>
      <c r="K3" s="43"/>
      <c r="L3" s="43"/>
      <c r="M3" s="43"/>
      <c r="N3" s="43"/>
      <c r="O3" s="43"/>
    </row>
    <row r="4" spans="1:15" ht="22.5" x14ac:dyDescent="0.25">
      <c r="A4" s="43">
        <v>2</v>
      </c>
      <c r="B4" s="43" t="s">
        <v>3379</v>
      </c>
      <c r="C4" s="43" t="s">
        <v>3066</v>
      </c>
      <c r="D4" s="43" t="str">
        <f t="shared" ref="D4:D72" si="0">CONCATENATE("DungeonSiegeAttributeSet.",C4)</f>
        <v>DungeonSiegeAttributeSet.Dexterity</v>
      </c>
      <c r="E4" s="43" t="s">
        <v>3387</v>
      </c>
      <c r="F4" s="43" t="str">
        <f t="shared" ref="F4:F71" si="1">"UPROPERTY(EditAnywhere, BlueprintReadWrite, Category= """&amp; E4 &amp;""", ReplicatedUsing= OnRep_" &amp; C4 &amp;") FGameplayAttributeData " &amp; C4 &amp; "; ATTRIBUTE_ACCESSORS(U"&amp; B4 &amp;", " &amp; C4 &amp;")"</f>
        <v>UPROPERTY(EditAnywhere, BlueprintReadWrite, Category= "Experience|Class", ReplicatedUsing= OnRep_Dexterity) FGameplayAttributeData Dexterity; ATTRIBUTE_ACCESSORS(UDungeonSiegeExperienceAttributeSet, Dexterity)</v>
      </c>
      <c r="G4" s="43" t="str">
        <f t="shared" ref="G4:G71" si="2">"UFUNCTION() virtual void OnRep_" &amp; C4 &amp;"(const FGameplayAttributeData&amp; Old" &amp; C4 &amp;");"</f>
        <v>UFUNCTION() virtual void OnRep_Dexterity(const FGameplayAttributeData&amp; OldDexterity);</v>
      </c>
      <c r="H4" s="43" t="str">
        <f t="shared" ref="H4:H71" si="3">"void U"&amp; B4 &amp;"::OnRep_" &amp; C4 &amp;"( const FGameplayAttributeData&amp; Old" &amp; C4 &amp;"){ GAMEPLAYATTRIBUTE_REPNOTIFY(U"&amp; B4 &amp; ", " &amp; C4 &amp; ",  Old" &amp; C4 &amp;");}"</f>
        <v>void UDungeonSiegeExperienceAttributeSet::OnRep_Dexterity( const FGameplayAttributeData&amp; OldDexterity){ GAMEPLAYATTRIBUTE_REPNOTIFY(UDungeonSiegeExperienceAttributeSet, Dexterity,  OldDexterity);}</v>
      </c>
      <c r="I4" s="43"/>
      <c r="J4" s="43"/>
      <c r="K4" s="43"/>
      <c r="L4" s="43"/>
      <c r="M4" s="43"/>
      <c r="N4" s="43"/>
      <c r="O4" s="43"/>
    </row>
    <row r="5" spans="1:15" ht="22.5" x14ac:dyDescent="0.25">
      <c r="A5" s="43">
        <v>3</v>
      </c>
      <c r="B5" s="43" t="s">
        <v>3379</v>
      </c>
      <c r="C5" s="43" t="s">
        <v>2</v>
      </c>
      <c r="D5" s="43" t="str">
        <f t="shared" si="0"/>
        <v>DungeonSiegeAttributeSet.Intelligence</v>
      </c>
      <c r="E5" s="43" t="s">
        <v>3387</v>
      </c>
      <c r="F5" s="43" t="str">
        <f t="shared" si="1"/>
        <v>UPROPERTY(EditAnywhere, BlueprintReadWrite, Category= "Experience|Class", ReplicatedUsing= OnRep_Intelligence) FGameplayAttributeData Intelligence; ATTRIBUTE_ACCESSORS(UDungeonSiegeExperienceAttributeSet, Intelligence)</v>
      </c>
      <c r="G5" s="43" t="str">
        <f t="shared" si="2"/>
        <v>UFUNCTION() virtual void OnRep_Intelligence(const FGameplayAttributeData&amp; OldIntelligence);</v>
      </c>
      <c r="H5" s="43" t="str">
        <f t="shared" si="3"/>
        <v>void UDungeonSiegeExperienceAttributeSet::OnRep_Intelligence( const FGameplayAttributeData&amp; OldIntelligence){ GAMEPLAYATTRIBUTE_REPNOTIFY(UDungeonSiegeExperienceAttributeSet, Intelligence,  OldIntelligence);}</v>
      </c>
      <c r="I5" s="43"/>
      <c r="J5" s="43"/>
      <c r="K5" s="43"/>
      <c r="L5" s="43"/>
      <c r="M5" s="43"/>
      <c r="N5" s="43"/>
      <c r="O5" s="43"/>
    </row>
    <row r="6" spans="1:15" ht="22.5" x14ac:dyDescent="0.25">
      <c r="A6" s="43">
        <v>4</v>
      </c>
      <c r="B6" s="43" t="s">
        <v>3379</v>
      </c>
      <c r="C6" s="43" t="s">
        <v>3067</v>
      </c>
      <c r="D6" s="43" t="str">
        <f t="shared" si="0"/>
        <v>DungeonSiegeAttributeSet.CombatMagic</v>
      </c>
      <c r="E6" s="43" t="s">
        <v>3387</v>
      </c>
      <c r="F6" s="43" t="str">
        <f t="shared" si="1"/>
        <v>UPROPERTY(EditAnywhere, BlueprintReadWrite, Category= "Experience|Class", ReplicatedUsing= OnRep_CombatMagic) FGameplayAttributeData CombatMagic; ATTRIBUTE_ACCESSORS(UDungeonSiegeExperienceAttributeSet, CombatMagic)</v>
      </c>
      <c r="G6" s="43" t="str">
        <f t="shared" si="2"/>
        <v>UFUNCTION() virtual void OnRep_CombatMagic(const FGameplayAttributeData&amp; OldCombatMagic);</v>
      </c>
      <c r="H6" s="43" t="str">
        <f t="shared" si="3"/>
        <v>void UDungeonSiegeExperienceAttributeSet::OnRep_CombatMagic( const FGameplayAttributeData&amp; OldCombatMagic){ GAMEPLAYATTRIBUTE_REPNOTIFY(UDungeonSiegeExperienceAttributeSet, CombatMagic,  OldCombatMagic);}</v>
      </c>
      <c r="I6" s="43"/>
      <c r="J6" s="43"/>
      <c r="K6" s="43"/>
      <c r="L6" s="43"/>
      <c r="M6" s="43"/>
      <c r="N6" s="43"/>
      <c r="O6" s="43"/>
    </row>
    <row r="7" spans="1:15" ht="22.5" x14ac:dyDescent="0.25">
      <c r="A7" s="43">
        <v>5</v>
      </c>
      <c r="B7" s="43" t="s">
        <v>3379</v>
      </c>
      <c r="C7" s="43" t="s">
        <v>3068</v>
      </c>
      <c r="D7" s="43" t="str">
        <f t="shared" si="0"/>
        <v>DungeonSiegeAttributeSet.NatureMagic</v>
      </c>
      <c r="E7" s="43" t="s">
        <v>3387</v>
      </c>
      <c r="F7" s="43" t="str">
        <f t="shared" si="1"/>
        <v>UPROPERTY(EditAnywhere, BlueprintReadWrite, Category= "Experience|Class", ReplicatedUsing= OnRep_NatureMagic) FGameplayAttributeData NatureMagic; ATTRIBUTE_ACCESSORS(UDungeonSiegeExperienceAttributeSet, NatureMagic)</v>
      </c>
      <c r="G7" s="43" t="str">
        <f t="shared" si="2"/>
        <v>UFUNCTION() virtual void OnRep_NatureMagic(const FGameplayAttributeData&amp; OldNatureMagic);</v>
      </c>
      <c r="H7" s="43" t="str">
        <f t="shared" si="3"/>
        <v>void UDungeonSiegeExperienceAttributeSet::OnRep_NatureMagic( const FGameplayAttributeData&amp; OldNatureMagic){ GAMEPLAYATTRIBUTE_REPNOTIFY(UDungeonSiegeExperienceAttributeSet, NatureMagic,  OldNatureMagic);}</v>
      </c>
      <c r="I7" s="43"/>
      <c r="J7" s="43"/>
      <c r="K7" s="43"/>
      <c r="L7" s="43"/>
      <c r="M7" s="43"/>
      <c r="N7" s="43"/>
      <c r="O7" s="43"/>
    </row>
    <row r="8" spans="1:15" ht="22.5" x14ac:dyDescent="0.25">
      <c r="A8" s="43">
        <v>6</v>
      </c>
      <c r="B8" s="43" t="s">
        <v>3379</v>
      </c>
      <c r="C8" s="43" t="s">
        <v>686</v>
      </c>
      <c r="D8" s="43" t="str">
        <f t="shared" si="0"/>
        <v>DungeonSiegeAttributeSet.Ranged</v>
      </c>
      <c r="E8" s="43" t="s">
        <v>3387</v>
      </c>
      <c r="F8" s="43" t="str">
        <f t="shared" si="1"/>
        <v>UPROPERTY(EditAnywhere, BlueprintReadWrite, Category= "Experience|Class", ReplicatedUsing= OnRep_Ranged) FGameplayAttributeData Ranged; ATTRIBUTE_ACCESSORS(UDungeonSiegeExperienceAttributeSet, Ranged)</v>
      </c>
      <c r="G8" s="43" t="str">
        <f t="shared" si="2"/>
        <v>UFUNCTION() virtual void OnRep_Ranged(const FGameplayAttributeData&amp; OldRanged);</v>
      </c>
      <c r="H8" s="43" t="str">
        <f t="shared" si="3"/>
        <v>void UDungeonSiegeExperienceAttributeSet::OnRep_Ranged( const FGameplayAttributeData&amp; OldRanged){ GAMEPLAYATTRIBUTE_REPNOTIFY(UDungeonSiegeExperienceAttributeSet, Ranged,  OldRanged);}</v>
      </c>
      <c r="I8" s="43"/>
      <c r="J8" s="43"/>
      <c r="K8" s="43"/>
      <c r="L8" s="43"/>
      <c r="M8" s="43"/>
      <c r="N8" s="43"/>
      <c r="O8" s="43"/>
    </row>
    <row r="9" spans="1:15" ht="22.5" x14ac:dyDescent="0.25">
      <c r="A9" s="43">
        <v>7</v>
      </c>
      <c r="B9" s="43" t="s">
        <v>3379</v>
      </c>
      <c r="C9" s="43" t="s">
        <v>682</v>
      </c>
      <c r="D9" s="43" t="str">
        <f t="shared" si="0"/>
        <v>DungeonSiegeAttributeSet.Melee</v>
      </c>
      <c r="E9" s="43" t="s">
        <v>3387</v>
      </c>
      <c r="F9" s="43" t="str">
        <f t="shared" si="1"/>
        <v>UPROPERTY(EditAnywhere, BlueprintReadWrite, Category= "Experience|Class", ReplicatedUsing= OnRep_Melee) FGameplayAttributeData Melee; ATTRIBUTE_ACCESSORS(UDungeonSiegeExperienceAttributeSet, Melee)</v>
      </c>
      <c r="G9" s="43" t="str">
        <f t="shared" si="2"/>
        <v>UFUNCTION() virtual void OnRep_Melee(const FGameplayAttributeData&amp; OldMelee);</v>
      </c>
      <c r="H9" s="43" t="str">
        <f t="shared" si="3"/>
        <v>void UDungeonSiegeExperienceAttributeSet::OnRep_Melee( const FGameplayAttributeData&amp; OldMelee){ GAMEPLAYATTRIBUTE_REPNOTIFY(UDungeonSiegeExperienceAttributeSet, Melee,  OldMelee);}</v>
      </c>
      <c r="I9" s="43"/>
      <c r="J9" s="43"/>
      <c r="K9" s="43"/>
      <c r="L9" s="43"/>
      <c r="M9" s="43"/>
      <c r="N9" s="43"/>
      <c r="O9" s="43"/>
    </row>
    <row r="10" spans="1:15" ht="22.5" x14ac:dyDescent="0.25">
      <c r="A10" s="43">
        <v>8</v>
      </c>
      <c r="B10" s="43" t="s">
        <v>3388</v>
      </c>
      <c r="C10" s="43" t="s">
        <v>3069</v>
      </c>
      <c r="D10" s="43" t="str">
        <f t="shared" si="0"/>
        <v>DungeonSiegeAttributeSet.ArmorRating</v>
      </c>
      <c r="E10" s="43" t="s">
        <v>2916</v>
      </c>
      <c r="F10" s="43" t="str">
        <f t="shared" si="1"/>
        <v>UPROPERTY(EditAnywhere, BlueprintReadWrite, Category= "Defense", ReplicatedUsing= OnRep_ArmorRating) FGameplayAttributeData ArmorRating; ATTRIBUTE_ACCESSORS(UDungeonSiegeDefenseAttributeSet, ArmorRating)</v>
      </c>
      <c r="G10" s="43" t="str">
        <f t="shared" si="2"/>
        <v>UFUNCTION() virtual void OnRep_ArmorRating(const FGameplayAttributeData&amp; OldArmorRating);</v>
      </c>
      <c r="H10" s="43" t="str">
        <f t="shared" si="3"/>
        <v>void UDungeonSiegeDefenseAttributeSet::OnRep_ArmorRating( const FGameplayAttributeData&amp; OldArmorRating){ GAMEPLAYATTRIBUTE_REPNOTIFY(UDungeonSiegeDefenseAttributeSet, ArmorRating,  OldArmorRating);}</v>
      </c>
      <c r="I10" s="43"/>
      <c r="J10" s="43"/>
      <c r="K10" s="43"/>
      <c r="L10" s="43"/>
      <c r="M10" s="43"/>
      <c r="N10" s="43"/>
      <c r="O10" s="43"/>
    </row>
    <row r="11" spans="1:15" ht="22.5" x14ac:dyDescent="0.25">
      <c r="A11" s="43">
        <v>9</v>
      </c>
      <c r="B11" s="43" t="s">
        <v>3381</v>
      </c>
      <c r="C11" s="43" t="s">
        <v>3071</v>
      </c>
      <c r="D11" s="43" t="str">
        <f t="shared" si="0"/>
        <v>DungeonSiegeAttributeSet.HealthPerHit</v>
      </c>
      <c r="E11" s="43" t="s">
        <v>3353</v>
      </c>
      <c r="F11" s="43" t="str">
        <f t="shared" si="1"/>
        <v>UPROPERTY(EditAnywhere, BlueprintReadWrite, Category= "Per Hit", ReplicatedUsing= OnRep_HealthPerHit) FGameplayAttributeData HealthPerHit; ATTRIBUTE_ACCESSORS(UDungeonSiegePerHitAttributeSet, HealthPerHit)</v>
      </c>
      <c r="G11" s="43" t="str">
        <f t="shared" si="2"/>
        <v>UFUNCTION() virtual void OnRep_HealthPerHit(const FGameplayAttributeData&amp; OldHealthPerHit);</v>
      </c>
      <c r="H11" s="43" t="str">
        <f t="shared" si="3"/>
        <v>void UDungeonSiegePerHitAttributeSet::OnRep_HealthPerHit( const FGameplayAttributeData&amp; OldHealthPerHit){ GAMEPLAYATTRIBUTE_REPNOTIFY(UDungeonSiegePerHitAttributeSet, HealthPerHit,  OldHealthPerHit);}</v>
      </c>
      <c r="I11" s="43"/>
      <c r="J11" s="43"/>
      <c r="K11" s="43"/>
      <c r="L11" s="43"/>
      <c r="M11" s="43"/>
      <c r="N11" s="43"/>
      <c r="O11" s="43"/>
    </row>
    <row r="12" spans="1:15" ht="22.5" x14ac:dyDescent="0.25">
      <c r="A12" s="43">
        <v>10</v>
      </c>
      <c r="B12" s="43" t="s">
        <v>3381</v>
      </c>
      <c r="C12" s="43" t="s">
        <v>3072</v>
      </c>
      <c r="D12" s="43" t="str">
        <f t="shared" si="0"/>
        <v>DungeonSiegeAttributeSet.ManaPerHit</v>
      </c>
      <c r="E12" s="43" t="s">
        <v>3353</v>
      </c>
      <c r="F12" s="43" t="str">
        <f t="shared" si="1"/>
        <v>UPROPERTY(EditAnywhere, BlueprintReadWrite, Category= "Per Hit", ReplicatedUsing= OnRep_ManaPerHit) FGameplayAttributeData ManaPerHit; ATTRIBUTE_ACCESSORS(UDungeonSiegePerHitAttributeSet, ManaPerHit)</v>
      </c>
      <c r="G12" s="43" t="str">
        <f t="shared" si="2"/>
        <v>UFUNCTION() virtual void OnRep_ManaPerHit(const FGameplayAttributeData&amp; OldManaPerHit);</v>
      </c>
      <c r="H12" s="43" t="str">
        <f t="shared" si="3"/>
        <v>void UDungeonSiegePerHitAttributeSet::OnRep_ManaPerHit( const FGameplayAttributeData&amp; OldManaPerHit){ GAMEPLAYATTRIBUTE_REPNOTIFY(UDungeonSiegePerHitAttributeSet, ManaPerHit,  OldManaPerHit);}</v>
      </c>
      <c r="I12" s="43"/>
      <c r="J12" s="43"/>
      <c r="K12" s="43"/>
      <c r="L12" s="43"/>
      <c r="M12" s="43"/>
      <c r="N12" s="43"/>
      <c r="O12" s="43"/>
    </row>
    <row r="13" spans="1:15" ht="22.5" x14ac:dyDescent="0.25">
      <c r="A13" s="43">
        <v>11</v>
      </c>
      <c r="B13" s="43" t="s">
        <v>3381</v>
      </c>
      <c r="C13" s="43" t="s">
        <v>3073</v>
      </c>
      <c r="D13" s="43" t="str">
        <f t="shared" si="0"/>
        <v>DungeonSiegeAttributeSet.HealthStealPerHit</v>
      </c>
      <c r="E13" s="43" t="s">
        <v>3353</v>
      </c>
      <c r="F13" s="43" t="str">
        <f t="shared" si="1"/>
        <v>UPROPERTY(EditAnywhere, BlueprintReadWrite, Category= "Per Hit", ReplicatedUsing= OnRep_HealthStealPerHit) FGameplayAttributeData HealthStealPerHit; ATTRIBUTE_ACCESSORS(UDungeonSiegePerHitAttributeSet, HealthStealPerHit)</v>
      </c>
      <c r="G13" s="43" t="str">
        <f t="shared" si="2"/>
        <v>UFUNCTION() virtual void OnRep_HealthStealPerHit(const FGameplayAttributeData&amp; OldHealthStealPerHit);</v>
      </c>
      <c r="H13" s="43" t="str">
        <f t="shared" si="3"/>
        <v>void UDungeonSiegePerHitAttributeSet::OnRep_HealthStealPerHit( const FGameplayAttributeData&amp; OldHealthStealPerHit){ GAMEPLAYATTRIBUTE_REPNOTIFY(UDungeonSiegePerHitAttributeSet, HealthStealPerHit,  OldHealthStealPerHit);}</v>
      </c>
      <c r="I13" s="43"/>
      <c r="J13" s="43"/>
      <c r="K13" s="43"/>
      <c r="L13" s="43"/>
      <c r="M13" s="43"/>
      <c r="N13" s="43"/>
      <c r="O13" s="43"/>
    </row>
    <row r="14" spans="1:15" ht="22.5" x14ac:dyDescent="0.25">
      <c r="A14" s="43">
        <v>12</v>
      </c>
      <c r="B14" s="43" t="s">
        <v>3381</v>
      </c>
      <c r="C14" s="43" t="s">
        <v>3074</v>
      </c>
      <c r="D14" s="43" t="str">
        <f t="shared" si="0"/>
        <v>DungeonSiegeAttributeSet.ManaStealPerHit</v>
      </c>
      <c r="E14" s="43" t="s">
        <v>3353</v>
      </c>
      <c r="F14" s="43" t="str">
        <f t="shared" si="1"/>
        <v>UPROPERTY(EditAnywhere, BlueprintReadWrite, Category= "Per Hit", ReplicatedUsing= OnRep_ManaStealPerHit) FGameplayAttributeData ManaStealPerHit; ATTRIBUTE_ACCESSORS(UDungeonSiegePerHitAttributeSet, ManaStealPerHit)</v>
      </c>
      <c r="G14" s="43" t="str">
        <f t="shared" si="2"/>
        <v>UFUNCTION() virtual void OnRep_ManaStealPerHit(const FGameplayAttributeData&amp; OldManaStealPerHit);</v>
      </c>
      <c r="H14" s="43" t="str">
        <f t="shared" si="3"/>
        <v>void UDungeonSiegePerHitAttributeSet::OnRep_ManaStealPerHit( const FGameplayAttributeData&amp; OldManaStealPerHit){ GAMEPLAYATTRIBUTE_REPNOTIFY(UDungeonSiegePerHitAttributeSet, ManaStealPerHit,  OldManaStealPerHit);}</v>
      </c>
      <c r="I14" s="43"/>
      <c r="J14" s="43"/>
      <c r="K14" s="43"/>
      <c r="L14" s="43"/>
      <c r="M14" s="43"/>
      <c r="N14" s="43"/>
      <c r="O14" s="43"/>
    </row>
    <row r="15" spans="1:15" s="23" customFormat="1" ht="22.5" x14ac:dyDescent="0.25">
      <c r="A15" s="43">
        <v>13</v>
      </c>
      <c r="B15" s="43" t="s">
        <v>3382</v>
      </c>
      <c r="C15" s="43" t="s">
        <v>3392</v>
      </c>
      <c r="D15" s="43" t="str">
        <f t="shared" si="0"/>
        <v>DungeonSiegeAttributeSet.MinDamage</v>
      </c>
      <c r="E15" s="43" t="s">
        <v>3354</v>
      </c>
      <c r="F15" s="43" t="str">
        <f t="shared" si="1"/>
        <v>UPROPERTY(EditAnywhere, BlueprintReadWrite, Category= "Damage", ReplicatedUsing= OnRep_MinDamage) FGameplayAttributeData MinDamage; ATTRIBUTE_ACCESSORS(UDungeonSiegeDamageAttributeSet, MinDamage)</v>
      </c>
      <c r="G15" s="43" t="str">
        <f t="shared" si="2"/>
        <v>UFUNCTION() virtual void OnRep_MinDamage(const FGameplayAttributeData&amp; OldMinDamage);</v>
      </c>
      <c r="H15" s="43" t="str">
        <f t="shared" si="3"/>
        <v>void UDungeonSiegeDamageAttributeSet::OnRep_MinDamage( const FGameplayAttributeData&amp; OldMinDamage){ GAMEPLAYATTRIBUTE_REPNOTIFY(UDungeonSiegeDamageAttributeSet, MinDamage,  OldMinDamage);}</v>
      </c>
      <c r="I15" s="43"/>
      <c r="J15" s="43"/>
      <c r="K15" s="43"/>
      <c r="L15" s="43"/>
      <c r="M15" s="43"/>
      <c r="N15" s="43"/>
      <c r="O15" s="43"/>
    </row>
    <row r="16" spans="1:15" s="23" customFormat="1" ht="22.5" x14ac:dyDescent="0.25">
      <c r="A16" s="43">
        <v>14</v>
      </c>
      <c r="B16" s="43" t="s">
        <v>3382</v>
      </c>
      <c r="C16" s="43" t="s">
        <v>3393</v>
      </c>
      <c r="D16" s="43" t="str">
        <f t="shared" si="0"/>
        <v>DungeonSiegeAttributeSet.MaxDamage</v>
      </c>
      <c r="E16" s="43" t="s">
        <v>3354</v>
      </c>
      <c r="F16" s="43" t="str">
        <f t="shared" si="1"/>
        <v>UPROPERTY(EditAnywhere, BlueprintReadWrite, Category= "Damage", ReplicatedUsing= OnRep_MaxDamage) FGameplayAttributeData MaxDamage; ATTRIBUTE_ACCESSORS(UDungeonSiegeDamageAttributeSet, MaxDamage)</v>
      </c>
      <c r="G16" s="43" t="str">
        <f t="shared" si="2"/>
        <v>UFUNCTION() virtual void OnRep_MaxDamage(const FGameplayAttributeData&amp; OldMaxDamage);</v>
      </c>
      <c r="H16" s="43" t="str">
        <f t="shared" si="3"/>
        <v>void UDungeonSiegeDamageAttributeSet::OnRep_MaxDamage( const FGameplayAttributeData&amp; OldMaxDamage){ GAMEPLAYATTRIBUTE_REPNOTIFY(UDungeonSiegeDamageAttributeSet, MaxDamage,  OldMaxDamage);}</v>
      </c>
      <c r="I16" s="43"/>
      <c r="J16" s="43"/>
      <c r="K16" s="43"/>
      <c r="L16" s="43"/>
      <c r="M16" s="43"/>
      <c r="N16" s="43"/>
      <c r="O16" s="43"/>
    </row>
    <row r="17" spans="1:15" s="23" customFormat="1" ht="22.5" x14ac:dyDescent="0.25">
      <c r="A17" s="43">
        <v>15</v>
      </c>
      <c r="B17" s="43" t="s">
        <v>3382</v>
      </c>
      <c r="C17" s="43" t="s">
        <v>6817</v>
      </c>
      <c r="D17" s="43" t="str">
        <f t="shared" si="0"/>
        <v>DungeonSiegeAttributeSet.WeaponMinDamage</v>
      </c>
      <c r="E17" s="43" t="s">
        <v>3354</v>
      </c>
      <c r="F17" s="43" t="str">
        <f t="shared" si="1"/>
        <v>UPROPERTY(EditAnywhere, BlueprintReadWrite, Category= "Damage", ReplicatedUsing= OnRep_WeaponMinDamage) FGameplayAttributeData WeaponMinDamage; ATTRIBUTE_ACCESSORS(UDungeonSiegeDamageAttributeSet, WeaponMinDamage)</v>
      </c>
      <c r="G17" s="43" t="str">
        <f t="shared" si="2"/>
        <v>UFUNCTION() virtual void OnRep_WeaponMinDamage(const FGameplayAttributeData&amp; OldWeaponMinDamage);</v>
      </c>
      <c r="H17" s="43" t="str">
        <f t="shared" si="3"/>
        <v>void UDungeonSiegeDamageAttributeSet::OnRep_WeaponMinDamage( const FGameplayAttributeData&amp; OldWeaponMinDamage){ GAMEPLAYATTRIBUTE_REPNOTIFY(UDungeonSiegeDamageAttributeSet, WeaponMinDamage,  OldWeaponMinDamage);}</v>
      </c>
      <c r="I17" s="43"/>
      <c r="J17" s="43"/>
      <c r="K17" s="43"/>
      <c r="L17" s="43"/>
      <c r="M17" s="43"/>
      <c r="N17" s="43"/>
      <c r="O17" s="43"/>
    </row>
    <row r="18" spans="1:15" s="23" customFormat="1" ht="22.5" x14ac:dyDescent="0.25">
      <c r="A18" s="43">
        <v>16</v>
      </c>
      <c r="B18" s="43" t="s">
        <v>3382</v>
      </c>
      <c r="C18" s="43" t="s">
        <v>6818</v>
      </c>
      <c r="D18" s="43" t="str">
        <f t="shared" si="0"/>
        <v>DungeonSiegeAttributeSet.WeaponMaxDamage</v>
      </c>
      <c r="E18" s="43" t="s">
        <v>3354</v>
      </c>
      <c r="F18" s="43" t="str">
        <f t="shared" si="1"/>
        <v>UPROPERTY(EditAnywhere, BlueprintReadWrite, Category= "Damage", ReplicatedUsing= OnRep_WeaponMaxDamage) FGameplayAttributeData WeaponMaxDamage; ATTRIBUTE_ACCESSORS(UDungeonSiegeDamageAttributeSet, WeaponMaxDamage)</v>
      </c>
      <c r="G18" s="43" t="str">
        <f t="shared" si="2"/>
        <v>UFUNCTION() virtual void OnRep_WeaponMaxDamage(const FGameplayAttributeData&amp; OldWeaponMaxDamage);</v>
      </c>
      <c r="H18" s="43" t="str">
        <f t="shared" si="3"/>
        <v>void UDungeonSiegeDamageAttributeSet::OnRep_WeaponMaxDamage( const FGameplayAttributeData&amp; OldWeaponMaxDamage){ GAMEPLAYATTRIBUTE_REPNOTIFY(UDungeonSiegeDamageAttributeSet, WeaponMaxDamage,  OldWeaponMaxDamage);}</v>
      </c>
      <c r="I18" s="43"/>
      <c r="J18" s="43"/>
      <c r="K18" s="43"/>
      <c r="L18" s="43"/>
      <c r="M18" s="43"/>
      <c r="N18" s="43"/>
      <c r="O18" s="43"/>
    </row>
    <row r="19" spans="1:15" ht="22.5" x14ac:dyDescent="0.25">
      <c r="A19" s="43">
        <v>17</v>
      </c>
      <c r="B19" s="43" t="s">
        <v>3382</v>
      </c>
      <c r="C19" s="43" t="s">
        <v>3075</v>
      </c>
      <c r="D19" s="43" t="str">
        <f t="shared" si="0"/>
        <v>DungeonSiegeAttributeSet.MinDamageMod</v>
      </c>
      <c r="E19" s="43" t="s">
        <v>3354</v>
      </c>
      <c r="F19" s="43" t="str">
        <f t="shared" si="1"/>
        <v>UPROPERTY(EditAnywhere, BlueprintReadWrite, Category= "Damage", ReplicatedUsing= OnRep_MinDamageMod) FGameplayAttributeData MinDamageMod; ATTRIBUTE_ACCESSORS(UDungeonSiegeDamageAttributeSet, MinDamageMod)</v>
      </c>
      <c r="G19" s="43" t="str">
        <f t="shared" si="2"/>
        <v>UFUNCTION() virtual void OnRep_MinDamageMod(const FGameplayAttributeData&amp; OldMinDamageMod);</v>
      </c>
      <c r="H19" s="43" t="str">
        <f t="shared" si="3"/>
        <v>void UDungeonSiegeDamageAttributeSet::OnRep_MinDamageMod( const FGameplayAttributeData&amp; OldMinDamageMod){ GAMEPLAYATTRIBUTE_REPNOTIFY(UDungeonSiegeDamageAttributeSet, MinDamageMod,  OldMinDamageMod);}</v>
      </c>
      <c r="I19" s="43"/>
      <c r="J19" s="43"/>
      <c r="K19" s="43"/>
      <c r="L19" s="43"/>
      <c r="M19" s="43"/>
      <c r="N19" s="43"/>
      <c r="O19" s="43"/>
    </row>
    <row r="20" spans="1:15" ht="22.5" x14ac:dyDescent="0.25">
      <c r="A20" s="43">
        <v>18</v>
      </c>
      <c r="B20" s="43" t="s">
        <v>3382</v>
      </c>
      <c r="C20" s="43" t="s">
        <v>3076</v>
      </c>
      <c r="D20" s="43" t="str">
        <f t="shared" si="0"/>
        <v>DungeonSiegeAttributeSet.MaxDamageMod</v>
      </c>
      <c r="E20" s="43" t="s">
        <v>3354</v>
      </c>
      <c r="F20" s="43" t="str">
        <f t="shared" si="1"/>
        <v>UPROPERTY(EditAnywhere, BlueprintReadWrite, Category= "Damage", ReplicatedUsing= OnRep_MaxDamageMod) FGameplayAttributeData MaxDamageMod; ATTRIBUTE_ACCESSORS(UDungeonSiegeDamageAttributeSet, MaxDamageMod)</v>
      </c>
      <c r="G20" s="43" t="str">
        <f t="shared" si="2"/>
        <v>UFUNCTION() virtual void OnRep_MaxDamageMod(const FGameplayAttributeData&amp; OldMaxDamageMod);</v>
      </c>
      <c r="H20" s="43" t="str">
        <f t="shared" si="3"/>
        <v>void UDungeonSiegeDamageAttributeSet::OnRep_MaxDamageMod( const FGameplayAttributeData&amp; OldMaxDamageMod){ GAMEPLAYATTRIBUTE_REPNOTIFY(UDungeonSiegeDamageAttributeSet, MaxDamageMod,  OldMaxDamageMod);}</v>
      </c>
      <c r="I20" s="43"/>
      <c r="J20" s="43"/>
      <c r="K20" s="43"/>
      <c r="L20" s="43"/>
      <c r="M20" s="43"/>
      <c r="N20" s="43"/>
      <c r="O20" s="43"/>
    </row>
    <row r="21" spans="1:15" ht="22.5" x14ac:dyDescent="0.25">
      <c r="A21" s="43">
        <v>19</v>
      </c>
      <c r="B21" s="43" t="s">
        <v>3382</v>
      </c>
      <c r="C21" s="43" t="s">
        <v>3077</v>
      </c>
      <c r="D21" s="43" t="str">
        <f t="shared" si="0"/>
        <v>DungeonSiegeAttributeSet.PercentDamageReflectedToEnemy</v>
      </c>
      <c r="E21" s="43" t="s">
        <v>3354</v>
      </c>
      <c r="F21" s="43" t="str">
        <f t="shared" si="1"/>
        <v>UPROPERTY(EditAnywhere, BlueprintReadWrite, Category= "Damage", ReplicatedUsing= OnRep_PercentDamageReflectedToEnemy) FGameplayAttributeData PercentDamageReflectedToEnemy; ATTRIBUTE_ACCESSORS(UDungeonSiegeDamageAttributeSet, PercentDamageReflectedToEnemy)</v>
      </c>
      <c r="G21" s="43" t="str">
        <f t="shared" si="2"/>
        <v>UFUNCTION() virtual void OnRep_PercentDamageReflectedToEnemy(const FGameplayAttributeData&amp; OldPercentDamageReflectedToEnemy);</v>
      </c>
      <c r="H21" s="43" t="str">
        <f t="shared" si="3"/>
        <v>void UDungeonSiegeDamageAttributeSet::OnRep_PercentDamageReflectedToEnemy( const FGameplayAttributeData&amp; OldPercentDamageReflectedToEnemy){ GAMEPLAYATTRIBUTE_REPNOTIFY(UDungeonSiegeDamageAttributeSet, PercentDamageReflectedToEnemy,  OldPercentDamageReflectedToEnemy);}</v>
      </c>
      <c r="I21" s="43"/>
      <c r="J21" s="43"/>
      <c r="K21" s="43"/>
      <c r="L21" s="43"/>
      <c r="M21" s="43"/>
      <c r="N21" s="43"/>
      <c r="O21" s="43"/>
    </row>
    <row r="22" spans="1:15" ht="22.5" x14ac:dyDescent="0.25">
      <c r="A22" s="43">
        <v>20</v>
      </c>
      <c r="B22" s="43" t="s">
        <v>3382</v>
      </c>
      <c r="C22" s="43" t="s">
        <v>3078</v>
      </c>
      <c r="D22" s="43" t="str">
        <f t="shared" si="0"/>
        <v>DungeonSiegeAttributeSet.ChanceToHitEnemy</v>
      </c>
      <c r="E22" s="43" t="s">
        <v>3354</v>
      </c>
      <c r="F22" s="43" t="str">
        <f t="shared" si="1"/>
        <v>UPROPERTY(EditAnywhere, BlueprintReadWrite, Category= "Damage", ReplicatedUsing= OnRep_ChanceToHitEnemy) FGameplayAttributeData ChanceToHitEnemy; ATTRIBUTE_ACCESSORS(UDungeonSiegeDamageAttributeSet, ChanceToHitEnemy)</v>
      </c>
      <c r="G22" s="43" t="str">
        <f t="shared" si="2"/>
        <v>UFUNCTION() virtual void OnRep_ChanceToHitEnemy(const FGameplayAttributeData&amp; OldChanceToHitEnemy);</v>
      </c>
      <c r="H22" s="43" t="str">
        <f t="shared" si="3"/>
        <v>void UDungeonSiegeDamageAttributeSet::OnRep_ChanceToHitEnemy( const FGameplayAttributeData&amp; OldChanceToHitEnemy){ GAMEPLAYATTRIBUTE_REPNOTIFY(UDungeonSiegeDamageAttributeSet, ChanceToHitEnemy,  OldChanceToHitEnemy);}</v>
      </c>
      <c r="I22" s="43"/>
      <c r="J22" s="43"/>
      <c r="K22" s="43"/>
      <c r="L22" s="43"/>
      <c r="M22" s="43"/>
      <c r="N22" s="43"/>
      <c r="O22" s="43"/>
    </row>
    <row r="23" spans="1:15" ht="22.5" x14ac:dyDescent="0.25">
      <c r="A23" s="43">
        <v>21</v>
      </c>
      <c r="B23" s="43" t="s">
        <v>3382</v>
      </c>
      <c r="C23" s="43" t="s">
        <v>3079</v>
      </c>
      <c r="D23" s="43" t="str">
        <f t="shared" si="0"/>
        <v>DungeonSiegeAttributeSet.ChanceToInflictPiercingHit</v>
      </c>
      <c r="E23" s="43" t="s">
        <v>3354</v>
      </c>
      <c r="F23" s="43" t="str">
        <f t="shared" si="1"/>
        <v>UPROPERTY(EditAnywhere, BlueprintReadWrite, Category= "Damage", ReplicatedUsing= OnRep_ChanceToInflictPiercingHit) FGameplayAttributeData ChanceToInflictPiercingHit; ATTRIBUTE_ACCESSORS(UDungeonSiegeDamageAttributeSet, ChanceToInflictPiercingHit)</v>
      </c>
      <c r="G23" s="43" t="str">
        <f t="shared" si="2"/>
        <v>UFUNCTION() virtual void OnRep_ChanceToInflictPiercingHit(const FGameplayAttributeData&amp; OldChanceToInflictPiercingHit);</v>
      </c>
      <c r="H23" s="43" t="str">
        <f t="shared" si="3"/>
        <v>void UDungeonSiegeDamageAttributeSet::OnRep_ChanceToInflictPiercingHit( const FGameplayAttributeData&amp; OldChanceToInflictPiercingHit){ GAMEPLAYATTRIBUTE_REPNOTIFY(UDungeonSiegeDamageAttributeSet, ChanceToInflictPiercingHit,  OldChanceToInflictPiercingHit);}</v>
      </c>
      <c r="I23" s="43"/>
      <c r="J23" s="43"/>
      <c r="K23" s="43"/>
      <c r="L23" s="43"/>
      <c r="M23" s="43"/>
      <c r="N23" s="43"/>
      <c r="O23" s="43"/>
    </row>
    <row r="24" spans="1:15" ht="22.5" x14ac:dyDescent="0.25">
      <c r="A24" s="43">
        <v>22</v>
      </c>
      <c r="B24" s="43" t="s">
        <v>3382</v>
      </c>
      <c r="C24" s="43" t="s">
        <v>3247</v>
      </c>
      <c r="D24" s="43" t="str">
        <f t="shared" si="0"/>
        <v>DungeonSiegeAttributeSet.PercentPiercingDamageReduction</v>
      </c>
      <c r="E24" s="43" t="s">
        <v>3354</v>
      </c>
      <c r="F24" s="43" t="str">
        <f t="shared" si="1"/>
        <v>UPROPERTY(EditAnywhere, BlueprintReadWrite, Category= "Damage", ReplicatedUsing= OnRep_PercentPiercingDamageReduction) FGameplayAttributeData PercentPiercingDamageReduction; ATTRIBUTE_ACCESSORS(UDungeonSiegeDamageAttributeSet, PercentPiercingDamageReduction)</v>
      </c>
      <c r="G24" s="43" t="str">
        <f t="shared" si="2"/>
        <v>UFUNCTION() virtual void OnRep_PercentPiercingDamageReduction(const FGameplayAttributeData&amp; OldPercentPiercingDamageReduction);</v>
      </c>
      <c r="H24" s="43" t="str">
        <f t="shared" si="3"/>
        <v>void UDungeonSiegeDamageAttributeSet::OnRep_PercentPiercingDamageReduction( const FGameplayAttributeData&amp; OldPercentPiercingDamageReduction){ GAMEPLAYATTRIBUTE_REPNOTIFY(UDungeonSiegeDamageAttributeSet, PercentPiercingDamageReduction,  OldPercentPiercingDamageReduction);}</v>
      </c>
      <c r="I24" s="43"/>
      <c r="J24" s="43"/>
      <c r="K24" s="43"/>
      <c r="L24" s="43"/>
      <c r="M24" s="43"/>
      <c r="N24" s="43"/>
      <c r="O24" s="43"/>
    </row>
    <row r="25" spans="1:15" ht="22.5" x14ac:dyDescent="0.25">
      <c r="A25" s="43">
        <v>23</v>
      </c>
      <c r="B25" s="43" t="s">
        <v>3382</v>
      </c>
      <c r="C25" s="43" t="s">
        <v>3080</v>
      </c>
      <c r="D25" s="43" t="str">
        <f t="shared" si="0"/>
        <v>DungeonSiegeAttributeSet.MinPiercingDamageMod</v>
      </c>
      <c r="E25" s="43" t="s">
        <v>3354</v>
      </c>
      <c r="F25" s="43" t="str">
        <f t="shared" si="1"/>
        <v>UPROPERTY(EditAnywhere, BlueprintReadWrite, Category= "Damage", ReplicatedUsing= OnRep_MinPiercingDamageMod) FGameplayAttributeData MinPiercingDamageMod; ATTRIBUTE_ACCESSORS(UDungeonSiegeDamageAttributeSet, MinPiercingDamageMod)</v>
      </c>
      <c r="G25" s="43" t="str">
        <f t="shared" si="2"/>
        <v>UFUNCTION() virtual void OnRep_MinPiercingDamageMod(const FGameplayAttributeData&amp; OldMinPiercingDamageMod);</v>
      </c>
      <c r="H25" s="43" t="str">
        <f t="shared" si="3"/>
        <v>void UDungeonSiegeDamageAttributeSet::OnRep_MinPiercingDamageMod( const FGameplayAttributeData&amp; OldMinPiercingDamageMod){ GAMEPLAYATTRIBUTE_REPNOTIFY(UDungeonSiegeDamageAttributeSet, MinPiercingDamageMod,  OldMinPiercingDamageMod);}</v>
      </c>
      <c r="I25" s="43"/>
      <c r="J25" s="43"/>
      <c r="K25" s="43"/>
      <c r="L25" s="43"/>
      <c r="M25" s="43"/>
      <c r="N25" s="43"/>
      <c r="O25" s="43"/>
    </row>
    <row r="26" spans="1:15" ht="22.5" x14ac:dyDescent="0.25">
      <c r="A26" s="43">
        <v>24</v>
      </c>
      <c r="B26" s="43" t="s">
        <v>3382</v>
      </c>
      <c r="C26" s="43" t="s">
        <v>3081</v>
      </c>
      <c r="D26" s="43" t="str">
        <f t="shared" si="0"/>
        <v>DungeonSiegeAttributeSet.MaxPiercingDamageMod</v>
      </c>
      <c r="E26" s="43" t="s">
        <v>3354</v>
      </c>
      <c r="F26" s="43" t="str">
        <f t="shared" si="1"/>
        <v>UPROPERTY(EditAnywhere, BlueprintReadWrite, Category= "Damage", ReplicatedUsing= OnRep_MaxPiercingDamageMod) FGameplayAttributeData MaxPiercingDamageMod; ATTRIBUTE_ACCESSORS(UDungeonSiegeDamageAttributeSet, MaxPiercingDamageMod)</v>
      </c>
      <c r="G26" s="43" t="str">
        <f t="shared" si="2"/>
        <v>UFUNCTION() virtual void OnRep_MaxPiercingDamageMod(const FGameplayAttributeData&amp; OldMaxPiercingDamageMod);</v>
      </c>
      <c r="H26" s="43" t="str">
        <f t="shared" si="3"/>
        <v>void UDungeonSiegeDamageAttributeSet::OnRep_MaxPiercingDamageMod( const FGameplayAttributeData&amp; OldMaxPiercingDamageMod){ GAMEPLAYATTRIBUTE_REPNOTIFY(UDungeonSiegeDamageAttributeSet, MaxPiercingDamageMod,  OldMaxPiercingDamageMod);}</v>
      </c>
      <c r="I26" s="43"/>
      <c r="J26" s="43"/>
      <c r="K26" s="43"/>
      <c r="L26" s="43"/>
      <c r="M26" s="43"/>
      <c r="N26" s="43"/>
      <c r="O26" s="43"/>
    </row>
    <row r="27" spans="1:15" ht="22.5" x14ac:dyDescent="0.25">
      <c r="A27" s="43">
        <v>25</v>
      </c>
      <c r="B27" s="43" t="s">
        <v>3382</v>
      </c>
      <c r="C27" s="43" t="s">
        <v>3082</v>
      </c>
      <c r="D27" s="43" t="str">
        <f t="shared" si="0"/>
        <v>DungeonSiegeAttributeSet.PercentRangedDamageReduction</v>
      </c>
      <c r="E27" s="43" t="s">
        <v>3354</v>
      </c>
      <c r="F27" s="43" t="str">
        <f t="shared" si="1"/>
        <v>UPROPERTY(EditAnywhere, BlueprintReadWrite, Category= "Damage", ReplicatedUsing= OnRep_PercentRangedDamageReduction) FGameplayAttributeData PercentRangedDamageReduction; ATTRIBUTE_ACCESSORS(UDungeonSiegeDamageAttributeSet, PercentRangedDamageReduction)</v>
      </c>
      <c r="G27" s="43" t="str">
        <f t="shared" si="2"/>
        <v>UFUNCTION() virtual void OnRep_PercentRangedDamageReduction(const FGameplayAttributeData&amp; OldPercentRangedDamageReduction);</v>
      </c>
      <c r="H27" s="43" t="str">
        <f t="shared" si="3"/>
        <v>void UDungeonSiegeDamageAttributeSet::OnRep_PercentRangedDamageReduction( const FGameplayAttributeData&amp; OldPercentRangedDamageReduction){ GAMEPLAYATTRIBUTE_REPNOTIFY(UDungeonSiegeDamageAttributeSet, PercentRangedDamageReduction,  OldPercentRangedDamageReduction);}</v>
      </c>
      <c r="I27" s="43"/>
      <c r="J27" s="43"/>
      <c r="K27" s="43"/>
      <c r="L27" s="43"/>
      <c r="M27" s="43"/>
      <c r="N27" s="43"/>
      <c r="O27" s="43"/>
    </row>
    <row r="28" spans="1:15" ht="22.5" x14ac:dyDescent="0.25">
      <c r="A28" s="43">
        <v>26</v>
      </c>
      <c r="B28" s="43" t="s">
        <v>3382</v>
      </c>
      <c r="C28" s="43" t="s">
        <v>3083</v>
      </c>
      <c r="D28" s="43" t="str">
        <f t="shared" si="0"/>
        <v>DungeonSiegeAttributeSet.ChanceToBlockRangedAttack</v>
      </c>
      <c r="E28" s="43" t="s">
        <v>3354</v>
      </c>
      <c r="F28" s="43" t="str">
        <f t="shared" si="1"/>
        <v>UPROPERTY(EditAnywhere, BlueprintReadWrite, Category= "Damage", ReplicatedUsing= OnRep_ChanceToBlockRangedAttack) FGameplayAttributeData ChanceToBlockRangedAttack; ATTRIBUTE_ACCESSORS(UDungeonSiegeDamageAttributeSet, ChanceToBlockRangedAttack)</v>
      </c>
      <c r="G28" s="43" t="str">
        <f t="shared" si="2"/>
        <v>UFUNCTION() virtual void OnRep_ChanceToBlockRangedAttack(const FGameplayAttributeData&amp; OldChanceToBlockRangedAttack);</v>
      </c>
      <c r="H28" s="43" t="str">
        <f t="shared" si="3"/>
        <v>void UDungeonSiegeDamageAttributeSet::OnRep_ChanceToBlockRangedAttack( const FGameplayAttributeData&amp; OldChanceToBlockRangedAttack){ GAMEPLAYATTRIBUTE_REPNOTIFY(UDungeonSiegeDamageAttributeSet, ChanceToBlockRangedAttack,  OldChanceToBlockRangedAttack);}</v>
      </c>
      <c r="I28" s="43"/>
      <c r="J28" s="43"/>
      <c r="K28" s="43"/>
      <c r="L28" s="43"/>
      <c r="M28" s="43"/>
      <c r="N28" s="43"/>
      <c r="O28" s="43"/>
    </row>
    <row r="29" spans="1:15" ht="22.5" x14ac:dyDescent="0.25">
      <c r="A29" s="43">
        <v>27</v>
      </c>
      <c r="B29" s="43" t="s">
        <v>3382</v>
      </c>
      <c r="C29" s="43" t="s">
        <v>3084</v>
      </c>
      <c r="D29" s="43" t="str">
        <f t="shared" si="0"/>
        <v>DungeonSiegeAttributeSet.RangedHitChance</v>
      </c>
      <c r="E29" s="43" t="s">
        <v>3354</v>
      </c>
      <c r="F29" s="43" t="str">
        <f t="shared" si="1"/>
        <v>UPROPERTY(EditAnywhere, BlueprintReadWrite, Category= "Damage", ReplicatedUsing= OnRep_RangedHitChance) FGameplayAttributeData RangedHitChance; ATTRIBUTE_ACCESSORS(UDungeonSiegeDamageAttributeSet, RangedHitChance)</v>
      </c>
      <c r="G29" s="43" t="str">
        <f t="shared" si="2"/>
        <v>UFUNCTION() virtual void OnRep_RangedHitChance(const FGameplayAttributeData&amp; OldRangedHitChance);</v>
      </c>
      <c r="H29" s="43" t="str">
        <f t="shared" si="3"/>
        <v>void UDungeonSiegeDamageAttributeSet::OnRep_RangedHitChance( const FGameplayAttributeData&amp; OldRangedHitChance){ GAMEPLAYATTRIBUTE_REPNOTIFY(UDungeonSiegeDamageAttributeSet, RangedHitChance,  OldRangedHitChance);}</v>
      </c>
      <c r="I29" s="43"/>
      <c r="J29" s="43"/>
      <c r="K29" s="43"/>
      <c r="L29" s="43"/>
      <c r="M29" s="43"/>
      <c r="N29" s="43"/>
      <c r="O29" s="43"/>
    </row>
    <row r="30" spans="1:15" ht="22.5" x14ac:dyDescent="0.25">
      <c r="A30" s="43">
        <v>28</v>
      </c>
      <c r="B30" s="43" t="s">
        <v>3382</v>
      </c>
      <c r="C30" s="43" t="s">
        <v>3085</v>
      </c>
      <c r="D30" s="43" t="str">
        <f t="shared" si="0"/>
        <v>DungeonSiegeAttributeSet.ChanceToDodgeRangeAttack</v>
      </c>
      <c r="E30" s="43" t="s">
        <v>3354</v>
      </c>
      <c r="F30" s="43" t="str">
        <f t="shared" si="1"/>
        <v>UPROPERTY(EditAnywhere, BlueprintReadWrite, Category= "Damage", ReplicatedUsing= OnRep_ChanceToDodgeRangeAttack) FGameplayAttributeData ChanceToDodgeRangeAttack; ATTRIBUTE_ACCESSORS(UDungeonSiegeDamageAttributeSet, ChanceToDodgeRangeAttack)</v>
      </c>
      <c r="G30" s="43" t="str">
        <f t="shared" si="2"/>
        <v>UFUNCTION() virtual void OnRep_ChanceToDodgeRangeAttack(const FGameplayAttributeData&amp; OldChanceToDodgeRangeAttack);</v>
      </c>
      <c r="H30" s="43" t="str">
        <f t="shared" si="3"/>
        <v>void UDungeonSiegeDamageAttributeSet::OnRep_ChanceToDodgeRangeAttack( const FGameplayAttributeData&amp; OldChanceToDodgeRangeAttack){ GAMEPLAYATTRIBUTE_REPNOTIFY(UDungeonSiegeDamageAttributeSet, ChanceToDodgeRangeAttack,  OldChanceToDodgeRangeAttack);}</v>
      </c>
      <c r="I30" s="43"/>
      <c r="J30" s="43"/>
      <c r="K30" s="43"/>
      <c r="L30" s="43"/>
      <c r="M30" s="43"/>
      <c r="N30" s="43"/>
      <c r="O30" s="43"/>
    </row>
    <row r="31" spans="1:15" ht="22.5" x14ac:dyDescent="0.25">
      <c r="A31" s="43">
        <v>29</v>
      </c>
      <c r="B31" s="43" t="s">
        <v>3382</v>
      </c>
      <c r="C31" s="43" t="s">
        <v>3086</v>
      </c>
      <c r="D31" s="43" t="str">
        <f t="shared" si="0"/>
        <v>DungeonSiegeAttributeSet.PercentMeleeDamageReduction</v>
      </c>
      <c r="E31" s="43" t="s">
        <v>3354</v>
      </c>
      <c r="F31" s="43" t="str">
        <f t="shared" si="1"/>
        <v>UPROPERTY(EditAnywhere, BlueprintReadWrite, Category= "Damage", ReplicatedUsing= OnRep_PercentMeleeDamageReduction) FGameplayAttributeData PercentMeleeDamageReduction; ATTRIBUTE_ACCESSORS(UDungeonSiegeDamageAttributeSet, PercentMeleeDamageReduction)</v>
      </c>
      <c r="G31" s="43" t="str">
        <f t="shared" si="2"/>
        <v>UFUNCTION() virtual void OnRep_PercentMeleeDamageReduction(const FGameplayAttributeData&amp; OldPercentMeleeDamageReduction);</v>
      </c>
      <c r="H31" s="43" t="str">
        <f t="shared" si="3"/>
        <v>void UDungeonSiegeDamageAttributeSet::OnRep_PercentMeleeDamageReduction( const FGameplayAttributeData&amp; OldPercentMeleeDamageReduction){ GAMEPLAYATTRIBUTE_REPNOTIFY(UDungeonSiegeDamageAttributeSet, PercentMeleeDamageReduction,  OldPercentMeleeDamageReduction);}</v>
      </c>
      <c r="I31" s="43"/>
      <c r="J31" s="43"/>
      <c r="K31" s="43"/>
      <c r="L31" s="43"/>
      <c r="M31" s="43"/>
      <c r="N31" s="43"/>
      <c r="O31" s="43"/>
    </row>
    <row r="32" spans="1:15" ht="22.5" x14ac:dyDescent="0.25">
      <c r="A32" s="43">
        <v>30</v>
      </c>
      <c r="B32" s="43" t="s">
        <v>3382</v>
      </c>
      <c r="C32" s="43" t="s">
        <v>3087</v>
      </c>
      <c r="D32" s="43" t="str">
        <f t="shared" si="0"/>
        <v>DungeonSiegeAttributeSet.ChanceToBlockMeleeAttack</v>
      </c>
      <c r="E32" s="43" t="s">
        <v>3354</v>
      </c>
      <c r="F32" s="43" t="str">
        <f t="shared" si="1"/>
        <v>UPROPERTY(EditAnywhere, BlueprintReadWrite, Category= "Damage", ReplicatedUsing= OnRep_ChanceToBlockMeleeAttack) FGameplayAttributeData ChanceToBlockMeleeAttack; ATTRIBUTE_ACCESSORS(UDungeonSiegeDamageAttributeSet, ChanceToBlockMeleeAttack)</v>
      </c>
      <c r="G32" s="43" t="str">
        <f t="shared" si="2"/>
        <v>UFUNCTION() virtual void OnRep_ChanceToBlockMeleeAttack(const FGameplayAttributeData&amp; OldChanceToBlockMeleeAttack);</v>
      </c>
      <c r="H32" s="43" t="str">
        <f t="shared" si="3"/>
        <v>void UDungeonSiegeDamageAttributeSet::OnRep_ChanceToBlockMeleeAttack( const FGameplayAttributeData&amp; OldChanceToBlockMeleeAttack){ GAMEPLAYATTRIBUTE_REPNOTIFY(UDungeonSiegeDamageAttributeSet, ChanceToBlockMeleeAttack,  OldChanceToBlockMeleeAttack);}</v>
      </c>
      <c r="I32" s="43"/>
      <c r="J32" s="43"/>
      <c r="K32" s="43"/>
      <c r="L32" s="43"/>
      <c r="M32" s="43"/>
      <c r="N32" s="43"/>
      <c r="O32" s="43"/>
    </row>
    <row r="33" spans="1:15" ht="22.5" x14ac:dyDescent="0.25">
      <c r="A33" s="43">
        <v>31</v>
      </c>
      <c r="B33" s="43" t="s">
        <v>3382</v>
      </c>
      <c r="C33" s="43" t="s">
        <v>3088</v>
      </c>
      <c r="D33" s="43" t="str">
        <f t="shared" si="0"/>
        <v>DungeonSiegeAttributeSet.MeleeHitChance</v>
      </c>
      <c r="E33" s="43" t="s">
        <v>3354</v>
      </c>
      <c r="F33" s="43" t="str">
        <f t="shared" si="1"/>
        <v>UPROPERTY(EditAnywhere, BlueprintReadWrite, Category= "Damage", ReplicatedUsing= OnRep_MeleeHitChance) FGameplayAttributeData MeleeHitChance; ATTRIBUTE_ACCESSORS(UDungeonSiegeDamageAttributeSet, MeleeHitChance)</v>
      </c>
      <c r="G33" s="43" t="str">
        <f t="shared" si="2"/>
        <v>UFUNCTION() virtual void OnRep_MeleeHitChance(const FGameplayAttributeData&amp; OldMeleeHitChance);</v>
      </c>
      <c r="H33" s="43" t="str">
        <f t="shared" si="3"/>
        <v>void UDungeonSiegeDamageAttributeSet::OnRep_MeleeHitChance( const FGameplayAttributeData&amp; OldMeleeHitChance){ GAMEPLAYATTRIBUTE_REPNOTIFY(UDungeonSiegeDamageAttributeSet, MeleeHitChance,  OldMeleeHitChance);}</v>
      </c>
      <c r="I33" s="43"/>
      <c r="J33" s="43"/>
      <c r="K33" s="43"/>
      <c r="L33" s="43"/>
      <c r="M33" s="43"/>
      <c r="N33" s="43"/>
      <c r="O33" s="43"/>
    </row>
    <row r="34" spans="1:15" ht="22.5" x14ac:dyDescent="0.25">
      <c r="A34" s="43">
        <v>32</v>
      </c>
      <c r="B34" s="43" t="s">
        <v>3382</v>
      </c>
      <c r="C34" s="43" t="s">
        <v>3089</v>
      </c>
      <c r="D34" s="43" t="str">
        <f t="shared" si="0"/>
        <v>DungeonSiegeAttributeSet.ChanceToDodgeMeleeAttack</v>
      </c>
      <c r="E34" s="43" t="s">
        <v>3354</v>
      </c>
      <c r="F34" s="43" t="str">
        <f t="shared" si="1"/>
        <v>UPROPERTY(EditAnywhere, BlueprintReadWrite, Category= "Damage", ReplicatedUsing= OnRep_ChanceToDodgeMeleeAttack) FGameplayAttributeData ChanceToDodgeMeleeAttack; ATTRIBUTE_ACCESSORS(UDungeonSiegeDamageAttributeSet, ChanceToDodgeMeleeAttack)</v>
      </c>
      <c r="G34" s="43" t="str">
        <f t="shared" si="2"/>
        <v>UFUNCTION() virtual void OnRep_ChanceToDodgeMeleeAttack(const FGameplayAttributeData&amp; OldChanceToDodgeMeleeAttack);</v>
      </c>
      <c r="H34" s="43" t="str">
        <f t="shared" si="3"/>
        <v>void UDungeonSiegeDamageAttributeSet::OnRep_ChanceToDodgeMeleeAttack( const FGameplayAttributeData&amp; OldChanceToDodgeMeleeAttack){ GAMEPLAYATTRIBUTE_REPNOTIFY(UDungeonSiegeDamageAttributeSet, ChanceToDodgeMeleeAttack,  OldChanceToDodgeMeleeAttack);}</v>
      </c>
      <c r="I34" s="43"/>
      <c r="J34" s="43"/>
      <c r="K34" s="43"/>
      <c r="L34" s="43"/>
      <c r="M34" s="43"/>
      <c r="N34" s="43"/>
      <c r="O34" s="43"/>
    </row>
    <row r="35" spans="1:15" ht="22.5" x14ac:dyDescent="0.25">
      <c r="A35" s="43">
        <v>33</v>
      </c>
      <c r="B35" s="43" t="s">
        <v>3382</v>
      </c>
      <c r="C35" s="43" t="s">
        <v>3090</v>
      </c>
      <c r="D35" s="43" t="str">
        <f t="shared" si="0"/>
        <v>DungeonSiegeAttributeSet.MeleeMinDamageMod</v>
      </c>
      <c r="E35" s="43" t="s">
        <v>3354</v>
      </c>
      <c r="F35" s="43" t="str">
        <f t="shared" si="1"/>
        <v>UPROPERTY(EditAnywhere, BlueprintReadWrite, Category= "Damage", ReplicatedUsing= OnRep_MeleeMinDamageMod) FGameplayAttributeData MeleeMinDamageMod; ATTRIBUTE_ACCESSORS(UDungeonSiegeDamageAttributeSet, MeleeMinDamageMod)</v>
      </c>
      <c r="G35" s="43" t="str">
        <f t="shared" si="2"/>
        <v>UFUNCTION() virtual void OnRep_MeleeMinDamageMod(const FGameplayAttributeData&amp; OldMeleeMinDamageMod);</v>
      </c>
      <c r="H35" s="43" t="str">
        <f t="shared" si="3"/>
        <v>void UDungeonSiegeDamageAttributeSet::OnRep_MeleeMinDamageMod( const FGameplayAttributeData&amp; OldMeleeMinDamageMod){ GAMEPLAYATTRIBUTE_REPNOTIFY(UDungeonSiegeDamageAttributeSet, MeleeMinDamageMod,  OldMeleeMinDamageMod);}</v>
      </c>
      <c r="I35" s="43"/>
      <c r="J35" s="43"/>
      <c r="K35" s="43"/>
      <c r="L35" s="43"/>
      <c r="M35" s="43"/>
      <c r="N35" s="43"/>
      <c r="O35" s="43"/>
    </row>
    <row r="36" spans="1:15" ht="22.5" x14ac:dyDescent="0.25">
      <c r="A36" s="43">
        <v>34</v>
      </c>
      <c r="B36" s="43" t="s">
        <v>3382</v>
      </c>
      <c r="C36" s="43" t="s">
        <v>3091</v>
      </c>
      <c r="D36" s="43" t="str">
        <f t="shared" si="0"/>
        <v>DungeonSiegeAttributeSet.MeleeMaxDamageMod</v>
      </c>
      <c r="E36" s="43" t="s">
        <v>3354</v>
      </c>
      <c r="F36" s="43" t="str">
        <f t="shared" si="1"/>
        <v>UPROPERTY(EditAnywhere, BlueprintReadWrite, Category= "Damage", ReplicatedUsing= OnRep_MeleeMaxDamageMod) FGameplayAttributeData MeleeMaxDamageMod; ATTRIBUTE_ACCESSORS(UDungeonSiegeDamageAttributeSet, MeleeMaxDamageMod)</v>
      </c>
      <c r="G36" s="43" t="str">
        <f t="shared" si="2"/>
        <v>UFUNCTION() virtual void OnRep_MeleeMaxDamageMod(const FGameplayAttributeData&amp; OldMeleeMaxDamageMod);</v>
      </c>
      <c r="H36" s="43" t="str">
        <f t="shared" si="3"/>
        <v>void UDungeonSiegeDamageAttributeSet::OnRep_MeleeMaxDamageMod( const FGameplayAttributeData&amp; OldMeleeMaxDamageMod){ GAMEPLAYATTRIBUTE_REPNOTIFY(UDungeonSiegeDamageAttributeSet, MeleeMaxDamageMod,  OldMeleeMaxDamageMod);}</v>
      </c>
      <c r="I36" s="43"/>
      <c r="J36" s="43"/>
      <c r="K36" s="43"/>
      <c r="L36" s="43"/>
      <c r="M36" s="43"/>
      <c r="N36" s="43"/>
      <c r="O36" s="43"/>
    </row>
    <row r="37" spans="1:15" ht="22.5" x14ac:dyDescent="0.25">
      <c r="A37" s="43">
        <v>35</v>
      </c>
      <c r="B37" s="43" t="s">
        <v>3383</v>
      </c>
      <c r="C37" s="43" t="s">
        <v>3092</v>
      </c>
      <c r="D37" s="43" t="str">
        <f t="shared" si="0"/>
        <v>DungeonSiegeAttributeSet.NatureMagicCostReduction</v>
      </c>
      <c r="E37" s="43" t="s">
        <v>681</v>
      </c>
      <c r="F37" s="43" t="str">
        <f t="shared" si="1"/>
        <v>UPROPERTY(EditAnywhere, BlueprintReadWrite, Category= "Magic", ReplicatedUsing= OnRep_NatureMagicCostReduction) FGameplayAttributeData NatureMagicCostReduction; ATTRIBUTE_ACCESSORS(UDungeonSiegeMagicAttributeSet, NatureMagicCostReduction)</v>
      </c>
      <c r="G37" s="43" t="str">
        <f t="shared" si="2"/>
        <v>UFUNCTION() virtual void OnRep_NatureMagicCostReduction(const FGameplayAttributeData&amp; OldNatureMagicCostReduction);</v>
      </c>
      <c r="H37" s="43" t="str">
        <f t="shared" si="3"/>
        <v>void UDungeonSiegeMagicAttributeSet::OnRep_NatureMagicCostReduction( const FGameplayAttributeData&amp; OldNatureMagicCostReduction){ GAMEPLAYATTRIBUTE_REPNOTIFY(UDungeonSiegeMagicAttributeSet, NatureMagicCostReduction,  OldNatureMagicCostReduction);}</v>
      </c>
      <c r="I37" s="43"/>
      <c r="J37" s="43"/>
      <c r="K37" s="43"/>
      <c r="L37" s="43"/>
      <c r="M37" s="43"/>
      <c r="N37" s="43"/>
      <c r="O37" s="43"/>
    </row>
    <row r="38" spans="1:15" ht="22.5" x14ac:dyDescent="0.25">
      <c r="A38" s="43">
        <v>36</v>
      </c>
      <c r="B38" s="43" t="s">
        <v>3383</v>
      </c>
      <c r="C38" s="43" t="s">
        <v>3093</v>
      </c>
      <c r="D38" s="43" t="str">
        <f t="shared" si="0"/>
        <v>DungeonSiegeAttributeSet.NatureMagicMinDamageMod</v>
      </c>
      <c r="E38" s="43" t="s">
        <v>681</v>
      </c>
      <c r="F38" s="43" t="str">
        <f t="shared" si="1"/>
        <v>UPROPERTY(EditAnywhere, BlueprintReadWrite, Category= "Magic", ReplicatedUsing= OnRep_NatureMagicMinDamageMod) FGameplayAttributeData NatureMagicMinDamageMod; ATTRIBUTE_ACCESSORS(UDungeonSiegeMagicAttributeSet, NatureMagicMinDamageMod)</v>
      </c>
      <c r="G38" s="43" t="str">
        <f t="shared" si="2"/>
        <v>UFUNCTION() virtual void OnRep_NatureMagicMinDamageMod(const FGameplayAttributeData&amp; OldNatureMagicMinDamageMod);</v>
      </c>
      <c r="H38" s="43" t="str">
        <f t="shared" si="3"/>
        <v>void UDungeonSiegeMagicAttributeSet::OnRep_NatureMagicMinDamageMod( const FGameplayAttributeData&amp; OldNatureMagicMinDamageMod){ GAMEPLAYATTRIBUTE_REPNOTIFY(UDungeonSiegeMagicAttributeSet, NatureMagicMinDamageMod,  OldNatureMagicMinDamageMod);}</v>
      </c>
      <c r="I38" s="43"/>
      <c r="J38" s="43"/>
      <c r="K38" s="43"/>
      <c r="L38" s="43"/>
      <c r="M38" s="43"/>
      <c r="N38" s="43"/>
      <c r="O38" s="43"/>
    </row>
    <row r="39" spans="1:15" ht="22.5" x14ac:dyDescent="0.25">
      <c r="A39" s="43">
        <v>37</v>
      </c>
      <c r="B39" s="43" t="s">
        <v>3383</v>
      </c>
      <c r="C39" s="43" t="s">
        <v>3094</v>
      </c>
      <c r="D39" s="43" t="str">
        <f t="shared" si="0"/>
        <v>DungeonSiegeAttributeSet.NatureMagicMaxDamageMod</v>
      </c>
      <c r="E39" s="43" t="s">
        <v>681</v>
      </c>
      <c r="F39" s="43" t="str">
        <f t="shared" si="1"/>
        <v>UPROPERTY(EditAnywhere, BlueprintReadWrite, Category= "Magic", ReplicatedUsing= OnRep_NatureMagicMaxDamageMod) FGameplayAttributeData NatureMagicMaxDamageMod; ATTRIBUTE_ACCESSORS(UDungeonSiegeMagicAttributeSet, NatureMagicMaxDamageMod)</v>
      </c>
      <c r="G39" s="43" t="str">
        <f t="shared" si="2"/>
        <v>UFUNCTION() virtual void OnRep_NatureMagicMaxDamageMod(const FGameplayAttributeData&amp; OldNatureMagicMaxDamageMod);</v>
      </c>
      <c r="H39" s="43" t="str">
        <f t="shared" si="3"/>
        <v>void UDungeonSiegeMagicAttributeSet::OnRep_NatureMagicMaxDamageMod( const FGameplayAttributeData&amp; OldNatureMagicMaxDamageMod){ GAMEPLAYATTRIBUTE_REPNOTIFY(UDungeonSiegeMagicAttributeSet, NatureMagicMaxDamageMod,  OldNatureMagicMaxDamageMod);}</v>
      </c>
      <c r="I39" s="43"/>
      <c r="J39" s="43"/>
      <c r="K39" s="43"/>
      <c r="L39" s="43"/>
      <c r="M39" s="43"/>
      <c r="N39" s="43"/>
      <c r="O39" s="43"/>
    </row>
    <row r="40" spans="1:15" ht="22.5" x14ac:dyDescent="0.25">
      <c r="A40" s="43">
        <v>38</v>
      </c>
      <c r="B40" s="43" t="s">
        <v>3383</v>
      </c>
      <c r="C40" s="43" t="s">
        <v>3095</v>
      </c>
      <c r="D40" s="43" t="str">
        <f t="shared" si="0"/>
        <v>DungeonSiegeAttributeSet.CombatMagicCostReduction</v>
      </c>
      <c r="E40" s="43" t="s">
        <v>681</v>
      </c>
      <c r="F40" s="43" t="str">
        <f t="shared" si="1"/>
        <v>UPROPERTY(EditAnywhere, BlueprintReadWrite, Category= "Magic", ReplicatedUsing= OnRep_CombatMagicCostReduction) FGameplayAttributeData CombatMagicCostReduction; ATTRIBUTE_ACCESSORS(UDungeonSiegeMagicAttributeSet, CombatMagicCostReduction)</v>
      </c>
      <c r="G40" s="43" t="str">
        <f t="shared" si="2"/>
        <v>UFUNCTION() virtual void OnRep_CombatMagicCostReduction(const FGameplayAttributeData&amp; OldCombatMagicCostReduction);</v>
      </c>
      <c r="H40" s="43" t="str">
        <f t="shared" si="3"/>
        <v>void UDungeonSiegeMagicAttributeSet::OnRep_CombatMagicCostReduction( const FGameplayAttributeData&amp; OldCombatMagicCostReduction){ GAMEPLAYATTRIBUTE_REPNOTIFY(UDungeonSiegeMagicAttributeSet, CombatMagicCostReduction,  OldCombatMagicCostReduction);}</v>
      </c>
      <c r="I40" s="43"/>
      <c r="J40" s="43"/>
      <c r="K40" s="43"/>
      <c r="L40" s="43"/>
      <c r="M40" s="43"/>
      <c r="N40" s="43"/>
      <c r="O40" s="43"/>
    </row>
    <row r="41" spans="1:15" ht="22.5" x14ac:dyDescent="0.25">
      <c r="A41" s="43">
        <v>39</v>
      </c>
      <c r="B41" s="43" t="s">
        <v>3383</v>
      </c>
      <c r="C41" s="43" t="s">
        <v>3096</v>
      </c>
      <c r="D41" s="43" t="str">
        <f t="shared" si="0"/>
        <v>DungeonSiegeAttributeSet.CombatMagicMinDamageMod</v>
      </c>
      <c r="E41" s="43" t="s">
        <v>681</v>
      </c>
      <c r="F41" s="43" t="str">
        <f t="shared" si="1"/>
        <v>UPROPERTY(EditAnywhere, BlueprintReadWrite, Category= "Magic", ReplicatedUsing= OnRep_CombatMagicMinDamageMod) FGameplayAttributeData CombatMagicMinDamageMod; ATTRIBUTE_ACCESSORS(UDungeonSiegeMagicAttributeSet, CombatMagicMinDamageMod)</v>
      </c>
      <c r="G41" s="43" t="str">
        <f t="shared" si="2"/>
        <v>UFUNCTION() virtual void OnRep_CombatMagicMinDamageMod(const FGameplayAttributeData&amp; OldCombatMagicMinDamageMod);</v>
      </c>
      <c r="H41" s="43" t="str">
        <f t="shared" si="3"/>
        <v>void UDungeonSiegeMagicAttributeSet::OnRep_CombatMagicMinDamageMod( const FGameplayAttributeData&amp; OldCombatMagicMinDamageMod){ GAMEPLAYATTRIBUTE_REPNOTIFY(UDungeonSiegeMagicAttributeSet, CombatMagicMinDamageMod,  OldCombatMagicMinDamageMod);}</v>
      </c>
      <c r="I41" s="43"/>
      <c r="J41" s="43"/>
      <c r="K41" s="43"/>
      <c r="L41" s="43"/>
      <c r="M41" s="43"/>
      <c r="N41" s="43"/>
      <c r="O41" s="43"/>
    </row>
    <row r="42" spans="1:15" ht="22.5" x14ac:dyDescent="0.25">
      <c r="A42" s="43">
        <v>40</v>
      </c>
      <c r="B42" s="43" t="s">
        <v>3383</v>
      </c>
      <c r="C42" s="43" t="s">
        <v>3097</v>
      </c>
      <c r="D42" s="43" t="str">
        <f t="shared" si="0"/>
        <v>DungeonSiegeAttributeSet.CombatMagicMaxDamageMod</v>
      </c>
      <c r="E42" s="43" t="s">
        <v>681</v>
      </c>
      <c r="F42" s="43" t="str">
        <f t="shared" si="1"/>
        <v>UPROPERTY(EditAnywhere, BlueprintReadWrite, Category= "Magic", ReplicatedUsing= OnRep_CombatMagicMaxDamageMod) FGameplayAttributeData CombatMagicMaxDamageMod; ATTRIBUTE_ACCESSORS(UDungeonSiegeMagicAttributeSet, CombatMagicMaxDamageMod)</v>
      </c>
      <c r="G42" s="43" t="str">
        <f t="shared" si="2"/>
        <v>UFUNCTION() virtual void OnRep_CombatMagicMaxDamageMod(const FGameplayAttributeData&amp; OldCombatMagicMaxDamageMod);</v>
      </c>
      <c r="H42" s="43" t="str">
        <f t="shared" si="3"/>
        <v>void UDungeonSiegeMagicAttributeSet::OnRep_CombatMagicMaxDamageMod( const FGameplayAttributeData&amp; OldCombatMagicMaxDamageMod){ GAMEPLAYATTRIBUTE_REPNOTIFY(UDungeonSiegeMagicAttributeSet, CombatMagicMaxDamageMod,  OldCombatMagicMaxDamageMod);}</v>
      </c>
      <c r="I42" s="43"/>
      <c r="J42" s="43"/>
      <c r="K42" s="43"/>
      <c r="L42" s="43"/>
      <c r="M42" s="43"/>
      <c r="N42" s="43"/>
      <c r="O42" s="43"/>
    </row>
    <row r="43" spans="1:15" ht="22.5" x14ac:dyDescent="0.25">
      <c r="A43" s="43">
        <v>41</v>
      </c>
      <c r="B43" s="43" t="s">
        <v>3383</v>
      </c>
      <c r="C43" s="43" t="s">
        <v>3098</v>
      </c>
      <c r="D43" s="43" t="str">
        <f t="shared" si="0"/>
        <v>DungeonSiegeAttributeSet.PercentMagicDamageReduction</v>
      </c>
      <c r="E43" s="43" t="s">
        <v>681</v>
      </c>
      <c r="F43" s="43" t="str">
        <f t="shared" si="1"/>
        <v>UPROPERTY(EditAnywhere, BlueprintReadWrite, Category= "Magic", ReplicatedUsing= OnRep_PercentMagicDamageReduction) FGameplayAttributeData PercentMagicDamageReduction; ATTRIBUTE_ACCESSORS(UDungeonSiegeMagicAttributeSet, PercentMagicDamageReduction)</v>
      </c>
      <c r="G43" s="43" t="str">
        <f t="shared" si="2"/>
        <v>UFUNCTION() virtual void OnRep_PercentMagicDamageReduction(const FGameplayAttributeData&amp; OldPercentMagicDamageReduction);</v>
      </c>
      <c r="H43" s="43" t="str">
        <f t="shared" si="3"/>
        <v>void UDungeonSiegeMagicAttributeSet::OnRep_PercentMagicDamageReduction( const FGameplayAttributeData&amp; OldPercentMagicDamageReduction){ GAMEPLAYATTRIBUTE_REPNOTIFY(UDungeonSiegeMagicAttributeSet, PercentMagicDamageReduction,  OldPercentMagicDamageReduction);}</v>
      </c>
      <c r="I43" s="43"/>
      <c r="J43" s="43"/>
      <c r="K43" s="43"/>
      <c r="L43" s="43"/>
      <c r="M43" s="43"/>
      <c r="N43" s="43"/>
      <c r="O43" s="43"/>
    </row>
    <row r="44" spans="1:15" ht="22.5" x14ac:dyDescent="0.25">
      <c r="A44" s="43">
        <v>42</v>
      </c>
      <c r="B44" s="43" t="s">
        <v>3383</v>
      </c>
      <c r="C44" s="43" t="s">
        <v>3099</v>
      </c>
      <c r="D44" s="43" t="str">
        <f t="shared" si="0"/>
        <v>DungeonSiegeAttributeSet.MagicCostReduction</v>
      </c>
      <c r="E44" s="43" t="s">
        <v>681</v>
      </c>
      <c r="F44" s="43" t="str">
        <f t="shared" si="1"/>
        <v>UPROPERTY(EditAnywhere, BlueprintReadWrite, Category= "Magic", ReplicatedUsing= OnRep_MagicCostReduction) FGameplayAttributeData MagicCostReduction; ATTRIBUTE_ACCESSORS(UDungeonSiegeMagicAttributeSet, MagicCostReduction)</v>
      </c>
      <c r="G44" s="43" t="str">
        <f t="shared" si="2"/>
        <v>UFUNCTION() virtual void OnRep_MagicCostReduction(const FGameplayAttributeData&amp; OldMagicCostReduction);</v>
      </c>
      <c r="H44" s="43" t="str">
        <f t="shared" si="3"/>
        <v>void UDungeonSiegeMagicAttributeSet::OnRep_MagicCostReduction( const FGameplayAttributeData&amp; OldMagicCostReduction){ GAMEPLAYATTRIBUTE_REPNOTIFY(UDungeonSiegeMagicAttributeSet, MagicCostReduction,  OldMagicCostReduction);}</v>
      </c>
      <c r="I44" s="43"/>
      <c r="J44" s="43"/>
      <c r="K44" s="43"/>
      <c r="L44" s="43"/>
      <c r="M44" s="43"/>
      <c r="N44" s="43"/>
      <c r="O44" s="43"/>
    </row>
    <row r="45" spans="1:15" ht="22.5" x14ac:dyDescent="0.25">
      <c r="A45" s="43">
        <v>43</v>
      </c>
      <c r="B45" s="43" t="s">
        <v>3383</v>
      </c>
      <c r="C45" s="43" t="s">
        <v>3100</v>
      </c>
      <c r="D45" s="43" t="str">
        <f t="shared" si="0"/>
        <v>DungeonSiegeAttributeSet.ColdDamageAmplification</v>
      </c>
      <c r="E45" s="43" t="s">
        <v>681</v>
      </c>
      <c r="F45" s="43" t="str">
        <f t="shared" si="1"/>
        <v>UPROPERTY(EditAnywhere, BlueprintReadWrite, Category= "Magic", ReplicatedUsing= OnRep_ColdDamageAmplification) FGameplayAttributeData ColdDamageAmplification; ATTRIBUTE_ACCESSORS(UDungeonSiegeMagicAttributeSet, ColdDamageAmplification)</v>
      </c>
      <c r="G45" s="43" t="str">
        <f t="shared" si="2"/>
        <v>UFUNCTION() virtual void OnRep_ColdDamageAmplification(const FGameplayAttributeData&amp; OldColdDamageAmplification);</v>
      </c>
      <c r="H45" s="43" t="str">
        <f t="shared" si="3"/>
        <v>void UDungeonSiegeMagicAttributeSet::OnRep_ColdDamageAmplification( const FGameplayAttributeData&amp; OldColdDamageAmplification){ GAMEPLAYATTRIBUTE_REPNOTIFY(UDungeonSiegeMagicAttributeSet, ColdDamageAmplification,  OldColdDamageAmplification);}</v>
      </c>
      <c r="I45" s="43"/>
      <c r="J45" s="43"/>
      <c r="K45" s="43"/>
      <c r="L45" s="43"/>
      <c r="M45" s="43"/>
      <c r="N45" s="43"/>
      <c r="O45" s="43"/>
    </row>
    <row r="46" spans="1:15" ht="22.5" x14ac:dyDescent="0.25">
      <c r="A46" s="43">
        <v>44</v>
      </c>
      <c r="B46" s="43" t="s">
        <v>3383</v>
      </c>
      <c r="C46" s="43" t="s">
        <v>3101</v>
      </c>
      <c r="D46" s="43" t="str">
        <f t="shared" si="0"/>
        <v>DungeonSiegeAttributeSet.ColdSpellCostReduction</v>
      </c>
      <c r="E46" s="43" t="s">
        <v>681</v>
      </c>
      <c r="F46" s="43" t="str">
        <f t="shared" si="1"/>
        <v>UPROPERTY(EditAnywhere, BlueprintReadWrite, Category= "Magic", ReplicatedUsing= OnRep_ColdSpellCostReduction) FGameplayAttributeData ColdSpellCostReduction; ATTRIBUTE_ACCESSORS(UDungeonSiegeMagicAttributeSet, ColdSpellCostReduction)</v>
      </c>
      <c r="G46" s="43" t="str">
        <f t="shared" si="2"/>
        <v>UFUNCTION() virtual void OnRep_ColdSpellCostReduction(const FGameplayAttributeData&amp; OldColdSpellCostReduction);</v>
      </c>
      <c r="H46" s="43" t="str">
        <f t="shared" si="3"/>
        <v>void UDungeonSiegeMagicAttributeSet::OnRep_ColdSpellCostReduction( const FGameplayAttributeData&amp; OldColdSpellCostReduction){ GAMEPLAYATTRIBUTE_REPNOTIFY(UDungeonSiegeMagicAttributeSet, ColdSpellCostReduction,  OldColdSpellCostReduction);}</v>
      </c>
      <c r="I46" s="43"/>
      <c r="J46" s="43"/>
      <c r="K46" s="43"/>
      <c r="L46" s="43"/>
      <c r="M46" s="43"/>
      <c r="N46" s="43"/>
      <c r="O46" s="43"/>
    </row>
    <row r="47" spans="1:15" ht="22.5" x14ac:dyDescent="0.25">
      <c r="A47" s="43">
        <v>45</v>
      </c>
      <c r="B47" s="43" t="s">
        <v>3383</v>
      </c>
      <c r="C47" s="43" t="s">
        <v>3102</v>
      </c>
      <c r="D47" s="43" t="str">
        <f t="shared" si="0"/>
        <v>DungeonSiegeAttributeSet.FireDamageAmplification</v>
      </c>
      <c r="E47" s="43" t="s">
        <v>681</v>
      </c>
      <c r="F47" s="43" t="str">
        <f t="shared" si="1"/>
        <v>UPROPERTY(EditAnywhere, BlueprintReadWrite, Category= "Magic", ReplicatedUsing= OnRep_FireDamageAmplification) FGameplayAttributeData FireDamageAmplification; ATTRIBUTE_ACCESSORS(UDungeonSiegeMagicAttributeSet, FireDamageAmplification)</v>
      </c>
      <c r="G47" s="43" t="str">
        <f t="shared" si="2"/>
        <v>UFUNCTION() virtual void OnRep_FireDamageAmplification(const FGameplayAttributeData&amp; OldFireDamageAmplification);</v>
      </c>
      <c r="H47" s="43" t="str">
        <f t="shared" si="3"/>
        <v>void UDungeonSiegeMagicAttributeSet::OnRep_FireDamageAmplification( const FGameplayAttributeData&amp; OldFireDamageAmplification){ GAMEPLAYATTRIBUTE_REPNOTIFY(UDungeonSiegeMagicAttributeSet, FireDamageAmplification,  OldFireDamageAmplification);}</v>
      </c>
      <c r="I47" s="43"/>
      <c r="J47" s="43"/>
      <c r="K47" s="43"/>
      <c r="L47" s="43"/>
      <c r="M47" s="43"/>
      <c r="N47" s="43"/>
      <c r="O47" s="43"/>
    </row>
    <row r="48" spans="1:15" s="23" customFormat="1" ht="22.5" x14ac:dyDescent="0.25">
      <c r="A48" s="43">
        <v>46</v>
      </c>
      <c r="B48" s="43" t="s">
        <v>3383</v>
      </c>
      <c r="C48" s="43" t="s">
        <v>3246</v>
      </c>
      <c r="D48" s="43" t="str">
        <f t="shared" si="0"/>
        <v>DungeonSiegeAttributeSet.ElectricDamageAmplification</v>
      </c>
      <c r="E48" s="43" t="s">
        <v>681</v>
      </c>
      <c r="F48" s="43" t="str">
        <f t="shared" si="1"/>
        <v>UPROPERTY(EditAnywhere, BlueprintReadWrite, Category= "Magic", ReplicatedUsing= OnRep_ElectricDamageAmplification) FGameplayAttributeData ElectricDamageAmplification; ATTRIBUTE_ACCESSORS(UDungeonSiegeMagicAttributeSet, ElectricDamageAmplification)</v>
      </c>
      <c r="G48" s="43" t="str">
        <f t="shared" si="2"/>
        <v>UFUNCTION() virtual void OnRep_ElectricDamageAmplification(const FGameplayAttributeData&amp; OldElectricDamageAmplification);</v>
      </c>
      <c r="H48" s="43" t="str">
        <f t="shared" si="3"/>
        <v>void UDungeonSiegeMagicAttributeSet::OnRep_ElectricDamageAmplification( const FGameplayAttributeData&amp; OldElectricDamageAmplification){ GAMEPLAYATTRIBUTE_REPNOTIFY(UDungeonSiegeMagicAttributeSet, ElectricDamageAmplification,  OldElectricDamageAmplification);}</v>
      </c>
      <c r="I48" s="43"/>
      <c r="J48" s="43"/>
      <c r="K48" s="43"/>
      <c r="L48" s="43"/>
      <c r="M48" s="43"/>
      <c r="N48" s="43"/>
      <c r="O48" s="43"/>
    </row>
    <row r="49" spans="1:15" ht="22.5" x14ac:dyDescent="0.25">
      <c r="A49" s="43">
        <v>47</v>
      </c>
      <c r="B49" s="43" t="s">
        <v>3383</v>
      </c>
      <c r="C49" s="43" t="s">
        <v>3103</v>
      </c>
      <c r="D49" s="43" t="str">
        <f t="shared" si="0"/>
        <v>DungeonSiegeAttributeSet.FireSpellCostReduction</v>
      </c>
      <c r="E49" s="43" t="s">
        <v>681</v>
      </c>
      <c r="F49" s="43" t="str">
        <f t="shared" si="1"/>
        <v>UPROPERTY(EditAnywhere, BlueprintReadWrite, Category= "Magic", ReplicatedUsing= OnRep_FireSpellCostReduction) FGameplayAttributeData FireSpellCostReduction; ATTRIBUTE_ACCESSORS(UDungeonSiegeMagicAttributeSet, FireSpellCostReduction)</v>
      </c>
      <c r="G49" s="43" t="str">
        <f t="shared" si="2"/>
        <v>UFUNCTION() virtual void OnRep_FireSpellCostReduction(const FGameplayAttributeData&amp; OldFireSpellCostReduction);</v>
      </c>
      <c r="H49" s="43" t="str">
        <f t="shared" si="3"/>
        <v>void UDungeonSiegeMagicAttributeSet::OnRep_FireSpellCostReduction( const FGameplayAttributeData&amp; OldFireSpellCostReduction){ GAMEPLAYATTRIBUTE_REPNOTIFY(UDungeonSiegeMagicAttributeSet, FireSpellCostReduction,  OldFireSpellCostReduction);}</v>
      </c>
      <c r="I49" s="43"/>
      <c r="J49" s="43"/>
      <c r="K49" s="43"/>
      <c r="L49" s="43"/>
      <c r="M49" s="43"/>
      <c r="N49" s="43"/>
      <c r="O49" s="43"/>
    </row>
    <row r="50" spans="1:15" ht="22.5" x14ac:dyDescent="0.25">
      <c r="A50" s="43">
        <v>48</v>
      </c>
      <c r="B50" s="43" t="s">
        <v>3383</v>
      </c>
      <c r="C50" s="43" t="s">
        <v>3104</v>
      </c>
      <c r="D50" s="43" t="str">
        <f t="shared" si="0"/>
        <v>DungeonSiegeAttributeSet.ChanceToDodgeMagicAttack</v>
      </c>
      <c r="E50" s="43" t="s">
        <v>681</v>
      </c>
      <c r="F50" s="43" t="str">
        <f t="shared" si="1"/>
        <v>UPROPERTY(EditAnywhere, BlueprintReadWrite, Category= "Magic", ReplicatedUsing= OnRep_ChanceToDodgeMagicAttack) FGameplayAttributeData ChanceToDodgeMagicAttack; ATTRIBUTE_ACCESSORS(UDungeonSiegeMagicAttributeSet, ChanceToDodgeMagicAttack)</v>
      </c>
      <c r="G50" s="43" t="str">
        <f t="shared" si="2"/>
        <v>UFUNCTION() virtual void OnRep_ChanceToDodgeMagicAttack(const FGameplayAttributeData&amp; OldChanceToDodgeMagicAttack);</v>
      </c>
      <c r="H50" s="43" t="str">
        <f t="shared" si="3"/>
        <v>void UDungeonSiegeMagicAttributeSet::OnRep_ChanceToDodgeMagicAttack( const FGameplayAttributeData&amp; OldChanceToDodgeMagicAttack){ GAMEPLAYATTRIBUTE_REPNOTIFY(UDungeonSiegeMagicAttributeSet, ChanceToDodgeMagicAttack,  OldChanceToDodgeMagicAttack);}</v>
      </c>
      <c r="I50" s="43"/>
      <c r="J50" s="43"/>
      <c r="K50" s="43"/>
      <c r="L50" s="43"/>
      <c r="M50" s="43"/>
      <c r="N50" s="43"/>
      <c r="O50" s="43"/>
    </row>
    <row r="51" spans="1:15" ht="22.5" x14ac:dyDescent="0.25">
      <c r="A51" s="43">
        <v>49</v>
      </c>
      <c r="B51" s="43" t="s">
        <v>3383</v>
      </c>
      <c r="C51" s="43" t="s">
        <v>3105</v>
      </c>
      <c r="D51" s="43" t="str">
        <f t="shared" si="0"/>
        <v>DungeonSiegeAttributeSet.ChanceToBlockMagicAttack</v>
      </c>
      <c r="E51" s="43" t="s">
        <v>681</v>
      </c>
      <c r="F51" s="43" t="str">
        <f t="shared" si="1"/>
        <v>UPROPERTY(EditAnywhere, BlueprintReadWrite, Category= "Magic", ReplicatedUsing= OnRep_ChanceToBlockMagicAttack) FGameplayAttributeData ChanceToBlockMagicAttack; ATTRIBUTE_ACCESSORS(UDungeonSiegeMagicAttributeSet, ChanceToBlockMagicAttack)</v>
      </c>
      <c r="G51" s="43" t="str">
        <f t="shared" si="2"/>
        <v>UFUNCTION() virtual void OnRep_ChanceToBlockMagicAttack(const FGameplayAttributeData&amp; OldChanceToBlockMagicAttack);</v>
      </c>
      <c r="H51" s="43" t="str">
        <f t="shared" si="3"/>
        <v>void UDungeonSiegeMagicAttributeSet::OnRep_ChanceToBlockMagicAttack( const FGameplayAttributeData&amp; OldChanceToBlockMagicAttack){ GAMEPLAYATTRIBUTE_REPNOTIFY(UDungeonSiegeMagicAttributeSet, ChanceToBlockMagicAttack,  OldChanceToBlockMagicAttack);}</v>
      </c>
      <c r="I51" s="43"/>
      <c r="J51" s="43"/>
      <c r="K51" s="43"/>
      <c r="L51" s="43"/>
      <c r="M51" s="43"/>
      <c r="N51" s="43"/>
      <c r="O51" s="43"/>
    </row>
    <row r="52" spans="1:15" ht="22.5" x14ac:dyDescent="0.25">
      <c r="A52" s="43">
        <v>50</v>
      </c>
      <c r="B52" s="43" t="s">
        <v>3384</v>
      </c>
      <c r="C52" s="43" t="s">
        <v>3106</v>
      </c>
      <c r="D52" s="43" t="str">
        <f t="shared" si="0"/>
        <v>DungeonSiegeAttributeSet.ChanceToAcidify</v>
      </c>
      <c r="E52" s="43" t="s">
        <v>3356</v>
      </c>
      <c r="F52" s="43" t="str">
        <f t="shared" si="1"/>
        <v>UPROPERTY(EditAnywhere, BlueprintReadWrite, Category= "Status Damage", ReplicatedUsing= OnRep_ChanceToAcidify) FGameplayAttributeData ChanceToAcidify; ATTRIBUTE_ACCESSORS(UDungeonSiegeStatusEffectAttributeSet, ChanceToAcidify)</v>
      </c>
      <c r="G52" s="43" t="str">
        <f t="shared" si="2"/>
        <v>UFUNCTION() virtual void OnRep_ChanceToAcidify(const FGameplayAttributeData&amp; OldChanceToAcidify);</v>
      </c>
      <c r="H52" s="43" t="str">
        <f t="shared" si="3"/>
        <v>void UDungeonSiegeStatusEffectAttributeSet::OnRep_ChanceToAcidify( const FGameplayAttributeData&amp; OldChanceToAcidify){ GAMEPLAYATTRIBUTE_REPNOTIFY(UDungeonSiegeStatusEffectAttributeSet, ChanceToAcidify,  OldChanceToAcidify);}</v>
      </c>
      <c r="I52" s="43"/>
      <c r="J52" s="43"/>
      <c r="K52" s="43"/>
      <c r="L52" s="43"/>
      <c r="M52" s="43"/>
      <c r="N52" s="43"/>
      <c r="O52" s="43"/>
    </row>
    <row r="53" spans="1:15" ht="22.5" x14ac:dyDescent="0.25">
      <c r="A53" s="43">
        <v>51</v>
      </c>
      <c r="B53" s="43" t="s">
        <v>3384</v>
      </c>
      <c r="C53" s="43" t="s">
        <v>3107</v>
      </c>
      <c r="D53" s="43" t="str">
        <f t="shared" si="0"/>
        <v>DungeonSiegeAttributeSet.AcidMinDamageMod</v>
      </c>
      <c r="E53" s="43" t="s">
        <v>3356</v>
      </c>
      <c r="F53" s="43" t="str">
        <f t="shared" si="1"/>
        <v>UPROPERTY(EditAnywhere, BlueprintReadWrite, Category= "Status Damage", ReplicatedUsing= OnRep_AcidMinDamageMod) FGameplayAttributeData AcidMinDamageMod; ATTRIBUTE_ACCESSORS(UDungeonSiegeStatusEffectAttributeSet, AcidMinDamageMod)</v>
      </c>
      <c r="G53" s="43" t="str">
        <f t="shared" si="2"/>
        <v>UFUNCTION() virtual void OnRep_AcidMinDamageMod(const FGameplayAttributeData&amp; OldAcidMinDamageMod);</v>
      </c>
      <c r="H53" s="43" t="str">
        <f t="shared" si="3"/>
        <v>void UDungeonSiegeStatusEffectAttributeSet::OnRep_AcidMinDamageMod( const FGameplayAttributeData&amp; OldAcidMinDamageMod){ GAMEPLAYATTRIBUTE_REPNOTIFY(UDungeonSiegeStatusEffectAttributeSet, AcidMinDamageMod,  OldAcidMinDamageMod);}</v>
      </c>
      <c r="I53" s="43"/>
      <c r="J53" s="43"/>
      <c r="K53" s="43"/>
      <c r="L53" s="43"/>
      <c r="M53" s="43"/>
      <c r="N53" s="43"/>
      <c r="O53" s="43"/>
    </row>
    <row r="54" spans="1:15" ht="22.5" x14ac:dyDescent="0.25">
      <c r="A54" s="43">
        <v>52</v>
      </c>
      <c r="B54" s="43" t="s">
        <v>3384</v>
      </c>
      <c r="C54" s="43" t="s">
        <v>3108</v>
      </c>
      <c r="D54" s="43" t="str">
        <f t="shared" si="0"/>
        <v>DungeonSiegeAttributeSet.AcidMaxDamageMod</v>
      </c>
      <c r="E54" s="43" t="s">
        <v>3356</v>
      </c>
      <c r="F54" s="43" t="str">
        <f t="shared" si="1"/>
        <v>UPROPERTY(EditAnywhere, BlueprintReadWrite, Category= "Status Damage", ReplicatedUsing= OnRep_AcidMaxDamageMod) FGameplayAttributeData AcidMaxDamageMod; ATTRIBUTE_ACCESSORS(UDungeonSiegeStatusEffectAttributeSet, AcidMaxDamageMod)</v>
      </c>
      <c r="G54" s="43" t="str">
        <f t="shared" si="2"/>
        <v>UFUNCTION() virtual void OnRep_AcidMaxDamageMod(const FGameplayAttributeData&amp; OldAcidMaxDamageMod);</v>
      </c>
      <c r="H54" s="43" t="str">
        <f t="shared" si="3"/>
        <v>void UDungeonSiegeStatusEffectAttributeSet::OnRep_AcidMaxDamageMod( const FGameplayAttributeData&amp; OldAcidMaxDamageMod){ GAMEPLAYATTRIBUTE_REPNOTIFY(UDungeonSiegeStatusEffectAttributeSet, AcidMaxDamageMod,  OldAcidMaxDamageMod);}</v>
      </c>
      <c r="I54" s="43"/>
      <c r="J54" s="43"/>
      <c r="K54" s="43"/>
      <c r="L54" s="43"/>
      <c r="M54" s="43"/>
      <c r="N54" s="43"/>
      <c r="O54" s="43"/>
    </row>
    <row r="55" spans="1:15" ht="22.5" x14ac:dyDescent="0.25">
      <c r="A55" s="43">
        <v>53</v>
      </c>
      <c r="B55" s="43" t="s">
        <v>3384</v>
      </c>
      <c r="C55" s="43" t="s">
        <v>3109</v>
      </c>
      <c r="D55" s="43" t="str">
        <f t="shared" si="0"/>
        <v>DungeonSiegeAttributeSet.ChanceToPoison</v>
      </c>
      <c r="E55" s="43" t="s">
        <v>3356</v>
      </c>
      <c r="F55" s="43" t="str">
        <f t="shared" si="1"/>
        <v>UPROPERTY(EditAnywhere, BlueprintReadWrite, Category= "Status Damage", ReplicatedUsing= OnRep_ChanceToPoison) FGameplayAttributeData ChanceToPoison; ATTRIBUTE_ACCESSORS(UDungeonSiegeStatusEffectAttributeSet, ChanceToPoison)</v>
      </c>
      <c r="G55" s="43" t="str">
        <f t="shared" si="2"/>
        <v>UFUNCTION() virtual void OnRep_ChanceToPoison(const FGameplayAttributeData&amp; OldChanceToPoison);</v>
      </c>
      <c r="H55" s="43" t="str">
        <f t="shared" si="3"/>
        <v>void UDungeonSiegeStatusEffectAttributeSet::OnRep_ChanceToPoison( const FGameplayAttributeData&amp; OldChanceToPoison){ GAMEPLAYATTRIBUTE_REPNOTIFY(UDungeonSiegeStatusEffectAttributeSet, ChanceToPoison,  OldChanceToPoison);}</v>
      </c>
      <c r="I55" s="43"/>
      <c r="J55" s="43"/>
      <c r="K55" s="43"/>
      <c r="L55" s="43"/>
      <c r="M55" s="43"/>
      <c r="N55" s="43"/>
      <c r="O55" s="43"/>
    </row>
    <row r="56" spans="1:15" ht="22.5" x14ac:dyDescent="0.25">
      <c r="A56" s="43">
        <v>54</v>
      </c>
      <c r="B56" s="43" t="s">
        <v>3384</v>
      </c>
      <c r="C56" s="43" t="s">
        <v>3110</v>
      </c>
      <c r="D56" s="43" t="str">
        <f t="shared" si="0"/>
        <v>DungeonSiegeAttributeSet.PoisonMinDamageMod</v>
      </c>
      <c r="E56" s="43" t="s">
        <v>3356</v>
      </c>
      <c r="F56" s="43" t="str">
        <f t="shared" si="1"/>
        <v>UPROPERTY(EditAnywhere, BlueprintReadWrite, Category= "Status Damage", ReplicatedUsing= OnRep_PoisonMinDamageMod) FGameplayAttributeData PoisonMinDamageMod; ATTRIBUTE_ACCESSORS(UDungeonSiegeStatusEffectAttributeSet, PoisonMinDamageMod)</v>
      </c>
      <c r="G56" s="43" t="str">
        <f t="shared" si="2"/>
        <v>UFUNCTION() virtual void OnRep_PoisonMinDamageMod(const FGameplayAttributeData&amp; OldPoisonMinDamageMod);</v>
      </c>
      <c r="H56" s="43" t="str">
        <f t="shared" si="3"/>
        <v>void UDungeonSiegeStatusEffectAttributeSet::OnRep_PoisonMinDamageMod( const FGameplayAttributeData&amp; OldPoisonMinDamageMod){ GAMEPLAYATTRIBUTE_REPNOTIFY(UDungeonSiegeStatusEffectAttributeSet, PoisonMinDamageMod,  OldPoisonMinDamageMod);}</v>
      </c>
      <c r="I56" s="43"/>
      <c r="J56" s="43"/>
      <c r="K56" s="43"/>
      <c r="L56" s="43"/>
      <c r="M56" s="43"/>
      <c r="N56" s="43"/>
      <c r="O56" s="43"/>
    </row>
    <row r="57" spans="1:15" ht="22.5" x14ac:dyDescent="0.25">
      <c r="A57" s="43">
        <v>55</v>
      </c>
      <c r="B57" s="43" t="s">
        <v>3384</v>
      </c>
      <c r="C57" s="43" t="s">
        <v>3111</v>
      </c>
      <c r="D57" s="43" t="str">
        <f t="shared" si="0"/>
        <v>DungeonSiegeAttributeSet.PoisonMaxDamageMod</v>
      </c>
      <c r="E57" s="43" t="s">
        <v>3356</v>
      </c>
      <c r="F57" s="43" t="str">
        <f t="shared" si="1"/>
        <v>UPROPERTY(EditAnywhere, BlueprintReadWrite, Category= "Status Damage", ReplicatedUsing= OnRep_PoisonMaxDamageMod) FGameplayAttributeData PoisonMaxDamageMod; ATTRIBUTE_ACCESSORS(UDungeonSiegeStatusEffectAttributeSet, PoisonMaxDamageMod)</v>
      </c>
      <c r="G57" s="43" t="str">
        <f t="shared" si="2"/>
        <v>UFUNCTION() virtual void OnRep_PoisonMaxDamageMod(const FGameplayAttributeData&amp; OldPoisonMaxDamageMod);</v>
      </c>
      <c r="H57" s="43" t="str">
        <f t="shared" si="3"/>
        <v>void UDungeonSiegeStatusEffectAttributeSet::OnRep_PoisonMaxDamageMod( const FGameplayAttributeData&amp; OldPoisonMaxDamageMod){ GAMEPLAYATTRIBUTE_REPNOTIFY(UDungeonSiegeStatusEffectAttributeSet, PoisonMaxDamageMod,  OldPoisonMaxDamageMod);}</v>
      </c>
      <c r="I57" s="43"/>
      <c r="J57" s="43"/>
      <c r="K57" s="43"/>
      <c r="L57" s="43"/>
      <c r="M57" s="43"/>
      <c r="N57" s="43"/>
      <c r="O57" s="43"/>
    </row>
    <row r="58" spans="1:15" ht="22.5" x14ac:dyDescent="0.25">
      <c r="A58" s="43">
        <v>56</v>
      </c>
      <c r="B58" s="43" t="s">
        <v>3384</v>
      </c>
      <c r="C58" s="43" t="s">
        <v>3112</v>
      </c>
      <c r="D58" s="43" t="str">
        <f t="shared" si="0"/>
        <v>DungeonSiegeAttributeSet.ElectricMinDamageMod</v>
      </c>
      <c r="E58" s="43" t="s">
        <v>3356</v>
      </c>
      <c r="F58" s="43" t="str">
        <f t="shared" si="1"/>
        <v>UPROPERTY(EditAnywhere, BlueprintReadWrite, Category= "Status Damage", ReplicatedUsing= OnRep_ElectricMinDamageMod) FGameplayAttributeData ElectricMinDamageMod; ATTRIBUTE_ACCESSORS(UDungeonSiegeStatusEffectAttributeSet, ElectricMinDamageMod)</v>
      </c>
      <c r="G58" s="43" t="str">
        <f t="shared" si="2"/>
        <v>UFUNCTION() virtual void OnRep_ElectricMinDamageMod(const FGameplayAttributeData&amp; OldElectricMinDamageMod);</v>
      </c>
      <c r="H58" s="43" t="str">
        <f t="shared" si="3"/>
        <v>void UDungeonSiegeStatusEffectAttributeSet::OnRep_ElectricMinDamageMod( const FGameplayAttributeData&amp; OldElectricMinDamageMod){ GAMEPLAYATTRIBUTE_REPNOTIFY(UDungeonSiegeStatusEffectAttributeSet, ElectricMinDamageMod,  OldElectricMinDamageMod);}</v>
      </c>
      <c r="I58" s="43"/>
      <c r="J58" s="43"/>
      <c r="K58" s="43"/>
      <c r="L58" s="43"/>
      <c r="M58" s="43"/>
      <c r="N58" s="43"/>
      <c r="O58" s="43"/>
    </row>
    <row r="59" spans="1:15" ht="22.5" x14ac:dyDescent="0.25">
      <c r="A59" s="43">
        <v>57</v>
      </c>
      <c r="B59" s="43" t="s">
        <v>3384</v>
      </c>
      <c r="C59" s="43" t="s">
        <v>3113</v>
      </c>
      <c r="D59" s="43" t="str">
        <f t="shared" si="0"/>
        <v>DungeonSiegeAttributeSet.ElectricMaxDamageMod</v>
      </c>
      <c r="E59" s="43" t="s">
        <v>3356</v>
      </c>
      <c r="F59" s="43" t="str">
        <f t="shared" si="1"/>
        <v>UPROPERTY(EditAnywhere, BlueprintReadWrite, Category= "Status Damage", ReplicatedUsing= OnRep_ElectricMaxDamageMod) FGameplayAttributeData ElectricMaxDamageMod; ATTRIBUTE_ACCESSORS(UDungeonSiegeStatusEffectAttributeSet, ElectricMaxDamageMod)</v>
      </c>
      <c r="G59" s="43" t="str">
        <f t="shared" si="2"/>
        <v>UFUNCTION() virtual void OnRep_ElectricMaxDamageMod(const FGameplayAttributeData&amp; OldElectricMaxDamageMod);</v>
      </c>
      <c r="H59" s="43" t="str">
        <f t="shared" si="3"/>
        <v>void UDungeonSiegeStatusEffectAttributeSet::OnRep_ElectricMaxDamageMod( const FGameplayAttributeData&amp; OldElectricMaxDamageMod){ GAMEPLAYATTRIBUTE_REPNOTIFY(UDungeonSiegeStatusEffectAttributeSet, ElectricMaxDamageMod,  OldElectricMaxDamageMod);}</v>
      </c>
      <c r="I59" s="43"/>
      <c r="J59" s="43"/>
      <c r="K59" s="43"/>
      <c r="L59" s="43"/>
      <c r="M59" s="43"/>
      <c r="N59" s="43"/>
      <c r="O59" s="43"/>
    </row>
    <row r="60" spans="1:15" ht="22.5" x14ac:dyDescent="0.25">
      <c r="A60" s="43">
        <v>58</v>
      </c>
      <c r="B60" s="43" t="s">
        <v>3384</v>
      </c>
      <c r="C60" s="43" t="s">
        <v>3114</v>
      </c>
      <c r="D60" s="43" t="str">
        <f t="shared" si="0"/>
        <v>DungeonSiegeAttributeSet.ChanceToFlee</v>
      </c>
      <c r="E60" s="43" t="s">
        <v>3356</v>
      </c>
      <c r="F60" s="43" t="str">
        <f t="shared" si="1"/>
        <v>UPROPERTY(EditAnywhere, BlueprintReadWrite, Category= "Status Damage", ReplicatedUsing= OnRep_ChanceToFlee) FGameplayAttributeData ChanceToFlee; ATTRIBUTE_ACCESSORS(UDungeonSiegeStatusEffectAttributeSet, ChanceToFlee)</v>
      </c>
      <c r="G60" s="43" t="str">
        <f t="shared" si="2"/>
        <v>UFUNCTION() virtual void OnRep_ChanceToFlee(const FGameplayAttributeData&amp; OldChanceToFlee);</v>
      </c>
      <c r="H60" s="43" t="str">
        <f t="shared" si="3"/>
        <v>void UDungeonSiegeStatusEffectAttributeSet::OnRep_ChanceToFlee( const FGameplayAttributeData&amp; OldChanceToFlee){ GAMEPLAYATTRIBUTE_REPNOTIFY(UDungeonSiegeStatusEffectAttributeSet, ChanceToFlee,  OldChanceToFlee);}</v>
      </c>
      <c r="I60" s="43"/>
      <c r="J60" s="43"/>
      <c r="K60" s="43"/>
      <c r="L60" s="43"/>
      <c r="M60" s="43"/>
      <c r="N60" s="43"/>
      <c r="O60" s="43"/>
    </row>
    <row r="61" spans="1:15" ht="22.5" x14ac:dyDescent="0.25">
      <c r="A61" s="43">
        <v>59</v>
      </c>
      <c r="B61" s="43" t="s">
        <v>3384</v>
      </c>
      <c r="C61" s="43" t="s">
        <v>3115</v>
      </c>
      <c r="D61" s="43" t="str">
        <f t="shared" si="0"/>
        <v>DungeonSiegeAttributeSet.FleeMinDamageMod</v>
      </c>
      <c r="E61" s="43" t="s">
        <v>3356</v>
      </c>
      <c r="F61" s="43" t="str">
        <f t="shared" si="1"/>
        <v>UPROPERTY(EditAnywhere, BlueprintReadWrite, Category= "Status Damage", ReplicatedUsing= OnRep_FleeMinDamageMod) FGameplayAttributeData FleeMinDamageMod; ATTRIBUTE_ACCESSORS(UDungeonSiegeStatusEffectAttributeSet, FleeMinDamageMod)</v>
      </c>
      <c r="G61" s="43" t="str">
        <f t="shared" si="2"/>
        <v>UFUNCTION() virtual void OnRep_FleeMinDamageMod(const FGameplayAttributeData&amp; OldFleeMinDamageMod);</v>
      </c>
      <c r="H61" s="43" t="str">
        <f t="shared" si="3"/>
        <v>void UDungeonSiegeStatusEffectAttributeSet::OnRep_FleeMinDamageMod( const FGameplayAttributeData&amp; OldFleeMinDamageMod){ GAMEPLAYATTRIBUTE_REPNOTIFY(UDungeonSiegeStatusEffectAttributeSet, FleeMinDamageMod,  OldFleeMinDamageMod);}</v>
      </c>
      <c r="I61" s="43"/>
      <c r="J61" s="43"/>
      <c r="K61" s="43"/>
      <c r="L61" s="43"/>
      <c r="M61" s="43"/>
      <c r="N61" s="43"/>
      <c r="O61" s="43"/>
    </row>
    <row r="62" spans="1:15" ht="22.5" x14ac:dyDescent="0.25">
      <c r="A62" s="43">
        <v>60</v>
      </c>
      <c r="B62" s="43" t="s">
        <v>3384</v>
      </c>
      <c r="C62" s="43" t="s">
        <v>3116</v>
      </c>
      <c r="D62" s="43" t="str">
        <f t="shared" si="0"/>
        <v>DungeonSiegeAttributeSet.FleeMaxDamageMod</v>
      </c>
      <c r="E62" s="43" t="s">
        <v>3356</v>
      </c>
      <c r="F62" s="43" t="str">
        <f t="shared" si="1"/>
        <v>UPROPERTY(EditAnywhere, BlueprintReadWrite, Category= "Status Damage", ReplicatedUsing= OnRep_FleeMaxDamageMod) FGameplayAttributeData FleeMaxDamageMod; ATTRIBUTE_ACCESSORS(UDungeonSiegeStatusEffectAttributeSet, FleeMaxDamageMod)</v>
      </c>
      <c r="G62" s="43" t="str">
        <f t="shared" si="2"/>
        <v>UFUNCTION() virtual void OnRep_FleeMaxDamageMod(const FGameplayAttributeData&amp; OldFleeMaxDamageMod);</v>
      </c>
      <c r="H62" s="43" t="str">
        <f t="shared" si="3"/>
        <v>void UDungeonSiegeStatusEffectAttributeSet::OnRep_FleeMaxDamageMod( const FGameplayAttributeData&amp; OldFleeMaxDamageMod){ GAMEPLAYATTRIBUTE_REPNOTIFY(UDungeonSiegeStatusEffectAttributeSet, FleeMaxDamageMod,  OldFleeMaxDamageMod);}</v>
      </c>
      <c r="I62" s="43"/>
      <c r="J62" s="43"/>
      <c r="K62" s="43"/>
      <c r="L62" s="43"/>
      <c r="M62" s="43"/>
      <c r="N62" s="43"/>
      <c r="O62" s="43"/>
    </row>
    <row r="63" spans="1:15" ht="22.5" x14ac:dyDescent="0.25">
      <c r="A63" s="43">
        <v>61</v>
      </c>
      <c r="B63" s="43" t="s">
        <v>3384</v>
      </c>
      <c r="C63" s="43" t="s">
        <v>3117</v>
      </c>
      <c r="D63" s="43" t="str">
        <f t="shared" si="0"/>
        <v>DungeonSiegeAttributeSet.ChanceToParalyze</v>
      </c>
      <c r="E63" s="43" t="s">
        <v>3356</v>
      </c>
      <c r="F63" s="43" t="str">
        <f t="shared" si="1"/>
        <v>UPROPERTY(EditAnywhere, BlueprintReadWrite, Category= "Status Damage", ReplicatedUsing= OnRep_ChanceToParalyze) FGameplayAttributeData ChanceToParalyze; ATTRIBUTE_ACCESSORS(UDungeonSiegeStatusEffectAttributeSet, ChanceToParalyze)</v>
      </c>
      <c r="G63" s="43" t="str">
        <f t="shared" si="2"/>
        <v>UFUNCTION() virtual void OnRep_ChanceToParalyze(const FGameplayAttributeData&amp; OldChanceToParalyze);</v>
      </c>
      <c r="H63" s="43" t="str">
        <f t="shared" si="3"/>
        <v>void UDungeonSiegeStatusEffectAttributeSet::OnRep_ChanceToParalyze( const FGameplayAttributeData&amp; OldChanceToParalyze){ GAMEPLAYATTRIBUTE_REPNOTIFY(UDungeonSiegeStatusEffectAttributeSet, ChanceToParalyze,  OldChanceToParalyze);}</v>
      </c>
      <c r="I63" s="43"/>
      <c r="J63" s="43"/>
      <c r="K63" s="43"/>
      <c r="L63" s="43"/>
      <c r="M63" s="43"/>
      <c r="N63" s="43"/>
      <c r="O63" s="43"/>
    </row>
    <row r="64" spans="1:15" ht="22.5" x14ac:dyDescent="0.25">
      <c r="A64" s="43">
        <v>62</v>
      </c>
      <c r="B64" s="43" t="s">
        <v>3384</v>
      </c>
      <c r="C64" s="43" t="s">
        <v>3118</v>
      </c>
      <c r="D64" s="43" t="str">
        <f t="shared" si="0"/>
        <v>DungeonSiegeAttributeSet.ParalyzeMinDamageMod</v>
      </c>
      <c r="E64" s="43" t="s">
        <v>3356</v>
      </c>
      <c r="F64" s="43" t="str">
        <f t="shared" si="1"/>
        <v>UPROPERTY(EditAnywhere, BlueprintReadWrite, Category= "Status Damage", ReplicatedUsing= OnRep_ParalyzeMinDamageMod) FGameplayAttributeData ParalyzeMinDamageMod; ATTRIBUTE_ACCESSORS(UDungeonSiegeStatusEffectAttributeSet, ParalyzeMinDamageMod)</v>
      </c>
      <c r="G64" s="43" t="str">
        <f t="shared" si="2"/>
        <v>UFUNCTION() virtual void OnRep_ParalyzeMinDamageMod(const FGameplayAttributeData&amp; OldParalyzeMinDamageMod);</v>
      </c>
      <c r="H64" s="43" t="str">
        <f t="shared" si="3"/>
        <v>void UDungeonSiegeStatusEffectAttributeSet::OnRep_ParalyzeMinDamageMod( const FGameplayAttributeData&amp; OldParalyzeMinDamageMod){ GAMEPLAYATTRIBUTE_REPNOTIFY(UDungeonSiegeStatusEffectAttributeSet, ParalyzeMinDamageMod,  OldParalyzeMinDamageMod);}</v>
      </c>
      <c r="I64" s="43"/>
      <c r="J64" s="43"/>
      <c r="K64" s="43"/>
      <c r="L64" s="43"/>
      <c r="M64" s="43"/>
      <c r="N64" s="43"/>
      <c r="O64" s="43"/>
    </row>
    <row r="65" spans="1:15" ht="22.5" x14ac:dyDescent="0.25">
      <c r="A65" s="43">
        <v>63</v>
      </c>
      <c r="B65" s="43" t="s">
        <v>3384</v>
      </c>
      <c r="C65" s="43" t="s">
        <v>3119</v>
      </c>
      <c r="D65" s="43" t="str">
        <f t="shared" si="0"/>
        <v>DungeonSiegeAttributeSet.ParalyzeMaxDamageMod</v>
      </c>
      <c r="E65" s="43" t="s">
        <v>3356</v>
      </c>
      <c r="F65" s="43" t="str">
        <f t="shared" si="1"/>
        <v>UPROPERTY(EditAnywhere, BlueprintReadWrite, Category= "Status Damage", ReplicatedUsing= OnRep_ParalyzeMaxDamageMod) FGameplayAttributeData ParalyzeMaxDamageMod; ATTRIBUTE_ACCESSORS(UDungeonSiegeStatusEffectAttributeSet, ParalyzeMaxDamageMod)</v>
      </c>
      <c r="G65" s="43" t="str">
        <f t="shared" si="2"/>
        <v>UFUNCTION() virtual void OnRep_ParalyzeMaxDamageMod(const FGameplayAttributeData&amp; OldParalyzeMaxDamageMod);</v>
      </c>
      <c r="H65" s="43" t="str">
        <f t="shared" si="3"/>
        <v>void UDungeonSiegeStatusEffectAttributeSet::OnRep_ParalyzeMaxDamageMod( const FGameplayAttributeData&amp; OldParalyzeMaxDamageMod){ GAMEPLAYATTRIBUTE_REPNOTIFY(UDungeonSiegeStatusEffectAttributeSet, ParalyzeMaxDamageMod,  OldParalyzeMaxDamageMod);}</v>
      </c>
      <c r="I65" s="43"/>
      <c r="J65" s="43"/>
      <c r="K65" s="43"/>
      <c r="L65" s="43"/>
      <c r="M65" s="43"/>
      <c r="N65" s="43"/>
      <c r="O65" s="43"/>
    </row>
    <row r="66" spans="1:15" ht="22.5" x14ac:dyDescent="0.25">
      <c r="A66" s="43">
        <v>64</v>
      </c>
      <c r="B66" s="43" t="s">
        <v>3384</v>
      </c>
      <c r="C66" s="43" t="s">
        <v>3120</v>
      </c>
      <c r="D66" s="43" t="str">
        <f t="shared" si="0"/>
        <v>DungeonSiegeAttributeSet.ChanceToPetrify</v>
      </c>
      <c r="E66" s="43" t="s">
        <v>3356</v>
      </c>
      <c r="F66" s="43" t="str">
        <f t="shared" si="1"/>
        <v>UPROPERTY(EditAnywhere, BlueprintReadWrite, Category= "Status Damage", ReplicatedUsing= OnRep_ChanceToPetrify) FGameplayAttributeData ChanceToPetrify; ATTRIBUTE_ACCESSORS(UDungeonSiegeStatusEffectAttributeSet, ChanceToPetrify)</v>
      </c>
      <c r="G66" s="43" t="str">
        <f t="shared" si="2"/>
        <v>UFUNCTION() virtual void OnRep_ChanceToPetrify(const FGameplayAttributeData&amp; OldChanceToPetrify);</v>
      </c>
      <c r="H66" s="43" t="str">
        <f t="shared" si="3"/>
        <v>void UDungeonSiegeStatusEffectAttributeSet::OnRep_ChanceToPetrify( const FGameplayAttributeData&amp; OldChanceToPetrify){ GAMEPLAYATTRIBUTE_REPNOTIFY(UDungeonSiegeStatusEffectAttributeSet, ChanceToPetrify,  OldChanceToPetrify);}</v>
      </c>
      <c r="I66" s="43"/>
      <c r="J66" s="43"/>
      <c r="K66" s="43"/>
      <c r="L66" s="43"/>
      <c r="M66" s="43"/>
      <c r="N66" s="43"/>
      <c r="O66" s="43"/>
    </row>
    <row r="67" spans="1:15" ht="22.5" x14ac:dyDescent="0.25">
      <c r="A67" s="43">
        <v>65</v>
      </c>
      <c r="B67" s="43" t="s">
        <v>3384</v>
      </c>
      <c r="C67" s="43" t="s">
        <v>3121</v>
      </c>
      <c r="D67" s="43" t="str">
        <f t="shared" si="0"/>
        <v>DungeonSiegeAttributeSet.PetrifyMinDamageMod</v>
      </c>
      <c r="E67" s="43" t="s">
        <v>3356</v>
      </c>
      <c r="F67" s="43" t="str">
        <f t="shared" si="1"/>
        <v>UPROPERTY(EditAnywhere, BlueprintReadWrite, Category= "Status Damage", ReplicatedUsing= OnRep_PetrifyMinDamageMod) FGameplayAttributeData PetrifyMinDamageMod; ATTRIBUTE_ACCESSORS(UDungeonSiegeStatusEffectAttributeSet, PetrifyMinDamageMod)</v>
      </c>
      <c r="G67" s="43" t="str">
        <f t="shared" si="2"/>
        <v>UFUNCTION() virtual void OnRep_PetrifyMinDamageMod(const FGameplayAttributeData&amp; OldPetrifyMinDamageMod);</v>
      </c>
      <c r="H67" s="43" t="str">
        <f t="shared" si="3"/>
        <v>void UDungeonSiegeStatusEffectAttributeSet::OnRep_PetrifyMinDamageMod( const FGameplayAttributeData&amp; OldPetrifyMinDamageMod){ GAMEPLAYATTRIBUTE_REPNOTIFY(UDungeonSiegeStatusEffectAttributeSet, PetrifyMinDamageMod,  OldPetrifyMinDamageMod);}</v>
      </c>
      <c r="I67" s="43"/>
      <c r="J67" s="43"/>
      <c r="K67" s="43"/>
      <c r="L67" s="43"/>
      <c r="M67" s="43"/>
      <c r="N67" s="43"/>
      <c r="O67" s="43"/>
    </row>
    <row r="68" spans="1:15" ht="22.5" x14ac:dyDescent="0.25">
      <c r="A68" s="43">
        <v>66</v>
      </c>
      <c r="B68" s="43" t="s">
        <v>3384</v>
      </c>
      <c r="C68" s="43" t="s">
        <v>3122</v>
      </c>
      <c r="D68" s="43" t="str">
        <f t="shared" si="0"/>
        <v>DungeonSiegeAttributeSet.PetrifyMaxDamageMod</v>
      </c>
      <c r="E68" s="43" t="s">
        <v>3356</v>
      </c>
      <c r="F68" s="43" t="str">
        <f t="shared" si="1"/>
        <v>UPROPERTY(EditAnywhere, BlueprintReadWrite, Category= "Status Damage", ReplicatedUsing= OnRep_PetrifyMaxDamageMod) FGameplayAttributeData PetrifyMaxDamageMod; ATTRIBUTE_ACCESSORS(UDungeonSiegeStatusEffectAttributeSet, PetrifyMaxDamageMod)</v>
      </c>
      <c r="G68" s="43" t="str">
        <f t="shared" si="2"/>
        <v>UFUNCTION() virtual void OnRep_PetrifyMaxDamageMod(const FGameplayAttributeData&amp; OldPetrifyMaxDamageMod);</v>
      </c>
      <c r="H68" s="43" t="str">
        <f t="shared" si="3"/>
        <v>void UDungeonSiegeStatusEffectAttributeSet::OnRep_PetrifyMaxDamageMod( const FGameplayAttributeData&amp; OldPetrifyMaxDamageMod){ GAMEPLAYATTRIBUTE_REPNOTIFY(UDungeonSiegeStatusEffectAttributeSet, PetrifyMaxDamageMod,  OldPetrifyMaxDamageMod);}</v>
      </c>
      <c r="I68" s="43"/>
      <c r="J68" s="43"/>
      <c r="K68" s="43"/>
      <c r="L68" s="43"/>
      <c r="M68" s="43"/>
      <c r="N68" s="43"/>
      <c r="O68" s="43"/>
    </row>
    <row r="69" spans="1:15" ht="22.5" x14ac:dyDescent="0.25">
      <c r="A69" s="43">
        <v>67</v>
      </c>
      <c r="B69" s="43" t="s">
        <v>3384</v>
      </c>
      <c r="C69" s="43" t="s">
        <v>3123</v>
      </c>
      <c r="D69" s="43" t="str">
        <f t="shared" si="0"/>
        <v>DungeonSiegeAttributeSet.ChanceToTurnToStone</v>
      </c>
      <c r="E69" s="43" t="s">
        <v>3356</v>
      </c>
      <c r="F69" s="43" t="str">
        <f t="shared" si="1"/>
        <v>UPROPERTY(EditAnywhere, BlueprintReadWrite, Category= "Status Damage", ReplicatedUsing= OnRep_ChanceToTurnToStone) FGameplayAttributeData ChanceToTurnToStone; ATTRIBUTE_ACCESSORS(UDungeonSiegeStatusEffectAttributeSet, ChanceToTurnToStone)</v>
      </c>
      <c r="G69" s="43" t="str">
        <f t="shared" si="2"/>
        <v>UFUNCTION() virtual void OnRep_ChanceToTurnToStone(const FGameplayAttributeData&amp; OldChanceToTurnToStone);</v>
      </c>
      <c r="H69" s="43" t="str">
        <f t="shared" si="3"/>
        <v>void UDungeonSiegeStatusEffectAttributeSet::OnRep_ChanceToTurnToStone( const FGameplayAttributeData&amp; OldChanceToTurnToStone){ GAMEPLAYATTRIBUTE_REPNOTIFY(UDungeonSiegeStatusEffectAttributeSet, ChanceToTurnToStone,  OldChanceToTurnToStone);}</v>
      </c>
      <c r="I69" s="43"/>
      <c r="J69" s="43"/>
      <c r="K69" s="43"/>
      <c r="L69" s="43"/>
      <c r="M69" s="43"/>
      <c r="N69" s="43"/>
      <c r="O69" s="43"/>
    </row>
    <row r="70" spans="1:15" ht="22.5" x14ac:dyDescent="0.25">
      <c r="A70" s="43">
        <v>68</v>
      </c>
      <c r="B70" s="43" t="s">
        <v>3384</v>
      </c>
      <c r="C70" s="43" t="s">
        <v>3124</v>
      </c>
      <c r="D70" s="43" t="str">
        <f t="shared" si="0"/>
        <v>DungeonSiegeAttributeSet.StoningMinDamageMod</v>
      </c>
      <c r="E70" s="43" t="s">
        <v>3356</v>
      </c>
      <c r="F70" s="43" t="str">
        <f t="shared" si="1"/>
        <v>UPROPERTY(EditAnywhere, BlueprintReadWrite, Category= "Status Damage", ReplicatedUsing= OnRep_StoningMinDamageMod) FGameplayAttributeData StoningMinDamageMod; ATTRIBUTE_ACCESSORS(UDungeonSiegeStatusEffectAttributeSet, StoningMinDamageMod)</v>
      </c>
      <c r="G70" s="43" t="str">
        <f t="shared" si="2"/>
        <v>UFUNCTION() virtual void OnRep_StoningMinDamageMod(const FGameplayAttributeData&amp; OldStoningMinDamageMod);</v>
      </c>
      <c r="H70" s="43" t="str">
        <f t="shared" si="3"/>
        <v>void UDungeonSiegeStatusEffectAttributeSet::OnRep_StoningMinDamageMod( const FGameplayAttributeData&amp; OldStoningMinDamageMod){ GAMEPLAYATTRIBUTE_REPNOTIFY(UDungeonSiegeStatusEffectAttributeSet, StoningMinDamageMod,  OldStoningMinDamageMod);}</v>
      </c>
      <c r="I70" s="43"/>
      <c r="J70" s="43"/>
      <c r="K70" s="43"/>
      <c r="L70" s="43"/>
      <c r="M70" s="43"/>
      <c r="N70" s="43"/>
      <c r="O70" s="43"/>
    </row>
    <row r="71" spans="1:15" ht="22.5" x14ac:dyDescent="0.25">
      <c r="A71" s="43">
        <v>69</v>
      </c>
      <c r="B71" s="43" t="s">
        <v>3384</v>
      </c>
      <c r="C71" s="43" t="s">
        <v>3125</v>
      </c>
      <c r="D71" s="43" t="str">
        <f t="shared" si="0"/>
        <v>DungeonSiegeAttributeSet.StoningMaxDamageMod</v>
      </c>
      <c r="E71" s="43" t="s">
        <v>3356</v>
      </c>
      <c r="F71" s="43" t="str">
        <f t="shared" si="1"/>
        <v>UPROPERTY(EditAnywhere, BlueprintReadWrite, Category= "Status Damage", ReplicatedUsing= OnRep_StoningMaxDamageMod) FGameplayAttributeData StoningMaxDamageMod; ATTRIBUTE_ACCESSORS(UDungeonSiegeStatusEffectAttributeSet, StoningMaxDamageMod)</v>
      </c>
      <c r="G71" s="43" t="str">
        <f t="shared" si="2"/>
        <v>UFUNCTION() virtual void OnRep_StoningMaxDamageMod(const FGameplayAttributeData&amp; OldStoningMaxDamageMod);</v>
      </c>
      <c r="H71" s="43" t="str">
        <f t="shared" si="3"/>
        <v>void UDungeonSiegeStatusEffectAttributeSet::OnRep_StoningMaxDamageMod( const FGameplayAttributeData&amp; OldStoningMaxDamageMod){ GAMEPLAYATTRIBUTE_REPNOTIFY(UDungeonSiegeStatusEffectAttributeSet, StoningMaxDamageMod,  OldStoningMaxDamageMod);}</v>
      </c>
      <c r="I71" s="43"/>
      <c r="J71" s="43"/>
      <c r="K71" s="43"/>
      <c r="L71" s="43"/>
      <c r="M71" s="43"/>
      <c r="N71" s="43"/>
      <c r="O71" s="43"/>
    </row>
    <row r="72" spans="1:15" ht="22.5" x14ac:dyDescent="0.25">
      <c r="A72" s="43">
        <v>70</v>
      </c>
      <c r="B72" s="43" t="s">
        <v>3384</v>
      </c>
      <c r="C72" s="43" t="s">
        <v>3126</v>
      </c>
      <c r="D72" s="43" t="str">
        <f t="shared" si="0"/>
        <v>DungeonSiegeAttributeSet.ChanceToStun</v>
      </c>
      <c r="E72" s="43" t="s">
        <v>3356</v>
      </c>
      <c r="F72" s="43" t="str">
        <f t="shared" ref="F72:F129" si="4">"UPROPERTY(EditAnywhere, BlueprintReadWrite, Category= """&amp; E72 &amp;""", ReplicatedUsing= OnRep_" &amp; C72 &amp;") FGameplayAttributeData " &amp; C72 &amp; "; ATTRIBUTE_ACCESSORS(U"&amp; B72 &amp;", " &amp; C72 &amp;")"</f>
        <v>UPROPERTY(EditAnywhere, BlueprintReadWrite, Category= "Status Damage", ReplicatedUsing= OnRep_ChanceToStun) FGameplayAttributeData ChanceToStun; ATTRIBUTE_ACCESSORS(UDungeonSiegeStatusEffectAttributeSet, ChanceToStun)</v>
      </c>
      <c r="G72" s="43" t="str">
        <f t="shared" ref="G72:G103" si="5">"UFUNCTION() virtual void OnRep_" &amp; C72 &amp;"(const FGameplayAttributeData&amp; Old" &amp; C72 &amp;");"</f>
        <v>UFUNCTION() virtual void OnRep_ChanceToStun(const FGameplayAttributeData&amp; OldChanceToStun);</v>
      </c>
      <c r="H72" s="43" t="str">
        <f t="shared" ref="H72:H134" si="6">"void U"&amp; B72 &amp;"::OnRep_" &amp; C72 &amp;"( const FGameplayAttributeData&amp; Old" &amp; C72 &amp;"){ GAMEPLAYATTRIBUTE_REPNOTIFY(U"&amp; B72 &amp; ", " &amp; C72 &amp; ",  Old" &amp; C72 &amp;");}"</f>
        <v>void UDungeonSiegeStatusEffectAttributeSet::OnRep_ChanceToStun( const FGameplayAttributeData&amp; OldChanceToStun){ GAMEPLAYATTRIBUTE_REPNOTIFY(UDungeonSiegeStatusEffectAttributeSet, ChanceToStun,  OldChanceToStun);}</v>
      </c>
      <c r="I72" s="43"/>
      <c r="J72" s="43"/>
      <c r="K72" s="43"/>
      <c r="L72" s="43"/>
      <c r="M72" s="43"/>
      <c r="N72" s="43"/>
      <c r="O72" s="43"/>
    </row>
    <row r="73" spans="1:15" ht="22.5" x14ac:dyDescent="0.25">
      <c r="A73" s="43">
        <v>71</v>
      </c>
      <c r="B73" s="43" t="s">
        <v>3384</v>
      </c>
      <c r="C73" s="43" t="s">
        <v>3127</v>
      </c>
      <c r="D73" s="43" t="str">
        <f t="shared" ref="D73:D122" si="7">CONCATENATE("DungeonSiegeAttributeSet.",C73)</f>
        <v>DungeonSiegeAttributeSet.StunMinDamageMod</v>
      </c>
      <c r="E73" s="43" t="s">
        <v>3356</v>
      </c>
      <c r="F73" s="43" t="str">
        <f t="shared" si="4"/>
        <v>UPROPERTY(EditAnywhere, BlueprintReadWrite, Category= "Status Damage", ReplicatedUsing= OnRep_StunMinDamageMod) FGameplayAttributeData StunMinDamageMod; ATTRIBUTE_ACCESSORS(UDungeonSiegeStatusEffectAttributeSet, StunMinDamageMod)</v>
      </c>
      <c r="G73" s="43" t="str">
        <f t="shared" si="5"/>
        <v>UFUNCTION() virtual void OnRep_StunMinDamageMod(const FGameplayAttributeData&amp; OldStunMinDamageMod);</v>
      </c>
      <c r="H73" s="43" t="str">
        <f t="shared" si="6"/>
        <v>void UDungeonSiegeStatusEffectAttributeSet::OnRep_StunMinDamageMod( const FGameplayAttributeData&amp; OldStunMinDamageMod){ GAMEPLAYATTRIBUTE_REPNOTIFY(UDungeonSiegeStatusEffectAttributeSet, StunMinDamageMod,  OldStunMinDamageMod);}</v>
      </c>
      <c r="I73" s="43"/>
      <c r="J73" s="43"/>
      <c r="K73" s="43"/>
      <c r="L73" s="43"/>
      <c r="M73" s="43"/>
      <c r="N73" s="43"/>
      <c r="O73" s="43"/>
    </row>
    <row r="74" spans="1:15" ht="22.5" x14ac:dyDescent="0.25">
      <c r="A74" s="43">
        <v>72</v>
      </c>
      <c r="B74" s="43" t="s">
        <v>3384</v>
      </c>
      <c r="C74" s="43" t="s">
        <v>3128</v>
      </c>
      <c r="D74" s="43" t="str">
        <f t="shared" si="7"/>
        <v>DungeonSiegeAttributeSet.StunMaxDamageMod</v>
      </c>
      <c r="E74" s="43" t="s">
        <v>3356</v>
      </c>
      <c r="F74" s="43" t="str">
        <f t="shared" si="4"/>
        <v>UPROPERTY(EditAnywhere, BlueprintReadWrite, Category= "Status Damage", ReplicatedUsing= OnRep_StunMaxDamageMod) FGameplayAttributeData StunMaxDamageMod; ATTRIBUTE_ACCESSORS(UDungeonSiegeStatusEffectAttributeSet, StunMaxDamageMod)</v>
      </c>
      <c r="G74" s="43" t="str">
        <f t="shared" si="5"/>
        <v>UFUNCTION() virtual void OnRep_StunMaxDamageMod(const FGameplayAttributeData&amp; OldStunMaxDamageMod);</v>
      </c>
      <c r="H74" s="43" t="str">
        <f t="shared" si="6"/>
        <v>void UDungeonSiegeStatusEffectAttributeSet::OnRep_StunMaxDamageMod( const FGameplayAttributeData&amp; OldStunMaxDamageMod){ GAMEPLAYATTRIBUTE_REPNOTIFY(UDungeonSiegeStatusEffectAttributeSet, StunMaxDamageMod,  OldStunMaxDamageMod);}</v>
      </c>
      <c r="I74" s="43"/>
      <c r="J74" s="43"/>
      <c r="K74" s="43"/>
      <c r="L74" s="43"/>
      <c r="M74" s="43"/>
      <c r="N74" s="43"/>
      <c r="O74" s="43"/>
    </row>
    <row r="75" spans="1:15" ht="22.5" x14ac:dyDescent="0.25">
      <c r="A75" s="43">
        <v>73</v>
      </c>
      <c r="B75" s="43" t="s">
        <v>3384</v>
      </c>
      <c r="C75" s="43" t="s">
        <v>3129</v>
      </c>
      <c r="D75" s="43" t="str">
        <f t="shared" si="7"/>
        <v>DungeonSiegeAttributeSet.ChanceToStupify</v>
      </c>
      <c r="E75" s="43" t="s">
        <v>3356</v>
      </c>
      <c r="F75" s="43" t="str">
        <f t="shared" si="4"/>
        <v>UPROPERTY(EditAnywhere, BlueprintReadWrite, Category= "Status Damage", ReplicatedUsing= OnRep_ChanceToStupify) FGameplayAttributeData ChanceToStupify; ATTRIBUTE_ACCESSORS(UDungeonSiegeStatusEffectAttributeSet, ChanceToStupify)</v>
      </c>
      <c r="G75" s="43" t="str">
        <f t="shared" si="5"/>
        <v>UFUNCTION() virtual void OnRep_ChanceToStupify(const FGameplayAttributeData&amp; OldChanceToStupify);</v>
      </c>
      <c r="H75" s="43" t="str">
        <f t="shared" si="6"/>
        <v>void UDungeonSiegeStatusEffectAttributeSet::OnRep_ChanceToStupify( const FGameplayAttributeData&amp; OldChanceToStupify){ GAMEPLAYATTRIBUTE_REPNOTIFY(UDungeonSiegeStatusEffectAttributeSet, ChanceToStupify,  OldChanceToStupify);}</v>
      </c>
      <c r="I75" s="43"/>
      <c r="J75" s="43"/>
      <c r="K75" s="43"/>
      <c r="L75" s="43"/>
      <c r="M75" s="43"/>
      <c r="N75" s="43"/>
      <c r="O75" s="43"/>
    </row>
    <row r="76" spans="1:15" ht="22.5" x14ac:dyDescent="0.25">
      <c r="A76" s="43">
        <v>74</v>
      </c>
      <c r="B76" s="43" t="s">
        <v>3384</v>
      </c>
      <c r="C76" s="43" t="s">
        <v>3130</v>
      </c>
      <c r="D76" s="43" t="str">
        <f t="shared" si="7"/>
        <v>DungeonSiegeAttributeSet.StupifyMinDamageMod</v>
      </c>
      <c r="E76" s="43" t="s">
        <v>3356</v>
      </c>
      <c r="F76" s="43" t="str">
        <f t="shared" si="4"/>
        <v>UPROPERTY(EditAnywhere, BlueprintReadWrite, Category= "Status Damage", ReplicatedUsing= OnRep_StupifyMinDamageMod) FGameplayAttributeData StupifyMinDamageMod; ATTRIBUTE_ACCESSORS(UDungeonSiegeStatusEffectAttributeSet, StupifyMinDamageMod)</v>
      </c>
      <c r="G76" s="43" t="str">
        <f t="shared" si="5"/>
        <v>UFUNCTION() virtual void OnRep_StupifyMinDamageMod(const FGameplayAttributeData&amp; OldStupifyMinDamageMod);</v>
      </c>
      <c r="H76" s="43" t="str">
        <f t="shared" si="6"/>
        <v>void UDungeonSiegeStatusEffectAttributeSet::OnRep_StupifyMinDamageMod( const FGameplayAttributeData&amp; OldStupifyMinDamageMod){ GAMEPLAYATTRIBUTE_REPNOTIFY(UDungeonSiegeStatusEffectAttributeSet, StupifyMinDamageMod,  OldStupifyMinDamageMod);}</v>
      </c>
      <c r="I76" s="43"/>
      <c r="J76" s="43"/>
      <c r="K76" s="43"/>
      <c r="L76" s="43"/>
      <c r="M76" s="43"/>
      <c r="N76" s="43"/>
      <c r="O76" s="43"/>
    </row>
    <row r="77" spans="1:15" ht="22.5" x14ac:dyDescent="0.25">
      <c r="A77" s="43">
        <v>75</v>
      </c>
      <c r="B77" s="43" t="s">
        <v>3384</v>
      </c>
      <c r="C77" s="43" t="s">
        <v>3131</v>
      </c>
      <c r="D77" s="43" t="str">
        <f t="shared" si="7"/>
        <v>DungeonSiegeAttributeSet.StupifyMaxDamageMod</v>
      </c>
      <c r="E77" s="43" t="s">
        <v>3356</v>
      </c>
      <c r="F77" s="43" t="str">
        <f t="shared" si="4"/>
        <v>UPROPERTY(EditAnywhere, BlueprintReadWrite, Category= "Status Damage", ReplicatedUsing= OnRep_StupifyMaxDamageMod) FGameplayAttributeData StupifyMaxDamageMod; ATTRIBUTE_ACCESSORS(UDungeonSiegeStatusEffectAttributeSet, StupifyMaxDamageMod)</v>
      </c>
      <c r="G77" s="43" t="str">
        <f t="shared" si="5"/>
        <v>UFUNCTION() virtual void OnRep_StupifyMaxDamageMod(const FGameplayAttributeData&amp; OldStupifyMaxDamageMod);</v>
      </c>
      <c r="H77" s="43" t="str">
        <f t="shared" si="6"/>
        <v>void UDungeonSiegeStatusEffectAttributeSet::OnRep_StupifyMaxDamageMod( const FGameplayAttributeData&amp; OldStupifyMaxDamageMod){ GAMEPLAYATTRIBUTE_REPNOTIFY(UDungeonSiegeStatusEffectAttributeSet, StupifyMaxDamageMod,  OldStupifyMaxDamageMod);}</v>
      </c>
      <c r="I77" s="43"/>
      <c r="J77" s="43"/>
      <c r="K77" s="43"/>
      <c r="L77" s="43"/>
      <c r="M77" s="43"/>
      <c r="N77" s="43"/>
      <c r="O77" s="43"/>
    </row>
    <row r="78" spans="1:15" ht="22.5" x14ac:dyDescent="0.25">
      <c r="A78" s="43">
        <v>76</v>
      </c>
      <c r="B78" s="43" t="s">
        <v>3385</v>
      </c>
      <c r="C78" s="43" t="s">
        <v>3132</v>
      </c>
      <c r="D78" s="43" t="str">
        <f t="shared" si="7"/>
        <v>DungeonSiegeAttributeSet.LightningMinDamageMod</v>
      </c>
      <c r="E78" s="43" t="s">
        <v>3355</v>
      </c>
      <c r="F78" s="43" t="str">
        <f t="shared" si="4"/>
        <v>UPROPERTY(EditAnywhere, BlueprintReadWrite, Category= "Elemental Damage", ReplicatedUsing= OnRep_LightningMinDamageMod) FGameplayAttributeData LightningMinDamageMod; ATTRIBUTE_ACCESSORS(UDungeonSiegeElementalAttributeSet, LightningMinDamageMod)</v>
      </c>
      <c r="G78" s="43" t="str">
        <f t="shared" si="5"/>
        <v>UFUNCTION() virtual void OnRep_LightningMinDamageMod(const FGameplayAttributeData&amp; OldLightningMinDamageMod);</v>
      </c>
      <c r="H78" s="43" t="str">
        <f t="shared" si="6"/>
        <v>void UDungeonSiegeElementalAttributeSet::OnRep_LightningMinDamageMod( const FGameplayAttributeData&amp; OldLightningMinDamageMod){ GAMEPLAYATTRIBUTE_REPNOTIFY(UDungeonSiegeElementalAttributeSet, LightningMinDamageMod,  OldLightningMinDamageMod);}</v>
      </c>
      <c r="I78" s="43"/>
      <c r="J78" s="43"/>
      <c r="K78" s="43"/>
      <c r="L78" s="43"/>
      <c r="M78" s="43"/>
      <c r="N78" s="43"/>
      <c r="O78" s="43"/>
    </row>
    <row r="79" spans="1:15" ht="22.5" x14ac:dyDescent="0.25">
      <c r="A79" s="43">
        <v>77</v>
      </c>
      <c r="B79" s="43" t="s">
        <v>3385</v>
      </c>
      <c r="C79" s="43" t="s">
        <v>3133</v>
      </c>
      <c r="D79" s="43" t="str">
        <f t="shared" si="7"/>
        <v>DungeonSiegeAttributeSet.LightningMaxDamageMod</v>
      </c>
      <c r="E79" s="43" t="s">
        <v>3355</v>
      </c>
      <c r="F79" s="43" t="str">
        <f t="shared" si="4"/>
        <v>UPROPERTY(EditAnywhere, BlueprintReadWrite, Category= "Elemental Damage", ReplicatedUsing= OnRep_LightningMaxDamageMod) FGameplayAttributeData LightningMaxDamageMod; ATTRIBUTE_ACCESSORS(UDungeonSiegeElementalAttributeSet, LightningMaxDamageMod)</v>
      </c>
      <c r="G79" s="43" t="str">
        <f t="shared" si="5"/>
        <v>UFUNCTION() virtual void OnRep_LightningMaxDamageMod(const FGameplayAttributeData&amp; OldLightningMaxDamageMod);</v>
      </c>
      <c r="H79" s="43" t="str">
        <f t="shared" si="6"/>
        <v>void UDungeonSiegeElementalAttributeSet::OnRep_LightningMaxDamageMod( const FGameplayAttributeData&amp; OldLightningMaxDamageMod){ GAMEPLAYATTRIBUTE_REPNOTIFY(UDungeonSiegeElementalAttributeSet, LightningMaxDamageMod,  OldLightningMaxDamageMod);}</v>
      </c>
      <c r="I79" s="43"/>
      <c r="J79" s="43"/>
      <c r="K79" s="43"/>
      <c r="L79" s="43"/>
      <c r="M79" s="43"/>
      <c r="N79" s="43"/>
      <c r="O79" s="43"/>
    </row>
    <row r="80" spans="1:15" x14ac:dyDescent="0.25">
      <c r="A80" s="43">
        <v>78</v>
      </c>
      <c r="B80" s="43" t="s">
        <v>3389</v>
      </c>
      <c r="C80" s="43" t="s">
        <v>3229</v>
      </c>
      <c r="D80" s="43" t="str">
        <f t="shared" si="7"/>
        <v>DungeonSiegeAttributeSet.Health</v>
      </c>
      <c r="E80" s="43" t="s">
        <v>3229</v>
      </c>
      <c r="F80" s="43" t="str">
        <f t="shared" si="4"/>
        <v>UPROPERTY(EditAnywhere, BlueprintReadWrite, Category= "Health", ReplicatedUsing= OnRep_Health) FGameplayAttributeData Health; ATTRIBUTE_ACCESSORS(UDungeonSiegeHealthAttributeSet, Health)</v>
      </c>
      <c r="G80" s="43" t="str">
        <f t="shared" si="5"/>
        <v>UFUNCTION() virtual void OnRep_Health(const FGameplayAttributeData&amp; OldHealth);</v>
      </c>
      <c r="H80" s="43" t="str">
        <f t="shared" si="6"/>
        <v>void UDungeonSiegeHealthAttributeSet::OnRep_Health( const FGameplayAttributeData&amp; OldHealth){ GAMEPLAYATTRIBUTE_REPNOTIFY(UDungeonSiegeHealthAttributeSet, Health,  OldHealth);}</v>
      </c>
      <c r="I80" s="43"/>
      <c r="J80" s="43"/>
      <c r="K80" s="43"/>
      <c r="L80" s="43"/>
      <c r="M80" s="43"/>
      <c r="N80" s="43"/>
      <c r="O80" s="43"/>
    </row>
    <row r="81" spans="1:15" ht="22.5" x14ac:dyDescent="0.25">
      <c r="A81" s="43">
        <v>79</v>
      </c>
      <c r="B81" s="43" t="s">
        <v>3389</v>
      </c>
      <c r="C81" s="43" t="s">
        <v>3230</v>
      </c>
      <c r="D81" s="43" t="str">
        <f t="shared" si="7"/>
        <v>DungeonSiegeAttributeSet.BaseHealth</v>
      </c>
      <c r="E81" s="43" t="s">
        <v>3229</v>
      </c>
      <c r="F81" s="43" t="str">
        <f t="shared" si="4"/>
        <v>UPROPERTY(EditAnywhere, BlueprintReadWrite, Category= "Health", ReplicatedUsing= OnRep_BaseHealth) FGameplayAttributeData BaseHealth; ATTRIBUTE_ACCESSORS(UDungeonSiegeHealthAttributeSet, BaseHealth)</v>
      </c>
      <c r="G81" s="43" t="str">
        <f t="shared" si="5"/>
        <v>UFUNCTION() virtual void OnRep_BaseHealth(const FGameplayAttributeData&amp; OldBaseHealth);</v>
      </c>
      <c r="H81" s="43" t="str">
        <f t="shared" si="6"/>
        <v>void UDungeonSiegeHealthAttributeSet::OnRep_BaseHealth( const FGameplayAttributeData&amp; OldBaseHealth){ GAMEPLAYATTRIBUTE_REPNOTIFY(UDungeonSiegeHealthAttributeSet, BaseHealth,  OldBaseHealth);}</v>
      </c>
      <c r="I81" s="43"/>
      <c r="J81" s="43"/>
      <c r="K81" s="43"/>
      <c r="L81" s="43"/>
      <c r="M81" s="43"/>
      <c r="N81" s="43"/>
      <c r="O81" s="43"/>
    </row>
    <row r="82" spans="1:15" ht="22.5" x14ac:dyDescent="0.25">
      <c r="A82" s="43">
        <v>80</v>
      </c>
      <c r="B82" s="43" t="s">
        <v>3389</v>
      </c>
      <c r="C82" s="43" t="s">
        <v>3231</v>
      </c>
      <c r="D82" s="43" t="str">
        <f t="shared" si="7"/>
        <v>DungeonSiegeAttributeSet.BaseHealthBonus</v>
      </c>
      <c r="E82" s="43" t="s">
        <v>3229</v>
      </c>
      <c r="F82" s="43" t="str">
        <f t="shared" si="4"/>
        <v>UPROPERTY(EditAnywhere, BlueprintReadWrite, Category= "Health", ReplicatedUsing= OnRep_BaseHealthBonus) FGameplayAttributeData BaseHealthBonus; ATTRIBUTE_ACCESSORS(UDungeonSiegeHealthAttributeSet, BaseHealthBonus)</v>
      </c>
      <c r="G82" s="43" t="str">
        <f t="shared" si="5"/>
        <v>UFUNCTION() virtual void OnRep_BaseHealthBonus(const FGameplayAttributeData&amp; OldBaseHealthBonus);</v>
      </c>
      <c r="H82" s="43" t="str">
        <f t="shared" si="6"/>
        <v>void UDungeonSiegeHealthAttributeSet::OnRep_BaseHealthBonus( const FGameplayAttributeData&amp; OldBaseHealthBonus){ GAMEPLAYATTRIBUTE_REPNOTIFY(UDungeonSiegeHealthAttributeSet, BaseHealthBonus,  OldBaseHealthBonus);}</v>
      </c>
      <c r="I82" s="43"/>
      <c r="J82" s="43"/>
      <c r="K82" s="43"/>
      <c r="L82" s="43"/>
      <c r="M82" s="43"/>
      <c r="N82" s="43"/>
      <c r="O82" s="43"/>
    </row>
    <row r="83" spans="1:15" ht="22.5" x14ac:dyDescent="0.25">
      <c r="A83" s="43">
        <v>81</v>
      </c>
      <c r="B83" s="43" t="s">
        <v>3389</v>
      </c>
      <c r="C83" s="43" t="s">
        <v>3232</v>
      </c>
      <c r="D83" s="43" t="str">
        <f t="shared" si="7"/>
        <v>DungeonSiegeAttributeSet.BaseHealthPercentileBonus</v>
      </c>
      <c r="E83" s="43" t="s">
        <v>3229</v>
      </c>
      <c r="F83" s="43" t="str">
        <f t="shared" si="4"/>
        <v>UPROPERTY(EditAnywhere, BlueprintReadWrite, Category= "Health", ReplicatedUsing= OnRep_BaseHealthPercentileBonus) FGameplayAttributeData BaseHealthPercentileBonus; ATTRIBUTE_ACCESSORS(UDungeonSiegeHealthAttributeSet, BaseHealthPercentileBonus)</v>
      </c>
      <c r="G83" s="43" t="str">
        <f t="shared" si="5"/>
        <v>UFUNCTION() virtual void OnRep_BaseHealthPercentileBonus(const FGameplayAttributeData&amp; OldBaseHealthPercentileBonus);</v>
      </c>
      <c r="H83" s="43" t="str">
        <f t="shared" si="6"/>
        <v>void UDungeonSiegeHealthAttributeSet::OnRep_BaseHealthPercentileBonus( const FGameplayAttributeData&amp; OldBaseHealthPercentileBonus){ GAMEPLAYATTRIBUTE_REPNOTIFY(UDungeonSiegeHealthAttributeSet, BaseHealthPercentileBonus,  OldBaseHealthPercentileBonus);}</v>
      </c>
      <c r="I83" s="43"/>
      <c r="J83" s="43"/>
      <c r="K83" s="43"/>
      <c r="L83" s="43"/>
      <c r="M83" s="43"/>
      <c r="N83" s="43"/>
      <c r="O83" s="43"/>
    </row>
    <row r="84" spans="1:15" ht="22.5" x14ac:dyDescent="0.25">
      <c r="A84" s="43">
        <v>82</v>
      </c>
      <c r="B84" s="43" t="s">
        <v>3389</v>
      </c>
      <c r="C84" s="43" t="s">
        <v>3233</v>
      </c>
      <c r="D84" s="43" t="str">
        <f t="shared" si="7"/>
        <v>DungeonSiegeAttributeSet.MaxHealthBonus</v>
      </c>
      <c r="E84" s="43" t="s">
        <v>3229</v>
      </c>
      <c r="F84" s="43" t="str">
        <f t="shared" si="4"/>
        <v>UPROPERTY(EditAnywhere, BlueprintReadWrite, Category= "Health", ReplicatedUsing= OnRep_MaxHealthBonus) FGameplayAttributeData MaxHealthBonus; ATTRIBUTE_ACCESSORS(UDungeonSiegeHealthAttributeSet, MaxHealthBonus)</v>
      </c>
      <c r="G84" s="43" t="str">
        <f t="shared" si="5"/>
        <v>UFUNCTION() virtual void OnRep_MaxHealthBonus(const FGameplayAttributeData&amp; OldMaxHealthBonus);</v>
      </c>
      <c r="H84" s="43" t="str">
        <f t="shared" si="6"/>
        <v>void UDungeonSiegeHealthAttributeSet::OnRep_MaxHealthBonus( const FGameplayAttributeData&amp; OldMaxHealthBonus){ GAMEPLAYATTRIBUTE_REPNOTIFY(UDungeonSiegeHealthAttributeSet, MaxHealthBonus,  OldMaxHealthBonus);}</v>
      </c>
      <c r="I84" s="43"/>
      <c r="J84" s="43"/>
      <c r="K84" s="43"/>
      <c r="L84" s="43"/>
      <c r="M84" s="43"/>
      <c r="N84" s="43"/>
      <c r="O84" s="43"/>
    </row>
    <row r="85" spans="1:15" ht="22.5" x14ac:dyDescent="0.25">
      <c r="A85" s="43">
        <v>83</v>
      </c>
      <c r="B85" s="43" t="s">
        <v>3389</v>
      </c>
      <c r="C85" s="43" t="s">
        <v>3234</v>
      </c>
      <c r="D85" s="43" t="str">
        <f t="shared" si="7"/>
        <v>DungeonSiegeAttributeSet.MaxHealth</v>
      </c>
      <c r="E85" s="43" t="s">
        <v>3229</v>
      </c>
      <c r="F85" s="43" t="str">
        <f t="shared" si="4"/>
        <v>UPROPERTY(EditAnywhere, BlueprintReadWrite, Category= "Health", ReplicatedUsing= OnRep_MaxHealth) FGameplayAttributeData MaxHealth; ATTRIBUTE_ACCESSORS(UDungeonSiegeHealthAttributeSet, MaxHealth)</v>
      </c>
      <c r="G85" s="43" t="str">
        <f t="shared" si="5"/>
        <v>UFUNCTION() virtual void OnRep_MaxHealth(const FGameplayAttributeData&amp; OldMaxHealth);</v>
      </c>
      <c r="H85" s="43" t="str">
        <f t="shared" si="6"/>
        <v>void UDungeonSiegeHealthAttributeSet::OnRep_MaxHealth( const FGameplayAttributeData&amp; OldMaxHealth){ GAMEPLAYATTRIBUTE_REPNOTIFY(UDungeonSiegeHealthAttributeSet, MaxHealth,  OldMaxHealth);}</v>
      </c>
      <c r="I85" s="43"/>
      <c r="J85" s="43"/>
      <c r="K85" s="43"/>
      <c r="L85" s="43"/>
      <c r="M85" s="43"/>
      <c r="N85" s="43"/>
      <c r="O85" s="43"/>
    </row>
    <row r="86" spans="1:15" ht="22.5" x14ac:dyDescent="0.25">
      <c r="A86" s="43">
        <v>84</v>
      </c>
      <c r="B86" s="43" t="s">
        <v>3389</v>
      </c>
      <c r="C86" s="43" t="s">
        <v>3235</v>
      </c>
      <c r="D86" s="43" t="str">
        <f t="shared" si="7"/>
        <v>DungeonSiegeAttributeSet.HealthRecoveryPerSecond</v>
      </c>
      <c r="E86" s="43" t="s">
        <v>3229</v>
      </c>
      <c r="F86" s="43" t="str">
        <f t="shared" si="4"/>
        <v>UPROPERTY(EditAnywhere, BlueprintReadWrite, Category= "Health", ReplicatedUsing= OnRep_HealthRecoveryPerSecond) FGameplayAttributeData HealthRecoveryPerSecond; ATTRIBUTE_ACCESSORS(UDungeonSiegeHealthAttributeSet, HealthRecoveryPerSecond)</v>
      </c>
      <c r="G86" s="43" t="str">
        <f t="shared" si="5"/>
        <v>UFUNCTION() virtual void OnRep_HealthRecoveryPerSecond(const FGameplayAttributeData&amp; OldHealthRecoveryPerSecond);</v>
      </c>
      <c r="H86" s="43" t="str">
        <f t="shared" si="6"/>
        <v>void UDungeonSiegeHealthAttributeSet::OnRep_HealthRecoveryPerSecond( const FGameplayAttributeData&amp; OldHealthRecoveryPerSecond){ GAMEPLAYATTRIBUTE_REPNOTIFY(UDungeonSiegeHealthAttributeSet, HealthRecoveryPerSecond,  OldHealthRecoveryPerSecond);}</v>
      </c>
      <c r="I86" s="43"/>
      <c r="J86" s="43"/>
      <c r="K86" s="43"/>
      <c r="L86" s="43"/>
      <c r="M86" s="43"/>
      <c r="N86" s="43"/>
      <c r="O86" s="43"/>
    </row>
    <row r="87" spans="1:15" ht="22.5" x14ac:dyDescent="0.25">
      <c r="A87" s="43">
        <v>85</v>
      </c>
      <c r="B87" s="43" t="s">
        <v>3389</v>
      </c>
      <c r="C87" s="43" t="s">
        <v>3236</v>
      </c>
      <c r="D87" s="43" t="str">
        <f t="shared" si="7"/>
        <v>DungeonSiegeAttributeSet.MaxLife</v>
      </c>
      <c r="E87" s="43" t="s">
        <v>3229</v>
      </c>
      <c r="F87" s="43" t="str">
        <f t="shared" si="4"/>
        <v>UPROPERTY(EditAnywhere, BlueprintReadWrite, Category= "Health", ReplicatedUsing= OnRep_MaxLife) FGameplayAttributeData MaxLife; ATTRIBUTE_ACCESSORS(UDungeonSiegeHealthAttributeSet, MaxLife)</v>
      </c>
      <c r="G87" s="43" t="str">
        <f t="shared" si="5"/>
        <v>UFUNCTION() virtual void OnRep_MaxLife(const FGameplayAttributeData&amp; OldMaxLife);</v>
      </c>
      <c r="H87" s="43" t="str">
        <f t="shared" si="6"/>
        <v>void UDungeonSiegeHealthAttributeSet::OnRep_MaxLife( const FGameplayAttributeData&amp; OldMaxLife){ GAMEPLAYATTRIBUTE_REPNOTIFY(UDungeonSiegeHealthAttributeSet, MaxLife,  OldMaxLife);}</v>
      </c>
      <c r="I87" s="43"/>
      <c r="J87" s="43"/>
      <c r="K87" s="43"/>
      <c r="L87" s="43"/>
      <c r="M87" s="43"/>
      <c r="N87" s="43"/>
      <c r="O87" s="43"/>
    </row>
    <row r="88" spans="1:15" x14ac:dyDescent="0.25">
      <c r="A88" s="43">
        <v>86</v>
      </c>
      <c r="B88" s="43" t="s">
        <v>3377</v>
      </c>
      <c r="C88" s="43" t="s">
        <v>3237</v>
      </c>
      <c r="D88" s="43" t="str">
        <f t="shared" si="7"/>
        <v>DungeonSiegeAttributeSet.Mana</v>
      </c>
      <c r="E88" s="43" t="s">
        <v>3237</v>
      </c>
      <c r="F88" s="43" t="str">
        <f t="shared" si="4"/>
        <v>UPROPERTY(EditAnywhere, BlueprintReadWrite, Category= "Mana", ReplicatedUsing= OnRep_Mana) FGameplayAttributeData Mana; ATTRIBUTE_ACCESSORS(UDungeonSiegeManaAttributeSet, Mana)</v>
      </c>
      <c r="G88" s="43" t="str">
        <f t="shared" si="5"/>
        <v>UFUNCTION() virtual void OnRep_Mana(const FGameplayAttributeData&amp; OldMana);</v>
      </c>
      <c r="H88" s="43" t="str">
        <f t="shared" si="6"/>
        <v>void UDungeonSiegeManaAttributeSet::OnRep_Mana( const FGameplayAttributeData&amp; OldMana){ GAMEPLAYATTRIBUTE_REPNOTIFY(UDungeonSiegeManaAttributeSet, Mana,  OldMana);}</v>
      </c>
      <c r="I88" s="43"/>
      <c r="J88" s="43"/>
      <c r="K88" s="43"/>
      <c r="L88" s="43"/>
      <c r="M88" s="43"/>
      <c r="N88" s="43"/>
      <c r="O88" s="43"/>
    </row>
    <row r="89" spans="1:15" ht="22.5" x14ac:dyDescent="0.25">
      <c r="A89" s="43">
        <v>87</v>
      </c>
      <c r="B89" s="43" t="s">
        <v>3377</v>
      </c>
      <c r="C89" s="43" t="s">
        <v>3238</v>
      </c>
      <c r="D89" s="43" t="str">
        <f t="shared" si="7"/>
        <v>DungeonSiegeAttributeSet.BaseMana</v>
      </c>
      <c r="E89" s="43" t="s">
        <v>3237</v>
      </c>
      <c r="F89" s="43" t="str">
        <f t="shared" si="4"/>
        <v>UPROPERTY(EditAnywhere, BlueprintReadWrite, Category= "Mana", ReplicatedUsing= OnRep_BaseMana) FGameplayAttributeData BaseMana; ATTRIBUTE_ACCESSORS(UDungeonSiegeManaAttributeSet, BaseMana)</v>
      </c>
      <c r="G89" s="43" t="str">
        <f t="shared" si="5"/>
        <v>UFUNCTION() virtual void OnRep_BaseMana(const FGameplayAttributeData&amp; OldBaseMana);</v>
      </c>
      <c r="H89" s="43" t="str">
        <f t="shared" si="6"/>
        <v>void UDungeonSiegeManaAttributeSet::OnRep_BaseMana( const FGameplayAttributeData&amp; OldBaseMana){ GAMEPLAYATTRIBUTE_REPNOTIFY(UDungeonSiegeManaAttributeSet, BaseMana,  OldBaseMana);}</v>
      </c>
      <c r="I89" s="43"/>
      <c r="J89" s="43"/>
      <c r="K89" s="43"/>
      <c r="L89" s="43"/>
      <c r="M89" s="43"/>
      <c r="N89" s="43"/>
      <c r="O89" s="43"/>
    </row>
    <row r="90" spans="1:15" ht="22.5" x14ac:dyDescent="0.25">
      <c r="A90" s="43">
        <v>88</v>
      </c>
      <c r="B90" s="43" t="s">
        <v>3377</v>
      </c>
      <c r="C90" s="43" t="s">
        <v>3239</v>
      </c>
      <c r="D90" s="43" t="str">
        <f t="shared" si="7"/>
        <v>DungeonSiegeAttributeSet.BaseManaBonus</v>
      </c>
      <c r="E90" s="43" t="s">
        <v>3237</v>
      </c>
      <c r="F90" s="43" t="str">
        <f t="shared" si="4"/>
        <v>UPROPERTY(EditAnywhere, BlueprintReadWrite, Category= "Mana", ReplicatedUsing= OnRep_BaseManaBonus) FGameplayAttributeData BaseManaBonus; ATTRIBUTE_ACCESSORS(UDungeonSiegeManaAttributeSet, BaseManaBonus)</v>
      </c>
      <c r="G90" s="43" t="str">
        <f t="shared" si="5"/>
        <v>UFUNCTION() virtual void OnRep_BaseManaBonus(const FGameplayAttributeData&amp; OldBaseManaBonus);</v>
      </c>
      <c r="H90" s="43" t="str">
        <f t="shared" si="6"/>
        <v>void UDungeonSiegeManaAttributeSet::OnRep_BaseManaBonus( const FGameplayAttributeData&amp; OldBaseManaBonus){ GAMEPLAYATTRIBUTE_REPNOTIFY(UDungeonSiegeManaAttributeSet, BaseManaBonus,  OldBaseManaBonus);}</v>
      </c>
      <c r="I90" s="43"/>
      <c r="J90" s="43"/>
      <c r="K90" s="43"/>
      <c r="L90" s="43"/>
      <c r="M90" s="43"/>
      <c r="N90" s="43"/>
      <c r="O90" s="43"/>
    </row>
    <row r="91" spans="1:15" ht="22.5" x14ac:dyDescent="0.25">
      <c r="A91" s="43">
        <v>89</v>
      </c>
      <c r="B91" s="43" t="s">
        <v>3377</v>
      </c>
      <c r="C91" s="43" t="s">
        <v>3240</v>
      </c>
      <c r="D91" s="43" t="str">
        <f t="shared" si="7"/>
        <v>DungeonSiegeAttributeSet.BaseManaPercentileBonus</v>
      </c>
      <c r="E91" s="43" t="s">
        <v>3237</v>
      </c>
      <c r="F91" s="43" t="str">
        <f t="shared" si="4"/>
        <v>UPROPERTY(EditAnywhere, BlueprintReadWrite, Category= "Mana", ReplicatedUsing= OnRep_BaseManaPercentileBonus) FGameplayAttributeData BaseManaPercentileBonus; ATTRIBUTE_ACCESSORS(UDungeonSiegeManaAttributeSet, BaseManaPercentileBonus)</v>
      </c>
      <c r="G91" s="43" t="str">
        <f t="shared" si="5"/>
        <v>UFUNCTION() virtual void OnRep_BaseManaPercentileBonus(const FGameplayAttributeData&amp; OldBaseManaPercentileBonus);</v>
      </c>
      <c r="H91" s="43" t="str">
        <f t="shared" si="6"/>
        <v>void UDungeonSiegeManaAttributeSet::OnRep_BaseManaPercentileBonus( const FGameplayAttributeData&amp; OldBaseManaPercentileBonus){ GAMEPLAYATTRIBUTE_REPNOTIFY(UDungeonSiegeManaAttributeSet, BaseManaPercentileBonus,  OldBaseManaPercentileBonus);}</v>
      </c>
      <c r="I91" s="43"/>
      <c r="J91" s="43"/>
      <c r="K91" s="43"/>
      <c r="L91" s="43"/>
      <c r="M91" s="43"/>
      <c r="N91" s="43"/>
      <c r="O91" s="43"/>
    </row>
    <row r="92" spans="1:15" ht="22.5" x14ac:dyDescent="0.25">
      <c r="A92" s="43">
        <v>90</v>
      </c>
      <c r="B92" s="43" t="s">
        <v>3377</v>
      </c>
      <c r="C92" s="43" t="s">
        <v>3241</v>
      </c>
      <c r="D92" s="43" t="str">
        <f t="shared" si="7"/>
        <v>DungeonSiegeAttributeSet.MaxManaPercentileBonus</v>
      </c>
      <c r="E92" s="43" t="s">
        <v>3237</v>
      </c>
      <c r="F92" s="43" t="str">
        <f t="shared" si="4"/>
        <v>UPROPERTY(EditAnywhere, BlueprintReadWrite, Category= "Mana", ReplicatedUsing= OnRep_MaxManaPercentileBonus) FGameplayAttributeData MaxManaPercentileBonus; ATTRIBUTE_ACCESSORS(UDungeonSiegeManaAttributeSet, MaxManaPercentileBonus)</v>
      </c>
      <c r="G92" s="43" t="str">
        <f t="shared" si="5"/>
        <v>UFUNCTION() virtual void OnRep_MaxManaPercentileBonus(const FGameplayAttributeData&amp; OldMaxManaPercentileBonus);</v>
      </c>
      <c r="H92" s="43" t="str">
        <f t="shared" si="6"/>
        <v>void UDungeonSiegeManaAttributeSet::OnRep_MaxManaPercentileBonus( const FGameplayAttributeData&amp; OldMaxManaPercentileBonus){ GAMEPLAYATTRIBUTE_REPNOTIFY(UDungeonSiegeManaAttributeSet, MaxManaPercentileBonus,  OldMaxManaPercentileBonus);}</v>
      </c>
      <c r="I92" s="43"/>
      <c r="J92" s="43"/>
      <c r="K92" s="43"/>
      <c r="L92" s="43"/>
      <c r="M92" s="43"/>
      <c r="N92" s="43"/>
      <c r="O92" s="43"/>
    </row>
    <row r="93" spans="1:15" ht="22.5" x14ac:dyDescent="0.25">
      <c r="A93" s="43">
        <v>91</v>
      </c>
      <c r="B93" s="43" t="s">
        <v>3377</v>
      </c>
      <c r="C93" s="43" t="s">
        <v>3242</v>
      </c>
      <c r="D93" s="43" t="str">
        <f t="shared" si="7"/>
        <v>DungeonSiegeAttributeSet.MaxManaBonus</v>
      </c>
      <c r="E93" s="43" t="s">
        <v>3237</v>
      </c>
      <c r="F93" s="43" t="str">
        <f t="shared" si="4"/>
        <v>UPROPERTY(EditAnywhere, BlueprintReadWrite, Category= "Mana", ReplicatedUsing= OnRep_MaxManaBonus) FGameplayAttributeData MaxManaBonus; ATTRIBUTE_ACCESSORS(UDungeonSiegeManaAttributeSet, MaxManaBonus)</v>
      </c>
      <c r="G93" s="43" t="str">
        <f t="shared" si="5"/>
        <v>UFUNCTION() virtual void OnRep_MaxManaBonus(const FGameplayAttributeData&amp; OldMaxManaBonus);</v>
      </c>
      <c r="H93" s="43" t="str">
        <f t="shared" si="6"/>
        <v>void UDungeonSiegeManaAttributeSet::OnRep_MaxManaBonus( const FGameplayAttributeData&amp; OldMaxManaBonus){ GAMEPLAYATTRIBUTE_REPNOTIFY(UDungeonSiegeManaAttributeSet, MaxManaBonus,  OldMaxManaBonus);}</v>
      </c>
      <c r="I93" s="43"/>
      <c r="J93" s="43"/>
      <c r="K93" s="43"/>
      <c r="L93" s="43"/>
      <c r="M93" s="43"/>
      <c r="N93" s="43"/>
      <c r="O93" s="43"/>
    </row>
    <row r="94" spans="1:15" ht="22.5" x14ac:dyDescent="0.25">
      <c r="A94" s="43">
        <v>92</v>
      </c>
      <c r="B94" s="43" t="s">
        <v>3377</v>
      </c>
      <c r="C94" s="43" t="s">
        <v>3243</v>
      </c>
      <c r="D94" s="43" t="str">
        <f t="shared" si="7"/>
        <v>DungeonSiegeAttributeSet.MaxMana</v>
      </c>
      <c r="E94" s="43" t="s">
        <v>3237</v>
      </c>
      <c r="F94" s="43" t="str">
        <f t="shared" si="4"/>
        <v>UPROPERTY(EditAnywhere, BlueprintReadWrite, Category= "Mana", ReplicatedUsing= OnRep_MaxMana) FGameplayAttributeData MaxMana; ATTRIBUTE_ACCESSORS(UDungeonSiegeManaAttributeSet, MaxMana)</v>
      </c>
      <c r="G94" s="43" t="str">
        <f t="shared" si="5"/>
        <v>UFUNCTION() virtual void OnRep_MaxMana(const FGameplayAttributeData&amp; OldMaxMana);</v>
      </c>
      <c r="H94" s="43" t="str">
        <f t="shared" si="6"/>
        <v>void UDungeonSiegeManaAttributeSet::OnRep_MaxMana( const FGameplayAttributeData&amp; OldMaxMana){ GAMEPLAYATTRIBUTE_REPNOTIFY(UDungeonSiegeManaAttributeSet, MaxMana,  OldMaxMana);}</v>
      </c>
      <c r="I94" s="43"/>
      <c r="J94" s="43"/>
      <c r="K94" s="43"/>
      <c r="L94" s="43"/>
      <c r="M94" s="43"/>
      <c r="N94" s="43"/>
      <c r="O94" s="43"/>
    </row>
    <row r="95" spans="1:15" ht="22.5" x14ac:dyDescent="0.25">
      <c r="A95" s="43">
        <v>93</v>
      </c>
      <c r="B95" s="43" t="s">
        <v>3377</v>
      </c>
      <c r="C95" s="43" t="s">
        <v>3244</v>
      </c>
      <c r="D95" s="43" t="str">
        <f t="shared" si="7"/>
        <v>DungeonSiegeAttributeSet.MaxManaBase</v>
      </c>
      <c r="E95" s="43" t="s">
        <v>3237</v>
      </c>
      <c r="F95" s="43" t="str">
        <f t="shared" si="4"/>
        <v>UPROPERTY(EditAnywhere, BlueprintReadWrite, Category= "Mana", ReplicatedUsing= OnRep_MaxManaBase) FGameplayAttributeData MaxManaBase; ATTRIBUTE_ACCESSORS(UDungeonSiegeManaAttributeSet, MaxManaBase)</v>
      </c>
      <c r="G95" s="43" t="str">
        <f t="shared" si="5"/>
        <v>UFUNCTION() virtual void OnRep_MaxManaBase(const FGameplayAttributeData&amp; OldMaxManaBase);</v>
      </c>
      <c r="H95" s="43" t="str">
        <f t="shared" si="6"/>
        <v>void UDungeonSiegeManaAttributeSet::OnRep_MaxManaBase( const FGameplayAttributeData&amp; OldMaxManaBase){ GAMEPLAYATTRIBUTE_REPNOTIFY(UDungeonSiegeManaAttributeSet, MaxManaBase,  OldMaxManaBase);}</v>
      </c>
      <c r="I95" s="43"/>
      <c r="J95" s="43"/>
      <c r="K95" s="43"/>
      <c r="L95" s="43"/>
      <c r="M95" s="43"/>
      <c r="N95" s="43"/>
      <c r="O95" s="43"/>
    </row>
    <row r="96" spans="1:15" ht="22.5" x14ac:dyDescent="0.25">
      <c r="A96" s="43">
        <v>94</v>
      </c>
      <c r="B96" s="43" t="s">
        <v>3377</v>
      </c>
      <c r="C96" s="43" t="s">
        <v>3245</v>
      </c>
      <c r="D96" s="43" t="str">
        <f t="shared" si="7"/>
        <v>DungeonSiegeAttributeSet.ManaRecoveryPerSecond</v>
      </c>
      <c r="E96" s="43" t="s">
        <v>3237</v>
      </c>
      <c r="F96" s="43" t="str">
        <f t="shared" si="4"/>
        <v>UPROPERTY(EditAnywhere, BlueprintReadWrite, Category= "Mana", ReplicatedUsing= OnRep_ManaRecoveryPerSecond) FGameplayAttributeData ManaRecoveryPerSecond; ATTRIBUTE_ACCESSORS(UDungeonSiegeManaAttributeSet, ManaRecoveryPerSecond)</v>
      </c>
      <c r="G96" s="43" t="str">
        <f t="shared" si="5"/>
        <v>UFUNCTION() virtual void OnRep_ManaRecoveryPerSecond(const FGameplayAttributeData&amp; OldManaRecoveryPerSecond);</v>
      </c>
      <c r="H96" s="43" t="str">
        <f t="shared" si="6"/>
        <v>void UDungeonSiegeManaAttributeSet::OnRep_ManaRecoveryPerSecond( const FGameplayAttributeData&amp; OldManaRecoveryPerSecond){ GAMEPLAYATTRIBUTE_REPNOTIFY(UDungeonSiegeManaAttributeSet, ManaRecoveryPerSecond,  OldManaRecoveryPerSecond);}</v>
      </c>
      <c r="I96" s="43"/>
      <c r="J96" s="43"/>
      <c r="K96" s="43"/>
      <c r="L96" s="43"/>
      <c r="M96" s="43"/>
      <c r="N96" s="43"/>
      <c r="O96" s="43"/>
    </row>
    <row r="97" spans="1:15" ht="22.5" x14ac:dyDescent="0.25">
      <c r="A97" s="43">
        <v>95</v>
      </c>
      <c r="B97" s="43" t="s">
        <v>3383</v>
      </c>
      <c r="C97" s="43" t="s">
        <v>3309</v>
      </c>
      <c r="D97" s="43" t="str">
        <f t="shared" si="7"/>
        <v>DungeonSiegeAttributeSet.LightningSpellCostReduction</v>
      </c>
      <c r="E97" s="43" t="s">
        <v>681</v>
      </c>
      <c r="F97" s="43" t="str">
        <f t="shared" si="4"/>
        <v>UPROPERTY(EditAnywhere, BlueprintReadWrite, Category= "Magic", ReplicatedUsing= OnRep_LightningSpellCostReduction) FGameplayAttributeData LightningSpellCostReduction; ATTRIBUTE_ACCESSORS(UDungeonSiegeMagicAttributeSet, LightningSpellCostReduction)</v>
      </c>
      <c r="G97" s="43" t="str">
        <f t="shared" si="5"/>
        <v>UFUNCTION() virtual void OnRep_LightningSpellCostReduction(const FGameplayAttributeData&amp; OldLightningSpellCostReduction);</v>
      </c>
      <c r="H97" s="43" t="str">
        <f t="shared" si="6"/>
        <v>void UDungeonSiegeMagicAttributeSet::OnRep_LightningSpellCostReduction( const FGameplayAttributeData&amp; OldLightningSpellCostReduction){ GAMEPLAYATTRIBUTE_REPNOTIFY(UDungeonSiegeMagicAttributeSet, LightningSpellCostReduction,  OldLightningSpellCostReduction);}</v>
      </c>
      <c r="I97" s="43"/>
      <c r="J97" s="43"/>
      <c r="K97" s="43"/>
      <c r="L97" s="43"/>
      <c r="M97" s="43"/>
      <c r="N97" s="43"/>
      <c r="O97" s="43"/>
    </row>
    <row r="98" spans="1:15" ht="22.5" x14ac:dyDescent="0.25">
      <c r="A98" s="43">
        <v>96</v>
      </c>
      <c r="B98" s="43" t="s">
        <v>3383</v>
      </c>
      <c r="C98" s="43" t="s">
        <v>3308</v>
      </c>
      <c r="D98" s="43" t="str">
        <f t="shared" si="7"/>
        <v>DungeonSiegeAttributeSet.SummoningSpellCostReduction</v>
      </c>
      <c r="E98" s="43" t="s">
        <v>681</v>
      </c>
      <c r="F98" s="43" t="str">
        <f t="shared" si="4"/>
        <v>UPROPERTY(EditAnywhere, BlueprintReadWrite, Category= "Magic", ReplicatedUsing= OnRep_SummoningSpellCostReduction) FGameplayAttributeData SummoningSpellCostReduction; ATTRIBUTE_ACCESSORS(UDungeonSiegeMagicAttributeSet, SummoningSpellCostReduction)</v>
      </c>
      <c r="G98" s="43" t="str">
        <f t="shared" si="5"/>
        <v>UFUNCTION() virtual void OnRep_SummoningSpellCostReduction(const FGameplayAttributeData&amp; OldSummoningSpellCostReduction);</v>
      </c>
      <c r="H98" s="43" t="str">
        <f t="shared" si="6"/>
        <v>void UDungeonSiegeMagicAttributeSet::OnRep_SummoningSpellCostReduction( const FGameplayAttributeData&amp; OldSummoningSpellCostReduction){ GAMEPLAYATTRIBUTE_REPNOTIFY(UDungeonSiegeMagicAttributeSet, SummoningSpellCostReduction,  OldSummoningSpellCostReduction);}</v>
      </c>
      <c r="I98" s="43"/>
      <c r="J98" s="43"/>
      <c r="K98" s="43"/>
      <c r="L98" s="43"/>
      <c r="M98" s="43"/>
      <c r="N98" s="43"/>
      <c r="O98" s="43"/>
    </row>
    <row r="99" spans="1:15" ht="22.5" x14ac:dyDescent="0.25">
      <c r="A99" s="43">
        <v>97</v>
      </c>
      <c r="B99" s="43" t="s">
        <v>3383</v>
      </c>
      <c r="C99" s="43" t="s">
        <v>3310</v>
      </c>
      <c r="D99" s="43" t="str">
        <f t="shared" si="7"/>
        <v>DungeonSiegeAttributeSet.HealingSpellCostReduction</v>
      </c>
      <c r="E99" s="43" t="s">
        <v>681</v>
      </c>
      <c r="F99" s="43" t="str">
        <f t="shared" si="4"/>
        <v>UPROPERTY(EditAnywhere, BlueprintReadWrite, Category= "Magic", ReplicatedUsing= OnRep_HealingSpellCostReduction) FGameplayAttributeData HealingSpellCostReduction; ATTRIBUTE_ACCESSORS(UDungeonSiegeMagicAttributeSet, HealingSpellCostReduction)</v>
      </c>
      <c r="G99" s="43" t="str">
        <f t="shared" si="5"/>
        <v>UFUNCTION() virtual void OnRep_HealingSpellCostReduction(const FGameplayAttributeData&amp; OldHealingSpellCostReduction);</v>
      </c>
      <c r="H99" s="43" t="str">
        <f t="shared" si="6"/>
        <v>void UDungeonSiegeMagicAttributeSet::OnRep_HealingSpellCostReduction( const FGameplayAttributeData&amp; OldHealingSpellCostReduction){ GAMEPLAYATTRIBUTE_REPNOTIFY(UDungeonSiegeMagicAttributeSet, HealingSpellCostReduction,  OldHealingSpellCostReduction);}</v>
      </c>
      <c r="I99" s="43"/>
      <c r="J99" s="43"/>
      <c r="K99" s="43"/>
      <c r="L99" s="43"/>
      <c r="M99" s="43"/>
      <c r="N99" s="43"/>
      <c r="O99" s="43"/>
    </row>
    <row r="100" spans="1:15" ht="22.5" x14ac:dyDescent="0.25">
      <c r="A100" s="43">
        <v>98</v>
      </c>
      <c r="B100" s="43" t="s">
        <v>3385</v>
      </c>
      <c r="C100" s="43" t="s">
        <v>3311</v>
      </c>
      <c r="D100" s="43" t="str">
        <f t="shared" si="7"/>
        <v>DungeonSiegeAttributeSet.ChanceToFreeze</v>
      </c>
      <c r="E100" s="43" t="s">
        <v>3355</v>
      </c>
      <c r="F100" s="43" t="str">
        <f t="shared" si="4"/>
        <v>UPROPERTY(EditAnywhere, BlueprintReadWrite, Category= "Elemental Damage", ReplicatedUsing= OnRep_ChanceToFreeze) FGameplayAttributeData ChanceToFreeze; ATTRIBUTE_ACCESSORS(UDungeonSiegeElementalAttributeSet, ChanceToFreeze)</v>
      </c>
      <c r="G100" s="43" t="str">
        <f t="shared" si="5"/>
        <v>UFUNCTION() virtual void OnRep_ChanceToFreeze(const FGameplayAttributeData&amp; OldChanceToFreeze);</v>
      </c>
      <c r="H100" s="43" t="str">
        <f t="shared" si="6"/>
        <v>void UDungeonSiegeElementalAttributeSet::OnRep_ChanceToFreeze( const FGameplayAttributeData&amp; OldChanceToFreeze){ GAMEPLAYATTRIBUTE_REPNOTIFY(UDungeonSiegeElementalAttributeSet, ChanceToFreeze,  OldChanceToFreeze);}</v>
      </c>
      <c r="I100" s="43"/>
      <c r="J100" s="43"/>
      <c r="K100" s="43"/>
      <c r="L100" s="43"/>
      <c r="M100" s="43"/>
      <c r="N100" s="43"/>
      <c r="O100" s="43"/>
    </row>
    <row r="101" spans="1:15" ht="22.5" x14ac:dyDescent="0.25">
      <c r="A101" s="43">
        <v>99</v>
      </c>
      <c r="B101" s="43" t="s">
        <v>3385</v>
      </c>
      <c r="C101" s="43" t="s">
        <v>3312</v>
      </c>
      <c r="D101" s="43" t="str">
        <f t="shared" si="7"/>
        <v>DungeonSiegeAttributeSet.ColdDamageMinDamageMod</v>
      </c>
      <c r="E101" s="43" t="s">
        <v>3355</v>
      </c>
      <c r="F101" s="43" t="str">
        <f t="shared" si="4"/>
        <v>UPROPERTY(EditAnywhere, BlueprintReadWrite, Category= "Elemental Damage", ReplicatedUsing= OnRep_ColdDamageMinDamageMod) FGameplayAttributeData ColdDamageMinDamageMod; ATTRIBUTE_ACCESSORS(UDungeonSiegeElementalAttributeSet, ColdDamageMinDamageMod)</v>
      </c>
      <c r="G101" s="43" t="str">
        <f t="shared" si="5"/>
        <v>UFUNCTION() virtual void OnRep_ColdDamageMinDamageMod(const FGameplayAttributeData&amp; OldColdDamageMinDamageMod);</v>
      </c>
      <c r="H101" s="43" t="str">
        <f t="shared" si="6"/>
        <v>void UDungeonSiegeElementalAttributeSet::OnRep_ColdDamageMinDamageMod( const FGameplayAttributeData&amp; OldColdDamageMinDamageMod){ GAMEPLAYATTRIBUTE_REPNOTIFY(UDungeonSiegeElementalAttributeSet, ColdDamageMinDamageMod,  OldColdDamageMinDamageMod);}</v>
      </c>
      <c r="I101" s="43"/>
      <c r="J101" s="43"/>
      <c r="K101" s="43"/>
      <c r="L101" s="43"/>
      <c r="M101" s="43"/>
      <c r="N101" s="43"/>
      <c r="O101" s="43"/>
    </row>
    <row r="102" spans="1:15" ht="22.5" x14ac:dyDescent="0.25">
      <c r="A102" s="43">
        <v>100</v>
      </c>
      <c r="B102" s="43" t="s">
        <v>3385</v>
      </c>
      <c r="C102" s="43" t="s">
        <v>3313</v>
      </c>
      <c r="D102" s="43" t="str">
        <f t="shared" si="7"/>
        <v>DungeonSiegeAttributeSet.ColdDamageMaxDamageMod</v>
      </c>
      <c r="E102" s="43" t="s">
        <v>3355</v>
      </c>
      <c r="F102" s="43" t="str">
        <f t="shared" si="4"/>
        <v>UPROPERTY(EditAnywhere, BlueprintReadWrite, Category= "Elemental Damage", ReplicatedUsing= OnRep_ColdDamageMaxDamageMod) FGameplayAttributeData ColdDamageMaxDamageMod; ATTRIBUTE_ACCESSORS(UDungeonSiegeElementalAttributeSet, ColdDamageMaxDamageMod)</v>
      </c>
      <c r="G102" s="43" t="str">
        <f t="shared" si="5"/>
        <v>UFUNCTION() virtual void OnRep_ColdDamageMaxDamageMod(const FGameplayAttributeData&amp; OldColdDamageMaxDamageMod);</v>
      </c>
      <c r="H102" s="43" t="str">
        <f t="shared" si="6"/>
        <v>void UDungeonSiegeElementalAttributeSet::OnRep_ColdDamageMaxDamageMod( const FGameplayAttributeData&amp; OldColdDamageMaxDamageMod){ GAMEPLAYATTRIBUTE_REPNOTIFY(UDungeonSiegeElementalAttributeSet, ColdDamageMaxDamageMod,  OldColdDamageMaxDamageMod);}</v>
      </c>
      <c r="I102" s="43"/>
      <c r="J102" s="43"/>
      <c r="K102" s="43"/>
      <c r="L102" s="43"/>
      <c r="M102" s="43"/>
      <c r="N102" s="43"/>
      <c r="O102" s="43"/>
    </row>
    <row r="103" spans="1:15" ht="22.5" x14ac:dyDescent="0.25">
      <c r="A103" s="43">
        <v>101</v>
      </c>
      <c r="B103" s="43" t="s">
        <v>3385</v>
      </c>
      <c r="C103" s="43" t="s">
        <v>3314</v>
      </c>
      <c r="D103" s="43" t="str">
        <f t="shared" si="7"/>
        <v>DungeonSiegeAttributeSet.FireDamageMinDamageMod</v>
      </c>
      <c r="E103" s="43" t="s">
        <v>3355</v>
      </c>
      <c r="F103" s="43" t="str">
        <f t="shared" si="4"/>
        <v>UPROPERTY(EditAnywhere, BlueprintReadWrite, Category= "Elemental Damage", ReplicatedUsing= OnRep_FireDamageMinDamageMod) FGameplayAttributeData FireDamageMinDamageMod; ATTRIBUTE_ACCESSORS(UDungeonSiegeElementalAttributeSet, FireDamageMinDamageMod)</v>
      </c>
      <c r="G103" s="43" t="str">
        <f t="shared" si="5"/>
        <v>UFUNCTION() virtual void OnRep_FireDamageMinDamageMod(const FGameplayAttributeData&amp; OldFireDamageMinDamageMod);</v>
      </c>
      <c r="H103" s="43" t="str">
        <f t="shared" si="6"/>
        <v>void UDungeonSiegeElementalAttributeSet::OnRep_FireDamageMinDamageMod( const FGameplayAttributeData&amp; OldFireDamageMinDamageMod){ GAMEPLAYATTRIBUTE_REPNOTIFY(UDungeonSiegeElementalAttributeSet, FireDamageMinDamageMod,  OldFireDamageMinDamageMod);}</v>
      </c>
      <c r="I103" s="43"/>
      <c r="J103" s="43"/>
      <c r="K103" s="43"/>
      <c r="L103" s="43"/>
      <c r="M103" s="43"/>
      <c r="N103" s="43"/>
      <c r="O103" s="43"/>
    </row>
    <row r="104" spans="1:15" ht="22.5" x14ac:dyDescent="0.25">
      <c r="A104" s="43">
        <v>102</v>
      </c>
      <c r="B104" s="43" t="s">
        <v>3385</v>
      </c>
      <c r="C104" s="43" t="s">
        <v>3315</v>
      </c>
      <c r="D104" s="43" t="str">
        <f t="shared" si="7"/>
        <v>DungeonSiegeAttributeSet.FireDamageMaxDamageMod</v>
      </c>
      <c r="E104" s="43" t="s">
        <v>3355</v>
      </c>
      <c r="F104" s="43" t="str">
        <f t="shared" si="4"/>
        <v>UPROPERTY(EditAnywhere, BlueprintReadWrite, Category= "Elemental Damage", ReplicatedUsing= OnRep_FireDamageMaxDamageMod) FGameplayAttributeData FireDamageMaxDamageMod; ATTRIBUTE_ACCESSORS(UDungeonSiegeElementalAttributeSet, FireDamageMaxDamageMod)</v>
      </c>
      <c r="G104" s="43" t="str">
        <f t="shared" ref="G104:G134" si="8">"UFUNCTION() virtual void OnRep_" &amp; C104 &amp;"(const FGameplayAttributeData&amp; Old" &amp; C104 &amp;");"</f>
        <v>UFUNCTION() virtual void OnRep_FireDamageMaxDamageMod(const FGameplayAttributeData&amp; OldFireDamageMaxDamageMod);</v>
      </c>
      <c r="H104" s="43" t="str">
        <f t="shared" si="6"/>
        <v>void UDungeonSiegeElementalAttributeSet::OnRep_FireDamageMaxDamageMod( const FGameplayAttributeData&amp; OldFireDamageMaxDamageMod){ GAMEPLAYATTRIBUTE_REPNOTIFY(UDungeonSiegeElementalAttributeSet, FireDamageMaxDamageMod,  OldFireDamageMaxDamageMod);}</v>
      </c>
      <c r="I104" s="43"/>
      <c r="J104" s="43"/>
      <c r="K104" s="43"/>
      <c r="L104" s="43"/>
      <c r="M104" s="43"/>
      <c r="N104" s="43"/>
      <c r="O104" s="43"/>
    </row>
    <row r="105" spans="1:15" ht="22.5" x14ac:dyDescent="0.25">
      <c r="A105" s="43">
        <v>103</v>
      </c>
      <c r="B105" s="43" t="s">
        <v>3378</v>
      </c>
      <c r="C105" s="43" t="s">
        <v>3316</v>
      </c>
      <c r="D105" s="43" t="str">
        <f t="shared" si="7"/>
        <v>DungeonSiegeAttributeSet.ChanceToCastNovaStrikeOnHit</v>
      </c>
      <c r="E105" s="43" t="s">
        <v>3357</v>
      </c>
      <c r="F105" s="43" t="str">
        <f t="shared" si="4"/>
        <v>UPROPERTY(EditAnywhere, BlueprintReadWrite, Category= "Cast On Hit", ReplicatedUsing= OnRep_ChanceToCastNovaStrikeOnHit) FGameplayAttributeData ChanceToCastNovaStrikeOnHit; ATTRIBUTE_ACCESSORS(UDungeonSiegeCastOnHitAttributeSet, ChanceToCastNovaStrikeOnHit)</v>
      </c>
      <c r="G105" s="43" t="str">
        <f t="shared" si="8"/>
        <v>UFUNCTION() virtual void OnRep_ChanceToCastNovaStrikeOnHit(const FGameplayAttributeData&amp; OldChanceToCastNovaStrikeOnHit);</v>
      </c>
      <c r="H105" s="43" t="str">
        <f t="shared" si="6"/>
        <v>void UDungeonSiegeCastOnHitAttributeSet::OnRep_ChanceToCastNovaStrikeOnHit( const FGameplayAttributeData&amp; OldChanceToCastNovaStrikeOnHit){ GAMEPLAYATTRIBUTE_REPNOTIFY(UDungeonSiegeCastOnHitAttributeSet, ChanceToCastNovaStrikeOnHit,  OldChanceToCastNovaStrikeOnHit);}</v>
      </c>
      <c r="I105" s="43"/>
      <c r="J105" s="43"/>
      <c r="K105" s="43"/>
      <c r="L105" s="43"/>
      <c r="M105" s="43"/>
      <c r="N105" s="43"/>
      <c r="O105" s="43"/>
    </row>
    <row r="106" spans="1:15" ht="22.5" x14ac:dyDescent="0.25">
      <c r="A106" s="43">
        <v>104</v>
      </c>
      <c r="B106" s="43" t="s">
        <v>3378</v>
      </c>
      <c r="C106" s="43" t="s">
        <v>3317</v>
      </c>
      <c r="D106" s="43" t="str">
        <f t="shared" si="7"/>
        <v>DungeonSiegeAttributeSet.ChanceToCastFirebombOnHit</v>
      </c>
      <c r="E106" s="43" t="s">
        <v>3357</v>
      </c>
      <c r="F106" s="43" t="str">
        <f t="shared" si="4"/>
        <v>UPROPERTY(EditAnywhere, BlueprintReadWrite, Category= "Cast On Hit", ReplicatedUsing= OnRep_ChanceToCastFirebombOnHit) FGameplayAttributeData ChanceToCastFirebombOnHit; ATTRIBUTE_ACCESSORS(UDungeonSiegeCastOnHitAttributeSet, ChanceToCastFirebombOnHit)</v>
      </c>
      <c r="G106" s="43" t="str">
        <f t="shared" si="8"/>
        <v>UFUNCTION() virtual void OnRep_ChanceToCastFirebombOnHit(const FGameplayAttributeData&amp; OldChanceToCastFirebombOnHit);</v>
      </c>
      <c r="H106" s="43" t="str">
        <f t="shared" si="6"/>
        <v>void UDungeonSiegeCastOnHitAttributeSet::OnRep_ChanceToCastFirebombOnHit( const FGameplayAttributeData&amp; OldChanceToCastFirebombOnHit){ GAMEPLAYATTRIBUTE_REPNOTIFY(UDungeonSiegeCastOnHitAttributeSet, ChanceToCastFirebombOnHit,  OldChanceToCastFirebombOnHit);}</v>
      </c>
      <c r="I106" s="43"/>
      <c r="J106" s="43"/>
      <c r="K106" s="43"/>
      <c r="L106" s="43"/>
      <c r="M106" s="43"/>
      <c r="N106" s="43"/>
      <c r="O106" s="43"/>
    </row>
    <row r="107" spans="1:15" ht="22.5" x14ac:dyDescent="0.25">
      <c r="A107" s="43">
        <v>105</v>
      </c>
      <c r="B107" s="43" t="s">
        <v>3378</v>
      </c>
      <c r="C107" s="43" t="s">
        <v>3318</v>
      </c>
      <c r="D107" s="43" t="str">
        <f t="shared" si="7"/>
        <v>DungeonSiegeAttributeSet.ChanceToCastStarburstOnHit</v>
      </c>
      <c r="E107" s="43" t="s">
        <v>3357</v>
      </c>
      <c r="F107" s="43" t="str">
        <f t="shared" si="4"/>
        <v>UPROPERTY(EditAnywhere, BlueprintReadWrite, Category= "Cast On Hit", ReplicatedUsing= OnRep_ChanceToCastStarburstOnHit) FGameplayAttributeData ChanceToCastStarburstOnHit; ATTRIBUTE_ACCESSORS(UDungeonSiegeCastOnHitAttributeSet, ChanceToCastStarburstOnHit)</v>
      </c>
      <c r="G107" s="43" t="str">
        <f t="shared" si="8"/>
        <v>UFUNCTION() virtual void OnRep_ChanceToCastStarburstOnHit(const FGameplayAttributeData&amp; OldChanceToCastStarburstOnHit);</v>
      </c>
      <c r="H107" s="43" t="str">
        <f t="shared" si="6"/>
        <v>void UDungeonSiegeCastOnHitAttributeSet::OnRep_ChanceToCastStarburstOnHit( const FGameplayAttributeData&amp; OldChanceToCastStarburstOnHit){ GAMEPLAYATTRIBUTE_REPNOTIFY(UDungeonSiegeCastOnHitAttributeSet, ChanceToCastStarburstOnHit,  OldChanceToCastStarburstOnHit);}</v>
      </c>
      <c r="I107" s="43"/>
      <c r="J107" s="43"/>
      <c r="K107" s="43"/>
      <c r="L107" s="43"/>
      <c r="M107" s="43"/>
      <c r="N107" s="43"/>
      <c r="O107" s="43"/>
    </row>
    <row r="108" spans="1:15" ht="22.5" x14ac:dyDescent="0.25">
      <c r="A108" s="43">
        <v>106</v>
      </c>
      <c r="B108" s="43" t="s">
        <v>3378</v>
      </c>
      <c r="C108" s="43" t="s">
        <v>3319</v>
      </c>
      <c r="D108" s="43" t="str">
        <f t="shared" si="7"/>
        <v>DungeonSiegeAttributeSet.ChanceToCastLightrayOnHit</v>
      </c>
      <c r="E108" s="43" t="s">
        <v>3357</v>
      </c>
      <c r="F108" s="43" t="str">
        <f t="shared" si="4"/>
        <v>UPROPERTY(EditAnywhere, BlueprintReadWrite, Category= "Cast On Hit", ReplicatedUsing= OnRep_ChanceToCastLightrayOnHit) FGameplayAttributeData ChanceToCastLightrayOnHit; ATTRIBUTE_ACCESSORS(UDungeonSiegeCastOnHitAttributeSet, ChanceToCastLightrayOnHit)</v>
      </c>
      <c r="G108" s="43" t="str">
        <f t="shared" si="8"/>
        <v>UFUNCTION() virtual void OnRep_ChanceToCastLightrayOnHit(const FGameplayAttributeData&amp; OldChanceToCastLightrayOnHit);</v>
      </c>
      <c r="H108" s="43" t="str">
        <f t="shared" si="6"/>
        <v>void UDungeonSiegeCastOnHitAttributeSet::OnRep_ChanceToCastLightrayOnHit( const FGameplayAttributeData&amp; OldChanceToCastLightrayOnHit){ GAMEPLAYATTRIBUTE_REPNOTIFY(UDungeonSiegeCastOnHitAttributeSet, ChanceToCastLightrayOnHit,  OldChanceToCastLightrayOnHit);}</v>
      </c>
      <c r="I108" s="43"/>
      <c r="J108" s="43"/>
      <c r="K108" s="43"/>
      <c r="L108" s="43"/>
      <c r="M108" s="43"/>
      <c r="N108" s="43"/>
      <c r="O108" s="43"/>
    </row>
    <row r="109" spans="1:15" ht="22.5" x14ac:dyDescent="0.25">
      <c r="A109" s="43">
        <v>107</v>
      </c>
      <c r="B109" s="43" t="s">
        <v>3378</v>
      </c>
      <c r="C109" s="43" t="s">
        <v>3320</v>
      </c>
      <c r="D109" s="43" t="str">
        <f t="shared" si="7"/>
        <v>DungeonSiegeAttributeSet.ChanceToCastLightningblastOnHit</v>
      </c>
      <c r="E109" s="43" t="s">
        <v>3357</v>
      </c>
      <c r="F109" s="43" t="str">
        <f t="shared" si="4"/>
        <v>UPROPERTY(EditAnywhere, BlueprintReadWrite, Category= "Cast On Hit", ReplicatedUsing= OnRep_ChanceToCastLightningblastOnHit) FGameplayAttributeData ChanceToCastLightningblastOnHit; ATTRIBUTE_ACCESSORS(UDungeonSiegeCastOnHitAttributeSet, ChanceToCastLightningblastOnHit)</v>
      </c>
      <c r="G109" s="43" t="str">
        <f t="shared" si="8"/>
        <v>UFUNCTION() virtual void OnRep_ChanceToCastLightningblastOnHit(const FGameplayAttributeData&amp; OldChanceToCastLightningblastOnHit);</v>
      </c>
      <c r="H109" s="43" t="str">
        <f t="shared" si="6"/>
        <v>void UDungeonSiegeCastOnHitAttributeSet::OnRep_ChanceToCastLightningblastOnHit( const FGameplayAttributeData&amp; OldChanceToCastLightningblastOnHit){ GAMEPLAYATTRIBUTE_REPNOTIFY(UDungeonSiegeCastOnHitAttributeSet, ChanceToCastLightningblastOnHit,  OldChanceToCastLightningblastOnHit);}</v>
      </c>
      <c r="I109" s="43"/>
      <c r="J109" s="43"/>
      <c r="K109" s="43"/>
      <c r="L109" s="43"/>
      <c r="M109" s="43"/>
      <c r="N109" s="43"/>
      <c r="O109" s="43"/>
    </row>
    <row r="110" spans="1:15" ht="22.5" x14ac:dyDescent="0.25">
      <c r="A110" s="43">
        <v>108</v>
      </c>
      <c r="B110" s="43" t="s">
        <v>3378</v>
      </c>
      <c r="C110" s="43" t="s">
        <v>3321</v>
      </c>
      <c r="D110" s="43" t="str">
        <f t="shared" si="7"/>
        <v>DungeonSiegeAttributeSet.ChanceToCastMultisparkOnHit</v>
      </c>
      <c r="E110" s="43" t="s">
        <v>3357</v>
      </c>
      <c r="F110" s="43" t="str">
        <f t="shared" si="4"/>
        <v>UPROPERTY(EditAnywhere, BlueprintReadWrite, Category= "Cast On Hit", ReplicatedUsing= OnRep_ChanceToCastMultisparkOnHit) FGameplayAttributeData ChanceToCastMultisparkOnHit; ATTRIBUTE_ACCESSORS(UDungeonSiegeCastOnHitAttributeSet, ChanceToCastMultisparkOnHit)</v>
      </c>
      <c r="G110" s="43" t="str">
        <f t="shared" si="8"/>
        <v>UFUNCTION() virtual void OnRep_ChanceToCastMultisparkOnHit(const FGameplayAttributeData&amp; OldChanceToCastMultisparkOnHit);</v>
      </c>
      <c r="H110" s="43" t="str">
        <f t="shared" si="6"/>
        <v>void UDungeonSiegeCastOnHitAttributeSet::OnRep_ChanceToCastMultisparkOnHit( const FGameplayAttributeData&amp; OldChanceToCastMultisparkOnHit){ GAMEPLAYATTRIBUTE_REPNOTIFY(UDungeonSiegeCastOnHitAttributeSet, ChanceToCastMultisparkOnHit,  OldChanceToCastMultisparkOnHit);}</v>
      </c>
      <c r="I110" s="43"/>
      <c r="J110" s="43"/>
      <c r="K110" s="43"/>
      <c r="L110" s="43"/>
      <c r="M110" s="43"/>
      <c r="N110" s="43"/>
      <c r="O110" s="43"/>
    </row>
    <row r="111" spans="1:15" ht="22.5" x14ac:dyDescent="0.25">
      <c r="A111" s="43">
        <v>109</v>
      </c>
      <c r="B111" s="43" t="s">
        <v>3378</v>
      </c>
      <c r="C111" s="43" t="s">
        <v>3322</v>
      </c>
      <c r="D111" s="43" t="str">
        <f t="shared" si="7"/>
        <v>DungeonSiegeAttributeSet.ChanceToCastFireballOnHit</v>
      </c>
      <c r="E111" s="43" t="s">
        <v>3357</v>
      </c>
      <c r="F111" s="43" t="str">
        <f t="shared" si="4"/>
        <v>UPROPERTY(EditAnywhere, BlueprintReadWrite, Category= "Cast On Hit", ReplicatedUsing= OnRep_ChanceToCastFireballOnHit) FGameplayAttributeData ChanceToCastFireballOnHit; ATTRIBUTE_ACCESSORS(UDungeonSiegeCastOnHitAttributeSet, ChanceToCastFireballOnHit)</v>
      </c>
      <c r="G111" s="43" t="str">
        <f t="shared" si="8"/>
        <v>UFUNCTION() virtual void OnRep_ChanceToCastFireballOnHit(const FGameplayAttributeData&amp; OldChanceToCastFireballOnHit);</v>
      </c>
      <c r="H111" s="43" t="str">
        <f t="shared" si="6"/>
        <v>void UDungeonSiegeCastOnHitAttributeSet::OnRep_ChanceToCastFireballOnHit( const FGameplayAttributeData&amp; OldChanceToCastFireballOnHit){ GAMEPLAYATTRIBUTE_REPNOTIFY(UDungeonSiegeCastOnHitAttributeSet, ChanceToCastFireballOnHit,  OldChanceToCastFireballOnHit);}</v>
      </c>
      <c r="I111" s="43"/>
      <c r="J111" s="43"/>
      <c r="K111" s="43"/>
      <c r="L111" s="43"/>
      <c r="M111" s="43"/>
      <c r="N111" s="43"/>
      <c r="O111" s="43"/>
    </row>
    <row r="112" spans="1:15" ht="22.5" x14ac:dyDescent="0.25">
      <c r="A112" s="43">
        <v>110</v>
      </c>
      <c r="B112" s="43" t="s">
        <v>3378</v>
      </c>
      <c r="C112" s="43" t="s">
        <v>3323</v>
      </c>
      <c r="D112" s="43" t="str">
        <f t="shared" si="7"/>
        <v>DungeonSiegeAttributeSet.ChanceToCastLightningOnHit</v>
      </c>
      <c r="E112" s="43" t="s">
        <v>3357</v>
      </c>
      <c r="F112" s="43" t="str">
        <f t="shared" si="4"/>
        <v>UPROPERTY(EditAnywhere, BlueprintReadWrite, Category= "Cast On Hit", ReplicatedUsing= OnRep_ChanceToCastLightningOnHit) FGameplayAttributeData ChanceToCastLightningOnHit; ATTRIBUTE_ACCESSORS(UDungeonSiegeCastOnHitAttributeSet, ChanceToCastLightningOnHit)</v>
      </c>
      <c r="G112" s="43" t="str">
        <f t="shared" si="8"/>
        <v>UFUNCTION() virtual void OnRep_ChanceToCastLightningOnHit(const FGameplayAttributeData&amp; OldChanceToCastLightningOnHit);</v>
      </c>
      <c r="H112" s="43" t="str">
        <f t="shared" si="6"/>
        <v>void UDungeonSiegeCastOnHitAttributeSet::OnRep_ChanceToCastLightningOnHit( const FGameplayAttributeData&amp; OldChanceToCastLightningOnHit){ GAMEPLAYATTRIBUTE_REPNOTIFY(UDungeonSiegeCastOnHitAttributeSet, ChanceToCastLightningOnHit,  OldChanceToCastLightningOnHit);}</v>
      </c>
      <c r="I112" s="43"/>
      <c r="J112" s="43"/>
      <c r="K112" s="43"/>
      <c r="L112" s="43"/>
      <c r="M112" s="43"/>
      <c r="N112" s="43"/>
      <c r="O112" s="43"/>
    </row>
    <row r="113" spans="1:15" ht="22.5" x14ac:dyDescent="0.25">
      <c r="A113" s="43">
        <v>111</v>
      </c>
      <c r="B113" s="43" t="s">
        <v>3378</v>
      </c>
      <c r="C113" s="43" t="s">
        <v>3324</v>
      </c>
      <c r="D113" s="43" t="str">
        <f t="shared" si="7"/>
        <v>DungeonSiegeAttributeSet.ChanceToCastFireskullOnHit</v>
      </c>
      <c r="E113" s="43" t="s">
        <v>3357</v>
      </c>
      <c r="F113" s="43" t="str">
        <f t="shared" si="4"/>
        <v>UPROPERTY(EditAnywhere, BlueprintReadWrite, Category= "Cast On Hit", ReplicatedUsing= OnRep_ChanceToCastFireskullOnHit) FGameplayAttributeData ChanceToCastFireskullOnHit; ATTRIBUTE_ACCESSORS(UDungeonSiegeCastOnHitAttributeSet, ChanceToCastFireskullOnHit)</v>
      </c>
      <c r="G113" s="43" t="str">
        <f t="shared" si="8"/>
        <v>UFUNCTION() virtual void OnRep_ChanceToCastFireskullOnHit(const FGameplayAttributeData&amp; OldChanceToCastFireskullOnHit);</v>
      </c>
      <c r="H113" s="43" t="str">
        <f t="shared" si="6"/>
        <v>void UDungeonSiegeCastOnHitAttributeSet::OnRep_ChanceToCastFireskullOnHit( const FGameplayAttributeData&amp; OldChanceToCastFireskullOnHit){ GAMEPLAYATTRIBUTE_REPNOTIFY(UDungeonSiegeCastOnHitAttributeSet, ChanceToCastFireskullOnHit,  OldChanceToCastFireskullOnHit);}</v>
      </c>
      <c r="I113" s="43"/>
      <c r="J113" s="43"/>
      <c r="K113" s="43"/>
      <c r="L113" s="43"/>
      <c r="M113" s="43"/>
      <c r="N113" s="43"/>
      <c r="O113" s="43"/>
    </row>
    <row r="114" spans="1:15" ht="22.5" x14ac:dyDescent="0.25">
      <c r="A114" s="43">
        <v>112</v>
      </c>
      <c r="B114" s="43" t="s">
        <v>3378</v>
      </c>
      <c r="C114" s="43" t="s">
        <v>3325</v>
      </c>
      <c r="D114" s="43" t="str">
        <f t="shared" si="7"/>
        <v>DungeonSiegeAttributeSet.ChanceToCastFirespraylOnHit</v>
      </c>
      <c r="E114" s="43" t="s">
        <v>3357</v>
      </c>
      <c r="F114" s="43" t="str">
        <f t="shared" si="4"/>
        <v>UPROPERTY(EditAnywhere, BlueprintReadWrite, Category= "Cast On Hit", ReplicatedUsing= OnRep_ChanceToCastFirespraylOnHit) FGameplayAttributeData ChanceToCastFirespraylOnHit; ATTRIBUTE_ACCESSORS(UDungeonSiegeCastOnHitAttributeSet, ChanceToCastFirespraylOnHit)</v>
      </c>
      <c r="G114" s="43" t="str">
        <f t="shared" si="8"/>
        <v>UFUNCTION() virtual void OnRep_ChanceToCastFirespraylOnHit(const FGameplayAttributeData&amp; OldChanceToCastFirespraylOnHit);</v>
      </c>
      <c r="H114" s="43" t="str">
        <f t="shared" si="6"/>
        <v>void UDungeonSiegeCastOnHitAttributeSet::OnRep_ChanceToCastFirespraylOnHit( const FGameplayAttributeData&amp; OldChanceToCastFirespraylOnHit){ GAMEPLAYATTRIBUTE_REPNOTIFY(UDungeonSiegeCastOnHitAttributeSet, ChanceToCastFirespraylOnHit,  OldChanceToCastFirespraylOnHit);}</v>
      </c>
      <c r="I114" s="43"/>
      <c r="J114" s="43"/>
      <c r="K114" s="43"/>
      <c r="L114" s="43"/>
      <c r="M114" s="43"/>
      <c r="N114" s="43"/>
      <c r="O114" s="43"/>
    </row>
    <row r="115" spans="1:15" ht="22.5" x14ac:dyDescent="0.25">
      <c r="A115" s="43">
        <v>113</v>
      </c>
      <c r="B115" s="43" t="s">
        <v>3378</v>
      </c>
      <c r="C115" s="43" t="s">
        <v>3326</v>
      </c>
      <c r="D115" s="43" t="str">
        <f t="shared" si="7"/>
        <v>DungeonSiegeAttributeSet.ChanceToCastSparkOnHit</v>
      </c>
      <c r="E115" s="43" t="s">
        <v>3357</v>
      </c>
      <c r="F115" s="43" t="str">
        <f t="shared" si="4"/>
        <v>UPROPERTY(EditAnywhere, BlueprintReadWrite, Category= "Cast On Hit", ReplicatedUsing= OnRep_ChanceToCastSparkOnHit) FGameplayAttributeData ChanceToCastSparkOnHit; ATTRIBUTE_ACCESSORS(UDungeonSiegeCastOnHitAttributeSet, ChanceToCastSparkOnHit)</v>
      </c>
      <c r="G115" s="43" t="str">
        <f t="shared" si="8"/>
        <v>UFUNCTION() virtual void OnRep_ChanceToCastSparkOnHit(const FGameplayAttributeData&amp; OldChanceToCastSparkOnHit);</v>
      </c>
      <c r="H115" s="43" t="str">
        <f t="shared" si="6"/>
        <v>void UDungeonSiegeCastOnHitAttributeSet::OnRep_ChanceToCastSparkOnHit( const FGameplayAttributeData&amp; OldChanceToCastSparkOnHit){ GAMEPLAYATTRIBUTE_REPNOTIFY(UDungeonSiegeCastOnHitAttributeSet, ChanceToCastSparkOnHit,  OldChanceToCastSparkOnHit);}</v>
      </c>
      <c r="I115" s="43"/>
      <c r="J115" s="43"/>
      <c r="K115" s="43"/>
      <c r="L115" s="43"/>
      <c r="M115" s="43"/>
      <c r="N115" s="43"/>
      <c r="O115" s="43"/>
    </row>
    <row r="116" spans="1:15" ht="22.5" x14ac:dyDescent="0.25">
      <c r="A116" s="43">
        <v>114</v>
      </c>
      <c r="B116" s="43" t="s">
        <v>3378</v>
      </c>
      <c r="C116" s="43" t="s">
        <v>3327</v>
      </c>
      <c r="D116" s="43" t="str">
        <f t="shared" si="7"/>
        <v>DungeonSiegeAttributeSet.ChanceToCastFireshotOnHit</v>
      </c>
      <c r="E116" s="43" t="s">
        <v>3357</v>
      </c>
      <c r="F116" s="43" t="str">
        <f t="shared" si="4"/>
        <v>UPROPERTY(EditAnywhere, BlueprintReadWrite, Category= "Cast On Hit", ReplicatedUsing= OnRep_ChanceToCastFireshotOnHit) FGameplayAttributeData ChanceToCastFireshotOnHit; ATTRIBUTE_ACCESSORS(UDungeonSiegeCastOnHitAttributeSet, ChanceToCastFireshotOnHit)</v>
      </c>
      <c r="G116" s="43" t="str">
        <f t="shared" si="8"/>
        <v>UFUNCTION() virtual void OnRep_ChanceToCastFireshotOnHit(const FGameplayAttributeData&amp; OldChanceToCastFireshotOnHit);</v>
      </c>
      <c r="H116" s="43" t="str">
        <f t="shared" si="6"/>
        <v>void UDungeonSiegeCastOnHitAttributeSet::OnRep_ChanceToCastFireshotOnHit( const FGameplayAttributeData&amp; OldChanceToCastFireshotOnHit){ GAMEPLAYATTRIBUTE_REPNOTIFY(UDungeonSiegeCastOnHitAttributeSet, ChanceToCastFireshotOnHit,  OldChanceToCastFireshotOnHit);}</v>
      </c>
      <c r="I116" s="43"/>
      <c r="J116" s="43"/>
      <c r="K116" s="43"/>
      <c r="L116" s="43"/>
      <c r="M116" s="43"/>
      <c r="N116" s="43"/>
      <c r="O116" s="43"/>
    </row>
    <row r="117" spans="1:15" ht="22.5" x14ac:dyDescent="0.25">
      <c r="A117" s="43">
        <v>115</v>
      </c>
      <c r="B117" s="43" t="s">
        <v>3378</v>
      </c>
      <c r="C117" s="43" t="s">
        <v>3328</v>
      </c>
      <c r="D117" s="43" t="str">
        <f t="shared" si="7"/>
        <v>DungeonSiegeAttributeSet.ChanceToCastZapOnHit</v>
      </c>
      <c r="E117" s="43" t="s">
        <v>3357</v>
      </c>
      <c r="F117" s="43" t="str">
        <f t="shared" si="4"/>
        <v>UPROPERTY(EditAnywhere, BlueprintReadWrite, Category= "Cast On Hit", ReplicatedUsing= OnRep_ChanceToCastZapOnHit) FGameplayAttributeData ChanceToCastZapOnHit; ATTRIBUTE_ACCESSORS(UDungeonSiegeCastOnHitAttributeSet, ChanceToCastZapOnHit)</v>
      </c>
      <c r="G117" s="43" t="str">
        <f t="shared" si="8"/>
        <v>UFUNCTION() virtual void OnRep_ChanceToCastZapOnHit(const FGameplayAttributeData&amp; OldChanceToCastZapOnHit);</v>
      </c>
      <c r="H117" s="43" t="str">
        <f t="shared" si="6"/>
        <v>void UDungeonSiegeCastOnHitAttributeSet::OnRep_ChanceToCastZapOnHit( const FGameplayAttributeData&amp; OldChanceToCastZapOnHit){ GAMEPLAYATTRIBUTE_REPNOTIFY(UDungeonSiegeCastOnHitAttributeSet, ChanceToCastZapOnHit,  OldChanceToCastZapOnHit);}</v>
      </c>
      <c r="I117" s="43"/>
      <c r="J117" s="43"/>
      <c r="K117" s="43"/>
      <c r="L117" s="43"/>
      <c r="M117" s="43"/>
      <c r="N117" s="43"/>
      <c r="O117" s="43"/>
    </row>
    <row r="118" spans="1:15" ht="22.5" x14ac:dyDescent="0.25">
      <c r="A118" s="43">
        <v>116</v>
      </c>
      <c r="B118" s="43" t="s">
        <v>3386</v>
      </c>
      <c r="C118" s="43" t="s">
        <v>3329</v>
      </c>
      <c r="D118" s="43" t="str">
        <f t="shared" si="7"/>
        <v>DungeonSiegeAttributeSet.WeaponRangeBoostMod</v>
      </c>
      <c r="E118" s="43" t="s">
        <v>3358</v>
      </c>
      <c r="F118" s="43" t="str">
        <f t="shared" si="4"/>
        <v>UPROPERTY(EditAnywhere, BlueprintReadWrite, Category= "Miscellaneous ", ReplicatedUsing= OnRep_WeaponRangeBoostMod) FGameplayAttributeData WeaponRangeBoostMod; ATTRIBUTE_ACCESSORS(UDungeonSiegeMiscellaneousAttributeSet, WeaponRangeBoostMod)</v>
      </c>
      <c r="G118" s="43" t="str">
        <f t="shared" si="8"/>
        <v>UFUNCTION() virtual void OnRep_WeaponRangeBoostMod(const FGameplayAttributeData&amp; OldWeaponRangeBoostMod);</v>
      </c>
      <c r="H118" s="43" t="str">
        <f t="shared" si="6"/>
        <v>void UDungeonSiegeMiscellaneousAttributeSet::OnRep_WeaponRangeBoostMod( const FGameplayAttributeData&amp; OldWeaponRangeBoostMod){ GAMEPLAYATTRIBUTE_REPNOTIFY(UDungeonSiegeMiscellaneousAttributeSet, WeaponRangeBoostMod,  OldWeaponRangeBoostMod);}</v>
      </c>
      <c r="I118" s="43"/>
      <c r="J118" s="43"/>
      <c r="K118" s="43"/>
      <c r="L118" s="43"/>
      <c r="M118" s="43"/>
      <c r="N118" s="43"/>
      <c r="O118" s="43"/>
    </row>
    <row r="119" spans="1:15" ht="22.5" x14ac:dyDescent="0.25">
      <c r="A119" s="43">
        <v>117</v>
      </c>
      <c r="B119" s="43" t="s">
        <v>3380</v>
      </c>
      <c r="C119" s="43" t="s">
        <v>3330</v>
      </c>
      <c r="D119" s="43" t="str">
        <f t="shared" si="7"/>
        <v>DungeonSiegeAttributeSet.IncreaseMeleeDamageVersusUndead</v>
      </c>
      <c r="E119" s="43" t="s">
        <v>3375</v>
      </c>
      <c r="F119" s="43" t="str">
        <f t="shared" si="4"/>
        <v>UPROPERTY(EditAnywhere, BlueprintReadWrite, Category= "Faction Damage Modifier", ReplicatedUsing= OnRep_IncreaseMeleeDamageVersusUndead) FGameplayAttributeData IncreaseMeleeDamageVersusUndead; ATTRIBUTE_ACCESSORS(UDungeonSiegeFactionAttributeSet, IncreaseMeleeDamageVersusUndead)</v>
      </c>
      <c r="G119" s="43" t="str">
        <f t="shared" si="8"/>
        <v>UFUNCTION() virtual void OnRep_IncreaseMeleeDamageVersusUndead(const FGameplayAttributeData&amp; OldIncreaseMeleeDamageVersusUndead);</v>
      </c>
      <c r="H119" s="43" t="str">
        <f t="shared" si="6"/>
        <v>void UDungeonSiegeFactionAttributeSet::OnRep_IncreaseMeleeDamageVersusUndead( const FGameplayAttributeData&amp; OldIncreaseMeleeDamageVersusUndead){ GAMEPLAYATTRIBUTE_REPNOTIFY(UDungeonSiegeFactionAttributeSet, IncreaseMeleeDamageVersusUndead,  OldIncreaseMeleeDamageVersusUndead);}</v>
      </c>
      <c r="I119" s="43"/>
      <c r="J119" s="43"/>
      <c r="K119" s="43"/>
      <c r="L119" s="43"/>
      <c r="M119" s="43"/>
      <c r="N119" s="43"/>
      <c r="O119" s="43"/>
    </row>
    <row r="120" spans="1:15" ht="22.5" x14ac:dyDescent="0.25">
      <c r="A120" s="43">
        <v>118</v>
      </c>
      <c r="B120" s="43" t="s">
        <v>3389</v>
      </c>
      <c r="C120" s="43" t="s">
        <v>3359</v>
      </c>
      <c r="D120" s="43" t="str">
        <f t="shared" si="7"/>
        <v>DungeonSiegeAttributeSet.MaxHealthPercentileBonus</v>
      </c>
      <c r="E120" s="43" t="s">
        <v>3229</v>
      </c>
      <c r="F120" s="43" t="str">
        <f t="shared" si="4"/>
        <v>UPROPERTY(EditAnywhere, BlueprintReadWrite, Category= "Health", ReplicatedUsing= OnRep_MaxHealthPercentileBonus) FGameplayAttributeData MaxHealthPercentileBonus; ATTRIBUTE_ACCESSORS(UDungeonSiegeHealthAttributeSet, MaxHealthPercentileBonus)</v>
      </c>
      <c r="G120" s="43" t="str">
        <f t="shared" si="8"/>
        <v>UFUNCTION() virtual void OnRep_MaxHealthPercentileBonus(const FGameplayAttributeData&amp; OldMaxHealthPercentileBonus);</v>
      </c>
      <c r="H120" s="43" t="str">
        <f t="shared" si="6"/>
        <v>void UDungeonSiegeHealthAttributeSet::OnRep_MaxHealthPercentileBonus( const FGameplayAttributeData&amp; OldMaxHealthPercentileBonus){ GAMEPLAYATTRIBUTE_REPNOTIFY(UDungeonSiegeHealthAttributeSet, MaxHealthPercentileBonus,  OldMaxHealthPercentileBonus);}</v>
      </c>
      <c r="I120" s="43"/>
      <c r="J120" s="43"/>
      <c r="K120" s="43"/>
      <c r="L120" s="43"/>
      <c r="M120" s="43"/>
      <c r="N120" s="43"/>
      <c r="O120" s="43"/>
    </row>
    <row r="121" spans="1:15" ht="22.5" x14ac:dyDescent="0.25">
      <c r="A121" s="43">
        <v>119</v>
      </c>
      <c r="B121" s="43" t="s">
        <v>3379</v>
      </c>
      <c r="C121" s="43" t="s">
        <v>3363</v>
      </c>
      <c r="D121" s="43" t="str">
        <f t="shared" si="7"/>
        <v>DungeonSiegeAttributeSet.UberLevel</v>
      </c>
      <c r="E121" s="43" t="s">
        <v>3376</v>
      </c>
      <c r="F121" s="43" t="str">
        <f t="shared" si="4"/>
        <v>UPROPERTY(EditAnywhere, BlueprintReadWrite, Category= "Experience", ReplicatedUsing= OnRep_UberLevel) FGameplayAttributeData UberLevel; ATTRIBUTE_ACCESSORS(UDungeonSiegeExperienceAttributeSet, UberLevel)</v>
      </c>
      <c r="G121" s="43" t="str">
        <f t="shared" si="8"/>
        <v>UFUNCTION() virtual void OnRep_UberLevel(const FGameplayAttributeData&amp; OldUberLevel);</v>
      </c>
      <c r="H121" s="43" t="str">
        <f t="shared" si="6"/>
        <v>void UDungeonSiegeExperienceAttributeSet::OnRep_UberLevel( const FGameplayAttributeData&amp; OldUberLevel){ GAMEPLAYATTRIBUTE_REPNOTIFY(UDungeonSiegeExperienceAttributeSet, UberLevel,  OldUberLevel);}</v>
      </c>
      <c r="I121" s="43"/>
      <c r="J121" s="43"/>
      <c r="K121" s="43"/>
      <c r="L121" s="43"/>
      <c r="M121" s="43"/>
      <c r="N121" s="43"/>
      <c r="O121" s="43"/>
    </row>
    <row r="122" spans="1:15" ht="22.5" x14ac:dyDescent="0.25">
      <c r="A122" s="43">
        <v>120</v>
      </c>
      <c r="B122" s="43" t="s">
        <v>3379</v>
      </c>
      <c r="C122" s="43" t="s">
        <v>3371</v>
      </c>
      <c r="D122" s="43" t="str">
        <f t="shared" si="7"/>
        <v>DungeonSiegeAttributeSet.UberExperience</v>
      </c>
      <c r="E122" s="43" t="s">
        <v>3376</v>
      </c>
      <c r="F122" s="43" t="str">
        <f t="shared" si="4"/>
        <v>UPROPERTY(EditAnywhere, BlueprintReadWrite, Category= "Experience", ReplicatedUsing= OnRep_UberExperience) FGameplayAttributeData UberExperience; ATTRIBUTE_ACCESSORS(UDungeonSiegeExperienceAttributeSet, UberExperience)</v>
      </c>
      <c r="G122" s="43" t="str">
        <f t="shared" si="8"/>
        <v>UFUNCTION() virtual void OnRep_UberExperience(const FGameplayAttributeData&amp; OldUberExperience);</v>
      </c>
      <c r="H122" s="43" t="str">
        <f t="shared" si="6"/>
        <v>void UDungeonSiegeExperienceAttributeSet::OnRep_UberExperience( const FGameplayAttributeData&amp; OldUberExperience){ GAMEPLAYATTRIBUTE_REPNOTIFY(UDungeonSiegeExperienceAttributeSet, UberExperience,  OldUberExperience);}</v>
      </c>
      <c r="I122" s="43"/>
      <c r="J122" s="43"/>
      <c r="K122" s="43"/>
      <c r="L122" s="43"/>
      <c r="M122" s="43"/>
      <c r="N122" s="43"/>
      <c r="O122" s="43"/>
    </row>
    <row r="123" spans="1:15" ht="22.5" x14ac:dyDescent="0.25">
      <c r="A123" s="43">
        <v>121</v>
      </c>
      <c r="B123" s="43" t="s">
        <v>3379</v>
      </c>
      <c r="C123" s="43" t="s">
        <v>3364</v>
      </c>
      <c r="D123" s="43" t="str">
        <f t="shared" ref="D123:D129" si="9">CONCATENATE("DungeonSiegeAttributeSet.",C123)</f>
        <v>DungeonSiegeAttributeSet.StrengthExperience</v>
      </c>
      <c r="E123" s="43" t="s">
        <v>3376</v>
      </c>
      <c r="F123" s="43" t="str">
        <f t="shared" si="4"/>
        <v>UPROPERTY(EditAnywhere, BlueprintReadWrite, Category= "Experience", ReplicatedUsing= OnRep_StrengthExperience) FGameplayAttributeData StrengthExperience; ATTRIBUTE_ACCESSORS(UDungeonSiegeExperienceAttributeSet, StrengthExperience)</v>
      </c>
      <c r="G123" s="43" t="str">
        <f t="shared" si="8"/>
        <v>UFUNCTION() virtual void OnRep_StrengthExperience(const FGameplayAttributeData&amp; OldStrengthExperience);</v>
      </c>
      <c r="H123" s="43" t="str">
        <f t="shared" si="6"/>
        <v>void UDungeonSiegeExperienceAttributeSet::OnRep_StrengthExperience( const FGameplayAttributeData&amp; OldStrengthExperience){ GAMEPLAYATTRIBUTE_REPNOTIFY(UDungeonSiegeExperienceAttributeSet, StrengthExperience,  OldStrengthExperience);}</v>
      </c>
      <c r="I123" s="43"/>
      <c r="J123" s="43"/>
      <c r="K123" s="43"/>
      <c r="L123" s="43"/>
      <c r="M123" s="43"/>
      <c r="N123" s="43"/>
      <c r="O123" s="43"/>
    </row>
    <row r="124" spans="1:15" ht="22.5" x14ac:dyDescent="0.25">
      <c r="A124" s="43">
        <v>122</v>
      </c>
      <c r="B124" s="43" t="s">
        <v>3379</v>
      </c>
      <c r="C124" s="43" t="s">
        <v>3365</v>
      </c>
      <c r="D124" s="43" t="str">
        <f t="shared" si="9"/>
        <v>DungeonSiegeAttributeSet.DexterityExperience</v>
      </c>
      <c r="E124" s="43" t="s">
        <v>3376</v>
      </c>
      <c r="F124" s="43" t="str">
        <f t="shared" si="4"/>
        <v>UPROPERTY(EditAnywhere, BlueprintReadWrite, Category= "Experience", ReplicatedUsing= OnRep_DexterityExperience) FGameplayAttributeData DexterityExperience; ATTRIBUTE_ACCESSORS(UDungeonSiegeExperienceAttributeSet, DexterityExperience)</v>
      </c>
      <c r="G124" s="43" t="str">
        <f t="shared" si="8"/>
        <v>UFUNCTION() virtual void OnRep_DexterityExperience(const FGameplayAttributeData&amp; OldDexterityExperience);</v>
      </c>
      <c r="H124" s="43" t="str">
        <f t="shared" si="6"/>
        <v>void UDungeonSiegeExperienceAttributeSet::OnRep_DexterityExperience( const FGameplayAttributeData&amp; OldDexterityExperience){ GAMEPLAYATTRIBUTE_REPNOTIFY(UDungeonSiegeExperienceAttributeSet, DexterityExperience,  OldDexterityExperience);}</v>
      </c>
      <c r="I124" s="43"/>
      <c r="J124" s="43"/>
      <c r="K124" s="43"/>
      <c r="L124" s="43"/>
      <c r="M124" s="43"/>
      <c r="N124" s="43"/>
      <c r="O124" s="43"/>
    </row>
    <row r="125" spans="1:15" ht="22.5" x14ac:dyDescent="0.25">
      <c r="A125" s="43">
        <v>123</v>
      </c>
      <c r="B125" s="43" t="s">
        <v>3379</v>
      </c>
      <c r="C125" s="43" t="s">
        <v>3366</v>
      </c>
      <c r="D125" s="43" t="str">
        <f t="shared" si="9"/>
        <v>DungeonSiegeAttributeSet.IntelligenceExperience</v>
      </c>
      <c r="E125" s="43" t="s">
        <v>3376</v>
      </c>
      <c r="F125" s="43" t="str">
        <f t="shared" si="4"/>
        <v>UPROPERTY(EditAnywhere, BlueprintReadWrite, Category= "Experience", ReplicatedUsing= OnRep_IntelligenceExperience) FGameplayAttributeData IntelligenceExperience; ATTRIBUTE_ACCESSORS(UDungeonSiegeExperienceAttributeSet, IntelligenceExperience)</v>
      </c>
      <c r="G125" s="43" t="str">
        <f t="shared" si="8"/>
        <v>UFUNCTION() virtual void OnRep_IntelligenceExperience(const FGameplayAttributeData&amp; OldIntelligenceExperience);</v>
      </c>
      <c r="H125" s="43" t="str">
        <f t="shared" si="6"/>
        <v>void UDungeonSiegeExperienceAttributeSet::OnRep_IntelligenceExperience( const FGameplayAttributeData&amp; OldIntelligenceExperience){ GAMEPLAYATTRIBUTE_REPNOTIFY(UDungeonSiegeExperienceAttributeSet, IntelligenceExperience,  OldIntelligenceExperience);}</v>
      </c>
      <c r="I125" s="43"/>
      <c r="J125" s="43"/>
      <c r="K125" s="43"/>
      <c r="L125" s="43"/>
      <c r="M125" s="43"/>
      <c r="N125" s="43"/>
      <c r="O125" s="43"/>
    </row>
    <row r="126" spans="1:15" ht="22.5" x14ac:dyDescent="0.25">
      <c r="A126" s="43">
        <v>124</v>
      </c>
      <c r="B126" s="43" t="s">
        <v>3379</v>
      </c>
      <c r="C126" s="43" t="s">
        <v>3367</v>
      </c>
      <c r="D126" s="43" t="str">
        <f t="shared" si="9"/>
        <v>DungeonSiegeAttributeSet.MeleeExperience</v>
      </c>
      <c r="E126" s="43" t="s">
        <v>3376</v>
      </c>
      <c r="F126" s="43" t="str">
        <f t="shared" si="4"/>
        <v>UPROPERTY(EditAnywhere, BlueprintReadWrite, Category= "Experience", ReplicatedUsing= OnRep_MeleeExperience) FGameplayAttributeData MeleeExperience; ATTRIBUTE_ACCESSORS(UDungeonSiegeExperienceAttributeSet, MeleeExperience)</v>
      </c>
      <c r="G126" s="43" t="str">
        <f t="shared" si="8"/>
        <v>UFUNCTION() virtual void OnRep_MeleeExperience(const FGameplayAttributeData&amp; OldMeleeExperience);</v>
      </c>
      <c r="H126" s="43" t="str">
        <f t="shared" si="6"/>
        <v>void UDungeonSiegeExperienceAttributeSet::OnRep_MeleeExperience( const FGameplayAttributeData&amp; OldMeleeExperience){ GAMEPLAYATTRIBUTE_REPNOTIFY(UDungeonSiegeExperienceAttributeSet, MeleeExperience,  OldMeleeExperience);}</v>
      </c>
      <c r="I126" s="43"/>
      <c r="J126" s="43"/>
      <c r="K126" s="43"/>
      <c r="L126" s="43"/>
      <c r="M126" s="43"/>
      <c r="N126" s="43"/>
      <c r="O126" s="43"/>
    </row>
    <row r="127" spans="1:15" ht="22.5" x14ac:dyDescent="0.25">
      <c r="A127" s="43">
        <v>125</v>
      </c>
      <c r="B127" s="43" t="s">
        <v>3379</v>
      </c>
      <c r="C127" s="43" t="s">
        <v>3368</v>
      </c>
      <c r="D127" s="43" t="str">
        <f t="shared" si="9"/>
        <v>DungeonSiegeAttributeSet.RangedExperience</v>
      </c>
      <c r="E127" s="43" t="s">
        <v>3376</v>
      </c>
      <c r="F127" s="43" t="str">
        <f t="shared" si="4"/>
        <v>UPROPERTY(EditAnywhere, BlueprintReadWrite, Category= "Experience", ReplicatedUsing= OnRep_RangedExperience) FGameplayAttributeData RangedExperience; ATTRIBUTE_ACCESSORS(UDungeonSiegeExperienceAttributeSet, RangedExperience)</v>
      </c>
      <c r="G127" s="43" t="str">
        <f t="shared" si="8"/>
        <v>UFUNCTION() virtual void OnRep_RangedExperience(const FGameplayAttributeData&amp; OldRangedExperience);</v>
      </c>
      <c r="H127" s="43" t="str">
        <f t="shared" si="6"/>
        <v>void UDungeonSiegeExperienceAttributeSet::OnRep_RangedExperience( const FGameplayAttributeData&amp; OldRangedExperience){ GAMEPLAYATTRIBUTE_REPNOTIFY(UDungeonSiegeExperienceAttributeSet, RangedExperience,  OldRangedExperience);}</v>
      </c>
      <c r="I127" s="43"/>
      <c r="J127" s="43"/>
      <c r="K127" s="43"/>
      <c r="L127" s="43"/>
      <c r="M127" s="43"/>
      <c r="N127" s="43"/>
      <c r="O127" s="43"/>
    </row>
    <row r="128" spans="1:15" ht="22.5" x14ac:dyDescent="0.25">
      <c r="A128" s="43">
        <v>126</v>
      </c>
      <c r="B128" s="43" t="s">
        <v>3379</v>
      </c>
      <c r="C128" s="43" t="s">
        <v>3369</v>
      </c>
      <c r="D128" s="43" t="str">
        <f t="shared" si="9"/>
        <v>DungeonSiegeAttributeSet.CombatMagicExperience</v>
      </c>
      <c r="E128" s="43" t="s">
        <v>3376</v>
      </c>
      <c r="F128" s="43" t="str">
        <f t="shared" si="4"/>
        <v>UPROPERTY(EditAnywhere, BlueprintReadWrite, Category= "Experience", ReplicatedUsing= OnRep_CombatMagicExperience) FGameplayAttributeData CombatMagicExperience; ATTRIBUTE_ACCESSORS(UDungeonSiegeExperienceAttributeSet, CombatMagicExperience)</v>
      </c>
      <c r="G128" s="43" t="str">
        <f t="shared" si="8"/>
        <v>UFUNCTION() virtual void OnRep_CombatMagicExperience(const FGameplayAttributeData&amp; OldCombatMagicExperience);</v>
      </c>
      <c r="H128" s="43" t="str">
        <f t="shared" si="6"/>
        <v>void UDungeonSiegeExperienceAttributeSet::OnRep_CombatMagicExperience( const FGameplayAttributeData&amp; OldCombatMagicExperience){ GAMEPLAYATTRIBUTE_REPNOTIFY(UDungeonSiegeExperienceAttributeSet, CombatMagicExperience,  OldCombatMagicExperience);}</v>
      </c>
      <c r="I128" s="43"/>
      <c r="J128" s="43"/>
      <c r="K128" s="43"/>
      <c r="L128" s="43"/>
      <c r="M128" s="43"/>
      <c r="N128" s="43"/>
      <c r="O128" s="43"/>
    </row>
    <row r="129" spans="1:15" ht="22.5" x14ac:dyDescent="0.25">
      <c r="A129" s="43">
        <v>127</v>
      </c>
      <c r="B129" s="43" t="s">
        <v>3379</v>
      </c>
      <c r="C129" s="43" t="s">
        <v>3370</v>
      </c>
      <c r="D129" s="43" t="str">
        <f t="shared" si="9"/>
        <v>DungeonSiegeAttributeSet.NatureMagicExperience</v>
      </c>
      <c r="E129" s="43" t="s">
        <v>3376</v>
      </c>
      <c r="F129" s="43" t="str">
        <f t="shared" si="4"/>
        <v>UPROPERTY(EditAnywhere, BlueprintReadWrite, Category= "Experience", ReplicatedUsing= OnRep_NatureMagicExperience) FGameplayAttributeData NatureMagicExperience; ATTRIBUTE_ACCESSORS(UDungeonSiegeExperienceAttributeSet, NatureMagicExperience)</v>
      </c>
      <c r="G129" s="43" t="str">
        <f t="shared" si="8"/>
        <v>UFUNCTION() virtual void OnRep_NatureMagicExperience(const FGameplayAttributeData&amp; OldNatureMagicExperience);</v>
      </c>
      <c r="H129" s="43" t="str">
        <f t="shared" si="6"/>
        <v>void UDungeonSiegeExperienceAttributeSet::OnRep_NatureMagicExperience( const FGameplayAttributeData&amp; OldNatureMagicExperience){ GAMEPLAYATTRIBUTE_REPNOTIFY(UDungeonSiegeExperienceAttributeSet, NatureMagicExperience,  OldNatureMagicExperience);}</v>
      </c>
      <c r="I129" s="43"/>
      <c r="J129" s="43"/>
      <c r="K129" s="43"/>
      <c r="L129" s="43"/>
      <c r="M129" s="43"/>
      <c r="N129" s="43"/>
      <c r="O129" s="43"/>
    </row>
    <row r="130" spans="1:15" x14ac:dyDescent="0.25">
      <c r="A130" s="43">
        <v>128</v>
      </c>
      <c r="B130" s="43"/>
      <c r="C130" s="43"/>
      <c r="D130" s="43"/>
      <c r="E130" s="43"/>
      <c r="F130" s="43"/>
      <c r="G130" s="43" t="str">
        <f t="shared" si="8"/>
        <v>UFUNCTION() virtual void OnRep_(const FGameplayAttributeData&amp; Old);</v>
      </c>
      <c r="H130" s="43" t="str">
        <f t="shared" si="6"/>
        <v>void U::OnRep_( const FGameplayAttributeData&amp; Old){ GAMEPLAYATTRIBUTE_REPNOTIFY(U, ,  Old);}</v>
      </c>
    </row>
    <row r="131" spans="1:15" x14ac:dyDescent="0.25">
      <c r="A131" s="43">
        <v>129</v>
      </c>
      <c r="B131" s="43"/>
      <c r="C131" s="43"/>
      <c r="D131" s="43"/>
      <c r="E131" s="43"/>
      <c r="F131" s="43"/>
      <c r="G131" s="43" t="str">
        <f t="shared" si="8"/>
        <v>UFUNCTION() virtual void OnRep_(const FGameplayAttributeData&amp; Old);</v>
      </c>
      <c r="H131" s="43" t="str">
        <f t="shared" si="6"/>
        <v>void U::OnRep_( const FGameplayAttributeData&amp; Old){ GAMEPLAYATTRIBUTE_REPNOTIFY(U, ,  Old);}</v>
      </c>
    </row>
    <row r="132" spans="1:15" x14ac:dyDescent="0.25">
      <c r="A132" s="43"/>
      <c r="B132" s="43"/>
      <c r="C132" s="43"/>
      <c r="D132" s="43"/>
      <c r="E132" s="43"/>
      <c r="F132" s="43"/>
      <c r="G132" s="43" t="str">
        <f t="shared" si="8"/>
        <v>UFUNCTION() virtual void OnRep_(const FGameplayAttributeData&amp; Old);</v>
      </c>
      <c r="H132" s="43" t="str">
        <f t="shared" si="6"/>
        <v>void U::OnRep_( const FGameplayAttributeData&amp; Old){ GAMEPLAYATTRIBUTE_REPNOTIFY(U, ,  Old);}</v>
      </c>
    </row>
    <row r="133" spans="1:15" x14ac:dyDescent="0.25">
      <c r="A133" s="43"/>
      <c r="B133" s="43"/>
      <c r="C133" s="43"/>
      <c r="D133" s="43"/>
      <c r="E133" s="43"/>
      <c r="F133" s="43"/>
      <c r="G133" s="43" t="str">
        <f t="shared" si="8"/>
        <v>UFUNCTION() virtual void OnRep_(const FGameplayAttributeData&amp; Old);</v>
      </c>
      <c r="H133" s="43" t="str">
        <f t="shared" si="6"/>
        <v>void U::OnRep_( const FGameplayAttributeData&amp; Old){ GAMEPLAYATTRIBUTE_REPNOTIFY(U, ,  Old);}</v>
      </c>
    </row>
    <row r="134" spans="1:15" x14ac:dyDescent="0.25">
      <c r="A134" s="43"/>
      <c r="B134" s="43"/>
      <c r="C134" s="43"/>
      <c r="D134" s="43"/>
      <c r="E134" s="43"/>
      <c r="F134" s="43"/>
      <c r="G134" s="43" t="str">
        <f t="shared" si="8"/>
        <v>UFUNCTION() virtual void OnRep_(const FGameplayAttributeData&amp; Old);</v>
      </c>
      <c r="H134" s="43" t="str">
        <f t="shared" si="6"/>
        <v>void U::OnRep_( const FGameplayAttributeData&amp; Old){ GAMEPLAYATTRIBUTE_REPNOTIFY(U, ,  Old);}</v>
      </c>
    </row>
    <row r="135" spans="1:15" x14ac:dyDescent="0.25">
      <c r="A135" s="43"/>
      <c r="B135" s="43"/>
      <c r="C135" s="43"/>
      <c r="D135" s="43"/>
      <c r="E135" s="43"/>
      <c r="F135" s="43"/>
    </row>
    <row r="136" spans="1:15" x14ac:dyDescent="0.25">
      <c r="A136" s="43"/>
      <c r="B136" s="43"/>
      <c r="C136" s="43"/>
      <c r="D136" s="43"/>
      <c r="E136" s="43"/>
      <c r="F136" s="43"/>
    </row>
    <row r="137" spans="1:15" x14ac:dyDescent="0.25">
      <c r="A137" s="43"/>
      <c r="B137" s="43"/>
      <c r="C137" s="43"/>
      <c r="D137" s="43"/>
      <c r="E137" s="43"/>
      <c r="F137" s="43"/>
    </row>
    <row r="138" spans="1:15" x14ac:dyDescent="0.25">
      <c r="A138" s="43"/>
      <c r="B138" s="43"/>
      <c r="C138" s="43"/>
      <c r="D138" s="43"/>
      <c r="E138" s="43"/>
      <c r="F138" s="43"/>
    </row>
    <row r="139" spans="1:15" x14ac:dyDescent="0.25">
      <c r="A139" s="43"/>
      <c r="B139" s="43"/>
      <c r="C139" s="43"/>
      <c r="D139" s="43"/>
      <c r="E139" s="43"/>
      <c r="F139" s="43"/>
    </row>
    <row r="140" spans="1:15" x14ac:dyDescent="0.25">
      <c r="A140" s="43"/>
      <c r="B140" s="43"/>
      <c r="C140" s="43"/>
      <c r="D140" s="43"/>
      <c r="E140" s="43"/>
      <c r="F140" s="43"/>
    </row>
    <row r="141" spans="1:15" x14ac:dyDescent="0.25">
      <c r="A141" s="43"/>
      <c r="B141" s="43"/>
      <c r="C141" s="43"/>
      <c r="D141" s="43"/>
      <c r="E141" s="43"/>
      <c r="F141" s="43"/>
    </row>
    <row r="142" spans="1:15" x14ac:dyDescent="0.25">
      <c r="A142" s="43"/>
      <c r="B142" s="43"/>
      <c r="C142" s="43"/>
      <c r="D142" s="43"/>
      <c r="E142" s="43"/>
      <c r="F142" s="43"/>
    </row>
    <row r="143" spans="1:15" x14ac:dyDescent="0.25">
      <c r="A143" s="43"/>
      <c r="B143" s="43"/>
      <c r="C143" s="43"/>
      <c r="D143" s="43"/>
      <c r="E143" s="43"/>
      <c r="F143" s="43"/>
    </row>
    <row r="144" spans="1:15" x14ac:dyDescent="0.25">
      <c r="A144" s="43"/>
      <c r="B144" s="43"/>
      <c r="C144" s="43"/>
      <c r="D144" s="43"/>
      <c r="E144" s="43"/>
      <c r="F144" s="43"/>
    </row>
    <row r="145" spans="1:6" x14ac:dyDescent="0.25">
      <c r="A145" s="43"/>
      <c r="B145" s="43"/>
      <c r="C145" s="43"/>
      <c r="D145" s="43"/>
      <c r="E145" s="43"/>
      <c r="F145" s="43"/>
    </row>
    <row r="146" spans="1:6" x14ac:dyDescent="0.25">
      <c r="A146" s="43"/>
      <c r="B146" s="43"/>
      <c r="C146" s="43"/>
      <c r="D146" s="43"/>
      <c r="E146" s="43"/>
      <c r="F146" s="43"/>
    </row>
    <row r="580" spans="6:6" x14ac:dyDescent="0.25">
      <c r="F580">
        <v>5</v>
      </c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704DD-62DB-45FC-9BA9-92F251CEC4D1}">
  <sheetPr codeName="Sheet14"/>
  <dimension ref="A2:B153"/>
  <sheetViews>
    <sheetView workbookViewId="0"/>
  </sheetViews>
  <sheetFormatPr defaultRowHeight="15" x14ac:dyDescent="0.25"/>
  <cols>
    <col min="1" max="2" width="9.140625" style="1"/>
  </cols>
  <sheetData>
    <row r="2" spans="1:2" x14ac:dyDescent="0.25">
      <c r="A2" s="1" t="s">
        <v>3361</v>
      </c>
      <c r="B2" s="1" t="s">
        <v>3360</v>
      </c>
    </row>
    <row r="3" spans="1:2" x14ac:dyDescent="0.25">
      <c r="A3" s="1">
        <v>0</v>
      </c>
      <c r="B3" s="1">
        <v>0</v>
      </c>
    </row>
    <row r="4" spans="1:2" x14ac:dyDescent="0.25">
      <c r="A4" s="1">
        <v>1</v>
      </c>
      <c r="B4" s="1">
        <v>70</v>
      </c>
    </row>
    <row r="5" spans="1:2" x14ac:dyDescent="0.25">
      <c r="A5" s="1">
        <v>2</v>
      </c>
      <c r="B5" s="1">
        <v>650</v>
      </c>
    </row>
    <row r="6" spans="1:2" x14ac:dyDescent="0.25">
      <c r="A6" s="1">
        <v>3</v>
      </c>
      <c r="B6" s="1">
        <v>1450</v>
      </c>
    </row>
    <row r="7" spans="1:2" x14ac:dyDescent="0.25">
      <c r="A7" s="1">
        <v>4</v>
      </c>
      <c r="B7" s="1">
        <v>2350</v>
      </c>
    </row>
    <row r="8" spans="1:2" x14ac:dyDescent="0.25">
      <c r="A8" s="1">
        <v>5</v>
      </c>
      <c r="B8" s="1">
        <v>3350</v>
      </c>
    </row>
    <row r="9" spans="1:2" x14ac:dyDescent="0.25">
      <c r="A9" s="1">
        <v>6</v>
      </c>
      <c r="B9" s="1">
        <v>4650</v>
      </c>
    </row>
    <row r="10" spans="1:2" x14ac:dyDescent="0.25">
      <c r="A10" s="1">
        <v>7</v>
      </c>
      <c r="B10" s="1">
        <v>6650</v>
      </c>
    </row>
    <row r="11" spans="1:2" x14ac:dyDescent="0.25">
      <c r="A11" s="1">
        <v>8</v>
      </c>
      <c r="B11" s="1">
        <v>9450</v>
      </c>
    </row>
    <row r="12" spans="1:2" x14ac:dyDescent="0.25">
      <c r="A12" s="1">
        <v>9</v>
      </c>
      <c r="B12" s="1">
        <v>12950</v>
      </c>
    </row>
    <row r="13" spans="1:2" x14ac:dyDescent="0.25">
      <c r="A13" s="1">
        <v>10</v>
      </c>
      <c r="B13" s="1">
        <v>17100</v>
      </c>
    </row>
    <row r="14" spans="1:2" x14ac:dyDescent="0.25">
      <c r="A14" s="1">
        <v>11</v>
      </c>
      <c r="B14" s="1">
        <v>22000</v>
      </c>
    </row>
    <row r="15" spans="1:2" x14ac:dyDescent="0.25">
      <c r="A15" s="1">
        <v>12</v>
      </c>
      <c r="B15" s="1">
        <v>27800</v>
      </c>
    </row>
    <row r="16" spans="1:2" x14ac:dyDescent="0.25">
      <c r="A16" s="1">
        <v>13</v>
      </c>
      <c r="B16" s="1">
        <v>34300</v>
      </c>
    </row>
    <row r="17" spans="1:2" x14ac:dyDescent="0.25">
      <c r="A17" s="1">
        <v>14</v>
      </c>
      <c r="B17" s="1">
        <v>41300</v>
      </c>
    </row>
    <row r="18" spans="1:2" x14ac:dyDescent="0.25">
      <c r="A18" s="1">
        <v>15</v>
      </c>
      <c r="B18" s="1">
        <v>49191</v>
      </c>
    </row>
    <row r="19" spans="1:2" x14ac:dyDescent="0.25">
      <c r="A19" s="1">
        <v>16</v>
      </c>
      <c r="B19" s="1">
        <v>58327</v>
      </c>
    </row>
    <row r="20" spans="1:2" x14ac:dyDescent="0.25">
      <c r="A20" s="1">
        <v>17</v>
      </c>
      <c r="B20" s="1">
        <v>68882</v>
      </c>
    </row>
    <row r="21" spans="1:2" x14ac:dyDescent="0.25">
      <c r="A21" s="1">
        <v>18</v>
      </c>
      <c r="B21" s="1">
        <v>81054</v>
      </c>
    </row>
    <row r="22" spans="1:2" x14ac:dyDescent="0.25">
      <c r="A22" s="1">
        <v>19</v>
      </c>
      <c r="B22" s="1">
        <v>95071</v>
      </c>
    </row>
    <row r="23" spans="1:2" x14ac:dyDescent="0.25">
      <c r="A23" s="1">
        <v>20</v>
      </c>
      <c r="B23" s="1">
        <v>111190</v>
      </c>
    </row>
    <row r="24" spans="1:2" x14ac:dyDescent="0.25">
      <c r="A24" s="1">
        <v>21</v>
      </c>
      <c r="B24" s="1">
        <v>129706</v>
      </c>
    </row>
    <row r="25" spans="1:2" x14ac:dyDescent="0.25">
      <c r="A25" s="1">
        <v>22</v>
      </c>
      <c r="B25" s="1">
        <v>150954</v>
      </c>
    </row>
    <row r="26" spans="1:2" x14ac:dyDescent="0.25">
      <c r="A26" s="1">
        <v>23</v>
      </c>
      <c r="B26" s="1">
        <v>175317</v>
      </c>
    </row>
    <row r="27" spans="1:2" x14ac:dyDescent="0.25">
      <c r="A27" s="1">
        <v>24</v>
      </c>
      <c r="B27" s="1">
        <v>203567</v>
      </c>
    </row>
    <row r="28" spans="1:2" x14ac:dyDescent="0.25">
      <c r="A28" s="1">
        <v>25</v>
      </c>
      <c r="B28" s="1">
        <v>236338</v>
      </c>
    </row>
    <row r="29" spans="1:2" x14ac:dyDescent="0.25">
      <c r="A29" s="1">
        <v>26</v>
      </c>
      <c r="B29" s="1">
        <v>274352</v>
      </c>
    </row>
    <row r="30" spans="1:2" x14ac:dyDescent="0.25">
      <c r="A30" s="1">
        <v>27</v>
      </c>
      <c r="B30" s="1">
        <v>318449</v>
      </c>
    </row>
    <row r="31" spans="1:2" x14ac:dyDescent="0.25">
      <c r="A31" s="1">
        <v>28</v>
      </c>
      <c r="B31" s="1">
        <v>369600</v>
      </c>
    </row>
    <row r="32" spans="1:2" x14ac:dyDescent="0.25">
      <c r="A32" s="1">
        <v>29</v>
      </c>
      <c r="B32" s="1">
        <v>428936</v>
      </c>
    </row>
    <row r="33" spans="1:2" x14ac:dyDescent="0.25">
      <c r="A33" s="1">
        <v>30</v>
      </c>
      <c r="B33" s="1">
        <v>497766</v>
      </c>
    </row>
    <row r="34" spans="1:2" x14ac:dyDescent="0.25">
      <c r="A34" s="1">
        <v>31</v>
      </c>
      <c r="B34" s="1">
        <v>577609</v>
      </c>
    </row>
    <row r="35" spans="1:2" x14ac:dyDescent="0.25">
      <c r="A35" s="1">
        <v>32</v>
      </c>
      <c r="B35" s="1">
        <v>670226</v>
      </c>
    </row>
    <row r="36" spans="1:2" x14ac:dyDescent="0.25">
      <c r="A36" s="1">
        <v>33</v>
      </c>
      <c r="B36" s="1">
        <v>777662</v>
      </c>
    </row>
    <row r="37" spans="1:2" x14ac:dyDescent="0.25">
      <c r="A37" s="1">
        <v>34</v>
      </c>
      <c r="B37" s="1">
        <v>902288</v>
      </c>
    </row>
    <row r="38" spans="1:2" x14ac:dyDescent="0.25">
      <c r="A38" s="1">
        <v>35</v>
      </c>
      <c r="B38" s="1">
        <v>1046855</v>
      </c>
    </row>
    <row r="39" spans="1:2" x14ac:dyDescent="0.25">
      <c r="A39" s="1">
        <v>36</v>
      </c>
      <c r="B39" s="1">
        <v>1214551</v>
      </c>
    </row>
    <row r="40" spans="1:2" x14ac:dyDescent="0.25">
      <c r="A40" s="1">
        <v>37</v>
      </c>
      <c r="B40" s="1">
        <v>1409080</v>
      </c>
    </row>
    <row r="41" spans="1:2" x14ac:dyDescent="0.25">
      <c r="A41" s="1">
        <v>38</v>
      </c>
      <c r="B41" s="1">
        <v>1634732</v>
      </c>
    </row>
    <row r="42" spans="1:2" x14ac:dyDescent="0.25">
      <c r="A42" s="1">
        <v>39</v>
      </c>
      <c r="B42" s="1">
        <v>1896489</v>
      </c>
    </row>
    <row r="43" spans="1:2" x14ac:dyDescent="0.25">
      <c r="A43" s="1">
        <v>40</v>
      </c>
      <c r="B43" s="1">
        <v>2200128</v>
      </c>
    </row>
    <row r="44" spans="1:2" x14ac:dyDescent="0.25">
      <c r="A44" s="1">
        <v>41</v>
      </c>
      <c r="B44" s="1">
        <v>2552348</v>
      </c>
    </row>
    <row r="45" spans="1:2" x14ac:dyDescent="0.25">
      <c r="A45" s="1">
        <v>42</v>
      </c>
      <c r="B45" s="1">
        <v>2960924</v>
      </c>
    </row>
    <row r="46" spans="1:2" x14ac:dyDescent="0.25">
      <c r="A46" s="1">
        <v>43</v>
      </c>
      <c r="B46" s="1">
        <v>3434872</v>
      </c>
    </row>
    <row r="47" spans="1:2" x14ac:dyDescent="0.25">
      <c r="A47" s="1">
        <v>44</v>
      </c>
      <c r="B47" s="1">
        <v>3984651</v>
      </c>
    </row>
    <row r="48" spans="1:2" x14ac:dyDescent="0.25">
      <c r="A48" s="1">
        <v>45</v>
      </c>
      <c r="B48" s="1">
        <v>4622395</v>
      </c>
    </row>
    <row r="49" spans="1:2" x14ac:dyDescent="0.25">
      <c r="A49" s="1">
        <v>46</v>
      </c>
      <c r="B49" s="1">
        <v>5362179</v>
      </c>
    </row>
    <row r="50" spans="1:2" x14ac:dyDescent="0.25">
      <c r="A50" s="1">
        <v>47</v>
      </c>
      <c r="B50" s="1">
        <v>6220327</v>
      </c>
    </row>
    <row r="51" spans="1:2" x14ac:dyDescent="0.25">
      <c r="A51" s="1">
        <v>48</v>
      </c>
      <c r="B51" s="1">
        <v>7215779</v>
      </c>
    </row>
    <row r="52" spans="1:2" x14ac:dyDescent="0.25">
      <c r="A52" s="1">
        <v>49</v>
      </c>
      <c r="B52" s="1">
        <v>8370504</v>
      </c>
    </row>
    <row r="53" spans="1:2" x14ac:dyDescent="0.25">
      <c r="A53" s="1">
        <v>50</v>
      </c>
      <c r="B53" s="1">
        <v>9709985</v>
      </c>
    </row>
    <row r="54" spans="1:2" x14ac:dyDescent="0.25">
      <c r="A54" s="1">
        <v>51</v>
      </c>
      <c r="B54" s="1">
        <v>11263782</v>
      </c>
    </row>
    <row r="55" spans="1:2" x14ac:dyDescent="0.25">
      <c r="A55" s="1">
        <v>52</v>
      </c>
      <c r="B55" s="1">
        <v>13066188</v>
      </c>
    </row>
    <row r="56" spans="1:2" x14ac:dyDescent="0.25">
      <c r="A56" s="1">
        <v>53</v>
      </c>
      <c r="B56" s="1">
        <v>15156978</v>
      </c>
    </row>
    <row r="57" spans="1:2" x14ac:dyDescent="0.25">
      <c r="A57" s="1">
        <v>54</v>
      </c>
      <c r="B57" s="1">
        <v>17582294</v>
      </c>
    </row>
    <row r="58" spans="1:2" x14ac:dyDescent="0.25">
      <c r="A58" s="1">
        <v>55</v>
      </c>
      <c r="B58" s="1">
        <v>20395661</v>
      </c>
    </row>
    <row r="59" spans="1:2" x14ac:dyDescent="0.25">
      <c r="A59" s="1">
        <v>56</v>
      </c>
      <c r="B59" s="1">
        <v>23659167</v>
      </c>
    </row>
    <row r="60" spans="1:2" x14ac:dyDescent="0.25">
      <c r="A60" s="1">
        <v>57</v>
      </c>
      <c r="B60" s="1">
        <v>27444833</v>
      </c>
    </row>
    <row r="61" spans="1:2" x14ac:dyDescent="0.25">
      <c r="A61" s="1">
        <v>58</v>
      </c>
      <c r="B61" s="1">
        <v>31836207</v>
      </c>
    </row>
    <row r="62" spans="1:2" x14ac:dyDescent="0.25">
      <c r="A62" s="1">
        <v>59</v>
      </c>
      <c r="B62" s="1">
        <v>36930200</v>
      </c>
    </row>
    <row r="63" spans="1:2" x14ac:dyDescent="0.25">
      <c r="A63" s="1">
        <v>60</v>
      </c>
      <c r="B63" s="1">
        <v>42839232</v>
      </c>
    </row>
    <row r="64" spans="1:2" x14ac:dyDescent="0.25">
      <c r="A64" s="1">
        <v>61</v>
      </c>
      <c r="B64" s="1">
        <v>49780637</v>
      </c>
    </row>
    <row r="65" spans="1:2" x14ac:dyDescent="0.25">
      <c r="A65" s="1">
        <v>62</v>
      </c>
      <c r="B65" s="1">
        <v>58283859</v>
      </c>
    </row>
    <row r="66" spans="1:2" x14ac:dyDescent="0.25">
      <c r="A66" s="1">
        <v>63</v>
      </c>
      <c r="B66" s="1">
        <v>68700306</v>
      </c>
    </row>
    <row r="67" spans="1:2" x14ac:dyDescent="0.25">
      <c r="A67" s="1">
        <v>64</v>
      </c>
      <c r="B67" s="1">
        <v>81460453</v>
      </c>
    </row>
    <row r="68" spans="1:2" x14ac:dyDescent="0.25">
      <c r="A68" s="1">
        <v>65</v>
      </c>
      <c r="B68" s="1">
        <v>97091634</v>
      </c>
    </row>
    <row r="69" spans="1:2" x14ac:dyDescent="0.25">
      <c r="A69" s="1">
        <v>66</v>
      </c>
      <c r="B69" s="1">
        <v>116239830</v>
      </c>
    </row>
    <row r="70" spans="1:2" x14ac:dyDescent="0.25">
      <c r="A70" s="1">
        <v>67</v>
      </c>
      <c r="B70" s="1">
        <v>139696370</v>
      </c>
    </row>
    <row r="71" spans="1:2" x14ac:dyDescent="0.25">
      <c r="A71" s="1">
        <v>68</v>
      </c>
      <c r="B71" s="1">
        <v>168430631</v>
      </c>
    </row>
    <row r="72" spans="1:2" x14ac:dyDescent="0.25">
      <c r="A72" s="1">
        <v>69</v>
      </c>
      <c r="B72" s="1">
        <v>203630102</v>
      </c>
    </row>
    <row r="73" spans="1:2" x14ac:dyDescent="0.25">
      <c r="A73" s="1">
        <v>70</v>
      </c>
      <c r="B73" s="1">
        <v>246749453</v>
      </c>
    </row>
    <row r="74" spans="1:2" x14ac:dyDescent="0.25">
      <c r="A74" s="1">
        <v>71</v>
      </c>
      <c r="B74" s="1">
        <v>299570658</v>
      </c>
    </row>
    <row r="75" spans="1:2" x14ac:dyDescent="0.25">
      <c r="A75" s="1">
        <v>72</v>
      </c>
      <c r="B75" s="1">
        <v>364276635</v>
      </c>
    </row>
    <row r="76" spans="1:2" x14ac:dyDescent="0.25">
      <c r="A76" s="1">
        <v>73</v>
      </c>
      <c r="B76" s="1">
        <v>443541456</v>
      </c>
    </row>
    <row r="77" spans="1:2" x14ac:dyDescent="0.25">
      <c r="A77" s="1">
        <v>74</v>
      </c>
      <c r="B77" s="1">
        <v>540640862</v>
      </c>
    </row>
    <row r="78" spans="1:2" x14ac:dyDescent="0.25">
      <c r="A78" s="1">
        <v>75</v>
      </c>
      <c r="B78" s="1">
        <v>659587634</v>
      </c>
    </row>
    <row r="79" spans="1:2" x14ac:dyDescent="0.25">
      <c r="A79" s="1">
        <v>76</v>
      </c>
      <c r="B79" s="1">
        <v>805297430</v>
      </c>
    </row>
    <row r="80" spans="1:2" x14ac:dyDescent="0.25">
      <c r="A80" s="1">
        <v>77</v>
      </c>
      <c r="B80" s="1">
        <v>983791930</v>
      </c>
    </row>
    <row r="81" spans="1:2" x14ac:dyDescent="0.25">
      <c r="A81" s="1">
        <v>78</v>
      </c>
      <c r="B81" s="1">
        <v>1202447693</v>
      </c>
    </row>
    <row r="82" spans="1:2" x14ac:dyDescent="0.25">
      <c r="A82" s="1">
        <v>79</v>
      </c>
      <c r="B82" s="1">
        <v>1470301002</v>
      </c>
    </row>
    <row r="83" spans="1:2" x14ac:dyDescent="0.25">
      <c r="A83" s="1">
        <v>80</v>
      </c>
      <c r="B83" s="1">
        <v>1798421306</v>
      </c>
    </row>
    <row r="84" spans="1:2" x14ac:dyDescent="0.25">
      <c r="A84" s="1">
        <v>81</v>
      </c>
      <c r="B84" s="1">
        <v>2200368678</v>
      </c>
    </row>
    <row r="85" spans="1:2" x14ac:dyDescent="0.25">
      <c r="A85" s="1">
        <v>82</v>
      </c>
      <c r="B85" s="1">
        <v>2692754209</v>
      </c>
    </row>
    <row r="86" spans="1:2" x14ac:dyDescent="0.25">
      <c r="A86" s="1">
        <v>83</v>
      </c>
      <c r="B86" s="1">
        <v>3295926485</v>
      </c>
    </row>
    <row r="87" spans="1:2" x14ac:dyDescent="0.25">
      <c r="A87" s="1">
        <v>84</v>
      </c>
      <c r="B87" s="1">
        <v>4034812522</v>
      </c>
    </row>
    <row r="88" spans="1:2" x14ac:dyDescent="0.25">
      <c r="A88" s="1">
        <v>85</v>
      </c>
      <c r="B88" s="1">
        <v>4939947918</v>
      </c>
    </row>
    <row r="89" spans="1:2" x14ac:dyDescent="0.25">
      <c r="A89" s="1">
        <v>86</v>
      </c>
      <c r="B89" s="1">
        <v>6048738778</v>
      </c>
    </row>
    <row r="90" spans="1:2" x14ac:dyDescent="0.25">
      <c r="A90" s="1">
        <v>87</v>
      </c>
      <c r="B90" s="1">
        <v>7407007581</v>
      </c>
    </row>
    <row r="91" spans="1:2" x14ac:dyDescent="0.25">
      <c r="A91" s="1">
        <v>88</v>
      </c>
      <c r="B91" s="1">
        <v>9070886865</v>
      </c>
    </row>
    <row r="92" spans="1:2" x14ac:dyDescent="0.25">
      <c r="A92" s="1">
        <v>89</v>
      </c>
      <c r="B92" s="1">
        <v>11109138988</v>
      </c>
    </row>
    <row r="93" spans="1:2" x14ac:dyDescent="0.25">
      <c r="A93" s="1">
        <v>90</v>
      </c>
      <c r="B93" s="1">
        <v>13605997839</v>
      </c>
    </row>
    <row r="94" spans="1:2" x14ac:dyDescent="0.25">
      <c r="A94" s="1">
        <v>91</v>
      </c>
      <c r="B94" s="1">
        <v>16664649931</v>
      </c>
    </row>
    <row r="95" spans="1:2" x14ac:dyDescent="0.25">
      <c r="A95" s="1">
        <v>92</v>
      </c>
      <c r="B95" s="1">
        <v>20411498744</v>
      </c>
    </row>
    <row r="96" spans="1:2" x14ac:dyDescent="0.25">
      <c r="A96" s="1">
        <v>93</v>
      </c>
      <c r="B96" s="1">
        <v>25001388540</v>
      </c>
    </row>
    <row r="97" spans="1:2" x14ac:dyDescent="0.25">
      <c r="A97" s="1">
        <v>94</v>
      </c>
      <c r="B97" s="1">
        <v>30624003540</v>
      </c>
    </row>
    <row r="98" spans="1:2" x14ac:dyDescent="0.25">
      <c r="A98" s="1">
        <v>95</v>
      </c>
      <c r="B98" s="1">
        <v>37511706915</v>
      </c>
    </row>
    <row r="99" spans="1:2" x14ac:dyDescent="0.25">
      <c r="A99" s="1">
        <v>96</v>
      </c>
      <c r="B99" s="1">
        <v>45949143550</v>
      </c>
    </row>
    <row r="100" spans="1:2" x14ac:dyDescent="0.25">
      <c r="A100" s="1">
        <v>97</v>
      </c>
      <c r="B100" s="1">
        <v>56285003427</v>
      </c>
    </row>
    <row r="101" spans="1:2" x14ac:dyDescent="0.25">
      <c r="A101" s="1">
        <v>98</v>
      </c>
      <c r="B101" s="1">
        <v>68946431776</v>
      </c>
    </row>
    <row r="102" spans="1:2" x14ac:dyDescent="0.25">
      <c r="A102" s="1">
        <v>99</v>
      </c>
      <c r="B102" s="1">
        <v>84456681504</v>
      </c>
    </row>
    <row r="103" spans="1:2" x14ac:dyDescent="0.25">
      <c r="A103" s="1">
        <v>100</v>
      </c>
      <c r="B103" s="1">
        <v>103456737421</v>
      </c>
    </row>
    <row r="104" spans="1:2" x14ac:dyDescent="0.25">
      <c r="A104" s="1">
        <v>101</v>
      </c>
      <c r="B104" s="1">
        <v>126731805919</v>
      </c>
    </row>
    <row r="105" spans="1:2" x14ac:dyDescent="0.25">
      <c r="A105" s="1">
        <v>102</v>
      </c>
      <c r="B105" s="1">
        <v>155243764829</v>
      </c>
    </row>
    <row r="106" spans="1:2" x14ac:dyDescent="0.25">
      <c r="A106" s="1">
        <v>103</v>
      </c>
      <c r="B106" s="1">
        <v>190170914494</v>
      </c>
    </row>
    <row r="107" spans="1:2" x14ac:dyDescent="0.25">
      <c r="A107" s="1">
        <v>104</v>
      </c>
      <c r="B107" s="1">
        <v>232956672834</v>
      </c>
    </row>
    <row r="108" spans="1:2" x14ac:dyDescent="0.25">
      <c r="A108" s="1">
        <v>105</v>
      </c>
      <c r="B108" s="1">
        <v>285369226800</v>
      </c>
    </row>
    <row r="109" spans="1:2" x14ac:dyDescent="0.25">
      <c r="A109" s="1">
        <v>106</v>
      </c>
      <c r="B109" s="1">
        <v>349574605408</v>
      </c>
    </row>
    <row r="110" spans="1:2" x14ac:dyDescent="0.25">
      <c r="A110" s="1">
        <v>107</v>
      </c>
      <c r="B110" s="1">
        <v>428226194203</v>
      </c>
    </row>
    <row r="111" spans="1:2" x14ac:dyDescent="0.25">
      <c r="A111" s="1">
        <v>108</v>
      </c>
      <c r="B111" s="1">
        <v>524574390477</v>
      </c>
    </row>
    <row r="112" spans="1:2" x14ac:dyDescent="0.25">
      <c r="A112" s="1">
        <v>109</v>
      </c>
      <c r="B112" s="1">
        <v>642600930913</v>
      </c>
    </row>
    <row r="113" spans="1:2" x14ac:dyDescent="0.25">
      <c r="A113" s="1">
        <v>110</v>
      </c>
      <c r="B113" s="1">
        <v>787183442946</v>
      </c>
    </row>
    <row r="114" spans="1:2" x14ac:dyDescent="0.25">
      <c r="A114" s="1">
        <v>111</v>
      </c>
      <c r="B114" s="1">
        <v>964297020188</v>
      </c>
    </row>
    <row r="115" spans="1:2" x14ac:dyDescent="0.25">
      <c r="A115" s="1">
        <v>112</v>
      </c>
      <c r="B115" s="1">
        <v>1181261152309</v>
      </c>
    </row>
    <row r="116" spans="1:2" x14ac:dyDescent="0.25">
      <c r="A116" s="1">
        <v>113</v>
      </c>
      <c r="B116" s="1">
        <v>1447042214156</v>
      </c>
    </row>
    <row r="117" spans="1:2" x14ac:dyDescent="0.25">
      <c r="A117" s="1">
        <v>114</v>
      </c>
      <c r="B117" s="1">
        <v>1772624014920</v>
      </c>
    </row>
    <row r="118" spans="1:2" x14ac:dyDescent="0.25">
      <c r="A118" s="1">
        <v>115</v>
      </c>
      <c r="B118" s="1">
        <v>2171461720855</v>
      </c>
    </row>
    <row r="119" spans="1:2" x14ac:dyDescent="0.25">
      <c r="A119" s="1">
        <v>116</v>
      </c>
      <c r="B119" s="1">
        <v>2660037910626</v>
      </c>
    </row>
    <row r="120" spans="1:2" x14ac:dyDescent="0.25">
      <c r="A120" s="1">
        <v>117</v>
      </c>
      <c r="B120" s="1">
        <v>3258543743095</v>
      </c>
    </row>
    <row r="121" spans="1:2" x14ac:dyDescent="0.25">
      <c r="A121" s="1">
        <v>118</v>
      </c>
      <c r="B121" s="1">
        <v>3991713387870</v>
      </c>
    </row>
    <row r="122" spans="1:2" x14ac:dyDescent="0.25">
      <c r="A122" s="1">
        <v>119</v>
      </c>
      <c r="B122" s="1">
        <v>4889846202719</v>
      </c>
    </row>
    <row r="123" spans="1:2" x14ac:dyDescent="0.25">
      <c r="A123" s="1">
        <v>120</v>
      </c>
      <c r="B123" s="1">
        <v>5990058900910</v>
      </c>
    </row>
    <row r="124" spans="1:2" x14ac:dyDescent="0.25">
      <c r="A124" s="1">
        <v>121</v>
      </c>
      <c r="B124" s="1">
        <v>7337819456193</v>
      </c>
    </row>
    <row r="125" spans="1:2" x14ac:dyDescent="0.25">
      <c r="A125" s="1">
        <v>122</v>
      </c>
      <c r="B125" s="1">
        <v>8988826136414</v>
      </c>
    </row>
    <row r="126" spans="1:2" x14ac:dyDescent="0.25">
      <c r="A126" s="1">
        <v>123</v>
      </c>
      <c r="B126" s="1">
        <v>11011309319686</v>
      </c>
    </row>
    <row r="127" spans="1:2" x14ac:dyDescent="0.25">
      <c r="A127" s="1">
        <v>124</v>
      </c>
      <c r="B127" s="1">
        <v>13488851219194</v>
      </c>
    </row>
    <row r="128" spans="1:2" x14ac:dyDescent="0.25">
      <c r="A128" s="1">
        <v>125</v>
      </c>
      <c r="B128" s="1">
        <v>16523840046091</v>
      </c>
    </row>
    <row r="129" spans="1:2" x14ac:dyDescent="0.25">
      <c r="A129" s="1">
        <v>126</v>
      </c>
      <c r="B129" s="1">
        <v>20241701359039</v>
      </c>
    </row>
    <row r="130" spans="1:2" x14ac:dyDescent="0.25">
      <c r="A130" s="1">
        <v>127</v>
      </c>
      <c r="B130" s="1">
        <v>24796081467402</v>
      </c>
    </row>
    <row r="131" spans="1:2" x14ac:dyDescent="0.25">
      <c r="A131" s="1">
        <v>128</v>
      </c>
      <c r="B131" s="1">
        <v>30375197100145</v>
      </c>
    </row>
    <row r="132" spans="1:2" x14ac:dyDescent="0.25">
      <c r="A132" s="1">
        <v>129</v>
      </c>
      <c r="B132" s="1">
        <v>37209613750256</v>
      </c>
    </row>
    <row r="133" spans="1:2" x14ac:dyDescent="0.25">
      <c r="A133" s="1">
        <v>130</v>
      </c>
      <c r="B133" s="1">
        <v>45581774146643</v>
      </c>
    </row>
    <row r="134" spans="1:2" x14ac:dyDescent="0.25">
      <c r="A134" s="1">
        <v>131</v>
      </c>
      <c r="B134" s="1">
        <v>55837670632215</v>
      </c>
    </row>
    <row r="135" spans="1:2" x14ac:dyDescent="0.25">
      <c r="A135" s="1">
        <v>132</v>
      </c>
      <c r="B135" s="1">
        <v>68401143827042</v>
      </c>
    </row>
    <row r="136" spans="1:2" x14ac:dyDescent="0.25">
      <c r="A136" s="1">
        <v>133</v>
      </c>
      <c r="B136" s="1">
        <v>83791398490705</v>
      </c>
    </row>
    <row r="137" spans="1:2" x14ac:dyDescent="0.25">
      <c r="A137" s="1">
        <v>134</v>
      </c>
      <c r="B137" s="1">
        <v>102644460453692</v>
      </c>
    </row>
    <row r="138" spans="1:2" x14ac:dyDescent="0.25">
      <c r="A138" s="1">
        <v>135</v>
      </c>
      <c r="B138" s="1">
        <v>125739461358351</v>
      </c>
    </row>
    <row r="139" spans="1:2" x14ac:dyDescent="0.25">
      <c r="A139" s="1">
        <v>136</v>
      </c>
      <c r="B139" s="1">
        <v>154030837466559</v>
      </c>
    </row>
    <row r="140" spans="1:2" x14ac:dyDescent="0.25">
      <c r="A140" s="1">
        <v>137</v>
      </c>
      <c r="B140" s="1">
        <v>188687773199113</v>
      </c>
    </row>
    <row r="141" spans="1:2" x14ac:dyDescent="0.25">
      <c r="A141" s="1">
        <v>138</v>
      </c>
      <c r="B141" s="1">
        <v>231142519471492</v>
      </c>
    </row>
    <row r="142" spans="1:2" x14ac:dyDescent="0.25">
      <c r="A142" s="1">
        <v>139</v>
      </c>
      <c r="B142" s="1">
        <v>283149583655156</v>
      </c>
    </row>
    <row r="143" spans="1:2" x14ac:dyDescent="0.25">
      <c r="A143" s="1">
        <v>140</v>
      </c>
      <c r="B143" s="1">
        <v>346858237280144</v>
      </c>
    </row>
    <row r="144" spans="1:2" x14ac:dyDescent="0.25">
      <c r="A144" s="1">
        <v>141</v>
      </c>
      <c r="B144" s="1">
        <v>424901337970755</v>
      </c>
    </row>
    <row r="145" spans="1:2" x14ac:dyDescent="0.25">
      <c r="A145" s="1">
        <v>142</v>
      </c>
      <c r="B145" s="1">
        <v>520504136316754</v>
      </c>
    </row>
    <row r="146" spans="1:2" x14ac:dyDescent="0.25">
      <c r="A146" s="1">
        <v>143</v>
      </c>
      <c r="B146" s="1">
        <v>637617564290602</v>
      </c>
    </row>
    <row r="147" spans="1:2" x14ac:dyDescent="0.25">
      <c r="A147" s="1">
        <v>144</v>
      </c>
      <c r="B147" s="1">
        <v>781081513558566</v>
      </c>
    </row>
    <row r="148" spans="1:2" x14ac:dyDescent="0.25">
      <c r="A148" s="1">
        <v>145</v>
      </c>
      <c r="B148" s="1">
        <v>956824851411821</v>
      </c>
    </row>
    <row r="149" spans="1:2" x14ac:dyDescent="0.25">
      <c r="A149" s="1">
        <v>146</v>
      </c>
      <c r="B149" s="1">
        <v>1172110440282060</v>
      </c>
    </row>
    <row r="150" spans="1:2" x14ac:dyDescent="0.25">
      <c r="A150" s="1">
        <v>147</v>
      </c>
      <c r="B150" s="1">
        <v>1435835286648100</v>
      </c>
    </row>
    <row r="151" spans="1:2" x14ac:dyDescent="0.25">
      <c r="A151" s="1">
        <v>148</v>
      </c>
      <c r="B151" s="1">
        <v>1758898223446500</v>
      </c>
    </row>
    <row r="152" spans="1:2" x14ac:dyDescent="0.25">
      <c r="A152" s="1">
        <v>149</v>
      </c>
      <c r="B152" s="1">
        <v>2154650321024540</v>
      </c>
    </row>
    <row r="153" spans="1:2" x14ac:dyDescent="0.25">
      <c r="A153" s="1">
        <v>150</v>
      </c>
      <c r="B153" s="1">
        <v>2639446640557650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24A15-512B-48CE-AA55-9F63975E7867}">
  <sheetPr codeName="Sheet12"/>
  <dimension ref="A1:J658"/>
  <sheetViews>
    <sheetView workbookViewId="0"/>
  </sheetViews>
  <sheetFormatPr defaultRowHeight="15" x14ac:dyDescent="0.25"/>
  <cols>
    <col min="1" max="1" width="14.42578125" customWidth="1"/>
    <col min="2" max="2" width="19.7109375" customWidth="1"/>
    <col min="3" max="3" width="23.7109375" style="1" bestFit="1" customWidth="1"/>
    <col min="4" max="5" width="42.7109375" style="22" customWidth="1"/>
    <col min="6" max="6" width="35" bestFit="1" customWidth="1"/>
    <col min="7" max="7" width="60.28515625" style="23" bestFit="1" customWidth="1"/>
    <col min="8" max="8" width="6.140625" style="1" bestFit="1" customWidth="1"/>
    <col min="9" max="9" width="23.42578125" style="22" bestFit="1" customWidth="1"/>
    <col min="10" max="10" width="79.42578125" style="22" bestFit="1" customWidth="1"/>
  </cols>
  <sheetData>
    <row r="1" spans="1:10" s="1" customFormat="1" ht="31.5" customHeight="1" x14ac:dyDescent="0.25">
      <c r="B1" s="76" t="s">
        <v>3064</v>
      </c>
      <c r="C1" s="76" t="s">
        <v>0</v>
      </c>
      <c r="D1" s="76" t="s">
        <v>677</v>
      </c>
      <c r="E1" s="76" t="s">
        <v>3390</v>
      </c>
      <c r="F1" s="76" t="s">
        <v>673</v>
      </c>
      <c r="G1" s="76" t="s">
        <v>3331</v>
      </c>
      <c r="H1" s="76" t="s">
        <v>3135</v>
      </c>
      <c r="I1" s="76" t="s">
        <v>335</v>
      </c>
      <c r="J1" s="76" t="s">
        <v>334</v>
      </c>
    </row>
    <row r="2" spans="1:10" s="23" customFormat="1" ht="33.75" x14ac:dyDescent="0.25">
      <c r="A2" s="43">
        <v>0</v>
      </c>
      <c r="B2" s="43">
        <f>VLOOKUP(C2,CHOOSE({2,1},Suffix!B$2:B$412,Suffix!C$2:C$412),2,FALSE)</f>
        <v>101711872</v>
      </c>
      <c r="C2" s="43" t="s">
        <v>1208</v>
      </c>
      <c r="D2" s="43" t="s">
        <v>1209</v>
      </c>
      <c r="E2" s="43" t="str">
        <f>VLOOKUP(F2,CHOOSE({2,1},Attributes!B$3:B$130,Attributes!C$3:C$129),2,FALSE)</f>
        <v>DungeonSiegeDamageAttributeSet</v>
      </c>
      <c r="F2" s="43" t="str">
        <f>Attributes!C19</f>
        <v>MinDamageMod</v>
      </c>
      <c r="G2" s="43" t="str">
        <f>CONCATENATE("(AttributeName=""",F2,""",Attribute=/Script/DSAbilitySystem."&amp; E2 &amp;":",F2,",AttributeOwner=Class'""/Script/DSAbilitySystem." &amp; E2 &amp; """')")</f>
        <v>(AttributeName="MinDamageMod",Attribute=/Script/DSAbilitySystem.DungeonSiegeDamageAttributeSet:MinDamageMod,AttributeOwner=Class'"/Script/DSAbilitySystem.DungeonSiegeDamageAttributeSet"')</v>
      </c>
      <c r="H2" s="43">
        <v>15</v>
      </c>
      <c r="I2" s="43" t="str">
        <f>CONCATENATE("GE_Suffix_", SUBSTITUTE(C2," ","_"))</f>
        <v>GE_Suffix_of_Attainment</v>
      </c>
      <c r="J2" s="43" t="str">
        <f>"/Game/DungeonSiege/Blueprints/GameplayAbilities/Affixes/" &amp;I2</f>
        <v>/Game/DungeonSiege/Blueprints/GameplayAbilities/Affixes/GE_Suffix_of_Attainment</v>
      </c>
    </row>
    <row r="3" spans="1:10" ht="33.75" x14ac:dyDescent="0.25">
      <c r="A3" s="43">
        <v>1</v>
      </c>
      <c r="B3" s="43">
        <f>VLOOKUP(C3,CHOOSE({2,1},Suffix!B$2:B$412,Suffix!C$2:C$412),2,FALSE)</f>
        <v>101711872</v>
      </c>
      <c r="C3" s="43" t="s">
        <v>1208</v>
      </c>
      <c r="D3" s="43" t="s">
        <v>1209</v>
      </c>
      <c r="E3" s="43" t="str">
        <f>VLOOKUP(F3,CHOOSE({2,1},Attributes!B$3:B$130,Attributes!C$3:C$129),2,FALSE)</f>
        <v>DungeonSiegeDamageAttributeSet</v>
      </c>
      <c r="F3" s="43" t="str">
        <f>Attributes!C20</f>
        <v>MaxDamageMod</v>
      </c>
      <c r="G3" s="43" t="str">
        <f t="shared" ref="G3:G66" si="0">CONCATENATE("(AttributeName=""",F3,""",Attribute=/Script/DSAbilitySystem."&amp; E3 &amp;":",F3,",AttributeOwner=Class'""/Script/DSAbilitySystem." &amp; E3 &amp; """')")</f>
        <v>(AttributeName="MaxDamageMod",Attribute=/Script/DSAbilitySystem.DungeonSiegeDamageAttributeSet:MaxDamageMod,AttributeOwner=Class'"/Script/DSAbilitySystem.DungeonSiegeDamageAttributeSet"')</v>
      </c>
      <c r="H3" s="43">
        <v>218</v>
      </c>
      <c r="I3" s="43" t="str">
        <f t="shared" ref="I3:I66" si="1">CONCATENATE("GE_Suffix_", SUBSTITUTE(C3," ","_"))</f>
        <v>GE_Suffix_of_Attainment</v>
      </c>
      <c r="J3" s="43" t="str">
        <f t="shared" ref="J3:J66" si="2">"/Game/DungeonSiege/Blueprints/GameplayAbilities/Affixes/" &amp;I3</f>
        <v>/Game/DungeonSiege/Blueprints/GameplayAbilities/Affixes/GE_Suffix_of_Attainment</v>
      </c>
    </row>
    <row r="4" spans="1:10" s="23" customFormat="1" ht="33.75" x14ac:dyDescent="0.25">
      <c r="A4" s="43">
        <v>2</v>
      </c>
      <c r="B4" s="43">
        <f>VLOOKUP(C4,CHOOSE({2,1},Suffix!B$2:B$412,Suffix!C$2:C$412),2,FALSE)</f>
        <v>101711873</v>
      </c>
      <c r="C4" s="43" t="s">
        <v>1211</v>
      </c>
      <c r="D4" s="43" t="s">
        <v>1212</v>
      </c>
      <c r="E4" s="43" t="str">
        <f>VLOOKUP(F4,CHOOSE({2,1},Attributes!B$3:B$130,Attributes!C$3:C$129),2,FALSE)</f>
        <v>DungeonSiegeDamageAttributeSet</v>
      </c>
      <c r="F4" s="43" t="str">
        <f>Attributes!C19</f>
        <v>MinDamageMod</v>
      </c>
      <c r="G4" s="43" t="str">
        <f t="shared" si="0"/>
        <v>(AttributeName="MinDamageMod",Attribute=/Script/DSAbilitySystem.DungeonSiegeDamageAttributeSet:MinDamageMod,AttributeOwner=Class'"/Script/DSAbilitySystem.DungeonSiegeDamageAttributeSet"')</v>
      </c>
      <c r="H4" s="43">
        <v>12</v>
      </c>
      <c r="I4" s="43" t="str">
        <f t="shared" si="1"/>
        <v>GE_Suffix_of_Aptitude</v>
      </c>
      <c r="J4" s="43" t="str">
        <f t="shared" si="2"/>
        <v>/Game/DungeonSiege/Blueprints/GameplayAbilities/Affixes/GE_Suffix_of_Aptitude</v>
      </c>
    </row>
    <row r="5" spans="1:10" ht="33.75" x14ac:dyDescent="0.25">
      <c r="A5" s="43">
        <v>3</v>
      </c>
      <c r="B5" s="43">
        <f>VLOOKUP(C5,CHOOSE({2,1},Suffix!B$2:B$412,Suffix!C$2:C$412),2,FALSE)</f>
        <v>101711873</v>
      </c>
      <c r="C5" s="43" t="s">
        <v>1211</v>
      </c>
      <c r="D5" s="43" t="s">
        <v>1212</v>
      </c>
      <c r="E5" s="43" t="str">
        <f>VLOOKUP(F5,CHOOSE({2,1},Attributes!B$3:B$130,Attributes!C$3:C$129),2,FALSE)</f>
        <v>DungeonSiegeDamageAttributeSet</v>
      </c>
      <c r="F5" s="43" t="str">
        <f>Attributes!C20</f>
        <v>MaxDamageMod</v>
      </c>
      <c r="G5" s="43" t="str">
        <f t="shared" si="0"/>
        <v>(AttributeName="MaxDamageMod",Attribute=/Script/DSAbilitySystem.DungeonSiegeDamageAttributeSet:MaxDamageMod,AttributeOwner=Class'"/Script/DSAbilitySystem.DungeonSiegeDamageAttributeSet"')</v>
      </c>
      <c r="H5" s="43">
        <v>174</v>
      </c>
      <c r="I5" s="43" t="str">
        <f t="shared" si="1"/>
        <v>GE_Suffix_of_Aptitude</v>
      </c>
      <c r="J5" s="43" t="str">
        <f t="shared" si="2"/>
        <v>/Game/DungeonSiege/Blueprints/GameplayAbilities/Affixes/GE_Suffix_of_Aptitude</v>
      </c>
    </row>
    <row r="6" spans="1:10" ht="33.75" x14ac:dyDescent="0.25">
      <c r="A6" s="43">
        <v>4</v>
      </c>
      <c r="B6" s="43">
        <f>VLOOKUP(C6,CHOOSE({2,1},Suffix!B$2:B$412,Suffix!C$2:C$412),2,FALSE)</f>
        <v>101711874</v>
      </c>
      <c r="C6" s="43" t="s">
        <v>1214</v>
      </c>
      <c r="D6" s="43" t="s">
        <v>1215</v>
      </c>
      <c r="E6" s="43" t="str">
        <f>VLOOKUP(F6,CHOOSE({2,1},Attributes!B$3:B$130,Attributes!C$3:C$129),2,FALSE)</f>
        <v>DungeonSiegeDamageAttributeSet</v>
      </c>
      <c r="F6" s="43" t="str">
        <f>Attributes!C20</f>
        <v>MaxDamageMod</v>
      </c>
      <c r="G6" s="43" t="str">
        <f t="shared" si="0"/>
        <v>(AttributeName="MaxDamageMod",Attribute=/Script/DSAbilitySystem.DungeonSiegeDamageAttributeSet:MaxDamageMod,AttributeOwner=Class'"/Script/DSAbilitySystem.DungeonSiegeDamageAttributeSet"')</v>
      </c>
      <c r="H6" s="43">
        <v>120</v>
      </c>
      <c r="I6" s="43" t="str">
        <f t="shared" si="1"/>
        <v>GE_Suffix_of_the_Destructive</v>
      </c>
      <c r="J6" s="43" t="str">
        <f t="shared" si="2"/>
        <v>/Game/DungeonSiege/Blueprints/GameplayAbilities/Affixes/GE_Suffix_of_the_Destructive</v>
      </c>
    </row>
    <row r="7" spans="1:10" s="23" customFormat="1" ht="33.75" x14ac:dyDescent="0.25">
      <c r="A7" s="43">
        <v>5</v>
      </c>
      <c r="B7" s="43">
        <f>VLOOKUP(C7,CHOOSE({2,1},Suffix!B$2:B$412,Suffix!C$2:C$412),2,FALSE)</f>
        <v>101711875</v>
      </c>
      <c r="C7" s="43" t="s">
        <v>1217</v>
      </c>
      <c r="D7" s="43" t="s">
        <v>1218</v>
      </c>
      <c r="E7" s="43" t="str">
        <f>VLOOKUP(F7,CHOOSE({2,1},Attributes!B$3:B$130,Attributes!C$3:C$129),2,FALSE)</f>
        <v>DungeonSiegeMagicAttributeSet</v>
      </c>
      <c r="F7" s="43" t="str">
        <f>Attributes!C38</f>
        <v>NatureMagicMinDamageMod</v>
      </c>
      <c r="G7" s="43" t="str">
        <f t="shared" si="0"/>
        <v>(AttributeName="NatureMagicMinDamageMod",Attribute=/Script/DSAbilitySystem.DungeonSiegeMagicAttributeSet:NatureMagicMinDamageMod,AttributeOwner=Class'"/Script/DSAbilitySystem.DungeonSiegeMagicAttributeSet"')</v>
      </c>
      <c r="H7" s="43">
        <v>23</v>
      </c>
      <c r="I7" s="43" t="str">
        <f t="shared" si="1"/>
        <v>GE_Suffix_of_Zeal</v>
      </c>
      <c r="J7" s="43" t="str">
        <f t="shared" si="2"/>
        <v>/Game/DungeonSiege/Blueprints/GameplayAbilities/Affixes/GE_Suffix_of_Zeal</v>
      </c>
    </row>
    <row r="8" spans="1:10" ht="33.75" x14ac:dyDescent="0.25">
      <c r="A8" s="43">
        <v>6</v>
      </c>
      <c r="B8" s="43">
        <f>VLOOKUP(C8,CHOOSE({2,1},Suffix!B$2:B$412,Suffix!C$2:C$412),2,FALSE)</f>
        <v>101711875</v>
      </c>
      <c r="C8" s="43" t="s">
        <v>1217</v>
      </c>
      <c r="D8" s="43" t="s">
        <v>1218</v>
      </c>
      <c r="E8" s="43" t="str">
        <f>VLOOKUP(F8,CHOOSE({2,1},Attributes!B$3:B$130,Attributes!C$3:C$129),2,FALSE)</f>
        <v>DungeonSiegeMagicAttributeSet</v>
      </c>
      <c r="F8" s="43" t="str">
        <f>Attributes!C39</f>
        <v>NatureMagicMaxDamageMod</v>
      </c>
      <c r="G8" s="43" t="str">
        <f t="shared" si="0"/>
        <v>(AttributeName="NatureMagicMaxDamageMod",Attribute=/Script/DSAbilitySystem.DungeonSiegeMagicAttributeSet:NatureMagicMaxDamageMod,AttributeOwner=Class'"/Script/DSAbilitySystem.DungeonSiegeMagicAttributeSet"')</v>
      </c>
      <c r="H8" s="43">
        <v>70</v>
      </c>
      <c r="I8" s="43" t="str">
        <f t="shared" si="1"/>
        <v>GE_Suffix_of_Zeal</v>
      </c>
      <c r="J8" s="43" t="str">
        <f t="shared" si="2"/>
        <v>/Game/DungeonSiege/Blueprints/GameplayAbilities/Affixes/GE_Suffix_of_Zeal</v>
      </c>
    </row>
    <row r="9" spans="1:10" s="23" customFormat="1" ht="33.75" x14ac:dyDescent="0.25">
      <c r="A9" s="43">
        <v>7</v>
      </c>
      <c r="B9" s="43">
        <f>VLOOKUP(C9,CHOOSE({2,1},Suffix!B$2:B$412,Suffix!C$2:C$412),2,FALSE)</f>
        <v>101711876</v>
      </c>
      <c r="C9" s="43" t="s">
        <v>1221</v>
      </c>
      <c r="D9" s="43" t="s">
        <v>1222</v>
      </c>
      <c r="E9" s="43" t="str">
        <f>VLOOKUP(F9,CHOOSE({2,1},Attributes!B$3:B$130,Attributes!C$3:C$129),2,FALSE)</f>
        <v>DungeonSiegeMagicAttributeSet</v>
      </c>
      <c r="F9" s="43" t="str">
        <f>Attributes!C41</f>
        <v>CombatMagicMinDamageMod</v>
      </c>
      <c r="G9" s="43" t="str">
        <f t="shared" si="0"/>
        <v>(AttributeName="CombatMagicMinDamageMod",Attribute=/Script/DSAbilitySystem.DungeonSiegeMagicAttributeSet:CombatMagicMinDamageMod,AttributeOwner=Class'"/Script/DSAbilitySystem.DungeonSiegeMagicAttributeSet"')</v>
      </c>
      <c r="H9" s="43">
        <v>23</v>
      </c>
      <c r="I9" s="43" t="str">
        <f t="shared" si="1"/>
        <v>GE_Suffix_of_Antagonism</v>
      </c>
      <c r="J9" s="43" t="str">
        <f t="shared" si="2"/>
        <v>/Game/DungeonSiege/Blueprints/GameplayAbilities/Affixes/GE_Suffix_of_Antagonism</v>
      </c>
    </row>
    <row r="10" spans="1:10" ht="33.75" x14ac:dyDescent="0.25">
      <c r="A10" s="43">
        <v>8</v>
      </c>
      <c r="B10" s="43">
        <f>VLOOKUP(C10,CHOOSE({2,1},Suffix!B$2:B$412,Suffix!C$2:C$412),2,FALSE)</f>
        <v>101711876</v>
      </c>
      <c r="C10" s="43" t="s">
        <v>1221</v>
      </c>
      <c r="D10" s="43" t="s">
        <v>1222</v>
      </c>
      <c r="E10" s="43" t="str">
        <f>VLOOKUP(F10,CHOOSE({2,1},Attributes!B$3:B$130,Attributes!C$3:C$129),2,FALSE)</f>
        <v>DungeonSiegeMagicAttributeSet</v>
      </c>
      <c r="F10" s="43" t="str">
        <f>Attributes!C42</f>
        <v>CombatMagicMaxDamageMod</v>
      </c>
      <c r="G10" s="43" t="str">
        <f t="shared" si="0"/>
        <v>(AttributeName="CombatMagicMaxDamageMod",Attribute=/Script/DSAbilitySystem.DungeonSiegeMagicAttributeSet:CombatMagicMaxDamageMod,AttributeOwner=Class'"/Script/DSAbilitySystem.DungeonSiegeMagicAttributeSet"')</v>
      </c>
      <c r="H10" s="43">
        <v>70</v>
      </c>
      <c r="I10" s="43" t="str">
        <f t="shared" si="1"/>
        <v>GE_Suffix_of_Antagonism</v>
      </c>
      <c r="J10" s="43" t="str">
        <f t="shared" si="2"/>
        <v>/Game/DungeonSiege/Blueprints/GameplayAbilities/Affixes/GE_Suffix_of_Antagonism</v>
      </c>
    </row>
    <row r="11" spans="1:10" ht="33.75" x14ac:dyDescent="0.25">
      <c r="A11" s="43">
        <v>9</v>
      </c>
      <c r="B11" s="43">
        <f>VLOOKUP(C11,CHOOSE({2,1},Suffix!B$2:B$412,Suffix!C$2:C$412),2,FALSE)</f>
        <v>101711877</v>
      </c>
      <c r="C11" s="43" t="s">
        <v>1224</v>
      </c>
      <c r="D11" s="43" t="s">
        <v>1225</v>
      </c>
      <c r="E11" s="43" t="str">
        <f>VLOOKUP(F11,CHOOSE({2,1},Attributes!B$3:B$130,Attributes!C$3:C$129),2,FALSE)</f>
        <v>DungeonSiegeHealthAttributeSet</v>
      </c>
      <c r="F11" s="43" t="str">
        <f>Attributes!C82</f>
        <v>BaseHealthBonus</v>
      </c>
      <c r="G11" s="43" t="str">
        <f t="shared" si="0"/>
        <v>(AttributeName="BaseHealthBonus",Attribute=/Script/DSAbilitySystem.DungeonSiegeHealthAttributeSet:BaseHealthBonus,AttributeOwner=Class'"/Script/DSAbilitySystem.DungeonSiegeHealthAttributeSet"')</v>
      </c>
      <c r="H11" s="43">
        <v>529</v>
      </c>
      <c r="I11" s="43" t="str">
        <f t="shared" si="1"/>
        <v>GE_Suffix_of_the_Lion</v>
      </c>
      <c r="J11" s="43" t="str">
        <f t="shared" si="2"/>
        <v>/Game/DungeonSiege/Blueprints/GameplayAbilities/Affixes/GE_Suffix_of_the_Lion</v>
      </c>
    </row>
    <row r="12" spans="1:10" s="23" customFormat="1" ht="33.75" x14ac:dyDescent="0.25">
      <c r="A12" s="43">
        <v>10</v>
      </c>
      <c r="B12" s="43">
        <f>VLOOKUP(C12,CHOOSE({2,1},Suffix!B$2:B$412,Suffix!C$2:C$412),2,FALSE)</f>
        <v>101711878</v>
      </c>
      <c r="C12" s="43" t="s">
        <v>1228</v>
      </c>
      <c r="D12" s="43" t="s">
        <v>1229</v>
      </c>
      <c r="E12" s="43" t="str">
        <f>VLOOKUP(F12,CHOOSE({2,1},Attributes!B$3:B$130,Attributes!C$3:C$129),2,FALSE)</f>
        <v>DungeonSiegeElementalAttributeSet</v>
      </c>
      <c r="F12" s="43" t="str">
        <f>Attributes!C78</f>
        <v>LightningMinDamageMod</v>
      </c>
      <c r="G12" s="43" t="str">
        <f t="shared" si="0"/>
        <v>(AttributeName="LightningMinDamageMod",Attribute=/Script/DSAbilitySystem.DungeonSiegeElementalAttributeSet:LightningMinDamageMod,AttributeOwner=Class'"/Script/DSAbilitySystem.DungeonSiegeElementalAttributeSet"')</v>
      </c>
      <c r="H12" s="43">
        <v>105</v>
      </c>
      <c r="I12" s="43" t="str">
        <f t="shared" si="1"/>
        <v>GE_Suffix_of_the_Zapped</v>
      </c>
      <c r="J12" s="43" t="str">
        <f t="shared" si="2"/>
        <v>/Game/DungeonSiege/Blueprints/GameplayAbilities/Affixes/GE_Suffix_of_the_Zapped</v>
      </c>
    </row>
    <row r="13" spans="1:10" ht="33.75" x14ac:dyDescent="0.25">
      <c r="A13" s="43">
        <v>11</v>
      </c>
      <c r="B13" s="43">
        <f>VLOOKUP(C13,CHOOSE({2,1},Suffix!B$2:B$412,Suffix!C$2:C$412),2,FALSE)</f>
        <v>101711878</v>
      </c>
      <c r="C13" s="43" t="s">
        <v>1228</v>
      </c>
      <c r="D13" s="43" t="s">
        <v>1229</v>
      </c>
      <c r="E13" s="43" t="str">
        <f>VLOOKUP(F13,CHOOSE({2,1},Attributes!B$3:B$130,Attributes!C$3:C$129),2,FALSE)</f>
        <v>DungeonSiegeElementalAttributeSet</v>
      </c>
      <c r="F13" s="43" t="str">
        <f>Attributes!C79</f>
        <v>LightningMaxDamageMod</v>
      </c>
      <c r="G13" s="43" t="str">
        <f t="shared" si="0"/>
        <v>(AttributeName="LightningMaxDamageMod",Attribute=/Script/DSAbilitySystem.DungeonSiegeElementalAttributeSet:LightningMaxDamageMod,AttributeOwner=Class'"/Script/DSAbilitySystem.DungeonSiegeElementalAttributeSet"')</v>
      </c>
      <c r="H13" s="43">
        <v>124</v>
      </c>
      <c r="I13" s="43" t="str">
        <f t="shared" si="1"/>
        <v>GE_Suffix_of_the_Zapped</v>
      </c>
      <c r="J13" s="43" t="str">
        <f t="shared" si="2"/>
        <v>/Game/DungeonSiege/Blueprints/GameplayAbilities/Affixes/GE_Suffix_of_the_Zapped</v>
      </c>
    </row>
    <row r="14" spans="1:10" s="23" customFormat="1" ht="33.75" x14ac:dyDescent="0.25">
      <c r="A14" s="43">
        <v>12</v>
      </c>
      <c r="B14" s="43">
        <f>VLOOKUP(C14,CHOOSE({2,1},Suffix!B$2:B$412,Suffix!C$2:C$412),2,FALSE)</f>
        <v>101711879</v>
      </c>
      <c r="C14" s="43" t="s">
        <v>1231</v>
      </c>
      <c r="D14" s="43" t="s">
        <v>1232</v>
      </c>
      <c r="E14" s="43" t="str">
        <f>VLOOKUP(F14,CHOOSE({2,1},Attributes!B$3:B$130,Attributes!C$3:C$129),2,FALSE)</f>
        <v>DungeonSiegeElementalAttributeSet</v>
      </c>
      <c r="F14" s="43" t="str">
        <f>Attributes!C78</f>
        <v>LightningMinDamageMod</v>
      </c>
      <c r="G14" s="43" t="str">
        <f t="shared" si="0"/>
        <v>(AttributeName="LightningMinDamageMod",Attribute=/Script/DSAbilitySystem.DungeonSiegeElementalAttributeSet:LightningMinDamageMod,AttributeOwner=Class'"/Script/DSAbilitySystem.DungeonSiegeElementalAttributeSet"')</v>
      </c>
      <c r="H14" s="43">
        <v>74</v>
      </c>
      <c r="I14" s="43" t="str">
        <f t="shared" si="1"/>
        <v>GE_Suffix_of_Lightning</v>
      </c>
      <c r="J14" s="43" t="str">
        <f t="shared" si="2"/>
        <v>/Game/DungeonSiege/Blueprints/GameplayAbilities/Affixes/GE_Suffix_of_Lightning</v>
      </c>
    </row>
    <row r="15" spans="1:10" ht="33.75" x14ac:dyDescent="0.25">
      <c r="A15" s="43">
        <v>13</v>
      </c>
      <c r="B15" s="43">
        <f>VLOOKUP(C15,CHOOSE({2,1},Suffix!B$2:B$412,Suffix!C$2:C$412),2,FALSE)</f>
        <v>101711879</v>
      </c>
      <c r="C15" s="43" t="s">
        <v>1231</v>
      </c>
      <c r="D15" s="43" t="s">
        <v>1232</v>
      </c>
      <c r="E15" s="43" t="str">
        <f>VLOOKUP(F15,CHOOSE({2,1},Attributes!B$3:B$130,Attributes!C$3:C$129),2,FALSE)</f>
        <v>DungeonSiegeElementalAttributeSet</v>
      </c>
      <c r="F15" s="43" t="str">
        <f>Attributes!C79</f>
        <v>LightningMaxDamageMod</v>
      </c>
      <c r="G15" s="43" t="str">
        <f t="shared" si="0"/>
        <v>(AttributeName="LightningMaxDamageMod",Attribute=/Script/DSAbilitySystem.DungeonSiegeElementalAttributeSet:LightningMaxDamageMod,AttributeOwner=Class'"/Script/DSAbilitySystem.DungeonSiegeElementalAttributeSet"')</v>
      </c>
      <c r="H15" s="43">
        <v>87</v>
      </c>
      <c r="I15" s="43" t="str">
        <f t="shared" si="1"/>
        <v>GE_Suffix_of_Lightning</v>
      </c>
      <c r="J15" s="43" t="str">
        <f t="shared" si="2"/>
        <v>/Game/DungeonSiege/Blueprints/GameplayAbilities/Affixes/GE_Suffix_of_Lightning</v>
      </c>
    </row>
    <row r="16" spans="1:10" s="23" customFormat="1" ht="33.75" x14ac:dyDescent="0.25">
      <c r="A16" s="43">
        <v>14</v>
      </c>
      <c r="B16" s="43">
        <f>VLOOKUP(C16,CHOOSE({2,1},Suffix!B$2:B$412,Suffix!C$2:C$412),2,FALSE)</f>
        <v>101711880</v>
      </c>
      <c r="C16" s="43" t="s">
        <v>1234</v>
      </c>
      <c r="D16" s="43" t="s">
        <v>1235</v>
      </c>
      <c r="E16" s="43" t="str">
        <f>VLOOKUP(F16,CHOOSE({2,1},Attributes!B$3:B$130,Attributes!C$3:C$129),2,FALSE)</f>
        <v>DungeonSiegeDamageAttributeSet</v>
      </c>
      <c r="F16" s="43" t="str">
        <f>Attributes!C19</f>
        <v>MinDamageMod</v>
      </c>
      <c r="G16" s="43" t="str">
        <f t="shared" si="0"/>
        <v>(AttributeName="MinDamageMod",Attribute=/Script/DSAbilitySystem.DungeonSiegeDamageAttributeSet:MinDamageMod,AttributeOwner=Class'"/Script/DSAbilitySystem.DungeonSiegeDamageAttributeSet"')</v>
      </c>
      <c r="H16" s="43">
        <v>84</v>
      </c>
      <c r="I16" s="43" t="str">
        <f t="shared" si="1"/>
        <v>GE_Suffix_of_Agony</v>
      </c>
      <c r="J16" s="43" t="str">
        <f t="shared" si="2"/>
        <v>/Game/DungeonSiege/Blueprints/GameplayAbilities/Affixes/GE_Suffix_of_Agony</v>
      </c>
    </row>
    <row r="17" spans="1:10" ht="33.75" x14ac:dyDescent="0.25">
      <c r="A17" s="43">
        <v>15</v>
      </c>
      <c r="B17" s="43">
        <f>VLOOKUP(C17,CHOOSE({2,1},Suffix!B$2:B$412,Suffix!C$2:C$412),2,FALSE)</f>
        <v>101711880</v>
      </c>
      <c r="C17" s="43" t="s">
        <v>1234</v>
      </c>
      <c r="D17" s="43" t="s">
        <v>1235</v>
      </c>
      <c r="E17" s="43" t="str">
        <f>VLOOKUP(F17,CHOOSE({2,1},Attributes!B$3:B$130,Attributes!C$3:C$129),2,FALSE)</f>
        <v>DungeonSiegeDamageAttributeSet</v>
      </c>
      <c r="F17" s="43" t="str">
        <f>Attributes!C20</f>
        <v>MaxDamageMod</v>
      </c>
      <c r="G17" s="43" t="str">
        <f t="shared" si="0"/>
        <v>(AttributeName="MaxDamageMod",Attribute=/Script/DSAbilitySystem.DungeonSiegeDamageAttributeSet:MaxDamageMod,AttributeOwner=Class'"/Script/DSAbilitySystem.DungeonSiegeDamageAttributeSet"')</v>
      </c>
      <c r="H17" s="43">
        <v>140</v>
      </c>
      <c r="I17" s="43" t="str">
        <f t="shared" si="1"/>
        <v>GE_Suffix_of_Agony</v>
      </c>
      <c r="J17" s="43" t="str">
        <f t="shared" si="2"/>
        <v>/Game/DungeonSiege/Blueprints/GameplayAbilities/Affixes/GE_Suffix_of_Agony</v>
      </c>
    </row>
    <row r="18" spans="1:10" ht="33.75" x14ac:dyDescent="0.25">
      <c r="A18" s="43">
        <v>16</v>
      </c>
      <c r="B18" s="43">
        <f>VLOOKUP(C18,CHOOSE({2,1},Suffix!B$2:B$412,Suffix!C$2:C$412),2,FALSE)</f>
        <v>101711881</v>
      </c>
      <c r="C18" s="43" t="s">
        <v>1237</v>
      </c>
      <c r="D18" s="43" t="s">
        <v>1238</v>
      </c>
      <c r="E18" s="43" t="str">
        <f>VLOOKUP(F18,CHOOSE({2,1},Attributes!B$3:B$130,Attributes!C$3:C$129),2,FALSE)</f>
        <v>DungeonSiegeDamageAttributeSet</v>
      </c>
      <c r="F18" s="43" t="str">
        <f>Attributes!C23</f>
        <v>ChanceToInflictPiercingHit</v>
      </c>
      <c r="G18" s="43" t="str">
        <f t="shared" si="0"/>
        <v>(AttributeName="ChanceToInflictPiercingHit",Attribute=/Script/DSAbilitySystem.DungeonSiegeDamageAttributeSet:ChanceToInflictPiercingHit,AttributeOwner=Class'"/Script/DSAbilitySystem.DungeonSiegeDamageAttributeSet"')</v>
      </c>
      <c r="H18" s="43">
        <v>12</v>
      </c>
      <c r="I18" s="43" t="str">
        <f t="shared" si="1"/>
        <v>GE_Suffix_of_Intent</v>
      </c>
      <c r="J18" s="43" t="str">
        <f t="shared" si="2"/>
        <v>/Game/DungeonSiege/Blueprints/GameplayAbilities/Affixes/GE_Suffix_of_Intent</v>
      </c>
    </row>
    <row r="19" spans="1:10" s="23" customFormat="1" ht="33.75" x14ac:dyDescent="0.25">
      <c r="A19" s="43">
        <v>17</v>
      </c>
      <c r="B19" s="43">
        <f>VLOOKUP(C19,CHOOSE({2,1},Suffix!B$2:B$412,Suffix!C$2:C$412),2,FALSE)</f>
        <v>101711888</v>
      </c>
      <c r="C19" s="43" t="s">
        <v>1240</v>
      </c>
      <c r="D19" s="43" t="s">
        <v>3257</v>
      </c>
      <c r="E19" s="43" t="str">
        <f>VLOOKUP(F19,CHOOSE({2,1},Attributes!B$3:B$130,Attributes!C$3:C$129),2,FALSE)</f>
        <v>DungeonSiegeElementalAttributeSet</v>
      </c>
      <c r="F19" s="43" t="str">
        <f>Attributes!C100</f>
        <v>ChanceToFreeze</v>
      </c>
      <c r="G19" s="43" t="str">
        <f t="shared" si="0"/>
        <v>(AttributeName="ChanceToFreeze",Attribute=/Script/DSAbilitySystem.DungeonSiegeElementalAttributeSet:ChanceToFreeze,AttributeOwner=Class'"/Script/DSAbilitySystem.DungeonSiegeElementalAttributeSet"')</v>
      </c>
      <c r="H19" s="43">
        <v>5</v>
      </c>
      <c r="I19" s="43" t="str">
        <f t="shared" si="1"/>
        <v>GE_Suffix_of_Ice</v>
      </c>
      <c r="J19" s="43" t="str">
        <f t="shared" si="2"/>
        <v>/Game/DungeonSiege/Blueprints/GameplayAbilities/Affixes/GE_Suffix_of_Ice</v>
      </c>
    </row>
    <row r="20" spans="1:10" s="23" customFormat="1" ht="33.75" x14ac:dyDescent="0.25">
      <c r="A20" s="43">
        <v>18</v>
      </c>
      <c r="B20" s="43">
        <f>VLOOKUP(C20,CHOOSE({2,1},Suffix!B$2:B$412,Suffix!C$2:C$412),2,FALSE)</f>
        <v>101711888</v>
      </c>
      <c r="C20" s="43" t="s">
        <v>1240</v>
      </c>
      <c r="D20" s="43" t="s">
        <v>3258</v>
      </c>
      <c r="E20" s="43" t="str">
        <f>VLOOKUP(F20,CHOOSE({2,1},Attributes!B$3:B$130,Attributes!C$3:C$129),2,FALSE)</f>
        <v>DungeonSiegeElementalAttributeSet</v>
      </c>
      <c r="F20" s="43" t="str">
        <f>Attributes!C101</f>
        <v>ColdDamageMinDamageMod</v>
      </c>
      <c r="G20" s="43" t="str">
        <f t="shared" si="0"/>
        <v>(AttributeName="ColdDamageMinDamageMod",Attribute=/Script/DSAbilitySystem.DungeonSiegeElementalAttributeSet:ColdDamageMinDamageMod,AttributeOwner=Class'"/Script/DSAbilitySystem.DungeonSiegeElementalAttributeSet"')</v>
      </c>
      <c r="H20" s="43">
        <v>56</v>
      </c>
      <c r="I20" s="43" t="str">
        <f t="shared" si="1"/>
        <v>GE_Suffix_of_Ice</v>
      </c>
      <c r="J20" s="43" t="str">
        <f t="shared" si="2"/>
        <v>/Game/DungeonSiege/Blueprints/GameplayAbilities/Affixes/GE_Suffix_of_Ice</v>
      </c>
    </row>
    <row r="21" spans="1:10" ht="33.75" x14ac:dyDescent="0.25">
      <c r="A21" s="43">
        <v>19</v>
      </c>
      <c r="B21" s="43">
        <f>VLOOKUP(C21,CHOOSE({2,1},Suffix!B$2:B$412,Suffix!C$2:C$412),2,FALSE)</f>
        <v>101711888</v>
      </c>
      <c r="C21" s="43" t="s">
        <v>1240</v>
      </c>
      <c r="D21" s="43" t="s">
        <v>3258</v>
      </c>
      <c r="E21" s="43" t="str">
        <f>VLOOKUP(F21,CHOOSE({2,1},Attributes!B$3:B$130,Attributes!C$3:C$129),2,FALSE)</f>
        <v>DungeonSiegeElementalAttributeSet</v>
      </c>
      <c r="F21" s="43" t="str">
        <f>Attributes!C102</f>
        <v>ColdDamageMaxDamageMod</v>
      </c>
      <c r="G21" s="43" t="str">
        <f t="shared" si="0"/>
        <v>(AttributeName="ColdDamageMaxDamageMod",Attribute=/Script/DSAbilitySystem.DungeonSiegeElementalAttributeSet:ColdDamageMaxDamageMod,AttributeOwner=Class'"/Script/DSAbilitySystem.DungeonSiegeElementalAttributeSet"')</v>
      </c>
      <c r="H21" s="43">
        <v>99</v>
      </c>
      <c r="I21" s="43" t="str">
        <f t="shared" si="1"/>
        <v>GE_Suffix_of_Ice</v>
      </c>
      <c r="J21" s="43" t="str">
        <f t="shared" si="2"/>
        <v>/Game/DungeonSiege/Blueprints/GameplayAbilities/Affixes/GE_Suffix_of_Ice</v>
      </c>
    </row>
    <row r="22" spans="1:10" s="23" customFormat="1" ht="33.75" x14ac:dyDescent="0.25">
      <c r="A22" s="43">
        <v>20</v>
      </c>
      <c r="B22" s="43">
        <f>VLOOKUP(C22,CHOOSE({2,1},Suffix!B$2:B$412,Suffix!C$2:C$412),2,FALSE)</f>
        <v>101711889</v>
      </c>
      <c r="C22" s="43" t="s">
        <v>1242</v>
      </c>
      <c r="D22" s="43" t="s">
        <v>3259</v>
      </c>
      <c r="E22" s="43" t="str">
        <f>VLOOKUP(F22,CHOOSE({2,1},Attributes!B$3:B$130,Attributes!C$3:C$129),2,FALSE)</f>
        <v>DungeonSiegeElementalAttributeSet</v>
      </c>
      <c r="F22" s="43" t="str">
        <f>Attributes!C100</f>
        <v>ChanceToFreeze</v>
      </c>
      <c r="G22" s="43" t="str">
        <f t="shared" si="0"/>
        <v>(AttributeName="ChanceToFreeze",Attribute=/Script/DSAbilitySystem.DungeonSiegeElementalAttributeSet:ChanceToFreeze,AttributeOwner=Class'"/Script/DSAbilitySystem.DungeonSiegeElementalAttributeSet"')</v>
      </c>
      <c r="H22" s="43">
        <v>3</v>
      </c>
      <c r="I22" s="43" t="str">
        <f t="shared" si="1"/>
        <v>GE_Suffix_of_Glaciers</v>
      </c>
      <c r="J22" s="43" t="str">
        <f t="shared" si="2"/>
        <v>/Game/DungeonSiege/Blueprints/GameplayAbilities/Affixes/GE_Suffix_of_Glaciers</v>
      </c>
    </row>
    <row r="23" spans="1:10" s="23" customFormat="1" ht="33.75" x14ac:dyDescent="0.25">
      <c r="A23" s="43">
        <v>21</v>
      </c>
      <c r="B23" s="43">
        <f>VLOOKUP(C23,CHOOSE({2,1},Suffix!B$2:B$412,Suffix!C$2:C$412),2,FALSE)</f>
        <v>101711889</v>
      </c>
      <c r="C23" s="43" t="s">
        <v>1242</v>
      </c>
      <c r="D23" s="43" t="s">
        <v>3260</v>
      </c>
      <c r="E23" s="43" t="str">
        <f>VLOOKUP(F23,CHOOSE({2,1},Attributes!B$3:B$130,Attributes!C$3:C$129),2,FALSE)</f>
        <v>DungeonSiegeElementalAttributeSet</v>
      </c>
      <c r="F23" s="43" t="str">
        <f>Attributes!C101</f>
        <v>ColdDamageMinDamageMod</v>
      </c>
      <c r="G23" s="43" t="str">
        <f t="shared" si="0"/>
        <v>(AttributeName="ColdDamageMinDamageMod",Attribute=/Script/DSAbilitySystem.DungeonSiegeElementalAttributeSet:ColdDamageMinDamageMod,AttributeOwner=Class'"/Script/DSAbilitySystem.DungeonSiegeElementalAttributeSet"')</v>
      </c>
      <c r="H23" s="43">
        <v>45</v>
      </c>
      <c r="I23" s="43" t="str">
        <f t="shared" si="1"/>
        <v>GE_Suffix_of_Glaciers</v>
      </c>
      <c r="J23" s="43" t="str">
        <f t="shared" si="2"/>
        <v>/Game/DungeonSiege/Blueprints/GameplayAbilities/Affixes/GE_Suffix_of_Glaciers</v>
      </c>
    </row>
    <row r="24" spans="1:10" ht="33.75" x14ac:dyDescent="0.25">
      <c r="A24" s="43">
        <v>22</v>
      </c>
      <c r="B24" s="43">
        <f>VLOOKUP(C24,CHOOSE({2,1},Suffix!B$2:B$412,Suffix!C$2:C$412),2,FALSE)</f>
        <v>101711889</v>
      </c>
      <c r="C24" s="43" t="s">
        <v>1242</v>
      </c>
      <c r="D24" s="43" t="s">
        <v>3260</v>
      </c>
      <c r="E24" s="43" t="str">
        <f>VLOOKUP(F24,CHOOSE({2,1},Attributes!B$3:B$130,Attributes!C$3:C$129),2,FALSE)</f>
        <v>DungeonSiegeElementalAttributeSet</v>
      </c>
      <c r="F24" s="43" t="str">
        <f>Attributes!C102</f>
        <v>ColdDamageMaxDamageMod</v>
      </c>
      <c r="G24" s="43" t="str">
        <f t="shared" si="0"/>
        <v>(AttributeName="ColdDamageMaxDamageMod",Attribute=/Script/DSAbilitySystem.DungeonSiegeElementalAttributeSet:ColdDamageMaxDamageMod,AttributeOwner=Class'"/Script/DSAbilitySystem.DungeonSiegeElementalAttributeSet"')</v>
      </c>
      <c r="H24" s="43">
        <v>76</v>
      </c>
      <c r="I24" s="43" t="str">
        <f t="shared" si="1"/>
        <v>GE_Suffix_of_Glaciers</v>
      </c>
      <c r="J24" s="43" t="str">
        <f t="shared" si="2"/>
        <v>/Game/DungeonSiege/Blueprints/GameplayAbilities/Affixes/GE_Suffix_of_Glaciers</v>
      </c>
    </row>
    <row r="25" spans="1:10" ht="33.75" x14ac:dyDescent="0.25">
      <c r="A25" s="43">
        <v>23</v>
      </c>
      <c r="B25" s="43">
        <f>VLOOKUP(C25,CHOOSE({2,1},Suffix!B$2:B$412,Suffix!C$2:C$412),2,FALSE)</f>
        <v>101711890</v>
      </c>
      <c r="C25" s="43" t="s">
        <v>1245</v>
      </c>
      <c r="D25" s="43" t="s">
        <v>1246</v>
      </c>
      <c r="E25" s="43" t="str">
        <f>VLOOKUP(F25,CHOOSE({2,1},Attributes!B$3:B$130,Attributes!C$3:C$129),2,FALSE)</f>
        <v>DungeonSiegeExperienceAttributeSet</v>
      </c>
      <c r="F25" s="43" t="str">
        <f>Attributes!C3</f>
        <v>Strength</v>
      </c>
      <c r="G25" s="43" t="str">
        <f t="shared" si="0"/>
        <v>(AttributeName="Strength",Attribute=/Script/DSAbilitySystem.DungeonSiegeExperienceAttributeSet:Strength,AttributeOwner=Class'"/Script/DSAbilitySystem.DungeonSiegeExperienceAttributeSet"')</v>
      </c>
      <c r="H25" s="43">
        <v>11</v>
      </c>
      <c r="I25" s="43" t="str">
        <f t="shared" si="1"/>
        <v>GE_Suffix_of_Colossus</v>
      </c>
      <c r="J25" s="43" t="str">
        <f t="shared" si="2"/>
        <v>/Game/DungeonSiege/Blueprints/GameplayAbilities/Affixes/GE_Suffix_of_Colossus</v>
      </c>
    </row>
    <row r="26" spans="1:10" ht="33.75" x14ac:dyDescent="0.25">
      <c r="A26" s="43">
        <v>24</v>
      </c>
      <c r="B26" s="43">
        <f>VLOOKUP(C26,CHOOSE({2,1},Suffix!B$2:B$412,Suffix!C$2:C$412),2,FALSE)</f>
        <v>101711891</v>
      </c>
      <c r="C26" s="43" t="s">
        <v>1248</v>
      </c>
      <c r="D26" s="43" t="s">
        <v>1249</v>
      </c>
      <c r="E26" s="43" t="str">
        <f>VLOOKUP(F26,CHOOSE({2,1},Attributes!B$3:B$130,Attributes!C$3:C$129),2,FALSE)</f>
        <v>DungeonSiegeExperienceAttributeSet</v>
      </c>
      <c r="F26" s="43" t="str">
        <f>Attributes!C5</f>
        <v>Intelligence</v>
      </c>
      <c r="G26" s="43" t="str">
        <f t="shared" si="0"/>
        <v>(AttributeName="Intelligence",Attribute=/Script/DSAbilitySystem.DungeonSiegeExperienceAttributeSet:Intelligence,AttributeOwner=Class'"/Script/DSAbilitySystem.DungeonSiegeExperienceAttributeSet"')</v>
      </c>
      <c r="H26" s="43">
        <v>11</v>
      </c>
      <c r="I26" s="43" t="str">
        <f t="shared" si="1"/>
        <v>GE_Suffix_of_Omniscience</v>
      </c>
      <c r="J26" s="43" t="str">
        <f t="shared" si="2"/>
        <v>/Game/DungeonSiege/Blueprints/GameplayAbilities/Affixes/GE_Suffix_of_Omniscience</v>
      </c>
    </row>
    <row r="27" spans="1:10" s="23" customFormat="1" ht="33.75" x14ac:dyDescent="0.25">
      <c r="A27" s="43">
        <v>25</v>
      </c>
      <c r="B27" s="43">
        <f>VLOOKUP(C27,CHOOSE({2,1},Suffix!B$2:B$412,Suffix!C$2:C$412),2,FALSE)</f>
        <v>101711892</v>
      </c>
      <c r="C27" s="43" t="s">
        <v>1251</v>
      </c>
      <c r="D27" s="43" t="s">
        <v>1252</v>
      </c>
      <c r="E27" s="43" t="str">
        <f>VLOOKUP(F27,CHOOSE({2,1},Attributes!B$3:B$130,Attributes!C$3:C$129),2,FALSE)</f>
        <v>DungeonSiegeDamageAttributeSet</v>
      </c>
      <c r="F27" s="43" t="str">
        <f>Attributes!C19</f>
        <v>MinDamageMod</v>
      </c>
      <c r="G27" s="43" t="str">
        <f t="shared" si="0"/>
        <v>(AttributeName="MinDamageMod",Attribute=/Script/DSAbilitySystem.DungeonSiegeDamageAttributeSet:MinDamageMod,AttributeOwner=Class'"/Script/DSAbilitySystem.DungeonSiegeDamageAttributeSet"')</v>
      </c>
      <c r="H27" s="43">
        <v>45</v>
      </c>
      <c r="I27" s="43" t="str">
        <f t="shared" si="1"/>
        <v>GE_Suffix_of_Transcendence</v>
      </c>
      <c r="J27" s="43" t="str">
        <f t="shared" si="2"/>
        <v>/Game/DungeonSiege/Blueprints/GameplayAbilities/Affixes/GE_Suffix_of_Transcendence</v>
      </c>
    </row>
    <row r="28" spans="1:10" ht="33.75" x14ac:dyDescent="0.25">
      <c r="A28" s="43">
        <v>26</v>
      </c>
      <c r="B28" s="43">
        <f>VLOOKUP(C28,CHOOSE({2,1},Suffix!B$2:B$412,Suffix!C$2:C$412),2,FALSE)</f>
        <v>101711892</v>
      </c>
      <c r="C28" s="43" t="s">
        <v>1251</v>
      </c>
      <c r="D28" s="43" t="s">
        <v>1252</v>
      </c>
      <c r="E28" s="43" t="str">
        <f>VLOOKUP(F28,CHOOSE({2,1},Attributes!B$3:B$130,Attributes!C$3:C$129),2,FALSE)</f>
        <v>DungeonSiegeDamageAttributeSet</v>
      </c>
      <c r="F28" s="43" t="str">
        <f>Attributes!C20</f>
        <v>MaxDamageMod</v>
      </c>
      <c r="G28" s="43" t="str">
        <f t="shared" si="0"/>
        <v>(AttributeName="MaxDamageMod",Attribute=/Script/DSAbilitySystem.DungeonSiegeDamageAttributeSet:MaxDamageMod,AttributeOwner=Class'"/Script/DSAbilitySystem.DungeonSiegeDamageAttributeSet"')</v>
      </c>
      <c r="H28" s="43">
        <v>104</v>
      </c>
      <c r="I28" s="43" t="str">
        <f t="shared" si="1"/>
        <v>GE_Suffix_of_Transcendence</v>
      </c>
      <c r="J28" s="43" t="str">
        <f t="shared" si="2"/>
        <v>/Game/DungeonSiege/Blueprints/GameplayAbilities/Affixes/GE_Suffix_of_Transcendence</v>
      </c>
    </row>
    <row r="29" spans="1:10" ht="33.75" x14ac:dyDescent="0.25">
      <c r="A29" s="43">
        <v>27</v>
      </c>
      <c r="B29" s="43">
        <f>VLOOKUP(C29,CHOOSE({2,1},Suffix!B$2:B$412,Suffix!C$2:C$412),2,FALSE)</f>
        <v>101711893</v>
      </c>
      <c r="C29" s="43" t="s">
        <v>1254</v>
      </c>
      <c r="D29" s="43" t="s">
        <v>1255</v>
      </c>
      <c r="E29" s="43" t="str">
        <f>VLOOKUP(F29,CHOOSE({2,1},Attributes!B$3:B$130,Attributes!C$3:C$129),2,FALSE)</f>
        <v>DungeonSiegeExperienceAttributeSet</v>
      </c>
      <c r="F29" s="43" t="str">
        <f>Attributes!C4</f>
        <v>Dexterity</v>
      </c>
      <c r="G29" s="43" t="str">
        <f t="shared" si="0"/>
        <v>(AttributeName="Dexterity",Attribute=/Script/DSAbilitySystem.DungeonSiegeExperienceAttributeSet:Dexterity,AttributeOwner=Class'"/Script/DSAbilitySystem.DungeonSiegeExperienceAttributeSet"')</v>
      </c>
      <c r="H29" s="43">
        <v>11</v>
      </c>
      <c r="I29" s="43" t="str">
        <f t="shared" si="1"/>
        <v>GE_Suffix_of_the_Effortless</v>
      </c>
      <c r="J29" s="43" t="str">
        <f t="shared" si="2"/>
        <v>/Game/DungeonSiege/Blueprints/GameplayAbilities/Affixes/GE_Suffix_of_the_Effortless</v>
      </c>
    </row>
    <row r="30" spans="1:10" ht="33.75" x14ac:dyDescent="0.25">
      <c r="A30" s="43">
        <v>28</v>
      </c>
      <c r="B30" s="43">
        <f>VLOOKUP(C30,CHOOSE({2,1},Suffix!B$2:B$412,Suffix!C$2:C$412),2,FALSE)</f>
        <v>101711894</v>
      </c>
      <c r="C30" s="43" t="s">
        <v>1257</v>
      </c>
      <c r="D30" s="43" t="s">
        <v>1258</v>
      </c>
      <c r="E30" s="43" t="str">
        <f>VLOOKUP(F30,CHOOSE({2,1},Attributes!B$3:B$130,Attributes!C$3:C$129),2,FALSE)</f>
        <v>DungeonSiegeDamageAttributeSet</v>
      </c>
      <c r="F30" s="43" t="str">
        <f>Attributes!C20</f>
        <v>MaxDamageMod</v>
      </c>
      <c r="G30" s="43" t="str">
        <f t="shared" si="0"/>
        <v>(AttributeName="MaxDamageMod",Attribute=/Script/DSAbilitySystem.DungeonSiegeDamageAttributeSet:MaxDamageMod,AttributeOwner=Class'"/Script/DSAbilitySystem.DungeonSiegeDamageAttributeSet"')</v>
      </c>
      <c r="H30" s="43">
        <v>104</v>
      </c>
      <c r="I30" s="43" t="str">
        <f t="shared" si="1"/>
        <v>GE_Suffix_of_the_Oppressive</v>
      </c>
      <c r="J30" s="43" t="str">
        <f t="shared" si="2"/>
        <v>/Game/DungeonSiege/Blueprints/GameplayAbilities/Affixes/GE_Suffix_of_the_Oppressive</v>
      </c>
    </row>
    <row r="31" spans="1:10" s="23" customFormat="1" ht="33.75" x14ac:dyDescent="0.25">
      <c r="A31" s="43">
        <v>29</v>
      </c>
      <c r="B31" s="43">
        <f>VLOOKUP(C31,CHOOSE({2,1},Suffix!B$2:B$412,Suffix!C$2:C$412),2,FALSE)</f>
        <v>101711895</v>
      </c>
      <c r="C31" s="43" t="s">
        <v>1260</v>
      </c>
      <c r="D31" s="43" t="s">
        <v>1261</v>
      </c>
      <c r="E31" s="43" t="str">
        <f>VLOOKUP(F31,CHOOSE({2,1},Attributes!B$3:B$130,Attributes!C$3:C$129),2,FALSE)</f>
        <v>DungeonSiegeMagicAttributeSet</v>
      </c>
      <c r="F31" s="43" t="str">
        <f>Attributes!C38</f>
        <v>NatureMagicMinDamageMod</v>
      </c>
      <c r="G31" s="43" t="str">
        <f t="shared" si="0"/>
        <v>(AttributeName="NatureMagicMinDamageMod",Attribute=/Script/DSAbilitySystem.DungeonSiegeMagicAttributeSet:NatureMagicMinDamageMod,AttributeOwner=Class'"/Script/DSAbilitySystem.DungeonSiegeMagicAttributeSet"')</v>
      </c>
      <c r="H31" s="43">
        <v>20</v>
      </c>
      <c r="I31" s="43" t="str">
        <f t="shared" si="1"/>
        <v>GE_Suffix_of_Rejoicing</v>
      </c>
      <c r="J31" s="43" t="str">
        <f t="shared" si="2"/>
        <v>/Game/DungeonSiege/Blueprints/GameplayAbilities/Affixes/GE_Suffix_of_Rejoicing</v>
      </c>
    </row>
    <row r="32" spans="1:10" ht="33.75" x14ac:dyDescent="0.25">
      <c r="A32" s="43">
        <v>30</v>
      </c>
      <c r="B32" s="43">
        <f>VLOOKUP(C32,CHOOSE({2,1},Suffix!B$2:B$412,Suffix!C$2:C$412),2,FALSE)</f>
        <v>101711895</v>
      </c>
      <c r="C32" s="43" t="s">
        <v>1260</v>
      </c>
      <c r="D32" s="43" t="s">
        <v>1261</v>
      </c>
      <c r="E32" s="43" t="str">
        <f>VLOOKUP(F32,CHOOSE({2,1},Attributes!B$3:B$130,Attributes!C$3:C$129),2,FALSE)</f>
        <v>DungeonSiegeMagicAttributeSet</v>
      </c>
      <c r="F32" s="43" t="str">
        <f>Attributes!C39</f>
        <v>NatureMagicMaxDamageMod</v>
      </c>
      <c r="G32" s="43" t="str">
        <f t="shared" si="0"/>
        <v>(AttributeName="NatureMagicMaxDamageMod",Attribute=/Script/DSAbilitySystem.DungeonSiegeMagicAttributeSet:NatureMagicMaxDamageMod,AttributeOwner=Class'"/Script/DSAbilitySystem.DungeonSiegeMagicAttributeSet"')</v>
      </c>
      <c r="H32" s="43">
        <v>61</v>
      </c>
      <c r="I32" s="43" t="str">
        <f t="shared" si="1"/>
        <v>GE_Suffix_of_Rejoicing</v>
      </c>
      <c r="J32" s="43" t="str">
        <f t="shared" si="2"/>
        <v>/Game/DungeonSiege/Blueprints/GameplayAbilities/Affixes/GE_Suffix_of_Rejoicing</v>
      </c>
    </row>
    <row r="33" spans="1:10" s="23" customFormat="1" ht="33.75" x14ac:dyDescent="0.25">
      <c r="A33" s="43">
        <v>31</v>
      </c>
      <c r="B33" s="43">
        <f>VLOOKUP(C33,CHOOSE({2,1},Suffix!B$2:B$412,Suffix!C$2:C$412),2,FALSE)</f>
        <v>101711896</v>
      </c>
      <c r="C33" s="43" t="s">
        <v>1263</v>
      </c>
      <c r="D33" s="43" t="s">
        <v>1264</v>
      </c>
      <c r="E33" s="43" t="str">
        <f>VLOOKUP(F33,CHOOSE({2,1},Attributes!B$3:B$130,Attributes!C$3:C$129),2,FALSE)</f>
        <v>DungeonSiegeMagicAttributeSet</v>
      </c>
      <c r="F33" s="43" t="str">
        <f>Attributes!C41</f>
        <v>CombatMagicMinDamageMod</v>
      </c>
      <c r="G33" s="43" t="str">
        <f t="shared" si="0"/>
        <v>(AttributeName="CombatMagicMinDamageMod",Attribute=/Script/DSAbilitySystem.DungeonSiegeMagicAttributeSet:CombatMagicMinDamageMod,AttributeOwner=Class'"/Script/DSAbilitySystem.DungeonSiegeMagicAttributeSet"')</v>
      </c>
      <c r="H33" s="43">
        <v>20</v>
      </c>
      <c r="I33" s="43" t="str">
        <f t="shared" si="1"/>
        <v>GE_Suffix_of_Repression</v>
      </c>
      <c r="J33" s="43" t="str">
        <f t="shared" si="2"/>
        <v>/Game/DungeonSiege/Blueprints/GameplayAbilities/Affixes/GE_Suffix_of_Repression</v>
      </c>
    </row>
    <row r="34" spans="1:10" ht="33.75" x14ac:dyDescent="0.25">
      <c r="A34" s="43">
        <v>32</v>
      </c>
      <c r="B34" s="43">
        <f>VLOOKUP(C34,CHOOSE({2,1},Suffix!B$2:B$412,Suffix!C$2:C$412),2,FALSE)</f>
        <v>101711896</v>
      </c>
      <c r="C34" s="43" t="s">
        <v>1263</v>
      </c>
      <c r="D34" s="43" t="s">
        <v>1264</v>
      </c>
      <c r="E34" s="43" t="str">
        <f>VLOOKUP(F34,CHOOSE({2,1},Attributes!B$3:B$130,Attributes!C$3:C$129),2,FALSE)</f>
        <v>DungeonSiegeMagicAttributeSet</v>
      </c>
      <c r="F34" s="43" t="str">
        <f>Attributes!C42</f>
        <v>CombatMagicMaxDamageMod</v>
      </c>
      <c r="G34" s="43" t="str">
        <f t="shared" si="0"/>
        <v>(AttributeName="CombatMagicMaxDamageMod",Attribute=/Script/DSAbilitySystem.DungeonSiegeMagicAttributeSet:CombatMagicMaxDamageMod,AttributeOwner=Class'"/Script/DSAbilitySystem.DungeonSiegeMagicAttributeSet"')</v>
      </c>
      <c r="H34" s="43">
        <v>61</v>
      </c>
      <c r="I34" s="43" t="str">
        <f t="shared" si="1"/>
        <v>GE_Suffix_of_Repression</v>
      </c>
      <c r="J34" s="43" t="str">
        <f t="shared" si="2"/>
        <v>/Game/DungeonSiege/Blueprints/GameplayAbilities/Affixes/GE_Suffix_of_Repression</v>
      </c>
    </row>
    <row r="35" spans="1:10" s="23" customFormat="1" ht="33.75" x14ac:dyDescent="0.25">
      <c r="A35" s="43">
        <v>33</v>
      </c>
      <c r="B35" s="43">
        <f>VLOOKUP(C35,CHOOSE({2,1},Suffix!B$2:B$412,Suffix!C$2:C$412),2,FALSE)</f>
        <v>101711897</v>
      </c>
      <c r="C35" s="43" t="s">
        <v>1266</v>
      </c>
      <c r="D35" s="43" t="s">
        <v>1267</v>
      </c>
      <c r="E35" s="43" t="str">
        <f>VLOOKUP(F35,CHOOSE({2,1},Attributes!B$3:B$130,Attributes!C$3:C$129),2,FALSE)</f>
        <v>DungeonSiegeDamageAttributeSet</v>
      </c>
      <c r="F35" s="43" t="str">
        <f>Attributes!C25</f>
        <v>MinPiercingDamageMod</v>
      </c>
      <c r="G35" s="43" t="str">
        <f t="shared" si="0"/>
        <v>(AttributeName="MinPiercingDamageMod",Attribute=/Script/DSAbilitySystem.DungeonSiegeDamageAttributeSet:MinPiercingDamageMod,AttributeOwner=Class'"/Script/DSAbilitySystem.DungeonSiegeDamageAttributeSet"')</v>
      </c>
      <c r="H35" s="43">
        <v>35</v>
      </c>
      <c r="I35" s="43" t="str">
        <f t="shared" si="1"/>
        <v>GE_Suffix_of_Fangs</v>
      </c>
      <c r="J35" s="43" t="str">
        <f t="shared" si="2"/>
        <v>/Game/DungeonSiege/Blueprints/GameplayAbilities/Affixes/GE_Suffix_of_Fangs</v>
      </c>
    </row>
    <row r="36" spans="1:10" ht="33.75" x14ac:dyDescent="0.25">
      <c r="A36" s="43">
        <v>34</v>
      </c>
      <c r="B36" s="43">
        <f>VLOOKUP(C36,CHOOSE({2,1},Suffix!B$2:B$412,Suffix!C$2:C$412),2,FALSE)</f>
        <v>101711897</v>
      </c>
      <c r="C36" s="43" t="s">
        <v>1266</v>
      </c>
      <c r="D36" s="43" t="s">
        <v>1267</v>
      </c>
      <c r="E36" s="43" t="str">
        <f>VLOOKUP(F36,CHOOSE({2,1},Attributes!B$3:B$130,Attributes!C$3:C$129),2,FALSE)</f>
        <v>DungeonSiegeDamageAttributeSet</v>
      </c>
      <c r="F36" s="43" t="str">
        <f>Attributes!C26</f>
        <v>MaxPiercingDamageMod</v>
      </c>
      <c r="G36" s="43" t="str">
        <f t="shared" si="0"/>
        <v>(AttributeName="MaxPiercingDamageMod",Attribute=/Script/DSAbilitySystem.DungeonSiegeDamageAttributeSet:MaxPiercingDamageMod,AttributeOwner=Class'"/Script/DSAbilitySystem.DungeonSiegeDamageAttributeSet"')</v>
      </c>
      <c r="H36" s="43">
        <v>82</v>
      </c>
      <c r="I36" s="43" t="str">
        <f t="shared" si="1"/>
        <v>GE_Suffix_of_Fangs</v>
      </c>
      <c r="J36" s="43" t="str">
        <f t="shared" si="2"/>
        <v>/Game/DungeonSiege/Blueprints/GameplayAbilities/Affixes/GE_Suffix_of_Fangs</v>
      </c>
    </row>
    <row r="37" spans="1:10" ht="33.75" x14ac:dyDescent="0.25">
      <c r="A37" s="43">
        <v>35</v>
      </c>
      <c r="B37" s="43">
        <f>VLOOKUP(C37,CHOOSE({2,1},Suffix!B$2:B$412,Suffix!C$2:C$412),2,FALSE)</f>
        <v>101711904</v>
      </c>
      <c r="C37" s="43" t="s">
        <v>1269</v>
      </c>
      <c r="D37" s="43" t="s">
        <v>1270</v>
      </c>
      <c r="E37" s="43" t="str">
        <f>VLOOKUP(F37,CHOOSE({2,1},Attributes!B$3:B$130,Attributes!C$3:C$129),2,FALSE)</f>
        <v>DungeonSiegePerHitAttributeSet</v>
      </c>
      <c r="F37" s="43" t="str">
        <f>Attributes!C12</f>
        <v>ManaPerHit</v>
      </c>
      <c r="G37" s="43" t="str">
        <f t="shared" si="0"/>
        <v>(AttributeName="ManaPerHit",Attribute=/Script/DSAbilitySystem.DungeonSiegePerHitAttributeSet:ManaPerHit,AttributeOwner=Class'"/Script/DSAbilitySystem.DungeonSiegePerHitAttributeSet"')</v>
      </c>
      <c r="H37" s="43">
        <v>17</v>
      </c>
      <c r="I37" s="43" t="str">
        <f t="shared" si="1"/>
        <v>GE_Suffix_of_Dawn</v>
      </c>
      <c r="J37" s="43" t="str">
        <f t="shared" si="2"/>
        <v>/Game/DungeonSiege/Blueprints/GameplayAbilities/Affixes/GE_Suffix_of_Dawn</v>
      </c>
    </row>
    <row r="38" spans="1:10" s="23" customFormat="1" ht="33.75" x14ac:dyDescent="0.25">
      <c r="A38" s="43">
        <v>36</v>
      </c>
      <c r="B38" s="43">
        <f>VLOOKUP(C38,CHOOSE({2,1},Suffix!B$2:B$412,Suffix!C$2:C$412),2,FALSE)</f>
        <v>101711905</v>
      </c>
      <c r="C38" s="43" t="s">
        <v>1272</v>
      </c>
      <c r="D38" s="43" t="s">
        <v>1273</v>
      </c>
      <c r="E38" s="43" t="str">
        <f>VLOOKUP(F38,CHOOSE({2,1},Attributes!B$3:B$130,Attributes!C$3:C$129),2,FALSE)</f>
        <v>DungeonSiegeElementalAttributeSet</v>
      </c>
      <c r="F38" s="43" t="str">
        <f>Attributes!C103</f>
        <v>FireDamageMinDamageMod</v>
      </c>
      <c r="G38" s="43" t="str">
        <f t="shared" si="0"/>
        <v>(AttributeName="FireDamageMinDamageMod",Attribute=/Script/DSAbilitySystem.DungeonSiegeElementalAttributeSet:FireDamageMinDamageMod,AttributeOwner=Class'"/Script/DSAbilitySystem.DungeonSiegeElementalAttributeSet"')</v>
      </c>
      <c r="H38" s="43">
        <v>65</v>
      </c>
      <c r="I38" s="43" t="str">
        <f t="shared" si="1"/>
        <v>GE_Suffix_of_Fire</v>
      </c>
      <c r="J38" s="43" t="str">
        <f t="shared" si="2"/>
        <v>/Game/DungeonSiege/Blueprints/GameplayAbilities/Affixes/GE_Suffix_of_Fire</v>
      </c>
    </row>
    <row r="39" spans="1:10" ht="33.75" x14ac:dyDescent="0.25">
      <c r="A39" s="43">
        <v>37</v>
      </c>
      <c r="B39" s="43">
        <f>VLOOKUP(C39,CHOOSE({2,1},Suffix!B$2:B$412,Suffix!C$2:C$412),2,FALSE)</f>
        <v>101711905</v>
      </c>
      <c r="C39" s="43" t="s">
        <v>1272</v>
      </c>
      <c r="D39" s="43" t="s">
        <v>1273</v>
      </c>
      <c r="E39" s="43" t="str">
        <f>VLOOKUP(F39,CHOOSE({2,1},Attributes!B$3:B$130,Attributes!C$3:C$129),2,FALSE)</f>
        <v>DungeonSiegeElementalAttributeSet</v>
      </c>
      <c r="F39" s="43" t="str">
        <f>Attributes!C104</f>
        <v>FireDamageMaxDamageMod</v>
      </c>
      <c r="G39" s="43" t="str">
        <f t="shared" si="0"/>
        <v>(AttributeName="FireDamageMaxDamageMod",Attribute=/Script/DSAbilitySystem.DungeonSiegeElementalAttributeSet:FireDamageMaxDamageMod,AttributeOwner=Class'"/Script/DSAbilitySystem.DungeonSiegeElementalAttributeSet"')</v>
      </c>
      <c r="H39" s="43">
        <v>133</v>
      </c>
      <c r="I39" s="43" t="str">
        <f t="shared" si="1"/>
        <v>GE_Suffix_of_Fire</v>
      </c>
      <c r="J39" s="43" t="str">
        <f t="shared" si="2"/>
        <v>/Game/DungeonSiege/Blueprints/GameplayAbilities/Affixes/GE_Suffix_of_Fire</v>
      </c>
    </row>
    <row r="40" spans="1:10" s="23" customFormat="1" ht="33.75" x14ac:dyDescent="0.25">
      <c r="A40" s="43">
        <v>38</v>
      </c>
      <c r="B40" s="43">
        <f>VLOOKUP(C40,CHOOSE({2,1},Suffix!B$2:B$412,Suffix!C$2:C$412),2,FALSE)</f>
        <v>101711906</v>
      </c>
      <c r="C40" s="43" t="s">
        <v>1275</v>
      </c>
      <c r="D40" s="43" t="s">
        <v>1276</v>
      </c>
      <c r="E40" s="43" t="str">
        <f>VLOOKUP(F40,CHOOSE({2,1},Attributes!B$3:B$130,Attributes!C$3:C$129),2,FALSE)</f>
        <v>DungeonSiegeElementalAttributeSet</v>
      </c>
      <c r="F40" s="43" t="str">
        <f>Attributes!C103</f>
        <v>FireDamageMinDamageMod</v>
      </c>
      <c r="G40" s="43" t="str">
        <f t="shared" si="0"/>
        <v>(AttributeName="FireDamageMinDamageMod",Attribute=/Script/DSAbilitySystem.DungeonSiegeElementalAttributeSet:FireDamageMinDamageMod,AttributeOwner=Class'"/Script/DSAbilitySystem.DungeonSiegeElementalAttributeSet"')</v>
      </c>
      <c r="H40" s="43">
        <v>46</v>
      </c>
      <c r="I40" s="43" t="str">
        <f t="shared" si="1"/>
        <v>GE_Suffix_of_Ignition</v>
      </c>
      <c r="J40" s="43" t="str">
        <f t="shared" si="2"/>
        <v>/Game/DungeonSiege/Blueprints/GameplayAbilities/Affixes/GE_Suffix_of_Ignition</v>
      </c>
    </row>
    <row r="41" spans="1:10" ht="33.75" x14ac:dyDescent="0.25">
      <c r="A41" s="43">
        <v>39</v>
      </c>
      <c r="B41" s="43">
        <f>VLOOKUP(C41,CHOOSE({2,1},Suffix!B$2:B$412,Suffix!C$2:C$412),2,FALSE)</f>
        <v>101711906</v>
      </c>
      <c r="C41" s="43" t="s">
        <v>1275</v>
      </c>
      <c r="D41" s="43" t="s">
        <v>1276</v>
      </c>
      <c r="E41" s="43" t="str">
        <f>VLOOKUP(F41,CHOOSE({2,1},Attributes!B$3:B$130,Attributes!C$3:C$129),2,FALSE)</f>
        <v>DungeonSiegeElementalAttributeSet</v>
      </c>
      <c r="F41" s="43" t="str">
        <f>Attributes!C104</f>
        <v>FireDamageMaxDamageMod</v>
      </c>
      <c r="G41" s="43" t="str">
        <f t="shared" si="0"/>
        <v>(AttributeName="FireDamageMaxDamageMod",Attribute=/Script/DSAbilitySystem.DungeonSiegeElementalAttributeSet:FireDamageMaxDamageMod,AttributeOwner=Class'"/Script/DSAbilitySystem.DungeonSiegeElementalAttributeSet"')</v>
      </c>
      <c r="H41" s="43">
        <v>93</v>
      </c>
      <c r="I41" s="43" t="str">
        <f t="shared" si="1"/>
        <v>GE_Suffix_of_Ignition</v>
      </c>
      <c r="J41" s="43" t="str">
        <f t="shared" si="2"/>
        <v>/Game/DungeonSiege/Blueprints/GameplayAbilities/Affixes/GE_Suffix_of_Ignition</v>
      </c>
    </row>
    <row r="42" spans="1:10" s="23" customFormat="1" ht="33.75" x14ac:dyDescent="0.25">
      <c r="A42" s="43">
        <v>40</v>
      </c>
      <c r="B42" s="43">
        <f>VLOOKUP(C42,CHOOSE({2,1},Suffix!B$2:B$412,Suffix!C$2:C$412),2,FALSE)</f>
        <v>101711907</v>
      </c>
      <c r="C42" s="43" t="s">
        <v>1278</v>
      </c>
      <c r="D42" s="43" t="s">
        <v>1279</v>
      </c>
      <c r="E42" s="43" t="str">
        <f>VLOOKUP(F42,CHOOSE({2,1},Attributes!B$3:B$130,Attributes!C$3:C$129),2,FALSE)</f>
        <v>DungeonSiegeDamageAttributeSet</v>
      </c>
      <c r="F42" s="43" t="str">
        <f>Attributes!C19</f>
        <v>MinDamageMod</v>
      </c>
      <c r="G42" s="43" t="str">
        <f t="shared" si="0"/>
        <v>(AttributeName="MinDamageMod",Attribute=/Script/DSAbilitySystem.DungeonSiegeDamageAttributeSet:MinDamageMod,AttributeOwner=Class'"/Script/DSAbilitySystem.DungeonSiegeDamageAttributeSet"')</v>
      </c>
      <c r="H42" s="43">
        <v>7</v>
      </c>
      <c r="I42" s="43" t="str">
        <f t="shared" si="1"/>
        <v>GE_Suffix_of_Ingenuity</v>
      </c>
      <c r="J42" s="43" t="str">
        <f t="shared" si="2"/>
        <v>/Game/DungeonSiege/Blueprints/GameplayAbilities/Affixes/GE_Suffix_of_Ingenuity</v>
      </c>
    </row>
    <row r="43" spans="1:10" ht="33.75" x14ac:dyDescent="0.25">
      <c r="A43" s="43">
        <v>41</v>
      </c>
      <c r="B43" s="43">
        <f>VLOOKUP(C43,CHOOSE({2,1},Suffix!B$2:B$412,Suffix!C$2:C$412),2,FALSE)</f>
        <v>101711907</v>
      </c>
      <c r="C43" s="43" t="s">
        <v>1278</v>
      </c>
      <c r="D43" s="43" t="s">
        <v>1279</v>
      </c>
      <c r="E43" s="43" t="str">
        <f>VLOOKUP(F43,CHOOSE({2,1},Attributes!B$3:B$130,Attributes!C$3:C$129),2,FALSE)</f>
        <v>DungeonSiegeDamageAttributeSet</v>
      </c>
      <c r="F43" s="43" t="str">
        <f>Attributes!C20</f>
        <v>MaxDamageMod</v>
      </c>
      <c r="G43" s="43" t="str">
        <f t="shared" si="0"/>
        <v>(AttributeName="MaxDamageMod",Attribute=/Script/DSAbilitySystem.DungeonSiegeDamageAttributeSet:MaxDamageMod,AttributeOwner=Class'"/Script/DSAbilitySystem.DungeonSiegeDamageAttributeSet"')</v>
      </c>
      <c r="H43" s="43">
        <v>104</v>
      </c>
      <c r="I43" s="43" t="str">
        <f t="shared" si="1"/>
        <v>GE_Suffix_of_Ingenuity</v>
      </c>
      <c r="J43" s="43" t="str">
        <f t="shared" si="2"/>
        <v>/Game/DungeonSiege/Blueprints/GameplayAbilities/Affixes/GE_Suffix_of_Ingenuity</v>
      </c>
    </row>
    <row r="44" spans="1:10" s="23" customFormat="1" ht="33.75" x14ac:dyDescent="0.25">
      <c r="A44" s="43">
        <v>42</v>
      </c>
      <c r="B44" s="43">
        <f>VLOOKUP(C44,CHOOSE({2,1},Suffix!B$2:B$412,Suffix!C$2:C$412),2,FALSE)</f>
        <v>101711908</v>
      </c>
      <c r="C44" s="43" t="s">
        <v>1281</v>
      </c>
      <c r="D44" s="43" t="s">
        <v>1282</v>
      </c>
      <c r="E44" s="43" t="str">
        <f>VLOOKUP(F44,CHOOSE({2,1},Attributes!B$3:B$130,Attributes!C$3:C$129),2,FALSE)</f>
        <v>DungeonSiegeDamageAttributeSet</v>
      </c>
      <c r="F44" s="43" t="str">
        <f>Attributes!C20</f>
        <v>MaxDamageMod</v>
      </c>
      <c r="G44" s="43" t="str">
        <f t="shared" si="0"/>
        <v>(AttributeName="MaxDamageMod",Attribute=/Script/DSAbilitySystem.DungeonSiegeDamageAttributeSet:MaxDamageMod,AttributeOwner=Class'"/Script/DSAbilitySystem.DungeonSiegeDamageAttributeSet"')</v>
      </c>
      <c r="H44" s="43">
        <v>67</v>
      </c>
      <c r="I44" s="43" t="str">
        <f t="shared" si="1"/>
        <v>GE_Suffix_of_the_Eagle</v>
      </c>
      <c r="J44" s="43" t="str">
        <f t="shared" si="2"/>
        <v>/Game/DungeonSiege/Blueprints/GameplayAbilities/Affixes/GE_Suffix_of_the_Eagle</v>
      </c>
    </row>
    <row r="45" spans="1:10" ht="33.75" x14ac:dyDescent="0.25">
      <c r="A45" s="43">
        <v>43</v>
      </c>
      <c r="B45" s="43">
        <f>VLOOKUP(C45,CHOOSE({2,1},Suffix!B$2:B$412,Suffix!C$2:C$412),2,FALSE)</f>
        <v>101711909</v>
      </c>
      <c r="C45" s="43" t="s">
        <v>1284</v>
      </c>
      <c r="D45" s="43" t="s">
        <v>1238</v>
      </c>
      <c r="E45" s="43" t="str">
        <f>VLOOKUP(F45,CHOOSE({2,1},Attributes!B$3:B$130,Attributes!C$3:C$129),2,FALSE)</f>
        <v>DungeonSiegeDamageAttributeSet</v>
      </c>
      <c r="F45" s="43" t="str">
        <f>Attributes!C23</f>
        <v>ChanceToInflictPiercingHit</v>
      </c>
      <c r="G45" s="43" t="str">
        <f t="shared" si="0"/>
        <v>(AttributeName="ChanceToInflictPiercingHit",Attribute=/Script/DSAbilitySystem.DungeonSiegeDamageAttributeSet:ChanceToInflictPiercingHit,AttributeOwner=Class'"/Script/DSAbilitySystem.DungeonSiegeDamageAttributeSet"')</v>
      </c>
      <c r="H45" s="43">
        <v>12</v>
      </c>
      <c r="I45" s="43" t="str">
        <f t="shared" si="1"/>
        <v>GE_Suffix_of_Premeditation</v>
      </c>
      <c r="J45" s="43" t="str">
        <f t="shared" si="2"/>
        <v>/Game/DungeonSiege/Blueprints/GameplayAbilities/Affixes/GE_Suffix_of_Premeditation</v>
      </c>
    </row>
    <row r="46" spans="1:10" ht="33.75" x14ac:dyDescent="0.25">
      <c r="A46" s="43">
        <v>44</v>
      </c>
      <c r="B46" s="43">
        <f>VLOOKUP(C46,CHOOSE({2,1},Suffix!B$2:B$412,Suffix!C$2:C$412),2,FALSE)</f>
        <v>101711910</v>
      </c>
      <c r="C46" s="43" t="s">
        <v>1286</v>
      </c>
      <c r="D46" s="43" t="s">
        <v>1287</v>
      </c>
      <c r="E46" s="43" t="str">
        <f>VLOOKUP(F46,CHOOSE({2,1},Attributes!B$3:B$130,Attributes!C$3:C$129),2,FALSE)</f>
        <v>DungeonSiegePerHitAttributeSet</v>
      </c>
      <c r="F46" s="43" t="str">
        <f>Attributes!C14</f>
        <v>ManaStealPerHit</v>
      </c>
      <c r="G46" s="43" t="str">
        <f t="shared" si="0"/>
        <v>(AttributeName="ManaStealPerHit",Attribute=/Script/DSAbilitySystem.DungeonSiegePerHitAttributeSet:ManaStealPerHit,AttributeOwner=Class'"/Script/DSAbilitySystem.DungeonSiegePerHitAttributeSet"')</v>
      </c>
      <c r="H46" s="43">
        <v>16</v>
      </c>
      <c r="I46" s="43" t="str">
        <f t="shared" si="1"/>
        <v>GE_Suffix_of_the_Slayer</v>
      </c>
      <c r="J46" s="43" t="str">
        <f t="shared" si="2"/>
        <v>/Game/DungeonSiege/Blueprints/GameplayAbilities/Affixes/GE_Suffix_of_the_Slayer</v>
      </c>
    </row>
    <row r="47" spans="1:10" s="23" customFormat="1" ht="33.75" x14ac:dyDescent="0.25">
      <c r="A47" s="43">
        <v>45</v>
      </c>
      <c r="B47" s="43">
        <f>VLOOKUP(C47,CHOOSE({2,1},Suffix!B$2:B$412,Suffix!C$2:C$412),2,FALSE)</f>
        <v>101711911</v>
      </c>
      <c r="C47" s="43" t="s">
        <v>1289</v>
      </c>
      <c r="D47" s="43" t="s">
        <v>3261</v>
      </c>
      <c r="E47" s="43" t="str">
        <f>VLOOKUP(F47,CHOOSE({2,1},Attributes!B$3:B$130,Attributes!C$3:C$129),2,FALSE)</f>
        <v>DungeonSiegeElementalAttributeSet</v>
      </c>
      <c r="F47" s="43" t="str">
        <f>Attributes!C100</f>
        <v>ChanceToFreeze</v>
      </c>
      <c r="G47" s="43" t="str">
        <f t="shared" si="0"/>
        <v>(AttributeName="ChanceToFreeze",Attribute=/Script/DSAbilitySystem.DungeonSiegeElementalAttributeSet:ChanceToFreeze,AttributeOwner=Class'"/Script/DSAbilitySystem.DungeonSiegeElementalAttributeSet"')</v>
      </c>
      <c r="H47" s="43">
        <v>10</v>
      </c>
      <c r="I47" s="43" t="str">
        <f t="shared" si="1"/>
        <v>GE_Suffix_of_Frostbite</v>
      </c>
      <c r="J47" s="43" t="str">
        <f t="shared" si="2"/>
        <v>/Game/DungeonSiege/Blueprints/GameplayAbilities/Affixes/GE_Suffix_of_Frostbite</v>
      </c>
    </row>
    <row r="48" spans="1:10" s="23" customFormat="1" ht="33.75" x14ac:dyDescent="0.25">
      <c r="A48" s="43">
        <v>46</v>
      </c>
      <c r="B48" s="43">
        <f>VLOOKUP(C48,CHOOSE({2,1},Suffix!B$2:B$412,Suffix!C$2:C$412),2,FALSE)</f>
        <v>101711911</v>
      </c>
      <c r="C48" s="43" t="s">
        <v>1289</v>
      </c>
      <c r="D48" s="43" t="s">
        <v>3262</v>
      </c>
      <c r="E48" s="43" t="str">
        <f>VLOOKUP(F48,CHOOSE({2,1},Attributes!B$3:B$130,Attributes!C$3:C$129),2,FALSE)</f>
        <v>DungeonSiegeElementalAttributeSet</v>
      </c>
      <c r="F48" s="43" t="str">
        <f>Attributes!C101</f>
        <v>ColdDamageMinDamageMod</v>
      </c>
      <c r="G48" s="43" t="str">
        <f t="shared" si="0"/>
        <v>(AttributeName="ColdDamageMinDamageMod",Attribute=/Script/DSAbilitySystem.DungeonSiegeElementalAttributeSet:ColdDamageMinDamageMod,AttributeOwner=Class'"/Script/DSAbilitySystem.DungeonSiegeElementalAttributeSet"')</v>
      </c>
      <c r="H48" s="43">
        <v>47</v>
      </c>
      <c r="I48" s="43" t="str">
        <f t="shared" si="1"/>
        <v>GE_Suffix_of_Frostbite</v>
      </c>
      <c r="J48" s="43" t="str">
        <f t="shared" si="2"/>
        <v>/Game/DungeonSiege/Blueprints/GameplayAbilities/Affixes/GE_Suffix_of_Frostbite</v>
      </c>
    </row>
    <row r="49" spans="1:10" ht="33.75" x14ac:dyDescent="0.25">
      <c r="A49" s="43">
        <v>47</v>
      </c>
      <c r="B49" s="43">
        <f>VLOOKUP(C49,CHOOSE({2,1},Suffix!B$2:B$412,Suffix!C$2:C$412),2,FALSE)</f>
        <v>101711911</v>
      </c>
      <c r="C49" s="43" t="s">
        <v>1289</v>
      </c>
      <c r="D49" s="43" t="s">
        <v>3262</v>
      </c>
      <c r="E49" s="43" t="str">
        <f>VLOOKUP(F49,CHOOSE({2,1},Attributes!B$3:B$130,Attributes!C$3:C$129),2,FALSE)</f>
        <v>DungeonSiegeElementalAttributeSet</v>
      </c>
      <c r="F49" s="43" t="str">
        <f>Attributes!C102</f>
        <v>ColdDamageMaxDamageMod</v>
      </c>
      <c r="G49" s="43" t="str">
        <f t="shared" si="0"/>
        <v>(AttributeName="ColdDamageMaxDamageMod",Attribute=/Script/DSAbilitySystem.DungeonSiegeElementalAttributeSet:ColdDamageMaxDamageMod,AttributeOwner=Class'"/Script/DSAbilitySystem.DungeonSiegeElementalAttributeSet"')</v>
      </c>
      <c r="H49" s="43">
        <v>82</v>
      </c>
      <c r="I49" s="43" t="str">
        <f t="shared" si="1"/>
        <v>GE_Suffix_of_Frostbite</v>
      </c>
      <c r="J49" s="43" t="str">
        <f t="shared" si="2"/>
        <v>/Game/DungeonSiege/Blueprints/GameplayAbilities/Affixes/GE_Suffix_of_Frostbite</v>
      </c>
    </row>
    <row r="50" spans="1:10" s="23" customFormat="1" ht="33.75" x14ac:dyDescent="0.25">
      <c r="A50" s="43">
        <v>48</v>
      </c>
      <c r="B50" s="43">
        <f>VLOOKUP(C50,CHOOSE({2,1},Suffix!B$2:B$412,Suffix!C$2:C$412),2,FALSE)</f>
        <v>101711912</v>
      </c>
      <c r="C50" s="43" t="s">
        <v>1291</v>
      </c>
      <c r="D50" s="43" t="s">
        <v>3259</v>
      </c>
      <c r="E50" s="43" t="str">
        <f>VLOOKUP(F50,CHOOSE({2,1},Attributes!B$3:B$130,Attributes!C$3:C$129),2,FALSE)</f>
        <v>DungeonSiegeElementalAttributeSet</v>
      </c>
      <c r="F50" s="43" t="str">
        <f>Attributes!C100</f>
        <v>ChanceToFreeze</v>
      </c>
      <c r="G50" s="43" t="str">
        <f t="shared" si="0"/>
        <v>(AttributeName="ChanceToFreeze",Attribute=/Script/DSAbilitySystem.DungeonSiegeElementalAttributeSet:ChanceToFreeze,AttributeOwner=Class'"/Script/DSAbilitySystem.DungeonSiegeElementalAttributeSet"')</v>
      </c>
      <c r="H50" s="43">
        <v>3</v>
      </c>
      <c r="I50" s="43" t="str">
        <f t="shared" si="1"/>
        <v>GE_Suffix_of_Icebergs</v>
      </c>
      <c r="J50" s="43" t="str">
        <f t="shared" si="2"/>
        <v>/Game/DungeonSiege/Blueprints/GameplayAbilities/Affixes/GE_Suffix_of_Icebergs</v>
      </c>
    </row>
    <row r="51" spans="1:10" s="23" customFormat="1" ht="33.75" x14ac:dyDescent="0.25">
      <c r="A51" s="43">
        <v>49</v>
      </c>
      <c r="B51" s="43">
        <f>VLOOKUP(C51,CHOOSE({2,1},Suffix!B$2:B$412,Suffix!C$2:C$412),2,FALSE)</f>
        <v>101711912</v>
      </c>
      <c r="C51" s="43" t="s">
        <v>1291</v>
      </c>
      <c r="D51" s="43" t="s">
        <v>3263</v>
      </c>
      <c r="E51" s="43" t="str">
        <f>VLOOKUP(F51,CHOOSE({2,1},Attributes!B$3:B$130,Attributes!C$3:C$129),2,FALSE)</f>
        <v>DungeonSiegeElementalAttributeSet</v>
      </c>
      <c r="F51" s="43" t="str">
        <f>Attributes!C101</f>
        <v>ColdDamageMinDamageMod</v>
      </c>
      <c r="G51" s="43" t="str">
        <f t="shared" si="0"/>
        <v>(AttributeName="ColdDamageMinDamageMod",Attribute=/Script/DSAbilitySystem.DungeonSiegeElementalAttributeSet:ColdDamageMinDamageMod,AttributeOwner=Class'"/Script/DSAbilitySystem.DungeonSiegeElementalAttributeSet"')</v>
      </c>
      <c r="H51" s="43">
        <v>39</v>
      </c>
      <c r="I51" s="43" t="str">
        <f t="shared" si="1"/>
        <v>GE_Suffix_of_Icebergs</v>
      </c>
      <c r="J51" s="43" t="str">
        <f t="shared" si="2"/>
        <v>/Game/DungeonSiege/Blueprints/GameplayAbilities/Affixes/GE_Suffix_of_Icebergs</v>
      </c>
    </row>
    <row r="52" spans="1:10" ht="33.75" x14ac:dyDescent="0.25">
      <c r="A52" s="43">
        <v>50</v>
      </c>
      <c r="B52" s="43">
        <f>VLOOKUP(C52,CHOOSE({2,1},Suffix!B$2:B$412,Suffix!C$2:C$412),2,FALSE)</f>
        <v>101711912</v>
      </c>
      <c r="C52" s="43" t="s">
        <v>1291</v>
      </c>
      <c r="D52" s="43" t="s">
        <v>3263</v>
      </c>
      <c r="E52" s="43" t="str">
        <f>VLOOKUP(F52,CHOOSE({2,1},Attributes!B$3:B$130,Attributes!C$3:C$129),2,FALSE)</f>
        <v>DungeonSiegeElementalAttributeSet</v>
      </c>
      <c r="F52" s="43" t="str">
        <f>Attributes!C102</f>
        <v>ColdDamageMaxDamageMod</v>
      </c>
      <c r="G52" s="43" t="str">
        <f t="shared" si="0"/>
        <v>(AttributeName="ColdDamageMaxDamageMod",Attribute=/Script/DSAbilitySystem.DungeonSiegeElementalAttributeSet:ColdDamageMaxDamageMod,AttributeOwner=Class'"/Script/DSAbilitySystem.DungeonSiegeElementalAttributeSet"')</v>
      </c>
      <c r="H52" s="43">
        <v>65</v>
      </c>
      <c r="I52" s="43" t="str">
        <f t="shared" si="1"/>
        <v>GE_Suffix_of_Icebergs</v>
      </c>
      <c r="J52" s="43" t="str">
        <f t="shared" si="2"/>
        <v>/Game/DungeonSiege/Blueprints/GameplayAbilities/Affixes/GE_Suffix_of_Icebergs</v>
      </c>
    </row>
    <row r="53" spans="1:10" ht="33.75" x14ac:dyDescent="0.25">
      <c r="A53" s="43">
        <v>51</v>
      </c>
      <c r="B53" s="43">
        <f>VLOOKUP(C53,CHOOSE({2,1},Suffix!B$2:B$412,Suffix!C$2:C$412),2,FALSE)</f>
        <v>101711913</v>
      </c>
      <c r="C53" s="43" t="s">
        <v>1293</v>
      </c>
      <c r="D53" s="43" t="s">
        <v>1294</v>
      </c>
      <c r="E53" s="43" t="str">
        <f>VLOOKUP(F53,CHOOSE({2,1},Attributes!B$3:B$130,Attributes!C$3:C$129),2,FALSE)</f>
        <v>DungeonSiegeHealthAttributeSet</v>
      </c>
      <c r="F53" s="43" t="str">
        <f>Attributes!C82</f>
        <v>BaseHealthBonus</v>
      </c>
      <c r="G53" s="43" t="str">
        <f t="shared" si="0"/>
        <v>(AttributeName="BaseHealthBonus",Attribute=/Script/DSAbilitySystem.DungeonSiegeHealthAttributeSet:BaseHealthBonus,AttributeOwner=Class'"/Script/DSAbilitySystem.DungeonSiegeHealthAttributeSet"')</v>
      </c>
      <c r="H53" s="43">
        <v>415</v>
      </c>
      <c r="I53" s="43" t="str">
        <f t="shared" si="1"/>
        <v>GE_Suffix_of_the_Panther</v>
      </c>
      <c r="J53" s="43" t="str">
        <f t="shared" si="2"/>
        <v>/Game/DungeonSiege/Blueprints/GameplayAbilities/Affixes/GE_Suffix_of_the_Panther</v>
      </c>
    </row>
    <row r="54" spans="1:10" s="23" customFormat="1" ht="33.75" x14ac:dyDescent="0.25">
      <c r="A54" s="43">
        <v>52</v>
      </c>
      <c r="B54" s="43">
        <f>VLOOKUP(C54,CHOOSE({2,1},Suffix!B$2:B$412,Suffix!C$2:C$412),2,FALSE)</f>
        <v>101711920</v>
      </c>
      <c r="C54" s="43" t="s">
        <v>1296</v>
      </c>
      <c r="D54" s="43" t="s">
        <v>1297</v>
      </c>
      <c r="E54" s="43" t="str">
        <f>VLOOKUP(F54,CHOOSE({2,1},Attributes!B$3:B$130,Attributes!C$3:C$129),2,FALSE)</f>
        <v>DungeonSiegeDamageAttributeSet</v>
      </c>
      <c r="F54" s="43" t="str">
        <f>Attributes!C25</f>
        <v>MinPiercingDamageMod</v>
      </c>
      <c r="G54" s="43" t="str">
        <f t="shared" si="0"/>
        <v>(AttributeName="MinPiercingDamageMod",Attribute=/Script/DSAbilitySystem.DungeonSiegeDamageAttributeSet:MinPiercingDamageMod,AttributeOwner=Class'"/Script/DSAbilitySystem.DungeonSiegeDamageAttributeSet"')</v>
      </c>
      <c r="H54" s="43">
        <v>30</v>
      </c>
      <c r="I54" s="43" t="str">
        <f t="shared" si="1"/>
        <v>GE_Suffix_of_Velocity</v>
      </c>
      <c r="J54" s="43" t="str">
        <f t="shared" si="2"/>
        <v>/Game/DungeonSiege/Blueprints/GameplayAbilities/Affixes/GE_Suffix_of_Velocity</v>
      </c>
    </row>
    <row r="55" spans="1:10" ht="33.75" x14ac:dyDescent="0.25">
      <c r="A55" s="43">
        <v>53</v>
      </c>
      <c r="B55" s="43">
        <f>VLOOKUP(C55,CHOOSE({2,1},Suffix!B$2:B$412,Suffix!C$2:C$412),2,FALSE)</f>
        <v>101711920</v>
      </c>
      <c r="C55" s="43" t="s">
        <v>1296</v>
      </c>
      <c r="D55" s="43" t="s">
        <v>1297</v>
      </c>
      <c r="E55" s="43" t="str">
        <f>VLOOKUP(F55,CHOOSE({2,1},Attributes!B$3:B$130,Attributes!C$3:C$129),2,FALSE)</f>
        <v>DungeonSiegeDamageAttributeSet</v>
      </c>
      <c r="F55" s="43" t="str">
        <f>Attributes!C26</f>
        <v>MaxPiercingDamageMod</v>
      </c>
      <c r="G55" s="43" t="str">
        <f t="shared" si="0"/>
        <v>(AttributeName="MaxPiercingDamageMod",Attribute=/Script/DSAbilitySystem.DungeonSiegeDamageAttributeSet:MaxPiercingDamageMod,AttributeOwner=Class'"/Script/DSAbilitySystem.DungeonSiegeDamageAttributeSet"')</v>
      </c>
      <c r="H55" s="43">
        <v>70</v>
      </c>
      <c r="I55" s="43" t="str">
        <f t="shared" si="1"/>
        <v>GE_Suffix_of_Velocity</v>
      </c>
      <c r="J55" s="43" t="str">
        <f t="shared" si="2"/>
        <v>/Game/DungeonSiege/Blueprints/GameplayAbilities/Affixes/GE_Suffix_of_Velocity</v>
      </c>
    </row>
    <row r="56" spans="1:10" s="23" customFormat="1" ht="33.75" x14ac:dyDescent="0.25">
      <c r="A56" s="43">
        <v>54</v>
      </c>
      <c r="B56" s="43">
        <f>VLOOKUP(C56,CHOOSE({2,1},Suffix!B$2:B$412,Suffix!C$2:C$412),2,FALSE)</f>
        <v>101711921</v>
      </c>
      <c r="C56" s="43" t="s">
        <v>1299</v>
      </c>
      <c r="D56" s="43" t="s">
        <v>1300</v>
      </c>
      <c r="E56" s="43" t="str">
        <f>VLOOKUP(F56,CHOOSE({2,1},Attributes!B$3:B$130,Attributes!C$3:C$129),2,FALSE)</f>
        <v>DungeonSiegeDamageAttributeSet</v>
      </c>
      <c r="F56" s="43" t="str">
        <f>Attributes!C19</f>
        <v>MinDamageMod</v>
      </c>
      <c r="G56" s="43" t="str">
        <f t="shared" si="0"/>
        <v>(AttributeName="MinDamageMod",Attribute=/Script/DSAbilitySystem.DungeonSiegeDamageAttributeSet:MinDamageMod,AttributeOwner=Class'"/Script/DSAbilitySystem.DungeonSiegeDamageAttributeSet"')</v>
      </c>
      <c r="H56" s="43">
        <v>67</v>
      </c>
      <c r="I56" s="43" t="str">
        <f t="shared" si="1"/>
        <v>GE_Suffix_of_Torment</v>
      </c>
      <c r="J56" s="43" t="str">
        <f t="shared" si="2"/>
        <v>/Game/DungeonSiege/Blueprints/GameplayAbilities/Affixes/GE_Suffix_of_Torment</v>
      </c>
    </row>
    <row r="57" spans="1:10" ht="33.75" x14ac:dyDescent="0.25">
      <c r="A57" s="43">
        <v>55</v>
      </c>
      <c r="B57" s="43">
        <f>VLOOKUP(C57,CHOOSE({2,1},Suffix!B$2:B$412,Suffix!C$2:C$412),2,FALSE)</f>
        <v>101711921</v>
      </c>
      <c r="C57" s="43" t="s">
        <v>1299</v>
      </c>
      <c r="D57" s="43" t="s">
        <v>1300</v>
      </c>
      <c r="E57" s="43" t="str">
        <f>VLOOKUP(F57,CHOOSE({2,1},Attributes!B$3:B$130,Attributes!C$3:C$129),2,FALSE)</f>
        <v>DungeonSiegeDamageAttributeSet</v>
      </c>
      <c r="F57" s="43" t="str">
        <f>Attributes!C20</f>
        <v>MaxDamageMod</v>
      </c>
      <c r="G57" s="43" t="str">
        <f t="shared" si="0"/>
        <v>(AttributeName="MaxDamageMod",Attribute=/Script/DSAbilitySystem.DungeonSiegeDamageAttributeSet:MaxDamageMod,AttributeOwner=Class'"/Script/DSAbilitySystem.DungeonSiegeDamageAttributeSet"')</v>
      </c>
      <c r="H57" s="43">
        <v>113</v>
      </c>
      <c r="I57" s="43" t="str">
        <f t="shared" si="1"/>
        <v>GE_Suffix_of_Torment</v>
      </c>
      <c r="J57" s="43" t="str">
        <f t="shared" si="2"/>
        <v>/Game/DungeonSiege/Blueprints/GameplayAbilities/Affixes/GE_Suffix_of_Torment</v>
      </c>
    </row>
    <row r="58" spans="1:10" s="23" customFormat="1" ht="33.75" x14ac:dyDescent="0.25">
      <c r="A58" s="43">
        <v>56</v>
      </c>
      <c r="B58" s="43">
        <f>VLOOKUP(C58,CHOOSE({2,1},Suffix!B$2:B$412,Suffix!C$2:C$412),2,FALSE)</f>
        <v>101711922</v>
      </c>
      <c r="C58" s="43" t="s">
        <v>1302</v>
      </c>
      <c r="D58" s="43" t="s">
        <v>1303</v>
      </c>
      <c r="E58" s="43" t="str">
        <f>VLOOKUP(F58,CHOOSE({2,1},Attributes!B$3:B$130,Attributes!C$3:C$129),2,FALSE)</f>
        <v>DungeonSiegeElementalAttributeSet</v>
      </c>
      <c r="F58" s="43" t="str">
        <f>Attributes!C78</f>
        <v>LightningMinDamageMod</v>
      </c>
      <c r="G58" s="43" t="str">
        <f t="shared" si="0"/>
        <v>(AttributeName="LightningMinDamageMod",Attribute=/Script/DSAbilitySystem.DungeonSiegeElementalAttributeSet:LightningMinDamageMod,AttributeOwner=Class'"/Script/DSAbilitySystem.DungeonSiegeElementalAttributeSet"')</v>
      </c>
      <c r="H58" s="43">
        <v>85</v>
      </c>
      <c r="I58" s="43" t="str">
        <f t="shared" si="1"/>
        <v>GE_Suffix_of_the_Shocked</v>
      </c>
      <c r="J58" s="43" t="str">
        <f t="shared" si="2"/>
        <v>/Game/DungeonSiege/Blueprints/GameplayAbilities/Affixes/GE_Suffix_of_the_Shocked</v>
      </c>
    </row>
    <row r="59" spans="1:10" ht="33.75" x14ac:dyDescent="0.25">
      <c r="A59" s="43">
        <v>57</v>
      </c>
      <c r="B59" s="43">
        <f>VLOOKUP(C59,CHOOSE({2,1},Suffix!B$2:B$412,Suffix!C$2:C$412),2,FALSE)</f>
        <v>101711922</v>
      </c>
      <c r="C59" s="43" t="s">
        <v>1302</v>
      </c>
      <c r="D59" s="43" t="s">
        <v>1303</v>
      </c>
      <c r="E59" s="43" t="str">
        <f>VLOOKUP(F59,CHOOSE({2,1},Attributes!B$3:B$130,Attributes!C$3:C$129),2,FALSE)</f>
        <v>DungeonSiegeElementalAttributeSet</v>
      </c>
      <c r="F59" s="43" t="str">
        <f>Attributes!C79</f>
        <v>LightningMaxDamageMod</v>
      </c>
      <c r="G59" s="43" t="str">
        <f t="shared" si="0"/>
        <v>(AttributeName="LightningMaxDamageMod",Attribute=/Script/DSAbilitySystem.DungeonSiegeElementalAttributeSet:LightningMaxDamageMod,AttributeOwner=Class'"/Script/DSAbilitySystem.DungeonSiegeElementalAttributeSet"')</v>
      </c>
      <c r="H59" s="43">
        <v>95</v>
      </c>
      <c r="I59" s="43" t="str">
        <f t="shared" si="1"/>
        <v>GE_Suffix_of_the_Shocked</v>
      </c>
      <c r="J59" s="43" t="str">
        <f t="shared" si="2"/>
        <v>/Game/DungeonSiege/Blueprints/GameplayAbilities/Affixes/GE_Suffix_of_the_Shocked</v>
      </c>
    </row>
    <row r="60" spans="1:10" s="23" customFormat="1" ht="33.75" x14ac:dyDescent="0.25">
      <c r="A60" s="43">
        <v>58</v>
      </c>
      <c r="B60" s="43">
        <f>VLOOKUP(C60,CHOOSE({2,1},Suffix!B$2:B$412,Suffix!C$2:C$412),2,FALSE)</f>
        <v>101711923</v>
      </c>
      <c r="C60" s="43" t="s">
        <v>1305</v>
      </c>
      <c r="D60" s="43" t="s">
        <v>1306</v>
      </c>
      <c r="E60" s="43" t="str">
        <f>VLOOKUP(F60,CHOOSE({2,1},Attributes!B$3:B$130,Attributes!C$3:C$129),2,FALSE)</f>
        <v>DungeonSiegeElementalAttributeSet</v>
      </c>
      <c r="F60" s="43" t="str">
        <f>Attributes!C78</f>
        <v>LightningMinDamageMod</v>
      </c>
      <c r="G60" s="43" t="str">
        <f t="shared" si="0"/>
        <v>(AttributeName="LightningMinDamageMod",Attribute=/Script/DSAbilitySystem.DungeonSiegeElementalAttributeSet:LightningMinDamageMod,AttributeOwner=Class'"/Script/DSAbilitySystem.DungeonSiegeElementalAttributeSet"')</v>
      </c>
      <c r="H60" s="43">
        <v>60</v>
      </c>
      <c r="I60" s="43" t="str">
        <f t="shared" si="1"/>
        <v>GE_Suffix_of_Tempests</v>
      </c>
      <c r="J60" s="43" t="str">
        <f t="shared" si="2"/>
        <v>/Game/DungeonSiege/Blueprints/GameplayAbilities/Affixes/GE_Suffix_of_Tempests</v>
      </c>
    </row>
    <row r="61" spans="1:10" ht="33.75" x14ac:dyDescent="0.25">
      <c r="A61" s="43">
        <v>59</v>
      </c>
      <c r="B61" s="43">
        <f>VLOOKUP(C61,CHOOSE({2,1},Suffix!B$2:B$412,Suffix!C$2:C$412),2,FALSE)</f>
        <v>101711923</v>
      </c>
      <c r="C61" s="43" t="s">
        <v>1305</v>
      </c>
      <c r="D61" s="43" t="s">
        <v>1306</v>
      </c>
      <c r="E61" s="43" t="str">
        <f>VLOOKUP(F61,CHOOSE({2,1},Attributes!B$3:B$130,Attributes!C$3:C$129),2,FALSE)</f>
        <v>DungeonSiegeElementalAttributeSet</v>
      </c>
      <c r="F61" s="43" t="str">
        <f>Attributes!C79</f>
        <v>LightningMaxDamageMod</v>
      </c>
      <c r="G61" s="43" t="str">
        <f t="shared" si="0"/>
        <v>(AttributeName="LightningMaxDamageMod",Attribute=/Script/DSAbilitySystem.DungeonSiegeElementalAttributeSet:LightningMaxDamageMod,AttributeOwner=Class'"/Script/DSAbilitySystem.DungeonSiegeElementalAttributeSet"')</v>
      </c>
      <c r="H61" s="43">
        <v>67</v>
      </c>
      <c r="I61" s="43" t="str">
        <f t="shared" si="1"/>
        <v>GE_Suffix_of_Tempests</v>
      </c>
      <c r="J61" s="43" t="str">
        <f t="shared" si="2"/>
        <v>/Game/DungeonSiege/Blueprints/GameplayAbilities/Affixes/GE_Suffix_of_Tempests</v>
      </c>
    </row>
    <row r="62" spans="1:10" ht="33.75" x14ac:dyDescent="0.25">
      <c r="A62" s="43">
        <v>60</v>
      </c>
      <c r="B62" s="43">
        <f>VLOOKUP(C62,CHOOSE({2,1},Suffix!B$2:B$412,Suffix!C$2:C$412),2,FALSE)</f>
        <v>101711924</v>
      </c>
      <c r="C62" s="43" t="s">
        <v>1308</v>
      </c>
      <c r="D62" s="43" t="s">
        <v>1309</v>
      </c>
      <c r="E62" s="43" t="str">
        <f>VLOOKUP(F62,CHOOSE({2,1},Attributes!B$3:B$130,Attributes!C$3:C$129),2,FALSE)</f>
        <v>DungeonSiegeExperienceAttributeSet</v>
      </c>
      <c r="F62" s="43" t="str">
        <f>Attributes!C3</f>
        <v>Strength</v>
      </c>
      <c r="G62" s="43" t="str">
        <f t="shared" si="0"/>
        <v>(AttributeName="Strength",Attribute=/Script/DSAbilitySystem.DungeonSiegeExperienceAttributeSet:Strength,AttributeOwner=Class'"/Script/DSAbilitySystem.DungeonSiegeExperienceAttributeSet"')</v>
      </c>
      <c r="H62" s="43">
        <v>9</v>
      </c>
      <c r="I62" s="43" t="str">
        <f t="shared" si="1"/>
        <v>GE_Suffix_of_Grandeur</v>
      </c>
      <c r="J62" s="43" t="str">
        <f t="shared" si="2"/>
        <v>/Game/DungeonSiege/Blueprints/GameplayAbilities/Affixes/GE_Suffix_of_Grandeur</v>
      </c>
    </row>
    <row r="63" spans="1:10" ht="33.75" x14ac:dyDescent="0.25">
      <c r="A63" s="43">
        <v>61</v>
      </c>
      <c r="B63" s="43">
        <f>VLOOKUP(C63,CHOOSE({2,1},Suffix!B$2:B$412,Suffix!C$2:C$412),2,FALSE)</f>
        <v>101711925</v>
      </c>
      <c r="C63" s="43" t="s">
        <v>1311</v>
      </c>
      <c r="D63" s="43" t="s">
        <v>1312</v>
      </c>
      <c r="E63" s="43" t="str">
        <f>VLOOKUP(F63,CHOOSE({2,1},Attributes!B$3:B$130,Attributes!C$3:C$129),2,FALSE)</f>
        <v>DungeonSiegeExperienceAttributeSet</v>
      </c>
      <c r="F63" s="43" t="str">
        <f>Attributes!C5</f>
        <v>Intelligence</v>
      </c>
      <c r="G63" s="43" t="str">
        <f t="shared" si="0"/>
        <v>(AttributeName="Intelligence",Attribute=/Script/DSAbilitySystem.DungeonSiegeExperienceAttributeSet:Intelligence,AttributeOwner=Class'"/Script/DSAbilitySystem.DungeonSiegeExperienceAttributeSet"')</v>
      </c>
      <c r="H63" s="43">
        <v>9</v>
      </c>
      <c r="I63" s="43" t="str">
        <f t="shared" si="1"/>
        <v>GE_Suffix_of_Foresight</v>
      </c>
      <c r="J63" s="43" t="str">
        <f t="shared" si="2"/>
        <v>/Game/DungeonSiege/Blueprints/GameplayAbilities/Affixes/GE_Suffix_of_Foresight</v>
      </c>
    </row>
    <row r="64" spans="1:10" s="23" customFormat="1" ht="33.75" x14ac:dyDescent="0.25">
      <c r="A64" s="43">
        <v>62</v>
      </c>
      <c r="B64" s="43">
        <f>VLOOKUP(C64,CHOOSE({2,1},Suffix!B$2:B$412,Suffix!C$2:C$412),2,FALSE)</f>
        <v>101711926</v>
      </c>
      <c r="C64" s="43" t="s">
        <v>1314</v>
      </c>
      <c r="D64" s="43" t="s">
        <v>1315</v>
      </c>
      <c r="E64" s="43" t="str">
        <f>VLOOKUP(F64,CHOOSE({2,1},Attributes!B$3:B$130,Attributes!C$3:C$129),2,FALSE)</f>
        <v>DungeonSiegeDamageAttributeSet</v>
      </c>
      <c r="F64" s="43" t="str">
        <f>Attributes!C19</f>
        <v>MinDamageMod</v>
      </c>
      <c r="G64" s="43" t="str">
        <f t="shared" si="0"/>
        <v>(AttributeName="MinDamageMod",Attribute=/Script/DSAbilitySystem.DungeonSiegeDamageAttributeSet:MinDamageMod,AttributeOwner=Class'"/Script/DSAbilitySystem.DungeonSiegeDamageAttributeSet"')</v>
      </c>
      <c r="H64" s="43">
        <v>36</v>
      </c>
      <c r="I64" s="43" t="str">
        <f t="shared" si="1"/>
        <v>GE_Suffix_of_Transience</v>
      </c>
      <c r="J64" s="43" t="str">
        <f t="shared" si="2"/>
        <v>/Game/DungeonSiege/Blueprints/GameplayAbilities/Affixes/GE_Suffix_of_Transience</v>
      </c>
    </row>
    <row r="65" spans="1:10" ht="33.75" x14ac:dyDescent="0.25">
      <c r="A65" s="43">
        <v>63</v>
      </c>
      <c r="B65" s="43">
        <f>VLOOKUP(C65,CHOOSE({2,1},Suffix!B$2:B$412,Suffix!C$2:C$412),2,FALSE)</f>
        <v>101711926</v>
      </c>
      <c r="C65" s="43" t="s">
        <v>1314</v>
      </c>
      <c r="D65" s="43" t="s">
        <v>1315</v>
      </c>
      <c r="E65" s="43" t="str">
        <f>VLOOKUP(F65,CHOOSE({2,1},Attributes!B$3:B$130,Attributes!C$3:C$129),2,FALSE)</f>
        <v>DungeonSiegeDamageAttributeSet</v>
      </c>
      <c r="F65" s="43" t="str">
        <f>Attributes!C20</f>
        <v>MaxDamageMod</v>
      </c>
      <c r="G65" s="43" t="str">
        <f t="shared" si="0"/>
        <v>(AttributeName="MaxDamageMod",Attribute=/Script/DSAbilitySystem.DungeonSiegeDamageAttributeSet:MaxDamageMod,AttributeOwner=Class'"/Script/DSAbilitySystem.DungeonSiegeDamageAttributeSet"')</v>
      </c>
      <c r="H65" s="43">
        <v>84</v>
      </c>
      <c r="I65" s="43" t="str">
        <f t="shared" si="1"/>
        <v>GE_Suffix_of_Transience</v>
      </c>
      <c r="J65" s="43" t="str">
        <f t="shared" si="2"/>
        <v>/Game/DungeonSiege/Blueprints/GameplayAbilities/Affixes/GE_Suffix_of_Transience</v>
      </c>
    </row>
    <row r="66" spans="1:10" ht="33.75" x14ac:dyDescent="0.25">
      <c r="A66" s="43">
        <v>64</v>
      </c>
      <c r="B66" s="43">
        <f>VLOOKUP(C66,CHOOSE({2,1},Suffix!B$2:B$412,Suffix!C$2:C$412),2,FALSE)</f>
        <v>101711927</v>
      </c>
      <c r="C66" s="43" t="s">
        <v>1317</v>
      </c>
      <c r="D66" s="43" t="s">
        <v>1318</v>
      </c>
      <c r="E66" s="43" t="str">
        <f>VLOOKUP(F66,CHOOSE({2,1},Attributes!B$3:B$130,Attributes!C$3:C$129),2,FALSE)</f>
        <v>DungeonSiegeDamageAttributeSet</v>
      </c>
      <c r="F66" s="43" t="str">
        <f>Attributes!C20</f>
        <v>MaxDamageMod</v>
      </c>
      <c r="G66" s="43" t="str">
        <f t="shared" si="0"/>
        <v>(AttributeName="MaxDamageMod",Attribute=/Script/DSAbilitySystem.DungeonSiegeDamageAttributeSet:MaxDamageMod,AttributeOwner=Class'"/Script/DSAbilitySystem.DungeonSiegeDamageAttributeSet"')</v>
      </c>
      <c r="H66" s="43">
        <v>85</v>
      </c>
      <c r="I66" s="43" t="str">
        <f t="shared" si="1"/>
        <v>GE_Suffix_of_Pestilence</v>
      </c>
      <c r="J66" s="43" t="str">
        <f t="shared" si="2"/>
        <v>/Game/DungeonSiege/Blueprints/GameplayAbilities/Affixes/GE_Suffix_of_Pestilence</v>
      </c>
    </row>
    <row r="67" spans="1:10" ht="33.75" x14ac:dyDescent="0.25">
      <c r="A67" s="43">
        <v>65</v>
      </c>
      <c r="B67" s="43">
        <f>VLOOKUP(C67,CHOOSE({2,1},Suffix!B$2:B$412,Suffix!C$2:C$412),2,FALSE)</f>
        <v>101711928</v>
      </c>
      <c r="C67" s="43" t="s">
        <v>1320</v>
      </c>
      <c r="D67" s="43" t="s">
        <v>1321</v>
      </c>
      <c r="E67" s="43" t="str">
        <f>VLOOKUP(F67,CHOOSE({2,1},Attributes!B$3:B$130,Attributes!C$3:C$129),2,FALSE)</f>
        <v>DungeonSiegeDamageAttributeSet</v>
      </c>
      <c r="F67" s="43" t="str">
        <f>Attributes!C20</f>
        <v>MaxDamageMod</v>
      </c>
      <c r="G67" s="43" t="str">
        <f t="shared" ref="G67:G130" si="3">CONCATENATE("(AttributeName=""",F67,""",Attribute=/Script/DSAbilitySystem."&amp; E67 &amp;":",F67,",AttributeOwner=Class'""/Script/DSAbilitySystem." &amp; E67 &amp; """')")</f>
        <v>(AttributeName="MaxDamageMod",Attribute=/Script/DSAbilitySystem.DungeonSiegeDamageAttributeSet:MaxDamageMod,AttributeOwner=Class'"/Script/DSAbilitySystem.DungeonSiegeDamageAttributeSet"')</v>
      </c>
      <c r="H67" s="43">
        <v>60</v>
      </c>
      <c r="I67" s="43" t="str">
        <f t="shared" ref="I67:I130" si="4">CONCATENATE("GE_Suffix_", SUBSTITUTE(C67," ","_"))</f>
        <v>GE_Suffix_of_Epidemic</v>
      </c>
      <c r="J67" s="43" t="str">
        <f t="shared" ref="J67:J130" si="5">"/Game/DungeonSiege/Blueprints/GameplayAbilities/Affixes/" &amp;I67</f>
        <v>/Game/DungeonSiege/Blueprints/GameplayAbilities/Affixes/GE_Suffix_of_Epidemic</v>
      </c>
    </row>
    <row r="68" spans="1:10" ht="33.75" x14ac:dyDescent="0.25">
      <c r="A68" s="43">
        <v>66</v>
      </c>
      <c r="B68" s="43">
        <f>VLOOKUP(C68,CHOOSE({2,1},Suffix!B$2:B$412,Suffix!C$2:C$412),2,FALSE)</f>
        <v>101711929</v>
      </c>
      <c r="C68" s="43" t="s">
        <v>1323</v>
      </c>
      <c r="D68" s="43" t="s">
        <v>1324</v>
      </c>
      <c r="E68" s="43" t="str">
        <f>VLOOKUP(F68,CHOOSE({2,1},Attributes!B$3:B$130,Attributes!C$3:C$129),2,FALSE)</f>
        <v>DungeonSiegeExperienceAttributeSet</v>
      </c>
      <c r="F68" s="43" t="str">
        <f>Attributes!C4</f>
        <v>Dexterity</v>
      </c>
      <c r="G68" s="43" t="str">
        <f t="shared" si="3"/>
        <v>(AttributeName="Dexterity",Attribute=/Script/DSAbilitySystem.DungeonSiegeExperienceAttributeSet:Dexterity,AttributeOwner=Class'"/Script/DSAbilitySystem.DungeonSiegeExperienceAttributeSet"')</v>
      </c>
      <c r="H68" s="43">
        <v>9</v>
      </c>
      <c r="I68" s="43" t="str">
        <f t="shared" si="4"/>
        <v>GE_Suffix_of_the_Speedy</v>
      </c>
      <c r="J68" s="43" t="str">
        <f t="shared" si="5"/>
        <v>/Game/DungeonSiege/Blueprints/GameplayAbilities/Affixes/GE_Suffix_of_the_Speedy</v>
      </c>
    </row>
    <row r="69" spans="1:10" s="23" customFormat="1" ht="33.75" x14ac:dyDescent="0.25">
      <c r="A69" s="43">
        <v>67</v>
      </c>
      <c r="B69" s="43">
        <f>VLOOKUP(C69,CHOOSE({2,1},Suffix!B$2:B$412,Suffix!C$2:C$412),2,FALSE)</f>
        <v>101711936</v>
      </c>
      <c r="C69" s="43" t="s">
        <v>1326</v>
      </c>
      <c r="D69" s="43" t="s">
        <v>1327</v>
      </c>
      <c r="E69" s="43" t="str">
        <f>VLOOKUP(F69,CHOOSE({2,1},Attributes!B$3:B$130,Attributes!C$3:C$129),2,FALSE)</f>
        <v>DungeonSiegeMagicAttributeSet</v>
      </c>
      <c r="F69" s="43" t="str">
        <f>Attributes!C38</f>
        <v>NatureMagicMinDamageMod</v>
      </c>
      <c r="G69" s="43" t="str">
        <f t="shared" si="3"/>
        <v>(AttributeName="NatureMagicMinDamageMod",Attribute=/Script/DSAbilitySystem.DungeonSiegeMagicAttributeSet:NatureMagicMinDamageMod,AttributeOwner=Class'"/Script/DSAbilitySystem.DungeonSiegeMagicAttributeSet"')</v>
      </c>
      <c r="H69" s="43">
        <v>17</v>
      </c>
      <c r="I69" s="43" t="str">
        <f t="shared" si="4"/>
        <v>GE_Suffix_of_Exhilaration</v>
      </c>
      <c r="J69" s="43" t="str">
        <f t="shared" si="5"/>
        <v>/Game/DungeonSiege/Blueprints/GameplayAbilities/Affixes/GE_Suffix_of_Exhilaration</v>
      </c>
    </row>
    <row r="70" spans="1:10" ht="33.75" x14ac:dyDescent="0.25">
      <c r="A70" s="43">
        <v>68</v>
      </c>
      <c r="B70" s="43">
        <f>VLOOKUP(C70,CHOOSE({2,1},Suffix!B$2:B$412,Suffix!C$2:C$412),2,FALSE)</f>
        <v>101711936</v>
      </c>
      <c r="C70" s="43" t="s">
        <v>1326</v>
      </c>
      <c r="D70" s="43" t="s">
        <v>1327</v>
      </c>
      <c r="E70" s="43" t="str">
        <f>VLOOKUP(F70,CHOOSE({2,1},Attributes!B$3:B$130,Attributes!C$3:C$129),2,FALSE)</f>
        <v>DungeonSiegeMagicAttributeSet</v>
      </c>
      <c r="F70" s="43" t="str">
        <f>Attributes!C39</f>
        <v>NatureMagicMaxDamageMod</v>
      </c>
      <c r="G70" s="43" t="str">
        <f t="shared" si="3"/>
        <v>(AttributeName="NatureMagicMaxDamageMod",Attribute=/Script/DSAbilitySystem.DungeonSiegeMagicAttributeSet:NatureMagicMaxDamageMod,AttributeOwner=Class'"/Script/DSAbilitySystem.DungeonSiegeMagicAttributeSet"')</v>
      </c>
      <c r="H70" s="43">
        <v>50</v>
      </c>
      <c r="I70" s="43" t="str">
        <f t="shared" si="4"/>
        <v>GE_Suffix_of_Exhilaration</v>
      </c>
      <c r="J70" s="43" t="str">
        <f t="shared" si="5"/>
        <v>/Game/DungeonSiege/Blueprints/GameplayAbilities/Affixes/GE_Suffix_of_Exhilaration</v>
      </c>
    </row>
    <row r="71" spans="1:10" s="23" customFormat="1" ht="33.75" x14ac:dyDescent="0.25">
      <c r="A71" s="43">
        <v>69</v>
      </c>
      <c r="B71" s="43">
        <f>VLOOKUP(C71,CHOOSE({2,1},Suffix!B$2:B$412,Suffix!C$2:C$412),2,FALSE)</f>
        <v>101711937</v>
      </c>
      <c r="C71" s="43" t="s">
        <v>1329</v>
      </c>
      <c r="D71" s="43" t="s">
        <v>1330</v>
      </c>
      <c r="E71" s="43" t="str">
        <f>VLOOKUP(F71,CHOOSE({2,1},Attributes!B$3:B$130,Attributes!C$3:C$129),2,FALSE)</f>
        <v>DungeonSiegeMagicAttributeSet</v>
      </c>
      <c r="F71" s="43" t="str">
        <f>Attributes!C41</f>
        <v>CombatMagicMinDamageMod</v>
      </c>
      <c r="G71" s="43" t="str">
        <f t="shared" si="3"/>
        <v>(AttributeName="CombatMagicMinDamageMod",Attribute=/Script/DSAbilitySystem.DungeonSiegeMagicAttributeSet:CombatMagicMinDamageMod,AttributeOwner=Class'"/Script/DSAbilitySystem.DungeonSiegeMagicAttributeSet"')</v>
      </c>
      <c r="H71" s="43">
        <v>17</v>
      </c>
      <c r="I71" s="43" t="str">
        <f t="shared" si="4"/>
        <v>GE_Suffix_of_Adversaries</v>
      </c>
      <c r="J71" s="43" t="str">
        <f t="shared" si="5"/>
        <v>/Game/DungeonSiege/Blueprints/GameplayAbilities/Affixes/GE_Suffix_of_Adversaries</v>
      </c>
    </row>
    <row r="72" spans="1:10" ht="33.75" x14ac:dyDescent="0.25">
      <c r="A72" s="43">
        <v>70</v>
      </c>
      <c r="B72" s="43">
        <f>VLOOKUP(C72,CHOOSE({2,1},Suffix!B$2:B$412,Suffix!C$2:C$412),2,FALSE)</f>
        <v>101711937</v>
      </c>
      <c r="C72" s="43" t="s">
        <v>1329</v>
      </c>
      <c r="D72" s="43" t="s">
        <v>1330</v>
      </c>
      <c r="E72" s="43" t="str">
        <f>VLOOKUP(F72,CHOOSE({2,1},Attributes!B$3:B$130,Attributes!C$3:C$129),2,FALSE)</f>
        <v>DungeonSiegeMagicAttributeSet</v>
      </c>
      <c r="F72" s="43" t="str">
        <f>Attributes!C42</f>
        <v>CombatMagicMaxDamageMod</v>
      </c>
      <c r="G72" s="43" t="str">
        <f t="shared" si="3"/>
        <v>(AttributeName="CombatMagicMaxDamageMod",Attribute=/Script/DSAbilitySystem.DungeonSiegeMagicAttributeSet:CombatMagicMaxDamageMod,AttributeOwner=Class'"/Script/DSAbilitySystem.DungeonSiegeMagicAttributeSet"')</v>
      </c>
      <c r="H72" s="43">
        <v>50</v>
      </c>
      <c r="I72" s="43" t="str">
        <f t="shared" si="4"/>
        <v>GE_Suffix_of_Adversaries</v>
      </c>
      <c r="J72" s="43" t="str">
        <f t="shared" si="5"/>
        <v>/Game/DungeonSiege/Blueprints/GameplayAbilities/Affixes/GE_Suffix_of_Adversaries</v>
      </c>
    </row>
    <row r="73" spans="1:10" ht="33.75" x14ac:dyDescent="0.25">
      <c r="A73" s="43">
        <v>71</v>
      </c>
      <c r="B73" s="43">
        <f>VLOOKUP(C73,CHOOSE({2,1},Suffix!B$2:B$412,Suffix!C$2:C$412),2,FALSE)</f>
        <v>101711938</v>
      </c>
      <c r="C73" s="43" t="s">
        <v>1332</v>
      </c>
      <c r="D73" s="43" t="s">
        <v>1333</v>
      </c>
      <c r="E73" s="43" t="str">
        <f>VLOOKUP(F73,CHOOSE({2,1},Attributes!B$3:B$130,Attributes!C$3:C$129),2,FALSE)</f>
        <v>DungeonSiegePerHitAttributeSet</v>
      </c>
      <c r="F73" s="43" t="str">
        <f>Attributes!C11</f>
        <v>HealthPerHit</v>
      </c>
      <c r="G73" s="43" t="str">
        <f t="shared" si="3"/>
        <v>(AttributeName="HealthPerHit",Attribute=/Script/DSAbilitySystem.DungeonSiegePerHitAttributeSet:HealthPerHit,AttributeOwner=Class'"/Script/DSAbilitySystem.DungeonSiegePerHitAttributeSet"')</v>
      </c>
      <c r="H73" s="43">
        <v>11</v>
      </c>
      <c r="I73" s="43" t="str">
        <f t="shared" si="4"/>
        <v>GE_Suffix_of_Bounty</v>
      </c>
      <c r="J73" s="43" t="str">
        <f t="shared" si="5"/>
        <v>/Game/DungeonSiege/Blueprints/GameplayAbilities/Affixes/GE_Suffix_of_Bounty</v>
      </c>
    </row>
    <row r="74" spans="1:10" ht="33.75" x14ac:dyDescent="0.25">
      <c r="A74" s="43">
        <v>72</v>
      </c>
      <c r="B74" s="43">
        <f>VLOOKUP(C74,CHOOSE({2,1},Suffix!B$2:B$412,Suffix!C$2:C$412),2,FALSE)</f>
        <v>101711939</v>
      </c>
      <c r="C74" s="43" t="s">
        <v>1335</v>
      </c>
      <c r="D74" s="43" t="s">
        <v>1336</v>
      </c>
      <c r="E74" s="43" t="str">
        <f>VLOOKUP(F74,CHOOSE({2,1},Attributes!B$3:B$130,Attributes!C$3:C$129),2,FALSE)</f>
        <v>DungeonSiegeDamageAttributeSet</v>
      </c>
      <c r="F74" s="43" t="str">
        <f>Attributes!C21</f>
        <v>PercentDamageReflectedToEnemy</v>
      </c>
      <c r="G74" s="43" t="str">
        <f t="shared" si="3"/>
        <v>(AttributeName="PercentDamageReflectedToEnemy",Attribute=/Script/DSAbilitySystem.DungeonSiegeDamageAttributeSet:PercentDamageReflectedToEnemy,AttributeOwner=Class'"/Script/DSAbilitySystem.DungeonSiegeDamageAttributeSet"')</v>
      </c>
      <c r="H74" s="43">
        <v>18</v>
      </c>
      <c r="I74" s="43" t="str">
        <f t="shared" si="4"/>
        <v>GE_Suffix_of_Vindication</v>
      </c>
      <c r="J74" s="43" t="str">
        <f t="shared" si="5"/>
        <v>/Game/DungeonSiege/Blueprints/GameplayAbilities/Affixes/GE_Suffix_of_Vindication</v>
      </c>
    </row>
    <row r="75" spans="1:10" ht="33.75" x14ac:dyDescent="0.25">
      <c r="A75" s="43">
        <v>73</v>
      </c>
      <c r="B75" s="43">
        <f>VLOOKUP(C75,CHOOSE({2,1},Suffix!B$2:B$412,Suffix!C$2:C$412),2,FALSE)</f>
        <v>101711940</v>
      </c>
      <c r="C75" s="43" t="s">
        <v>1338</v>
      </c>
      <c r="D75" s="43" t="s">
        <v>1339</v>
      </c>
      <c r="E75" s="43" t="str">
        <f>VLOOKUP(F75,CHOOSE({2,1},Attributes!B$3:B$130,Attributes!C$3:C$129),2,FALSE)</f>
        <v>DungeonSiegePerHitAttributeSet</v>
      </c>
      <c r="F75" s="43" t="str">
        <f>Attributes!C12</f>
        <v>ManaPerHit</v>
      </c>
      <c r="G75" s="43" t="str">
        <f t="shared" si="3"/>
        <v>(AttributeName="ManaPerHit",Attribute=/Script/DSAbilitySystem.DungeonSiegePerHitAttributeSet:ManaPerHit,AttributeOwner=Class'"/Script/DSAbilitySystem.DungeonSiegePerHitAttributeSet"')</v>
      </c>
      <c r="H75" s="43">
        <v>15</v>
      </c>
      <c r="I75" s="43" t="str">
        <f t="shared" si="4"/>
        <v>GE_Suffix_of_Sunrise</v>
      </c>
      <c r="J75" s="43" t="str">
        <f t="shared" si="5"/>
        <v>/Game/DungeonSiege/Blueprints/GameplayAbilities/Affixes/GE_Suffix_of_Sunrise</v>
      </c>
    </row>
    <row r="76" spans="1:10" ht="33.75" x14ac:dyDescent="0.25">
      <c r="A76" s="43">
        <v>74</v>
      </c>
      <c r="B76" s="43">
        <f>VLOOKUP(C76,CHOOSE({2,1},Suffix!B$2:B$412,Suffix!C$2:C$412),2,FALSE)</f>
        <v>101711941</v>
      </c>
      <c r="C76" s="43" t="s">
        <v>1341</v>
      </c>
      <c r="D76" s="43" t="s">
        <v>1342</v>
      </c>
      <c r="E76" s="43" t="str">
        <f>VLOOKUP(F76,CHOOSE({2,1},Attributes!B$3:B$130,Attributes!C$3:C$129),2,FALSE)</f>
        <v>DungeonSiegeDamageAttributeSet</v>
      </c>
      <c r="F76" s="43" t="str">
        <f>Attributes!C20</f>
        <v>MaxDamageMod</v>
      </c>
      <c r="G76" s="43" t="str">
        <f t="shared" si="3"/>
        <v>(AttributeName="MaxDamageMod",Attribute=/Script/DSAbilitySystem.DungeonSiegeDamageAttributeSet:MaxDamageMod,AttributeOwner=Class'"/Script/DSAbilitySystem.DungeonSiegeDamageAttributeSet"')</v>
      </c>
      <c r="H76" s="43">
        <v>54</v>
      </c>
      <c r="I76" s="43" t="str">
        <f t="shared" si="4"/>
        <v>GE_Suffix_of_the_Falcon</v>
      </c>
      <c r="J76" s="43" t="str">
        <f t="shared" si="5"/>
        <v>/Game/DungeonSiege/Blueprints/GameplayAbilities/Affixes/GE_Suffix_of_the_Falcon</v>
      </c>
    </row>
    <row r="77" spans="1:10" s="23" customFormat="1" ht="33.75" x14ac:dyDescent="0.25">
      <c r="A77" s="43">
        <v>75</v>
      </c>
      <c r="B77" s="43">
        <f>VLOOKUP(C77,CHOOSE({2,1},Suffix!B$2:B$412,Suffix!C$2:C$412),2,FALSE)</f>
        <v>101711942</v>
      </c>
      <c r="C77" s="43" t="s">
        <v>1344</v>
      </c>
      <c r="D77" s="43" t="s">
        <v>1345</v>
      </c>
      <c r="E77" s="43" t="str">
        <f>VLOOKUP(F77,CHOOSE({2,1},Attributes!B$3:B$130,Attributes!C$3:C$129),2,FALSE)</f>
        <v>DungeonSiegeElementalAttributeSet</v>
      </c>
      <c r="F77" s="43" t="str">
        <f>Attributes!C103</f>
        <v>FireDamageMinDamageMod</v>
      </c>
      <c r="G77" s="43" t="str">
        <f t="shared" si="3"/>
        <v>(AttributeName="FireDamageMinDamageMod",Attribute=/Script/DSAbilitySystem.DungeonSiegeElementalAttributeSet:FireDamageMinDamageMod,AttributeOwner=Class'"/Script/DSAbilitySystem.DungeonSiegeElementalAttributeSet"')</v>
      </c>
      <c r="H77" s="43">
        <v>50</v>
      </c>
      <c r="I77" s="43" t="str">
        <f t="shared" si="4"/>
        <v>GE_Suffix_of_Flame</v>
      </c>
      <c r="J77" s="43" t="str">
        <f t="shared" si="5"/>
        <v>/Game/DungeonSiege/Blueprints/GameplayAbilities/Affixes/GE_Suffix_of_Flame</v>
      </c>
    </row>
    <row r="78" spans="1:10" ht="33.75" x14ac:dyDescent="0.25">
      <c r="A78" s="43">
        <v>76</v>
      </c>
      <c r="B78" s="43">
        <f>VLOOKUP(C78,CHOOSE({2,1},Suffix!B$2:B$412,Suffix!C$2:C$412),2,FALSE)</f>
        <v>101711942</v>
      </c>
      <c r="C78" s="43" t="s">
        <v>1344</v>
      </c>
      <c r="D78" s="43" t="s">
        <v>1345</v>
      </c>
      <c r="E78" s="43" t="str">
        <f>VLOOKUP(F78,CHOOSE({2,1},Attributes!B$3:B$130,Attributes!C$3:C$129),2,FALSE)</f>
        <v>DungeonSiegeElementalAttributeSet</v>
      </c>
      <c r="F78" s="43" t="str">
        <f>Attributes!C104</f>
        <v>FireDamageMaxDamageMod</v>
      </c>
      <c r="G78" s="43" t="str">
        <f t="shared" si="3"/>
        <v>(AttributeName="FireDamageMaxDamageMod",Attribute=/Script/DSAbilitySystem.DungeonSiegeElementalAttributeSet:FireDamageMaxDamageMod,AttributeOwner=Class'"/Script/DSAbilitySystem.DungeonSiegeElementalAttributeSet"')</v>
      </c>
      <c r="H78" s="43">
        <v>105</v>
      </c>
      <c r="I78" s="43" t="str">
        <f t="shared" si="4"/>
        <v>GE_Suffix_of_Flame</v>
      </c>
      <c r="J78" s="43" t="str">
        <f t="shared" si="5"/>
        <v>/Game/DungeonSiege/Blueprints/GameplayAbilities/Affixes/GE_Suffix_of_Flame</v>
      </c>
    </row>
    <row r="79" spans="1:10" s="23" customFormat="1" ht="33.75" x14ac:dyDescent="0.25">
      <c r="A79" s="43">
        <v>77</v>
      </c>
      <c r="B79" s="43">
        <f>VLOOKUP(C79,CHOOSE({2,1},Suffix!B$2:B$412,Suffix!C$2:C$412),2,FALSE)</f>
        <v>101711943</v>
      </c>
      <c r="C79" s="43" t="s">
        <v>3349</v>
      </c>
      <c r="D79" s="43" t="s">
        <v>1348</v>
      </c>
      <c r="E79" s="43" t="str">
        <f>VLOOKUP(F79,CHOOSE({2,1},Attributes!B$3:B$130,Attributes!C$3:C$129),2,FALSE)</f>
        <v>DungeonSiegeElementalAttributeSet</v>
      </c>
      <c r="F79" s="43" t="str">
        <f>Attributes!C103</f>
        <v>FireDamageMinDamageMod</v>
      </c>
      <c r="G79" s="43" t="str">
        <f t="shared" si="3"/>
        <v>(AttributeName="FireDamageMinDamageMod",Attribute=/Script/DSAbilitySystem.DungeonSiegeElementalAttributeSet:FireDamageMinDamageMod,AttributeOwner=Class'"/Script/DSAbilitySystem.DungeonSiegeElementalAttributeSet"')</v>
      </c>
      <c r="H79" s="43">
        <v>35</v>
      </c>
      <c r="I79" s="43" t="str">
        <f t="shared" si="4"/>
        <v>GE_Suffix_of_Sparks</v>
      </c>
      <c r="J79" s="43" t="str">
        <f t="shared" si="5"/>
        <v>/Game/DungeonSiege/Blueprints/GameplayAbilities/Affixes/GE_Suffix_of_Sparks</v>
      </c>
    </row>
    <row r="80" spans="1:10" ht="33.75" x14ac:dyDescent="0.25">
      <c r="A80" s="43">
        <v>78</v>
      </c>
      <c r="B80" s="43">
        <f>VLOOKUP(C80,CHOOSE({2,1},Suffix!B$2:B$412,Suffix!C$2:C$412),2,FALSE)</f>
        <v>101712532</v>
      </c>
      <c r="C80" s="43" t="s">
        <v>1347</v>
      </c>
      <c r="D80" s="43" t="s">
        <v>1348</v>
      </c>
      <c r="E80" s="43" t="str">
        <f>VLOOKUP(F80,CHOOSE({2,1},Attributes!B$3:B$130,Attributes!C$3:C$129),2,FALSE)</f>
        <v>DungeonSiegeElementalAttributeSet</v>
      </c>
      <c r="F80" s="43" t="str">
        <f>Attributes!C104</f>
        <v>FireDamageMaxDamageMod</v>
      </c>
      <c r="G80" s="43" t="str">
        <f t="shared" si="3"/>
        <v>(AttributeName="FireDamageMaxDamageMod",Attribute=/Script/DSAbilitySystem.DungeonSiegeElementalAttributeSet:FireDamageMaxDamageMod,AttributeOwner=Class'"/Script/DSAbilitySystem.DungeonSiegeElementalAttributeSet"')</v>
      </c>
      <c r="H80" s="43">
        <v>74</v>
      </c>
      <c r="I80" s="43" t="str">
        <f t="shared" si="4"/>
        <v>GE_Suffix_of_Cinders</v>
      </c>
      <c r="J80" s="43" t="str">
        <f t="shared" si="5"/>
        <v>/Game/DungeonSiege/Blueprints/GameplayAbilities/Affixes/GE_Suffix_of_Cinders</v>
      </c>
    </row>
    <row r="81" spans="1:10" s="23" customFormat="1" ht="33.75" x14ac:dyDescent="0.25">
      <c r="A81" s="43">
        <v>79</v>
      </c>
      <c r="B81" s="43">
        <f>VLOOKUP(C81,CHOOSE({2,1},Suffix!B$2:B$412,Suffix!C$2:C$412),2,FALSE)</f>
        <v>101711944</v>
      </c>
      <c r="C81" s="43" t="s">
        <v>1350</v>
      </c>
      <c r="D81" s="43" t="s">
        <v>1351</v>
      </c>
      <c r="E81" s="43" t="str">
        <f>VLOOKUP(F81,CHOOSE({2,1},Attributes!B$3:B$130,Attributes!C$3:C$129),2,FALSE)</f>
        <v>DungeonSiegeDamageAttributeSet</v>
      </c>
      <c r="F81" s="43" t="str">
        <f>Attributes!C25</f>
        <v>MinPiercingDamageMod</v>
      </c>
      <c r="G81" s="43" t="str">
        <f t="shared" si="3"/>
        <v>(AttributeName="MinPiercingDamageMod",Attribute=/Script/DSAbilitySystem.DungeonSiegeDamageAttributeSet:MinPiercingDamageMod,AttributeOwner=Class'"/Script/DSAbilitySystem.DungeonSiegeDamageAttributeSet"')</v>
      </c>
      <c r="H81" s="43">
        <v>26</v>
      </c>
      <c r="I81" s="43" t="str">
        <f t="shared" si="4"/>
        <v>GE_Suffix_of_Talons</v>
      </c>
      <c r="J81" s="43" t="str">
        <f t="shared" si="5"/>
        <v>/Game/DungeonSiege/Blueprints/GameplayAbilities/Affixes/GE_Suffix_of_Talons</v>
      </c>
    </row>
    <row r="82" spans="1:10" ht="33.75" x14ac:dyDescent="0.25">
      <c r="A82" s="43">
        <v>80</v>
      </c>
      <c r="B82" s="43">
        <f>VLOOKUP(C82,CHOOSE({2,1},Suffix!B$2:B$412,Suffix!C$2:C$412),2,FALSE)</f>
        <v>101711944</v>
      </c>
      <c r="C82" s="43" t="s">
        <v>1350</v>
      </c>
      <c r="D82" s="43" t="s">
        <v>1351</v>
      </c>
      <c r="E82" s="43" t="str">
        <f>VLOOKUP(F82,CHOOSE({2,1},Attributes!B$3:B$130,Attributes!C$3:C$129),2,FALSE)</f>
        <v>DungeonSiegeDamageAttributeSet</v>
      </c>
      <c r="F82" s="43" t="str">
        <f>Attributes!C26</f>
        <v>MaxPiercingDamageMod</v>
      </c>
      <c r="G82" s="43" t="str">
        <f t="shared" si="3"/>
        <v>(AttributeName="MaxPiercingDamageMod",Attribute=/Script/DSAbilitySystem.DungeonSiegeDamageAttributeSet:MaxPiercingDamageMod,AttributeOwner=Class'"/Script/DSAbilitySystem.DungeonSiegeDamageAttributeSet"')</v>
      </c>
      <c r="H82" s="43">
        <v>62</v>
      </c>
      <c r="I82" s="43" t="str">
        <f t="shared" si="4"/>
        <v>GE_Suffix_of_Talons</v>
      </c>
      <c r="J82" s="43" t="str">
        <f t="shared" si="5"/>
        <v>/Game/DungeonSiege/Blueprints/GameplayAbilities/Affixes/GE_Suffix_of_Talons</v>
      </c>
    </row>
    <row r="83" spans="1:10" ht="33.75" x14ac:dyDescent="0.25">
      <c r="A83" s="43">
        <v>81</v>
      </c>
      <c r="B83" s="43">
        <f>VLOOKUP(C83,CHOOSE({2,1},Suffix!B$2:B$412,Suffix!C$2:C$412),2,FALSE)</f>
        <v>101711945</v>
      </c>
      <c r="C83" s="43" t="s">
        <v>1353</v>
      </c>
      <c r="D83" s="43" t="s">
        <v>1354</v>
      </c>
      <c r="E83" s="43" t="str">
        <f>VLOOKUP(F83,CHOOSE({2,1},Attributes!B$3:B$130,Attributes!C$3:C$129),2,FALSE)</f>
        <v>DungeonSiegeMagicAttributeSet</v>
      </c>
      <c r="F83" s="43" t="str">
        <f>Attributes!C38</f>
        <v>NatureMagicMinDamageMod</v>
      </c>
      <c r="G83" s="43" t="str">
        <f t="shared" si="3"/>
        <v>(AttributeName="NatureMagicMinDamageMod",Attribute=/Script/DSAbilitySystem.DungeonSiegeMagicAttributeSet:NatureMagicMinDamageMod,AttributeOwner=Class'"/Script/DSAbilitySystem.DungeonSiegeMagicAttributeSet"')</v>
      </c>
      <c r="H83" s="43">
        <v>25</v>
      </c>
      <c r="I83" s="43" t="str">
        <f t="shared" si="4"/>
        <v>GE_Suffix_of_Magnitude</v>
      </c>
      <c r="J83" s="43" t="str">
        <f t="shared" si="5"/>
        <v>/Game/DungeonSiege/Blueprints/GameplayAbilities/Affixes/GE_Suffix_of_Magnitude</v>
      </c>
    </row>
    <row r="84" spans="1:10" ht="33.75" x14ac:dyDescent="0.25">
      <c r="A84" s="43">
        <v>82</v>
      </c>
      <c r="B84" s="43">
        <f>VLOOKUP(C84,CHOOSE({2,1},Suffix!B$2:B$412,Suffix!C$2:C$412),2,FALSE)</f>
        <v>101711952</v>
      </c>
      <c r="C84" s="43" t="s">
        <v>1356</v>
      </c>
      <c r="D84" s="43" t="s">
        <v>1357</v>
      </c>
      <c r="E84" s="43" t="str">
        <f>VLOOKUP(F84,CHOOSE({2,1},Attributes!B$3:B$130,Attributes!C$3:C$129),2,FALSE)</f>
        <v>DungeonSiegeMagicAttributeSet</v>
      </c>
      <c r="F84" s="43" t="str">
        <f>Attributes!C39</f>
        <v>NatureMagicMaxDamageMod</v>
      </c>
      <c r="G84" s="43" t="str">
        <f t="shared" si="3"/>
        <v>(AttributeName="NatureMagicMaxDamageMod",Attribute=/Script/DSAbilitySystem.DungeonSiegeMagicAttributeSet:NatureMagicMaxDamageMod,AttributeOwner=Class'"/Script/DSAbilitySystem.DungeonSiegeMagicAttributeSet"')</v>
      </c>
      <c r="H84" s="43">
        <v>25</v>
      </c>
      <c r="I84" s="43" t="str">
        <f t="shared" si="4"/>
        <v>GE_Suffix_of_Hostility</v>
      </c>
      <c r="J84" s="43" t="str">
        <f t="shared" si="5"/>
        <v>/Game/DungeonSiege/Blueprints/GameplayAbilities/Affixes/GE_Suffix_of_Hostility</v>
      </c>
    </row>
    <row r="85" spans="1:10" s="23" customFormat="1" ht="33.75" x14ac:dyDescent="0.25">
      <c r="A85" s="43">
        <v>83</v>
      </c>
      <c r="B85" s="43">
        <f>VLOOKUP(C85,CHOOSE({2,1},Suffix!B$2:B$412,Suffix!C$2:C$412),2,FALSE)</f>
        <v>101711953</v>
      </c>
      <c r="C85" s="43" t="s">
        <v>1359</v>
      </c>
      <c r="D85" s="43" t="s">
        <v>3257</v>
      </c>
      <c r="E85" s="43" t="str">
        <f>VLOOKUP(F85,CHOOSE({2,1},Attributes!B$3:B$130,Attributes!C$3:C$129),2,FALSE)</f>
        <v>DungeonSiegeElementalAttributeSet</v>
      </c>
      <c r="F85" s="43" t="str">
        <f>Attributes!C100</f>
        <v>ChanceToFreeze</v>
      </c>
      <c r="G85" s="43" t="str">
        <f t="shared" si="3"/>
        <v>(AttributeName="ChanceToFreeze",Attribute=/Script/DSAbilitySystem.DungeonSiegeElementalAttributeSet:ChanceToFreeze,AttributeOwner=Class'"/Script/DSAbilitySystem.DungeonSiegeElementalAttributeSet"')</v>
      </c>
      <c r="H85" s="43">
        <v>5</v>
      </c>
      <c r="I85" s="43" t="str">
        <f t="shared" si="4"/>
        <v>GE_Suffix_of_Freezing</v>
      </c>
      <c r="J85" s="43" t="str">
        <f t="shared" si="5"/>
        <v>/Game/DungeonSiege/Blueprints/GameplayAbilities/Affixes/GE_Suffix_of_Freezing</v>
      </c>
    </row>
    <row r="86" spans="1:10" s="23" customFormat="1" ht="33.75" x14ac:dyDescent="0.25">
      <c r="A86" s="43">
        <v>84</v>
      </c>
      <c r="B86" s="43">
        <f>VLOOKUP(C86,CHOOSE({2,1},Suffix!B$2:B$412,Suffix!C$2:C$412),2,FALSE)</f>
        <v>101711953</v>
      </c>
      <c r="C86" s="43" t="s">
        <v>1359</v>
      </c>
      <c r="D86" s="43" t="s">
        <v>3263</v>
      </c>
      <c r="E86" s="43" t="str">
        <f>VLOOKUP(F86,CHOOSE({2,1},Attributes!B$3:B$130,Attributes!C$3:C$129),2,FALSE)</f>
        <v>DungeonSiegeElementalAttributeSet</v>
      </c>
      <c r="F86" s="43" t="str">
        <f>Attributes!C101</f>
        <v>ColdDamageMinDamageMod</v>
      </c>
      <c r="G86" s="43" t="str">
        <f t="shared" si="3"/>
        <v>(AttributeName="ColdDamageMinDamageMod",Attribute=/Script/DSAbilitySystem.DungeonSiegeElementalAttributeSet:ColdDamageMinDamageMod,AttributeOwner=Class'"/Script/DSAbilitySystem.DungeonSiegeElementalAttributeSet"')</v>
      </c>
      <c r="H86" s="43">
        <v>39</v>
      </c>
      <c r="I86" s="43" t="str">
        <f t="shared" si="4"/>
        <v>GE_Suffix_of_Freezing</v>
      </c>
      <c r="J86" s="43" t="str">
        <f t="shared" si="5"/>
        <v>/Game/DungeonSiege/Blueprints/GameplayAbilities/Affixes/GE_Suffix_of_Freezing</v>
      </c>
    </row>
    <row r="87" spans="1:10" ht="33.75" x14ac:dyDescent="0.25">
      <c r="A87" s="43">
        <v>85</v>
      </c>
      <c r="B87" s="43">
        <f>VLOOKUP(C87,CHOOSE({2,1},Suffix!B$2:B$412,Suffix!C$2:C$412),2,FALSE)</f>
        <v>101711953</v>
      </c>
      <c r="C87" s="43" t="s">
        <v>1359</v>
      </c>
      <c r="D87" s="43" t="s">
        <v>3263</v>
      </c>
      <c r="E87" s="43" t="str">
        <f>VLOOKUP(F87,CHOOSE({2,1},Attributes!B$3:B$130,Attributes!C$3:C$129),2,FALSE)</f>
        <v>DungeonSiegeElementalAttributeSet</v>
      </c>
      <c r="F87" s="43" t="str">
        <f>Attributes!C102</f>
        <v>ColdDamageMaxDamageMod</v>
      </c>
      <c r="G87" s="43" t="str">
        <f t="shared" si="3"/>
        <v>(AttributeName="ColdDamageMaxDamageMod",Attribute=/Script/DSAbilitySystem.DungeonSiegeElementalAttributeSet:ColdDamageMaxDamageMod,AttributeOwner=Class'"/Script/DSAbilitySystem.DungeonSiegeElementalAttributeSet"')</v>
      </c>
      <c r="H87" s="43">
        <v>65</v>
      </c>
      <c r="I87" s="43" t="str">
        <f t="shared" si="4"/>
        <v>GE_Suffix_of_Freezing</v>
      </c>
      <c r="J87" s="43" t="str">
        <f t="shared" si="5"/>
        <v>/Game/DungeonSiege/Blueprints/GameplayAbilities/Affixes/GE_Suffix_of_Freezing</v>
      </c>
    </row>
    <row r="88" spans="1:10" s="23" customFormat="1" ht="33.75" x14ac:dyDescent="0.25">
      <c r="A88" s="43">
        <v>86</v>
      </c>
      <c r="B88" s="43">
        <f>VLOOKUP(C88,CHOOSE({2,1},Suffix!B$2:B$412,Suffix!C$2:C$412),2,FALSE)</f>
        <v>101711954</v>
      </c>
      <c r="C88" s="43" t="s">
        <v>1361</v>
      </c>
      <c r="D88" s="43" t="s">
        <v>1362</v>
      </c>
      <c r="E88" s="43" t="str">
        <f>VLOOKUP(F88,CHOOSE({2,1},Attributes!B$3:B$130,Attributes!C$3:C$129),2,FALSE)</f>
        <v>DungeonSiegeElementalAttributeSet</v>
      </c>
      <c r="F88" s="43" t="str">
        <f>Attributes!C101</f>
        <v>ColdDamageMinDamageMod</v>
      </c>
      <c r="G88" s="43" t="str">
        <f t="shared" si="3"/>
        <v>(AttributeName="ColdDamageMinDamageMod",Attribute=/Script/DSAbilitySystem.DungeonSiegeElementalAttributeSet:ColdDamageMinDamageMod,AttributeOwner=Class'"/Script/DSAbilitySystem.DungeonSiegeElementalAttributeSet"')</v>
      </c>
      <c r="H88" s="43">
        <v>31</v>
      </c>
      <c r="I88" s="43" t="str">
        <f t="shared" si="4"/>
        <v>GE_Suffix_of_Blizzards</v>
      </c>
      <c r="J88" s="43" t="str">
        <f t="shared" si="5"/>
        <v>/Game/DungeonSiege/Blueprints/GameplayAbilities/Affixes/GE_Suffix_of_Blizzards</v>
      </c>
    </row>
    <row r="89" spans="1:10" ht="33.75" x14ac:dyDescent="0.25">
      <c r="A89" s="43">
        <v>87</v>
      </c>
      <c r="B89" s="43">
        <f>VLOOKUP(C89,CHOOSE({2,1},Suffix!B$2:B$412,Suffix!C$2:C$412),2,FALSE)</f>
        <v>101711954</v>
      </c>
      <c r="C89" s="43" t="s">
        <v>1361</v>
      </c>
      <c r="D89" s="43" t="s">
        <v>1362</v>
      </c>
      <c r="E89" s="43" t="str">
        <f>VLOOKUP(F89,CHOOSE({2,1},Attributes!B$3:B$130,Attributes!C$3:C$129),2,FALSE)</f>
        <v>DungeonSiegeElementalAttributeSet</v>
      </c>
      <c r="F89" s="43" t="str">
        <f>Attributes!C102</f>
        <v>ColdDamageMaxDamageMod</v>
      </c>
      <c r="G89" s="43" t="str">
        <f t="shared" si="3"/>
        <v>(AttributeName="ColdDamageMaxDamageMod",Attribute=/Script/DSAbilitySystem.DungeonSiegeElementalAttributeSet:ColdDamageMaxDamageMod,AttributeOwner=Class'"/Script/DSAbilitySystem.DungeonSiegeElementalAttributeSet"')</v>
      </c>
      <c r="H89" s="43">
        <v>51</v>
      </c>
      <c r="I89" s="43" t="str">
        <f t="shared" si="4"/>
        <v>GE_Suffix_of_Blizzards</v>
      </c>
      <c r="J89" s="43" t="str">
        <f t="shared" si="5"/>
        <v>/Game/DungeonSiege/Blueprints/GameplayAbilities/Affixes/GE_Suffix_of_Blizzards</v>
      </c>
    </row>
    <row r="90" spans="1:10" ht="33.75" x14ac:dyDescent="0.25">
      <c r="A90" s="43">
        <v>88</v>
      </c>
      <c r="B90" s="43">
        <f>VLOOKUP(C90,CHOOSE({2,1},Suffix!B$2:B$412,Suffix!C$2:C$412),2,FALSE)</f>
        <v>101711955</v>
      </c>
      <c r="C90" s="43" t="s">
        <v>1364</v>
      </c>
      <c r="D90" s="43" t="s">
        <v>1365</v>
      </c>
      <c r="E90" s="43" t="str">
        <f>VLOOKUP(F90,CHOOSE({2,1},Attributes!B$3:B$130,Attributes!C$3:C$129),2,FALSE)</f>
        <v>DungeonSiegeExperienceAttributeSet</v>
      </c>
      <c r="F90" s="43" t="str">
        <f>Attributes!C3</f>
        <v>Strength</v>
      </c>
      <c r="G90" s="43" t="str">
        <f t="shared" si="3"/>
        <v>(AttributeName="Strength",Attribute=/Script/DSAbilitySystem.DungeonSiegeExperienceAttributeSet:Strength,AttributeOwner=Class'"/Script/DSAbilitySystem.DungeonSiegeExperienceAttributeSet"')</v>
      </c>
      <c r="H90" s="43">
        <v>7</v>
      </c>
      <c r="I90" s="43" t="str">
        <f t="shared" si="4"/>
        <v>GE_Suffix_of_Prominence</v>
      </c>
      <c r="J90" s="43" t="str">
        <f t="shared" si="5"/>
        <v>/Game/DungeonSiege/Blueprints/GameplayAbilities/Affixes/GE_Suffix_of_Prominence</v>
      </c>
    </row>
    <row r="91" spans="1:10" ht="33.75" x14ac:dyDescent="0.25">
      <c r="A91" s="43">
        <v>89</v>
      </c>
      <c r="B91" s="43">
        <f>VLOOKUP(C91,CHOOSE({2,1},Suffix!B$2:B$412,Suffix!C$2:C$412),2,FALSE)</f>
        <v>101711956</v>
      </c>
      <c r="C91" s="43" t="s">
        <v>1367</v>
      </c>
      <c r="D91" s="43" t="s">
        <v>1368</v>
      </c>
      <c r="E91" s="43" t="str">
        <f>VLOOKUP(F91,CHOOSE({2,1},Attributes!B$3:B$130,Attributes!C$3:C$129),2,FALSE)</f>
        <v>DungeonSiegeExperienceAttributeSet</v>
      </c>
      <c r="F91" s="43" t="str">
        <f>Attributes!C5</f>
        <v>Intelligence</v>
      </c>
      <c r="G91" s="43" t="str">
        <f t="shared" si="3"/>
        <v>(AttributeName="Intelligence",Attribute=/Script/DSAbilitySystem.DungeonSiegeExperienceAttributeSet:Intelligence,AttributeOwner=Class'"/Script/DSAbilitySystem.DungeonSiegeExperienceAttributeSet"')</v>
      </c>
      <c r="H91" s="43">
        <v>7</v>
      </c>
      <c r="I91" s="43" t="str">
        <f t="shared" si="4"/>
        <v>GE_Suffix_of_Wisdom</v>
      </c>
      <c r="J91" s="43" t="str">
        <f t="shared" si="5"/>
        <v>/Game/DungeonSiege/Blueprints/GameplayAbilities/Affixes/GE_Suffix_of_Wisdom</v>
      </c>
    </row>
    <row r="92" spans="1:10" ht="33.75" x14ac:dyDescent="0.25">
      <c r="A92" s="43">
        <v>90</v>
      </c>
      <c r="B92" s="43">
        <f>VLOOKUP(C92,CHOOSE({2,1},Suffix!B$2:B$412,Suffix!C$2:C$412),2,FALSE)</f>
        <v>101711957</v>
      </c>
      <c r="C92" s="43" t="s">
        <v>1370</v>
      </c>
      <c r="D92" s="43" t="s">
        <v>1371</v>
      </c>
      <c r="E92" s="43" t="str">
        <f>VLOOKUP(F92,CHOOSE({2,1},Attributes!B$3:B$130,Attributes!C$3:C$129),2,FALSE)</f>
        <v>DungeonSiegePerHitAttributeSet</v>
      </c>
      <c r="F92" s="43" t="str">
        <f>Attributes!C14</f>
        <v>ManaStealPerHit</v>
      </c>
      <c r="G92" s="43" t="str">
        <f t="shared" si="3"/>
        <v>(AttributeName="ManaStealPerHit",Attribute=/Script/DSAbilitySystem.DungeonSiegePerHitAttributeSet:ManaStealPerHit,AttributeOwner=Class'"/Script/DSAbilitySystem.DungeonSiegePerHitAttributeSet"')</v>
      </c>
      <c r="H92" s="43">
        <v>14</v>
      </c>
      <c r="I92" s="43" t="str">
        <f t="shared" si="4"/>
        <v>GE_Suffix_of_the_Predator</v>
      </c>
      <c r="J92" s="43" t="str">
        <f t="shared" si="5"/>
        <v>/Game/DungeonSiege/Blueprints/GameplayAbilities/Affixes/GE_Suffix_of_the_Predator</v>
      </c>
    </row>
    <row r="93" spans="1:10" s="23" customFormat="1" ht="33.75" x14ac:dyDescent="0.25">
      <c r="A93" s="43">
        <v>91</v>
      </c>
      <c r="B93" s="43">
        <f>VLOOKUP(C93,CHOOSE({2,1},Suffix!B$2:B$412,Suffix!C$2:C$412),2,FALSE)</f>
        <v>101711958</v>
      </c>
      <c r="C93" s="43" t="s">
        <v>1373</v>
      </c>
      <c r="D93" s="43" t="s">
        <v>1374</v>
      </c>
      <c r="E93" s="43" t="str">
        <f>VLOOKUP(F93,CHOOSE({2,1},Attributes!B$3:B$130,Attributes!C$3:C$129),2,FALSE)</f>
        <v>DungeonSiegeDamageAttributeSet</v>
      </c>
      <c r="F93" s="43" t="str">
        <f>Attributes!C19</f>
        <v>MinDamageMod</v>
      </c>
      <c r="G93" s="43" t="str">
        <f t="shared" si="3"/>
        <v>(AttributeName="MinDamageMod",Attribute=/Script/DSAbilitySystem.DungeonSiegeDamageAttributeSet:MinDamageMod,AttributeOwner=Class'"/Script/DSAbilitySystem.DungeonSiegeDamageAttributeSet"')</v>
      </c>
      <c r="H93" s="43">
        <v>54</v>
      </c>
      <c r="I93" s="43" t="str">
        <f t="shared" si="4"/>
        <v>GE_Suffix_of_Laceration</v>
      </c>
      <c r="J93" s="43" t="str">
        <f t="shared" si="5"/>
        <v>/Game/DungeonSiege/Blueprints/GameplayAbilities/Affixes/GE_Suffix_of_Laceration</v>
      </c>
    </row>
    <row r="94" spans="1:10" ht="33.75" x14ac:dyDescent="0.25">
      <c r="A94" s="43">
        <v>92</v>
      </c>
      <c r="B94" s="43">
        <f>VLOOKUP(C94,CHOOSE({2,1},Suffix!B$2:B$412,Suffix!C$2:C$412),2,FALSE)</f>
        <v>101711958</v>
      </c>
      <c r="C94" s="43" t="s">
        <v>1373</v>
      </c>
      <c r="D94" s="43" t="s">
        <v>1374</v>
      </c>
      <c r="E94" s="43" t="str">
        <f>VLOOKUP(F94,CHOOSE({2,1},Attributes!B$3:B$130,Attributes!C$3:C$129),2,FALSE)</f>
        <v>DungeonSiegeDamageAttributeSet</v>
      </c>
      <c r="F94" s="43" t="str">
        <f>Attributes!C20</f>
        <v>MaxDamageMod</v>
      </c>
      <c r="G94" s="43" t="str">
        <f t="shared" si="3"/>
        <v>(AttributeName="MaxDamageMod",Attribute=/Script/DSAbilitySystem.DungeonSiegeDamageAttributeSet:MaxDamageMod,AttributeOwner=Class'"/Script/DSAbilitySystem.DungeonSiegeDamageAttributeSet"')</v>
      </c>
      <c r="H94" s="43">
        <v>90</v>
      </c>
      <c r="I94" s="43" t="str">
        <f t="shared" si="4"/>
        <v>GE_Suffix_of_Laceration</v>
      </c>
      <c r="J94" s="43" t="str">
        <f t="shared" si="5"/>
        <v>/Game/DungeonSiege/Blueprints/GameplayAbilities/Affixes/GE_Suffix_of_Laceration</v>
      </c>
    </row>
    <row r="95" spans="1:10" ht="33.75" x14ac:dyDescent="0.25">
      <c r="A95" s="43">
        <v>93</v>
      </c>
      <c r="B95" s="43">
        <f>VLOOKUP(C95,CHOOSE({2,1},Suffix!B$2:B$412,Suffix!C$2:C$412),2,FALSE)</f>
        <v>101711959</v>
      </c>
      <c r="C95" s="43" t="s">
        <v>1376</v>
      </c>
      <c r="D95" s="43" t="s">
        <v>1377</v>
      </c>
      <c r="E95" s="43" t="str">
        <f>VLOOKUP(F95,CHOOSE({2,1},Attributes!B$3:B$130,Attributes!C$3:C$129),2,FALSE)</f>
        <v>DungeonSiegeExperienceAttributeSet</v>
      </c>
      <c r="F95" s="43" t="str">
        <f>Attributes!C4</f>
        <v>Dexterity</v>
      </c>
      <c r="G95" s="43" t="str">
        <f t="shared" si="3"/>
        <v>(AttributeName="Dexterity",Attribute=/Script/DSAbilitySystem.DungeonSiegeExperienceAttributeSet:Dexterity,AttributeOwner=Class'"/Script/DSAbilitySystem.DungeonSiegeExperienceAttributeSet"')</v>
      </c>
      <c r="H95" s="43">
        <v>7</v>
      </c>
      <c r="I95" s="43" t="str">
        <f t="shared" si="4"/>
        <v>GE_Suffix_of_the_Honed</v>
      </c>
      <c r="J95" s="43" t="str">
        <f t="shared" si="5"/>
        <v>/Game/DungeonSiege/Blueprints/GameplayAbilities/Affixes/GE_Suffix_of_the_Honed</v>
      </c>
    </row>
    <row r="96" spans="1:10" ht="33.75" x14ac:dyDescent="0.25">
      <c r="A96" s="43">
        <v>94</v>
      </c>
      <c r="B96" s="43">
        <f>VLOOKUP(C96,CHOOSE({2,1},Suffix!B$2:B$412,Suffix!C$2:C$412),2,FALSE)</f>
        <v>101711960</v>
      </c>
      <c r="C96" s="43" t="s">
        <v>1379</v>
      </c>
      <c r="D96" s="43" t="s">
        <v>1380</v>
      </c>
      <c r="E96" s="43" t="str">
        <f>VLOOKUP(F96,CHOOSE({2,1},Attributes!B$3:B$130,Attributes!C$3:C$129),2,FALSE)</f>
        <v>DungeonSiegeHealthAttributeSet</v>
      </c>
      <c r="F96" s="43" t="str">
        <f>Attributes!C82</f>
        <v>BaseHealthBonus</v>
      </c>
      <c r="G96" s="43" t="str">
        <f t="shared" si="3"/>
        <v>(AttributeName="BaseHealthBonus",Attribute=/Script/DSAbilitySystem.DungeonSiegeHealthAttributeSet:BaseHealthBonus,AttributeOwner=Class'"/Script/DSAbilitySystem.DungeonSiegeHealthAttributeSet"')</v>
      </c>
      <c r="H96" s="43">
        <v>320</v>
      </c>
      <c r="I96" s="43" t="str">
        <f t="shared" si="4"/>
        <v>GE_Suffix_of_the_Bear</v>
      </c>
      <c r="J96" s="43" t="str">
        <f t="shared" si="5"/>
        <v>/Game/DungeonSiege/Blueprints/GameplayAbilities/Affixes/GE_Suffix_of_the_Bear</v>
      </c>
    </row>
    <row r="97" spans="1:10" ht="33.75" x14ac:dyDescent="0.25">
      <c r="A97" s="43">
        <v>95</v>
      </c>
      <c r="B97" s="43">
        <f>VLOOKUP(C97,CHOOSE({2,1},Suffix!B$2:B$412,Suffix!C$2:C$412),2,FALSE)</f>
        <v>101711961</v>
      </c>
      <c r="C97" s="43" t="s">
        <v>196</v>
      </c>
      <c r="D97" s="43" t="s">
        <v>195</v>
      </c>
      <c r="E97" s="43" t="str">
        <f>VLOOKUP(F97,CHOOSE({2,1},Attributes!B$3:B$130,Attributes!C$3:C$129),2,FALSE)</f>
        <v>DungeonSiegeManaAttributeSet</v>
      </c>
      <c r="F97" s="43" t="str">
        <f>Attributes!C90</f>
        <v>BaseManaBonus</v>
      </c>
      <c r="G97" s="43" t="str">
        <f t="shared" si="3"/>
        <v>(AttributeName="BaseManaBonus",Attribute=/Script/DSAbilitySystem.DungeonSiegeManaAttributeSet:BaseManaBonus,AttributeOwner=Class'"/Script/DSAbilitySystem.DungeonSiegeManaAttributeSet"')</v>
      </c>
      <c r="H97" s="43">
        <v>541</v>
      </c>
      <c r="I97" s="43" t="str">
        <f t="shared" si="4"/>
        <v>GE_Suffix_of_Invigoration</v>
      </c>
      <c r="J97" s="43" t="str">
        <f t="shared" si="5"/>
        <v>/Game/DungeonSiege/Blueprints/GameplayAbilities/Affixes/GE_Suffix_of_Invigoration</v>
      </c>
    </row>
    <row r="98" spans="1:10" ht="33.75" x14ac:dyDescent="0.25">
      <c r="A98" s="43">
        <v>96</v>
      </c>
      <c r="B98" s="43">
        <f>VLOOKUP(C98,CHOOSE({2,1},Suffix!B$2:B$412,Suffix!C$2:C$412),2,FALSE)</f>
        <v>101711968</v>
      </c>
      <c r="C98" s="43" t="s">
        <v>1383</v>
      </c>
      <c r="D98" s="43" t="s">
        <v>1384</v>
      </c>
      <c r="E98" s="43" t="str">
        <f>VLOOKUP(F98,CHOOSE({2,1},Attributes!B$3:B$130,Attributes!C$3:C$129),2,FALSE)</f>
        <v>DungeonSiegeDamageAttributeSet</v>
      </c>
      <c r="F98" s="43" t="str">
        <f>Attributes!C20</f>
        <v>MaxDamageMod</v>
      </c>
      <c r="G98" s="43" t="str">
        <f t="shared" si="3"/>
        <v>(AttributeName="MaxDamageMod",Attribute=/Script/DSAbilitySystem.DungeonSiegeDamageAttributeSet:MaxDamageMod,AttributeOwner=Class'"/Script/DSAbilitySystem.DungeonSiegeDamageAttributeSet"')</v>
      </c>
      <c r="H98" s="43">
        <v>70</v>
      </c>
      <c r="I98" s="43" t="str">
        <f t="shared" si="4"/>
        <v>GE_Suffix_of_the_Venomous</v>
      </c>
      <c r="J98" s="43" t="str">
        <f t="shared" si="5"/>
        <v>/Game/DungeonSiege/Blueprints/GameplayAbilities/Affixes/GE_Suffix_of_the_Venomous</v>
      </c>
    </row>
    <row r="99" spans="1:10" ht="33.75" x14ac:dyDescent="0.25">
      <c r="A99" s="43">
        <v>97</v>
      </c>
      <c r="B99" s="43">
        <f>VLOOKUP(C99,CHOOSE({2,1},Suffix!B$2:B$412,Suffix!C$2:C$412),2,FALSE)</f>
        <v>101711969</v>
      </c>
      <c r="C99" s="43" t="s">
        <v>1386</v>
      </c>
      <c r="D99" s="43" t="s">
        <v>1387</v>
      </c>
      <c r="E99" s="43" t="str">
        <f>VLOOKUP(F99,CHOOSE({2,1},Attributes!B$3:B$130,Attributes!C$3:C$129),2,FALSE)</f>
        <v>DungeonSiegeDamageAttributeSet</v>
      </c>
      <c r="F99" s="43" t="str">
        <f>Attributes!C23</f>
        <v>ChanceToInflictPiercingHit</v>
      </c>
      <c r="G99" s="43" t="str">
        <f t="shared" si="3"/>
        <v>(AttributeName="ChanceToInflictPiercingHit",Attribute=/Script/DSAbilitySystem.DungeonSiegeDamageAttributeSet:ChanceToInflictPiercingHit,AttributeOwner=Class'"/Script/DSAbilitySystem.DungeonSiegeDamageAttributeSet"')</v>
      </c>
      <c r="H99" s="43">
        <v>10</v>
      </c>
      <c r="I99" s="43" t="str">
        <f t="shared" si="4"/>
        <v>GE_Suffix_of_Resolution</v>
      </c>
      <c r="J99" s="43" t="str">
        <f t="shared" si="5"/>
        <v>/Game/DungeonSiege/Blueprints/GameplayAbilities/Affixes/GE_Suffix_of_Resolution</v>
      </c>
    </row>
    <row r="100" spans="1:10" s="23" customFormat="1" ht="33.75" x14ac:dyDescent="0.25">
      <c r="A100" s="43">
        <v>98</v>
      </c>
      <c r="B100" s="43">
        <f>VLOOKUP(C100,CHOOSE({2,1},Suffix!B$2:B$412,Suffix!C$2:C$412),2,FALSE)</f>
        <v>101711970</v>
      </c>
      <c r="C100" s="43" t="s">
        <v>1389</v>
      </c>
      <c r="D100" s="43" t="s">
        <v>1390</v>
      </c>
      <c r="E100" s="43" t="str">
        <f>VLOOKUP(F100,CHOOSE({2,1},Attributes!B$3:B$130,Attributes!C$3:C$129),2,FALSE)</f>
        <v>DungeonSiegeDamageAttributeSet</v>
      </c>
      <c r="F100" s="43" t="str">
        <f>Attributes!C19</f>
        <v>MinDamageMod</v>
      </c>
      <c r="G100" s="43" t="str">
        <f t="shared" si="3"/>
        <v>(AttributeName="MinDamageMod",Attribute=/Script/DSAbilitySystem.DungeonSiegeDamageAttributeSet:MinDamageMod,AttributeOwner=Class'"/Script/DSAbilitySystem.DungeonSiegeDamageAttributeSet"')</v>
      </c>
      <c r="H100" s="43">
        <v>27</v>
      </c>
      <c r="I100" s="43" t="str">
        <f t="shared" si="4"/>
        <v>GE_Suffix_of_Beyond</v>
      </c>
      <c r="J100" s="43" t="str">
        <f t="shared" si="5"/>
        <v>/Game/DungeonSiege/Blueprints/GameplayAbilities/Affixes/GE_Suffix_of_Beyond</v>
      </c>
    </row>
    <row r="101" spans="1:10" ht="33.75" x14ac:dyDescent="0.25">
      <c r="A101" s="43">
        <v>99</v>
      </c>
      <c r="B101" s="43">
        <f>VLOOKUP(C101,CHOOSE({2,1},Suffix!B$2:B$412,Suffix!C$2:C$412),2,FALSE)</f>
        <v>101711970</v>
      </c>
      <c r="C101" s="43" t="s">
        <v>1389</v>
      </c>
      <c r="D101" s="43" t="s">
        <v>1390</v>
      </c>
      <c r="E101" s="43" t="str">
        <f>VLOOKUP(F101,CHOOSE({2,1},Attributes!B$3:B$130,Attributes!C$3:C$129),2,FALSE)</f>
        <v>DungeonSiegeDamageAttributeSet</v>
      </c>
      <c r="F101" s="43" t="str">
        <f>Attributes!C20</f>
        <v>MaxDamageMod</v>
      </c>
      <c r="G101" s="43" t="str">
        <f t="shared" si="3"/>
        <v>(AttributeName="MaxDamageMod",Attribute=/Script/DSAbilitySystem.DungeonSiegeDamageAttributeSet:MaxDamageMod,AttributeOwner=Class'"/Script/DSAbilitySystem.DungeonSiegeDamageAttributeSet"')</v>
      </c>
      <c r="H101" s="43">
        <v>63</v>
      </c>
      <c r="I101" s="43" t="str">
        <f t="shared" si="4"/>
        <v>GE_Suffix_of_Beyond</v>
      </c>
      <c r="J101" s="43" t="str">
        <f t="shared" si="5"/>
        <v>/Game/DungeonSiege/Blueprints/GameplayAbilities/Affixes/GE_Suffix_of_Beyond</v>
      </c>
    </row>
    <row r="102" spans="1:10" ht="33.75" x14ac:dyDescent="0.25">
      <c r="A102" s="43">
        <v>100</v>
      </c>
      <c r="B102" s="43">
        <f>VLOOKUP(C102,CHOOSE({2,1},Suffix!B$2:B$412,Suffix!C$2:C$412),2,FALSE)</f>
        <v>101711971</v>
      </c>
      <c r="C102" s="43" t="s">
        <v>1392</v>
      </c>
      <c r="D102" s="43" t="s">
        <v>1393</v>
      </c>
      <c r="E102" s="43" t="str">
        <f>VLOOKUP(F102,CHOOSE({2,1},Attributes!B$3:B$130,Attributes!C$3:C$129),2,FALSE)</f>
        <v>DungeonSiegeDamageAttributeSet</v>
      </c>
      <c r="F102" s="43" t="str">
        <f>Attributes!C29</f>
        <v>RangedHitChance</v>
      </c>
      <c r="G102" s="43" t="str">
        <f t="shared" si="3"/>
        <v>(AttributeName="RangedHitChance",Attribute=/Script/DSAbilitySystem.DungeonSiegeDamageAttributeSet:RangedHitChance,AttributeOwner=Class'"/Script/DSAbilitySystem.DungeonSiegeDamageAttributeSet"')</v>
      </c>
      <c r="H102" s="43">
        <v>20</v>
      </c>
      <c r="I102" s="43" t="str">
        <f t="shared" si="4"/>
        <v>GE_Suffix_of_Remoteness</v>
      </c>
      <c r="J102" s="43" t="str">
        <f t="shared" si="5"/>
        <v>/Game/DungeonSiege/Blueprints/GameplayAbilities/Affixes/GE_Suffix_of_Remoteness</v>
      </c>
    </row>
    <row r="103" spans="1:10" s="23" customFormat="1" ht="33.75" x14ac:dyDescent="0.25">
      <c r="A103" s="43">
        <v>101</v>
      </c>
      <c r="B103" s="43">
        <f>VLOOKUP(C103,CHOOSE({2,1},Suffix!B$2:B$412,Suffix!C$2:C$412),2,FALSE)</f>
        <v>101711972</v>
      </c>
      <c r="C103" s="43" t="s">
        <v>1395</v>
      </c>
      <c r="D103" s="43" t="s">
        <v>1396</v>
      </c>
      <c r="E103" s="43" t="str">
        <f>VLOOKUP(F103,CHOOSE({2,1},Attributes!B$3:B$130,Attributes!C$3:C$129),2,FALSE)</f>
        <v>DungeonSiegeElementalAttributeSet</v>
      </c>
      <c r="F103" s="43" t="str">
        <f>Attributes!C103</f>
        <v>FireDamageMinDamageMod</v>
      </c>
      <c r="G103" s="43" t="str">
        <f t="shared" si="3"/>
        <v>(AttributeName="FireDamageMinDamageMod",Attribute=/Script/DSAbilitySystem.DungeonSiegeElementalAttributeSet:FireDamageMinDamageMod,AttributeOwner=Class'"/Script/DSAbilitySystem.DungeonSiegeElementalAttributeSet"')</v>
      </c>
      <c r="H103" s="43">
        <v>40</v>
      </c>
      <c r="I103" s="43" t="str">
        <f t="shared" si="4"/>
        <v>GE_Suffix_of_Cautery</v>
      </c>
      <c r="J103" s="43" t="str">
        <f t="shared" si="5"/>
        <v>/Game/DungeonSiege/Blueprints/GameplayAbilities/Affixes/GE_Suffix_of_Cautery</v>
      </c>
    </row>
    <row r="104" spans="1:10" ht="33.75" x14ac:dyDescent="0.25">
      <c r="A104" s="43">
        <v>102</v>
      </c>
      <c r="B104" s="43">
        <f>VLOOKUP(C104,CHOOSE({2,1},Suffix!B$2:B$412,Suffix!C$2:C$412),2,FALSE)</f>
        <v>101711972</v>
      </c>
      <c r="C104" s="43" t="s">
        <v>1395</v>
      </c>
      <c r="D104" s="43" t="s">
        <v>1396</v>
      </c>
      <c r="E104" s="43" t="str">
        <f>VLOOKUP(F104,CHOOSE({2,1},Attributes!B$3:B$130,Attributes!C$3:C$129),2,FALSE)</f>
        <v>DungeonSiegeElementalAttributeSet</v>
      </c>
      <c r="F104" s="43" t="str">
        <f>Attributes!C104</f>
        <v>FireDamageMaxDamageMod</v>
      </c>
      <c r="G104" s="43" t="str">
        <f t="shared" si="3"/>
        <v>(AttributeName="FireDamageMaxDamageMod",Attribute=/Script/DSAbilitySystem.DungeonSiegeElementalAttributeSet:FireDamageMaxDamageMod,AttributeOwner=Class'"/Script/DSAbilitySystem.DungeonSiegeElementalAttributeSet"')</v>
      </c>
      <c r="H104" s="43">
        <v>85</v>
      </c>
      <c r="I104" s="43" t="str">
        <f t="shared" si="4"/>
        <v>GE_Suffix_of_Cautery</v>
      </c>
      <c r="J104" s="43" t="str">
        <f t="shared" si="5"/>
        <v>/Game/DungeonSiege/Blueprints/GameplayAbilities/Affixes/GE_Suffix_of_Cautery</v>
      </c>
    </row>
    <row r="105" spans="1:10" s="23" customFormat="1" ht="33.75" x14ac:dyDescent="0.25">
      <c r="A105" s="43">
        <v>103</v>
      </c>
      <c r="B105" s="43">
        <f>VLOOKUP(C105,CHOOSE({2,1},Suffix!B$2:B$412,Suffix!C$2:C$412),2,FALSE)</f>
        <v>101711973</v>
      </c>
      <c r="C105" s="43" t="s">
        <v>1398</v>
      </c>
      <c r="D105" s="43" t="s">
        <v>1399</v>
      </c>
      <c r="E105" s="43" t="str">
        <f>VLOOKUP(F105,CHOOSE({2,1},Attributes!B$3:B$130,Attributes!C$3:C$129),2,FALSE)</f>
        <v>DungeonSiegeElementalAttributeSet</v>
      </c>
      <c r="F105" s="43" t="str">
        <f>Attributes!C103</f>
        <v>FireDamageMinDamageMod</v>
      </c>
      <c r="G105" s="43" t="str">
        <f t="shared" si="3"/>
        <v>(AttributeName="FireDamageMinDamageMod",Attribute=/Script/DSAbilitySystem.DungeonSiegeElementalAttributeSet:FireDamageMinDamageMod,AttributeOwner=Class'"/Script/DSAbilitySystem.DungeonSiegeElementalAttributeSet"')</v>
      </c>
      <c r="H105" s="43">
        <v>28</v>
      </c>
      <c r="I105" s="43" t="str">
        <f t="shared" si="4"/>
        <v>GE_Suffix_of_Smoke</v>
      </c>
      <c r="J105" s="43" t="str">
        <f t="shared" si="5"/>
        <v>/Game/DungeonSiege/Blueprints/GameplayAbilities/Affixes/GE_Suffix_of_Smoke</v>
      </c>
    </row>
    <row r="106" spans="1:10" ht="33.75" x14ac:dyDescent="0.25">
      <c r="A106" s="43">
        <v>104</v>
      </c>
      <c r="B106" s="43">
        <f>VLOOKUP(C106,CHOOSE({2,1},Suffix!B$2:B$412,Suffix!C$2:C$412),2,FALSE)</f>
        <v>101711973</v>
      </c>
      <c r="C106" s="43" t="s">
        <v>1398</v>
      </c>
      <c r="D106" s="43" t="s">
        <v>1399</v>
      </c>
      <c r="E106" s="43" t="str">
        <f>VLOOKUP(F106,CHOOSE({2,1},Attributes!B$3:B$130,Attributes!C$3:C$129),2,FALSE)</f>
        <v>DungeonSiegeElementalAttributeSet</v>
      </c>
      <c r="F106" s="43" t="str">
        <f>Attributes!C104</f>
        <v>FireDamageMaxDamageMod</v>
      </c>
      <c r="G106" s="43" t="str">
        <f t="shared" si="3"/>
        <v>(AttributeName="FireDamageMaxDamageMod",Attribute=/Script/DSAbilitySystem.DungeonSiegeElementalAttributeSet:FireDamageMaxDamageMod,AttributeOwner=Class'"/Script/DSAbilitySystem.DungeonSiegeElementalAttributeSet"')</v>
      </c>
      <c r="H106" s="43">
        <v>60</v>
      </c>
      <c r="I106" s="43" t="str">
        <f t="shared" si="4"/>
        <v>GE_Suffix_of_Smoke</v>
      </c>
      <c r="J106" s="43" t="str">
        <f t="shared" si="5"/>
        <v>/Game/DungeonSiege/Blueprints/GameplayAbilities/Affixes/GE_Suffix_of_Smoke</v>
      </c>
    </row>
    <row r="107" spans="1:10" ht="33.75" x14ac:dyDescent="0.25">
      <c r="A107" s="43">
        <v>105</v>
      </c>
      <c r="B107" s="43">
        <f>VLOOKUP(C107,CHOOSE({2,1},Suffix!B$2:B$412,Suffix!C$2:C$412),2,FALSE)</f>
        <v>101711974</v>
      </c>
      <c r="C107" s="43" t="s">
        <v>1401</v>
      </c>
      <c r="D107" s="43" t="s">
        <v>1402</v>
      </c>
      <c r="E107" s="43" t="str">
        <f>VLOOKUP(F107,CHOOSE({2,1},Attributes!B$3:B$130,Attributes!C$3:C$129),2,FALSE)</f>
        <v>DungeonSiegeCastOnHitAttributeSet</v>
      </c>
      <c r="F107" s="43" t="str">
        <f>Attributes!C105</f>
        <v>ChanceToCastNovaStrikeOnHit</v>
      </c>
      <c r="G107" s="43" t="str">
        <f t="shared" si="3"/>
        <v>(AttributeName="ChanceToCastNovaStrikeOnHit",Attribute=/Script/DSAbilitySystem.DungeonSiegeCastOnHitAttributeSet:ChanceToCastNovaStrikeOnHit,AttributeOwner=Class'"/Script/DSAbilitySystem.DungeonSiegeCastOnHitAttributeSet"')</v>
      </c>
      <c r="H107" s="43">
        <v>30</v>
      </c>
      <c r="I107" s="43" t="str">
        <f t="shared" si="4"/>
        <v>GE_Suffix_of_Greater_Nova_Strike</v>
      </c>
      <c r="J107" s="43" t="str">
        <f t="shared" si="5"/>
        <v>/Game/DungeonSiege/Blueprints/GameplayAbilities/Affixes/GE_Suffix_of_Greater_Nova_Strike</v>
      </c>
    </row>
    <row r="108" spans="1:10" ht="33.75" x14ac:dyDescent="0.25">
      <c r="A108" s="43">
        <v>106</v>
      </c>
      <c r="B108" s="43">
        <f>VLOOKUP(C108,CHOOSE({2,1},Suffix!B$2:B$412,Suffix!C$2:C$412),2,FALSE)</f>
        <v>101711975</v>
      </c>
      <c r="C108" s="43" t="s">
        <v>1404</v>
      </c>
      <c r="D108" s="43" t="s">
        <v>1387</v>
      </c>
      <c r="E108" s="43" t="str">
        <f>VLOOKUP(F108,CHOOSE({2,1},Attributes!B$3:B$130,Attributes!C$3:C$129),2,FALSE)</f>
        <v>DungeonSiegeDamageAttributeSet</v>
      </c>
      <c r="F108" s="43" t="str">
        <f>Attributes!C23</f>
        <v>ChanceToInflictPiercingHit</v>
      </c>
      <c r="G108" s="43" t="str">
        <f t="shared" si="3"/>
        <v>(AttributeName="ChanceToInflictPiercingHit",Attribute=/Script/DSAbilitySystem.DungeonSiegeDamageAttributeSet:ChanceToInflictPiercingHit,AttributeOwner=Class'"/Script/DSAbilitySystem.DungeonSiegeDamageAttributeSet"')</v>
      </c>
      <c r="H108" s="43">
        <v>10</v>
      </c>
      <c r="I108" s="43" t="str">
        <f t="shared" si="4"/>
        <v>GE_Suffix_of_Score</v>
      </c>
      <c r="J108" s="43" t="str">
        <f t="shared" si="5"/>
        <v>/Game/DungeonSiege/Blueprints/GameplayAbilities/Affixes/GE_Suffix_of_Score</v>
      </c>
    </row>
    <row r="109" spans="1:10" ht="33.75" x14ac:dyDescent="0.25">
      <c r="A109" s="43">
        <v>107</v>
      </c>
      <c r="B109" s="43">
        <f>VLOOKUP(C109,CHOOSE({2,1},Suffix!B$2:B$412,Suffix!C$2:C$412),2,FALSE)</f>
        <v>101711976</v>
      </c>
      <c r="C109" s="43" t="s">
        <v>1406</v>
      </c>
      <c r="D109" s="43" t="s">
        <v>1407</v>
      </c>
      <c r="E109" s="43" t="str">
        <f>VLOOKUP(F109,CHOOSE({2,1},Attributes!B$3:B$130,Attributes!C$3:C$129),2,FALSE)</f>
        <v>DungeonSiegePerHitAttributeSet</v>
      </c>
      <c r="F109" s="43" t="str">
        <f>Attributes!C11</f>
        <v>HealthPerHit</v>
      </c>
      <c r="G109" s="43" t="str">
        <f t="shared" si="3"/>
        <v>(AttributeName="HealthPerHit",Attribute=/Script/DSAbilitySystem.DungeonSiegePerHitAttributeSet:HealthPerHit,AttributeOwner=Class'"/Script/DSAbilitySystem.DungeonSiegePerHitAttributeSet"')</v>
      </c>
      <c r="H109" s="43">
        <v>9</v>
      </c>
      <c r="I109" s="43" t="str">
        <f t="shared" si="4"/>
        <v>GE_Suffix_of_Abundance</v>
      </c>
      <c r="J109" s="43" t="str">
        <f t="shared" si="5"/>
        <v>/Game/DungeonSiege/Blueprints/GameplayAbilities/Affixes/GE_Suffix_of_Abundance</v>
      </c>
    </row>
    <row r="110" spans="1:10" ht="33.75" x14ac:dyDescent="0.25">
      <c r="A110" s="43">
        <v>108</v>
      </c>
      <c r="B110" s="43">
        <f>VLOOKUP(C110,CHOOSE({2,1},Suffix!B$2:B$412,Suffix!C$2:C$412),2,FALSE)</f>
        <v>101711977</v>
      </c>
      <c r="C110" s="43" t="s">
        <v>1409</v>
      </c>
      <c r="D110" s="43" t="s">
        <v>1410</v>
      </c>
      <c r="E110" s="43" t="str">
        <f>VLOOKUP(F110,CHOOSE({2,1},Attributes!B$3:B$130,Attributes!C$3:C$129),2,FALSE)</f>
        <v>DungeonSiegePerHitAttributeSet</v>
      </c>
      <c r="F110" s="43" t="str">
        <f>Attributes!C14</f>
        <v>ManaStealPerHit</v>
      </c>
      <c r="G110" s="43" t="str">
        <f t="shared" si="3"/>
        <v>(AttributeName="ManaStealPerHit",Attribute=/Script/DSAbilitySystem.DungeonSiegePerHitAttributeSet:ManaStealPerHit,AttributeOwner=Class'"/Script/DSAbilitySystem.DungeonSiegePerHitAttributeSet"')</v>
      </c>
      <c r="H110" s="43">
        <v>13</v>
      </c>
      <c r="I110" s="43" t="str">
        <f t="shared" si="4"/>
        <v>GE_Suffix_of_the_Hunter</v>
      </c>
      <c r="J110" s="43" t="str">
        <f t="shared" si="5"/>
        <v>/Game/DungeonSiege/Blueprints/GameplayAbilities/Affixes/GE_Suffix_of_the_Hunter</v>
      </c>
    </row>
    <row r="111" spans="1:10" ht="33.75" x14ac:dyDescent="0.25">
      <c r="A111" s="43">
        <v>109</v>
      </c>
      <c r="B111" s="43">
        <f>VLOOKUP(C111,CHOOSE({2,1},Suffix!B$2:B$412,Suffix!C$2:C$412),2,FALSE)</f>
        <v>101711984</v>
      </c>
      <c r="C111" s="43" t="s">
        <v>1412</v>
      </c>
      <c r="D111" s="43" t="s">
        <v>1413</v>
      </c>
      <c r="E111" s="43" t="str">
        <f>VLOOKUP(F111,CHOOSE({2,1},Attributes!B$3:B$130,Attributes!C$3:C$129),2,FALSE)</f>
        <v>DungeonSiegeDamageAttributeSet</v>
      </c>
      <c r="F111" s="43" t="str">
        <f>Attributes!C20</f>
        <v>MaxDamageMod</v>
      </c>
      <c r="G111" s="43" t="str">
        <f t="shared" si="3"/>
        <v>(AttributeName="MaxDamageMod",Attribute=/Script/DSAbilitySystem.DungeonSiegeDamageAttributeSet:MaxDamageMod,AttributeOwner=Class'"/Script/DSAbilitySystem.DungeonSiegeDamageAttributeSet"')</v>
      </c>
      <c r="H111" s="43">
        <v>42</v>
      </c>
      <c r="I111" s="43" t="str">
        <f t="shared" si="4"/>
        <v>GE_Suffix_of_the_Hawk</v>
      </c>
      <c r="J111" s="43" t="str">
        <f t="shared" si="5"/>
        <v>/Game/DungeonSiege/Blueprints/GameplayAbilities/Affixes/GE_Suffix_of_the_Hawk</v>
      </c>
    </row>
    <row r="112" spans="1:10" s="23" customFormat="1" ht="33.75" x14ac:dyDescent="0.25">
      <c r="A112" s="43">
        <v>110</v>
      </c>
      <c r="B112" s="43">
        <f>VLOOKUP(C112,CHOOSE({2,1},Suffix!B$2:B$412,Suffix!C$2:C$412),2,FALSE)</f>
        <v>101711985</v>
      </c>
      <c r="C112" s="43" t="s">
        <v>1415</v>
      </c>
      <c r="D112" s="43" t="s">
        <v>1416</v>
      </c>
      <c r="E112" s="43" t="str">
        <f>VLOOKUP(F112,CHOOSE({2,1},Attributes!B$3:B$130,Attributes!C$3:C$129),2,FALSE)</f>
        <v>DungeonSiegeMagicAttributeSet</v>
      </c>
      <c r="F112" s="43" t="str">
        <f>Attributes!C38</f>
        <v>NatureMagicMinDamageMod</v>
      </c>
      <c r="G112" s="43" t="str">
        <f t="shared" si="3"/>
        <v>(AttributeName="NatureMagicMinDamageMod",Attribute=/Script/DSAbilitySystem.DungeonSiegeMagicAttributeSet:NatureMagicMinDamageMod,AttributeOwner=Class'"/Script/DSAbilitySystem.DungeonSiegeMagicAttributeSet"')</v>
      </c>
      <c r="H112" s="43">
        <v>12</v>
      </c>
      <c r="I112" s="43" t="str">
        <f t="shared" si="4"/>
        <v>GE_Suffix_of_Joviality</v>
      </c>
      <c r="J112" s="43" t="str">
        <f t="shared" si="5"/>
        <v>/Game/DungeonSiege/Blueprints/GameplayAbilities/Affixes/GE_Suffix_of_Joviality</v>
      </c>
    </row>
    <row r="113" spans="1:10" ht="33.75" x14ac:dyDescent="0.25">
      <c r="A113" s="43">
        <v>111</v>
      </c>
      <c r="B113" s="43">
        <f>VLOOKUP(C113,CHOOSE({2,1},Suffix!B$2:B$412,Suffix!C$2:C$412),2,FALSE)</f>
        <v>101711985</v>
      </c>
      <c r="C113" s="43" t="s">
        <v>1415</v>
      </c>
      <c r="D113" s="43" t="s">
        <v>1416</v>
      </c>
      <c r="E113" s="43" t="str">
        <f>VLOOKUP(F113,CHOOSE({2,1},Attributes!B$3:B$130,Attributes!C$3:C$129),2,FALSE)</f>
        <v>DungeonSiegeMagicAttributeSet</v>
      </c>
      <c r="F113" s="43" t="str">
        <f>Attributes!C39</f>
        <v>NatureMagicMaxDamageMod</v>
      </c>
      <c r="G113" s="43" t="str">
        <f t="shared" si="3"/>
        <v>(AttributeName="NatureMagicMaxDamageMod",Attribute=/Script/DSAbilitySystem.DungeonSiegeMagicAttributeSet:NatureMagicMaxDamageMod,AttributeOwner=Class'"/Script/DSAbilitySystem.DungeonSiegeMagicAttributeSet"')</v>
      </c>
      <c r="H113" s="43">
        <v>36</v>
      </c>
      <c r="I113" s="43" t="str">
        <f t="shared" si="4"/>
        <v>GE_Suffix_of_Joviality</v>
      </c>
      <c r="J113" s="43" t="str">
        <f t="shared" si="5"/>
        <v>/Game/DungeonSiege/Blueprints/GameplayAbilities/Affixes/GE_Suffix_of_Joviality</v>
      </c>
    </row>
    <row r="114" spans="1:10" s="23" customFormat="1" ht="33.75" x14ac:dyDescent="0.25">
      <c r="A114" s="43">
        <v>112</v>
      </c>
      <c r="B114" s="43">
        <f>VLOOKUP(C114,CHOOSE({2,1},Suffix!B$2:B$412,Suffix!C$2:C$412),2,FALSE)</f>
        <v>101711986</v>
      </c>
      <c r="C114" s="43" t="s">
        <v>1418</v>
      </c>
      <c r="D114" s="43" t="s">
        <v>1419</v>
      </c>
      <c r="E114" s="43" t="str">
        <f>VLOOKUP(F114,CHOOSE({2,1},Attributes!B$3:B$130,Attributes!C$3:C$129),2,FALSE)</f>
        <v>DungeonSiegeMagicAttributeSet</v>
      </c>
      <c r="F114" s="43" t="str">
        <f>Attributes!C41</f>
        <v>CombatMagicMinDamageMod</v>
      </c>
      <c r="G114" s="43" t="str">
        <f t="shared" si="3"/>
        <v>(AttributeName="CombatMagicMinDamageMod",Attribute=/Script/DSAbilitySystem.DungeonSiegeMagicAttributeSet:CombatMagicMinDamageMod,AttributeOwner=Class'"/Script/DSAbilitySystem.DungeonSiegeMagicAttributeSet"')</v>
      </c>
      <c r="H114" s="43">
        <v>12</v>
      </c>
      <c r="I114" s="43" t="str">
        <f t="shared" si="4"/>
        <v>GE_Suffix_of_Foes</v>
      </c>
      <c r="J114" s="43" t="str">
        <f t="shared" si="5"/>
        <v>/Game/DungeonSiege/Blueprints/GameplayAbilities/Affixes/GE_Suffix_of_Foes</v>
      </c>
    </row>
    <row r="115" spans="1:10" ht="33.75" x14ac:dyDescent="0.25">
      <c r="A115" s="43">
        <v>113</v>
      </c>
      <c r="B115" s="43">
        <f>VLOOKUP(C115,CHOOSE({2,1},Suffix!B$2:B$412,Suffix!C$2:C$412),2,FALSE)</f>
        <v>101711986</v>
      </c>
      <c r="C115" s="43" t="s">
        <v>1418</v>
      </c>
      <c r="D115" s="43" t="s">
        <v>1419</v>
      </c>
      <c r="E115" s="43" t="str">
        <f>VLOOKUP(F115,CHOOSE({2,1},Attributes!B$3:B$130,Attributes!C$3:C$129),2,FALSE)</f>
        <v>DungeonSiegeMagicAttributeSet</v>
      </c>
      <c r="F115" s="43" t="str">
        <f>Attributes!C42</f>
        <v>CombatMagicMaxDamageMod</v>
      </c>
      <c r="G115" s="43" t="str">
        <f t="shared" si="3"/>
        <v>(AttributeName="CombatMagicMaxDamageMod",Attribute=/Script/DSAbilitySystem.DungeonSiegeMagicAttributeSet:CombatMagicMaxDamageMod,AttributeOwner=Class'"/Script/DSAbilitySystem.DungeonSiegeMagicAttributeSet"')</v>
      </c>
      <c r="H115" s="43">
        <v>36</v>
      </c>
      <c r="I115" s="43" t="str">
        <f t="shared" si="4"/>
        <v>GE_Suffix_of_Foes</v>
      </c>
      <c r="J115" s="43" t="str">
        <f t="shared" si="5"/>
        <v>/Game/DungeonSiege/Blueprints/GameplayAbilities/Affixes/GE_Suffix_of_Foes</v>
      </c>
    </row>
    <row r="116" spans="1:10" ht="33.75" x14ac:dyDescent="0.25">
      <c r="A116" s="43">
        <v>114</v>
      </c>
      <c r="B116" s="43">
        <f>VLOOKUP(C116,CHOOSE({2,1},Suffix!B$2:B$412,Suffix!C$2:C$412),2,FALSE)</f>
        <v>101711987</v>
      </c>
      <c r="C116" s="43" t="s">
        <v>1421</v>
      </c>
      <c r="D116" s="43" t="s">
        <v>192</v>
      </c>
      <c r="E116" s="43" t="str">
        <f>VLOOKUP(F116,CHOOSE({2,1},Attributes!B$3:B$130,Attributes!C$3:C$129),2,FALSE)</f>
        <v>DungeonSiegeMagicAttributeSet</v>
      </c>
      <c r="F116" s="43" t="str">
        <f>Attributes!C46</f>
        <v>ColdSpellCostReduction</v>
      </c>
      <c r="G116" s="43" t="str">
        <f t="shared" si="3"/>
        <v>(AttributeName="ColdSpellCostReduction",Attribute=/Script/DSAbilitySystem.DungeonSiegeMagicAttributeSet:ColdSpellCostReduction,AttributeOwner=Class'"/Script/DSAbilitySystem.DungeonSiegeMagicAttributeSet"')</v>
      </c>
      <c r="H116" s="43">
        <v>25</v>
      </c>
      <c r="I116" s="43" t="str">
        <f t="shared" si="4"/>
        <v>GE_Suffix_of_The_Glacier</v>
      </c>
      <c r="J116" s="43" t="str">
        <f t="shared" si="5"/>
        <v>/Game/DungeonSiege/Blueprints/GameplayAbilities/Affixes/GE_Suffix_of_The_Glacier</v>
      </c>
    </row>
    <row r="117" spans="1:10" ht="33.75" x14ac:dyDescent="0.25">
      <c r="A117" s="43">
        <v>115</v>
      </c>
      <c r="B117" s="43">
        <f>VLOOKUP(C117,CHOOSE({2,1},Suffix!B$2:B$412,Suffix!C$2:C$412),2,FALSE)</f>
        <v>101711988</v>
      </c>
      <c r="C117" s="43" t="s">
        <v>1422</v>
      </c>
      <c r="D117" s="43" t="s">
        <v>189</v>
      </c>
      <c r="E117" s="43" t="str">
        <f>VLOOKUP(F117,CHOOSE({2,1},Attributes!B$3:B$130,Attributes!C$3:C$129),2,FALSE)</f>
        <v>DungeonSiegeMagicAttributeSet</v>
      </c>
      <c r="F117" s="43" t="str">
        <f>Attributes!C49</f>
        <v>FireSpellCostReduction</v>
      </c>
      <c r="G117" s="43" t="str">
        <f t="shared" si="3"/>
        <v>(AttributeName="FireSpellCostReduction",Attribute=/Script/DSAbilitySystem.DungeonSiegeMagicAttributeSet:FireSpellCostReduction,AttributeOwner=Class'"/Script/DSAbilitySystem.DungeonSiegeMagicAttributeSet"')</v>
      </c>
      <c r="H117" s="43">
        <v>25</v>
      </c>
      <c r="I117" s="43" t="str">
        <f t="shared" si="4"/>
        <v>GE_Suffix_of_The_Inferno</v>
      </c>
      <c r="J117" s="43" t="str">
        <f t="shared" si="5"/>
        <v>/Game/DungeonSiege/Blueprints/GameplayAbilities/Affixes/GE_Suffix_of_The_Inferno</v>
      </c>
    </row>
    <row r="118" spans="1:10" ht="33.75" x14ac:dyDescent="0.25">
      <c r="A118" s="43">
        <v>116</v>
      </c>
      <c r="B118" s="43">
        <f>VLOOKUP(C118,CHOOSE({2,1},Suffix!B$2:B$412,Suffix!C$2:C$412),2,FALSE)</f>
        <v>101711989</v>
      </c>
      <c r="C118" s="43" t="s">
        <v>1423</v>
      </c>
      <c r="D118" s="43" t="s">
        <v>186</v>
      </c>
      <c r="E118" s="43" t="str">
        <f>VLOOKUP(F118,CHOOSE({2,1},Attributes!B$3:B$130,Attributes!C$3:C$129),2,FALSE)</f>
        <v>DungeonSiegeMagicAttributeSet</v>
      </c>
      <c r="F118" s="43" t="str">
        <f>Attributes!C97</f>
        <v>LightningSpellCostReduction</v>
      </c>
      <c r="G118" s="43" t="str">
        <f t="shared" si="3"/>
        <v>(AttributeName="LightningSpellCostReduction",Attribute=/Script/DSAbilitySystem.DungeonSiegeMagicAttributeSet:LightningSpellCostReduction,AttributeOwner=Class'"/Script/DSAbilitySystem.DungeonSiegeMagicAttributeSet"')</v>
      </c>
      <c r="H118" s="43">
        <v>25</v>
      </c>
      <c r="I118" s="43" t="str">
        <f t="shared" si="4"/>
        <v>GE_Suffix_of_The_Thunderbolt</v>
      </c>
      <c r="J118" s="43" t="str">
        <f t="shared" si="5"/>
        <v>/Game/DungeonSiege/Blueprints/GameplayAbilities/Affixes/GE_Suffix_of_The_Thunderbolt</v>
      </c>
    </row>
    <row r="119" spans="1:10" ht="33.75" x14ac:dyDescent="0.25">
      <c r="A119" s="43">
        <v>117</v>
      </c>
      <c r="B119" s="43">
        <f>VLOOKUP(C119,CHOOSE({2,1},Suffix!B$2:B$412,Suffix!C$2:C$412),2,FALSE)</f>
        <v>101711990</v>
      </c>
      <c r="C119" s="43" t="s">
        <v>184</v>
      </c>
      <c r="D119" s="43" t="s">
        <v>183</v>
      </c>
      <c r="E119" s="43" t="str">
        <f>VLOOKUP(F119,CHOOSE({2,1},Attributes!B$3:B$130,Attributes!C$3:C$129),2,FALSE)</f>
        <v>DungeonSiegeMagicAttributeSet</v>
      </c>
      <c r="F119" s="43" t="str">
        <f>Attributes!C98</f>
        <v>SummoningSpellCostReduction</v>
      </c>
      <c r="G119" s="43" t="str">
        <f t="shared" si="3"/>
        <v>(AttributeName="SummoningSpellCostReduction",Attribute=/Script/DSAbilitySystem.DungeonSiegeMagicAttributeSet:SummoningSpellCostReduction,AttributeOwner=Class'"/Script/DSAbilitySystem.DungeonSiegeMagicAttributeSet"')</v>
      </c>
      <c r="H119" s="43">
        <v>25</v>
      </c>
      <c r="I119" s="43" t="str">
        <f t="shared" si="4"/>
        <v>GE_Suffix_of_Summoning</v>
      </c>
      <c r="J119" s="43" t="str">
        <f t="shared" si="5"/>
        <v>/Game/DungeonSiege/Blueprints/GameplayAbilities/Affixes/GE_Suffix_of_Summoning</v>
      </c>
    </row>
    <row r="120" spans="1:10" ht="33.75" x14ac:dyDescent="0.25">
      <c r="A120" s="43">
        <v>118</v>
      </c>
      <c r="B120" s="43">
        <f>VLOOKUP(C120,CHOOSE({2,1},Suffix!B$2:B$412,Suffix!C$2:C$412),2,FALSE)</f>
        <v>101711991</v>
      </c>
      <c r="C120" s="43" t="s">
        <v>181</v>
      </c>
      <c r="D120" s="43" t="s">
        <v>180</v>
      </c>
      <c r="E120" s="43" t="str">
        <f>VLOOKUP(F120,CHOOSE({2,1},Attributes!B$3:B$130,Attributes!C$3:C$129),2,FALSE)</f>
        <v>DungeonSiegeMagicAttributeSet</v>
      </c>
      <c r="F120" s="43" t="str">
        <f>Attributes!C99</f>
        <v>HealingSpellCostReduction</v>
      </c>
      <c r="G120" s="43" t="str">
        <f t="shared" si="3"/>
        <v>(AttributeName="HealingSpellCostReduction",Attribute=/Script/DSAbilitySystem.DungeonSiegeMagicAttributeSet:HealingSpellCostReduction,AttributeOwner=Class'"/Script/DSAbilitySystem.DungeonSiegeMagicAttributeSet"')</v>
      </c>
      <c r="H120" s="43">
        <v>25</v>
      </c>
      <c r="I120" s="43" t="str">
        <f t="shared" si="4"/>
        <v>GE_Suffix_of_Grace</v>
      </c>
      <c r="J120" s="43" t="str">
        <f t="shared" si="5"/>
        <v>/Game/DungeonSiege/Blueprints/GameplayAbilities/Affixes/GE_Suffix_of_Grace</v>
      </c>
    </row>
    <row r="121" spans="1:10" ht="33.75" x14ac:dyDescent="0.25">
      <c r="A121" s="43">
        <v>119</v>
      </c>
      <c r="B121" s="43">
        <f>VLOOKUP(C121,CHOOSE({2,1},Suffix!B$2:B$412,Suffix!C$2:C$412),2,FALSE)</f>
        <v>101711992</v>
      </c>
      <c r="C121" s="43" t="s">
        <v>1424</v>
      </c>
      <c r="D121" s="43" t="s">
        <v>1425</v>
      </c>
      <c r="E121" s="43" t="str">
        <f>VLOOKUP(F121,CHOOSE({2,1},Attributes!B$3:B$130,Attributes!C$3:C$129),2,FALSE)</f>
        <v>DungeonSiegePerHitAttributeSet</v>
      </c>
      <c r="F121" s="43" t="str">
        <f>Attributes!C12</f>
        <v>ManaPerHit</v>
      </c>
      <c r="G121" s="43" t="str">
        <f t="shared" si="3"/>
        <v>(AttributeName="ManaPerHit",Attribute=/Script/DSAbilitySystem.DungeonSiegePerHitAttributeSet:ManaPerHit,AttributeOwner=Class'"/Script/DSAbilitySystem.DungeonSiegePerHitAttributeSet"')</v>
      </c>
      <c r="H121" s="43">
        <v>13</v>
      </c>
      <c r="I121" s="43" t="str">
        <f t="shared" si="4"/>
        <v>GE_Suffix_of_Daylight</v>
      </c>
      <c r="J121" s="43" t="str">
        <f t="shared" si="5"/>
        <v>/Game/DungeonSiege/Blueprints/GameplayAbilities/Affixes/GE_Suffix_of_Daylight</v>
      </c>
    </row>
    <row r="122" spans="1:10" ht="33.75" x14ac:dyDescent="0.25">
      <c r="A122" s="43">
        <v>120</v>
      </c>
      <c r="B122" s="43">
        <f>VLOOKUP(C122,CHOOSE({2,1},Suffix!B$2:B$412,Suffix!C$2:C$412),2,FALSE)</f>
        <v>101711993</v>
      </c>
      <c r="C122" s="43" t="s">
        <v>1427</v>
      </c>
      <c r="D122" s="43" t="s">
        <v>1428</v>
      </c>
      <c r="E122" s="43" t="str">
        <f>VLOOKUP(F122,CHOOSE({2,1},Attributes!B$3:B$130,Attributes!C$3:C$129),2,FALSE)</f>
        <v>DungeonSiegeDamageAttributeSet</v>
      </c>
      <c r="F122" s="43" t="str">
        <f>Attributes!C21</f>
        <v>PercentDamageReflectedToEnemy</v>
      </c>
      <c r="G122" s="43" t="str">
        <f t="shared" si="3"/>
        <v>(AttributeName="PercentDamageReflectedToEnemy",Attribute=/Script/DSAbilitySystem.DungeonSiegeDamageAttributeSet:PercentDamageReflectedToEnemy,AttributeOwner=Class'"/Script/DSAbilitySystem.DungeonSiegeDamageAttributeSet"')</v>
      </c>
      <c r="H122" s="43">
        <v>15</v>
      </c>
      <c r="I122" s="43" t="str">
        <f t="shared" si="4"/>
        <v>GE_Suffix_of_Vengeance</v>
      </c>
      <c r="J122" s="43" t="str">
        <f t="shared" si="5"/>
        <v>/Game/DungeonSiege/Blueprints/GameplayAbilities/Affixes/GE_Suffix_of_Vengeance</v>
      </c>
    </row>
    <row r="123" spans="1:10" s="23" customFormat="1" ht="33.75" x14ac:dyDescent="0.25">
      <c r="A123" s="43">
        <v>121</v>
      </c>
      <c r="B123" s="43">
        <f>VLOOKUP(C123,CHOOSE({2,1},Suffix!B$2:B$412,Suffix!C$2:C$412),2,FALSE)</f>
        <v>101712000</v>
      </c>
      <c r="C123" s="43" t="s">
        <v>1430</v>
      </c>
      <c r="D123" s="43" t="s">
        <v>1431</v>
      </c>
      <c r="E123" s="43" t="str">
        <f>VLOOKUP(F123,CHOOSE({2,1},Attributes!B$3:B$130,Attributes!C$3:C$129),2,FALSE)</f>
        <v>DungeonSiegeElementalAttributeSet</v>
      </c>
      <c r="F123" s="43" t="str">
        <f>Attributes!C100</f>
        <v>ChanceToFreeze</v>
      </c>
      <c r="G123" s="43" t="str">
        <f t="shared" si="3"/>
        <v>(AttributeName="ChanceToFreeze",Attribute=/Script/DSAbilitySystem.DungeonSiegeElementalAttributeSet:ChanceToFreeze,AttributeOwner=Class'"/Script/DSAbilitySystem.DungeonSiegeElementalAttributeSet"')</v>
      </c>
      <c r="H123" s="43">
        <v>15</v>
      </c>
      <c r="I123" s="43" t="str">
        <f t="shared" si="4"/>
        <v>GE_Suffix_of_Winter</v>
      </c>
      <c r="J123" s="43" t="str">
        <f t="shared" si="5"/>
        <v>/Game/DungeonSiege/Blueprints/GameplayAbilities/Affixes/GE_Suffix_of_Winter</v>
      </c>
    </row>
    <row r="124" spans="1:10" s="23" customFormat="1" ht="33.75" x14ac:dyDescent="0.25">
      <c r="A124" s="43">
        <v>122</v>
      </c>
      <c r="B124" s="43">
        <f>VLOOKUP(C124,CHOOSE({2,1},Suffix!B$2:B$412,Suffix!C$2:C$412),2,FALSE)</f>
        <v>101712000</v>
      </c>
      <c r="C124" s="43" t="s">
        <v>1430</v>
      </c>
      <c r="D124" s="43" t="s">
        <v>3264</v>
      </c>
      <c r="E124" s="43" t="str">
        <f>VLOOKUP(F124,CHOOSE({2,1},Attributes!B$3:B$130,Attributes!C$3:C$129),2,FALSE)</f>
        <v>DungeonSiegeElementalAttributeSet</v>
      </c>
      <c r="F124" s="43" t="str">
        <f>Attributes!C101</f>
        <v>ColdDamageMinDamageMod</v>
      </c>
      <c r="G124" s="43" t="str">
        <f t="shared" si="3"/>
        <v>(AttributeName="ColdDamageMinDamageMod",Attribute=/Script/DSAbilitySystem.DungeonSiegeElementalAttributeSet:ColdDamageMinDamageMod,AttributeOwner=Class'"/Script/DSAbilitySystem.DungeonSiegeElementalAttributeSet"')</v>
      </c>
      <c r="H124" s="43">
        <v>29</v>
      </c>
      <c r="I124" s="43" t="str">
        <f t="shared" si="4"/>
        <v>GE_Suffix_of_Winter</v>
      </c>
      <c r="J124" s="43" t="str">
        <f t="shared" si="5"/>
        <v>/Game/DungeonSiege/Blueprints/GameplayAbilities/Affixes/GE_Suffix_of_Winter</v>
      </c>
    </row>
    <row r="125" spans="1:10" ht="33.75" x14ac:dyDescent="0.25">
      <c r="A125" s="43">
        <v>123</v>
      </c>
      <c r="B125" s="43">
        <f>VLOOKUP(C125,CHOOSE({2,1},Suffix!B$2:B$412,Suffix!C$2:C$412),2,FALSE)</f>
        <v>101712000</v>
      </c>
      <c r="C125" s="43" t="s">
        <v>1430</v>
      </c>
      <c r="D125" s="43" t="s">
        <v>3264</v>
      </c>
      <c r="E125" s="43" t="str">
        <f>VLOOKUP(F125,CHOOSE({2,1},Attributes!B$3:B$130,Attributes!C$3:C$129),2,FALSE)</f>
        <v>DungeonSiegeElementalAttributeSet</v>
      </c>
      <c r="F125" s="43" t="str">
        <f>Attributes!C102</f>
        <v>ColdDamageMaxDamageMod</v>
      </c>
      <c r="G125" s="43" t="str">
        <f t="shared" si="3"/>
        <v>(AttributeName="ColdDamageMaxDamageMod",Attribute=/Script/DSAbilitySystem.DungeonSiegeElementalAttributeSet:ColdDamageMaxDamageMod,AttributeOwner=Class'"/Script/DSAbilitySystem.DungeonSiegeElementalAttributeSet"')</v>
      </c>
      <c r="H125" s="43">
        <v>50</v>
      </c>
      <c r="I125" s="43" t="str">
        <f t="shared" si="4"/>
        <v>GE_Suffix_of_Winter</v>
      </c>
      <c r="J125" s="43" t="str">
        <f t="shared" si="5"/>
        <v>/Game/DungeonSiege/Blueprints/GameplayAbilities/Affixes/GE_Suffix_of_Winter</v>
      </c>
    </row>
    <row r="126" spans="1:10" s="23" customFormat="1" ht="33.75" x14ac:dyDescent="0.25">
      <c r="A126" s="43">
        <v>124</v>
      </c>
      <c r="B126" s="43">
        <f>VLOOKUP(C126,CHOOSE({2,1},Suffix!B$2:B$412,Suffix!C$2:C$412),2,FALSE)</f>
        <v>101712001</v>
      </c>
      <c r="C126" s="43" t="s">
        <v>1433</v>
      </c>
      <c r="D126" s="43" t="s">
        <v>3259</v>
      </c>
      <c r="E126" s="43" t="str">
        <f>VLOOKUP(F126,CHOOSE({2,1},Attributes!B$3:B$130,Attributes!C$3:C$129),2,FALSE)</f>
        <v>DungeonSiegeElementalAttributeSet</v>
      </c>
      <c r="F126" s="43" t="str">
        <f>Attributes!C100</f>
        <v>ChanceToFreeze</v>
      </c>
      <c r="G126" s="43" t="str">
        <f t="shared" si="3"/>
        <v>(AttributeName="ChanceToFreeze",Attribute=/Script/DSAbilitySystem.DungeonSiegeElementalAttributeSet:ChanceToFreeze,AttributeOwner=Class'"/Script/DSAbilitySystem.DungeonSiegeElementalAttributeSet"')</v>
      </c>
      <c r="H126" s="43">
        <v>3</v>
      </c>
      <c r="I126" s="43" t="str">
        <f t="shared" si="4"/>
        <v>GE_Suffix_of_Snowstorms</v>
      </c>
      <c r="J126" s="43" t="str">
        <f t="shared" si="5"/>
        <v>/Game/DungeonSiege/Blueprints/GameplayAbilities/Affixes/GE_Suffix_of_Snowstorms</v>
      </c>
    </row>
    <row r="127" spans="1:10" s="23" customFormat="1" ht="33.75" x14ac:dyDescent="0.25">
      <c r="A127" s="43">
        <v>125</v>
      </c>
      <c r="B127" s="43">
        <f>VLOOKUP(C127,CHOOSE({2,1},Suffix!B$2:B$412,Suffix!C$2:C$412),2,FALSE)</f>
        <v>101712001</v>
      </c>
      <c r="C127" s="43" t="s">
        <v>1433</v>
      </c>
      <c r="D127" s="43" t="s">
        <v>3265</v>
      </c>
      <c r="E127" s="43" t="str">
        <f>VLOOKUP(F127,CHOOSE({2,1},Attributes!B$3:B$130,Attributes!C$3:C$129),2,FALSE)</f>
        <v>DungeonSiegeElementalAttributeSet</v>
      </c>
      <c r="F127" s="43" t="str">
        <f>Attributes!C101</f>
        <v>ColdDamageMinDamageMod</v>
      </c>
      <c r="G127" s="43" t="str">
        <f t="shared" si="3"/>
        <v>(AttributeName="ColdDamageMinDamageMod",Attribute=/Script/DSAbilitySystem.DungeonSiegeElementalAttributeSet:ColdDamageMinDamageMod,AttributeOwner=Class'"/Script/DSAbilitySystem.DungeonSiegeElementalAttributeSet"')</v>
      </c>
      <c r="H127" s="43">
        <v>24</v>
      </c>
      <c r="I127" s="43" t="str">
        <f t="shared" si="4"/>
        <v>GE_Suffix_of_Snowstorms</v>
      </c>
      <c r="J127" s="43" t="str">
        <f t="shared" si="5"/>
        <v>/Game/DungeonSiege/Blueprints/GameplayAbilities/Affixes/GE_Suffix_of_Snowstorms</v>
      </c>
    </row>
    <row r="128" spans="1:10" ht="33.75" x14ac:dyDescent="0.25">
      <c r="A128" s="43">
        <v>126</v>
      </c>
      <c r="B128" s="43">
        <f>VLOOKUP(C128,CHOOSE({2,1},Suffix!B$2:B$412,Suffix!C$2:C$412),2,FALSE)</f>
        <v>101712001</v>
      </c>
      <c r="C128" s="43" t="s">
        <v>1433</v>
      </c>
      <c r="D128" s="43" t="s">
        <v>3265</v>
      </c>
      <c r="E128" s="43" t="str">
        <f>VLOOKUP(F128,CHOOSE({2,1},Attributes!B$3:B$130,Attributes!C$3:C$129),2,FALSE)</f>
        <v>DungeonSiegeElementalAttributeSet</v>
      </c>
      <c r="F128" s="43" t="str">
        <f>Attributes!C102</f>
        <v>ColdDamageMaxDamageMod</v>
      </c>
      <c r="G128" s="43" t="str">
        <f t="shared" si="3"/>
        <v>(AttributeName="ColdDamageMaxDamageMod",Attribute=/Script/DSAbilitySystem.DungeonSiegeElementalAttributeSet:ColdDamageMaxDamageMod,AttributeOwner=Class'"/Script/DSAbilitySystem.DungeonSiegeElementalAttributeSet"')</v>
      </c>
      <c r="H128" s="43">
        <v>39</v>
      </c>
      <c r="I128" s="43" t="str">
        <f t="shared" si="4"/>
        <v>GE_Suffix_of_Snowstorms</v>
      </c>
      <c r="J128" s="43" t="str">
        <f t="shared" si="5"/>
        <v>/Game/DungeonSiege/Blueprints/GameplayAbilities/Affixes/GE_Suffix_of_Snowstorms</v>
      </c>
    </row>
    <row r="129" spans="1:10" ht="33.75" x14ac:dyDescent="0.25">
      <c r="A129" s="43">
        <v>127</v>
      </c>
      <c r="B129" s="43">
        <f>VLOOKUP(C129,CHOOSE({2,1},Suffix!B$2:B$412,Suffix!C$2:C$412),2,FALSE)</f>
        <v>101712002</v>
      </c>
      <c r="C129" s="43" t="s">
        <v>1435</v>
      </c>
      <c r="D129" s="43" t="s">
        <v>1436</v>
      </c>
      <c r="E129" s="43" t="str">
        <f>VLOOKUP(F129,CHOOSE({2,1},Attributes!B$3:B$130,Attributes!C$3:C$129),2,FALSE)</f>
        <v>DungeonSiegeCastOnHitAttributeSet</v>
      </c>
      <c r="F129" s="43" t="str">
        <f>Attributes!C106</f>
        <v>ChanceToCastFirebombOnHit</v>
      </c>
      <c r="G129" s="43" t="str">
        <f t="shared" si="3"/>
        <v>(AttributeName="ChanceToCastFirebombOnHit",Attribute=/Script/DSAbilitySystem.DungeonSiegeCastOnHitAttributeSet:ChanceToCastFirebombOnHit,AttributeOwner=Class'"/Script/DSAbilitySystem.DungeonSiegeCastOnHitAttributeSet"')</v>
      </c>
      <c r="H129" s="43">
        <v>30</v>
      </c>
      <c r="I129" s="43" t="str">
        <f t="shared" si="4"/>
        <v>GE_Suffix_of_Greater_Firebomb</v>
      </c>
      <c r="J129" s="43" t="str">
        <f t="shared" si="5"/>
        <v>/Game/DungeonSiege/Blueprints/GameplayAbilities/Affixes/GE_Suffix_of_Greater_Firebomb</v>
      </c>
    </row>
    <row r="130" spans="1:10" ht="33.75" x14ac:dyDescent="0.25">
      <c r="A130" s="43">
        <v>128</v>
      </c>
      <c r="B130" s="43">
        <f>VLOOKUP(C130,CHOOSE({2,1},Suffix!B$2:B$412,Suffix!C$2:C$412),2,FALSE)</f>
        <v>101712003</v>
      </c>
      <c r="C130" s="43" t="s">
        <v>1438</v>
      </c>
      <c r="D130" s="43" t="s">
        <v>320</v>
      </c>
      <c r="E130" s="43" t="str">
        <f>VLOOKUP(F130,CHOOSE({2,1},Attributes!B$3:B$130,Attributes!C$3:C$129),2,FALSE)</f>
        <v>DungeonSiegeExperienceAttributeSet</v>
      </c>
      <c r="F130" s="43" t="str">
        <f>Attributes!C3</f>
        <v>Strength</v>
      </c>
      <c r="G130" s="43" t="str">
        <f t="shared" si="3"/>
        <v>(AttributeName="Strength",Attribute=/Script/DSAbilitySystem.DungeonSiegeExperienceAttributeSet:Strength,AttributeOwner=Class'"/Script/DSAbilitySystem.DungeonSiegeExperienceAttributeSet"')</v>
      </c>
      <c r="H130" s="43">
        <v>6</v>
      </c>
      <c r="I130" s="43" t="str">
        <f t="shared" si="4"/>
        <v>GE_Suffix_of_Might</v>
      </c>
      <c r="J130" s="43" t="str">
        <f t="shared" si="5"/>
        <v>/Game/DungeonSiege/Blueprints/GameplayAbilities/Affixes/GE_Suffix_of_Might</v>
      </c>
    </row>
    <row r="131" spans="1:10" ht="33.75" x14ac:dyDescent="0.25">
      <c r="A131" s="43">
        <v>129</v>
      </c>
      <c r="B131" s="43">
        <f>VLOOKUP(C131,CHOOSE({2,1},Suffix!B$2:B$412,Suffix!C$2:C$412),2,FALSE)</f>
        <v>101712004</v>
      </c>
      <c r="C131" s="43" t="s">
        <v>178</v>
      </c>
      <c r="D131" s="43" t="s">
        <v>177</v>
      </c>
      <c r="E131" s="43" t="str">
        <f>VLOOKUP(F131,CHOOSE({2,1},Attributes!B$3:B$130,Attributes!C$3:C$129),2,FALSE)</f>
        <v>DungeonSiegeExperienceAttributeSet</v>
      </c>
      <c r="F131" s="43" t="str">
        <f>Attributes!C5</f>
        <v>Intelligence</v>
      </c>
      <c r="G131" s="43" t="str">
        <f t="shared" ref="G131:G194" si="6">CONCATENATE("(AttributeName=""",F131,""",Attribute=/Script/DSAbilitySystem."&amp; E131 &amp;":",F131,",AttributeOwner=Class'""/Script/DSAbilitySystem." &amp; E131 &amp; """')")</f>
        <v>(AttributeName="Intelligence",Attribute=/Script/DSAbilitySystem.DungeonSiegeExperienceAttributeSet:Intelligence,AttributeOwner=Class'"/Script/DSAbilitySystem.DungeonSiegeExperienceAttributeSet"')</v>
      </c>
      <c r="H131" s="43">
        <v>6</v>
      </c>
      <c r="I131" s="43" t="str">
        <f t="shared" ref="I131:I194" si="7">CONCATENATE("GE_Suffix_", SUBSTITUTE(C131," ","_"))</f>
        <v>GE_Suffix_of_Judgment</v>
      </c>
      <c r="J131" s="43" t="str">
        <f t="shared" ref="J131:J194" si="8">"/Game/DungeonSiege/Blueprints/GameplayAbilities/Affixes/" &amp;I131</f>
        <v>/Game/DungeonSiege/Blueprints/GameplayAbilities/Affixes/GE_Suffix_of_Judgment</v>
      </c>
    </row>
    <row r="132" spans="1:10" s="23" customFormat="1" ht="33.75" x14ac:dyDescent="0.25">
      <c r="A132" s="43">
        <v>130</v>
      </c>
      <c r="B132" s="43">
        <f>VLOOKUP(C132,CHOOSE({2,1},Suffix!B$2:B$412,Suffix!C$2:C$412),2,FALSE)</f>
        <v>101712005</v>
      </c>
      <c r="C132" s="43" t="s">
        <v>1440</v>
      </c>
      <c r="D132" s="43" t="s">
        <v>1441</v>
      </c>
      <c r="E132" s="43" t="str">
        <f>VLOOKUP(F132,CHOOSE({2,1},Attributes!B$3:B$130,Attributes!C$3:C$129),2,FALSE)</f>
        <v>DungeonSiegeDamageAttributeSet</v>
      </c>
      <c r="F132" s="43" t="str">
        <f>Attributes!C25</f>
        <v>MinPiercingDamageMod</v>
      </c>
      <c r="G132" s="43" t="str">
        <f t="shared" si="6"/>
        <v>(AttributeName="MinPiercingDamageMod",Attribute=/Script/DSAbilitySystem.DungeonSiegeDamageAttributeSet:MinPiercingDamageMod,AttributeOwner=Class'"/Script/DSAbilitySystem.DungeonSiegeDamageAttributeSet"')</v>
      </c>
      <c r="H132" s="43">
        <v>18</v>
      </c>
      <c r="I132" s="43" t="str">
        <f t="shared" si="7"/>
        <v>GE_Suffix_of_Acceleration</v>
      </c>
      <c r="J132" s="43" t="str">
        <f t="shared" si="8"/>
        <v>/Game/DungeonSiege/Blueprints/GameplayAbilities/Affixes/GE_Suffix_of_Acceleration</v>
      </c>
    </row>
    <row r="133" spans="1:10" ht="33.75" x14ac:dyDescent="0.25">
      <c r="A133" s="43">
        <v>131</v>
      </c>
      <c r="B133" s="43">
        <f>VLOOKUP(C133,CHOOSE({2,1},Suffix!B$2:B$412,Suffix!C$2:C$412),2,FALSE)</f>
        <v>101712005</v>
      </c>
      <c r="C133" s="43" t="s">
        <v>1440</v>
      </c>
      <c r="D133" s="43" t="s">
        <v>1441</v>
      </c>
      <c r="E133" s="43" t="str">
        <f>VLOOKUP(F133,CHOOSE({2,1},Attributes!B$3:B$130,Attributes!C$3:C$129),2,FALSE)</f>
        <v>DungeonSiegeDamageAttributeSet</v>
      </c>
      <c r="F133" s="43" t="str">
        <f>Attributes!C26</f>
        <v>MaxPiercingDamageMod</v>
      </c>
      <c r="G133" s="43" t="str">
        <f t="shared" si="6"/>
        <v>(AttributeName="MaxPiercingDamageMod",Attribute=/Script/DSAbilitySystem.DungeonSiegeDamageAttributeSet:MaxPiercingDamageMod,AttributeOwner=Class'"/Script/DSAbilitySystem.DungeonSiegeDamageAttributeSet"')</v>
      </c>
      <c r="H133" s="43">
        <v>42</v>
      </c>
      <c r="I133" s="43" t="str">
        <f t="shared" si="7"/>
        <v>GE_Suffix_of_Acceleration</v>
      </c>
      <c r="J133" s="43" t="str">
        <f t="shared" si="8"/>
        <v>/Game/DungeonSiege/Blueprints/GameplayAbilities/Affixes/GE_Suffix_of_Acceleration</v>
      </c>
    </row>
    <row r="134" spans="1:10" ht="33.75" x14ac:dyDescent="0.25">
      <c r="A134" s="43">
        <v>132</v>
      </c>
      <c r="B134" s="43">
        <f>VLOOKUP(C134,CHOOSE({2,1},Suffix!B$2:B$412,Suffix!C$2:C$412),2,FALSE)</f>
        <v>101712006</v>
      </c>
      <c r="C134" s="43" t="s">
        <v>1443</v>
      </c>
      <c r="D134" s="43" t="s">
        <v>1444</v>
      </c>
      <c r="E134" s="43" t="str">
        <f>VLOOKUP(F134,CHOOSE({2,1},Attributes!B$3:B$130,Attributes!C$3:C$129),2,FALSE)</f>
        <v>DungeonSiegeDamageAttributeSet</v>
      </c>
      <c r="F134" s="43" t="str">
        <f>Attributes!C33</f>
        <v>MeleeHitChance</v>
      </c>
      <c r="G134" s="43" t="str">
        <f t="shared" si="6"/>
        <v>(AttributeName="MeleeHitChance",Attribute=/Script/DSAbilitySystem.DungeonSiegeDamageAttributeSet:MeleeHitChance,AttributeOwner=Class'"/Script/DSAbilitySystem.DungeonSiegeDamageAttributeSet"')</v>
      </c>
      <c r="H134" s="43">
        <v>20</v>
      </c>
      <c r="I134" s="43" t="str">
        <f t="shared" si="7"/>
        <v>GE_Suffix_of_Excellence</v>
      </c>
      <c r="J134" s="43" t="str">
        <f t="shared" si="8"/>
        <v>/Game/DungeonSiege/Blueprints/GameplayAbilities/Affixes/GE_Suffix_of_Excellence</v>
      </c>
    </row>
    <row r="135" spans="1:10" ht="33.75" x14ac:dyDescent="0.25">
      <c r="A135" s="43">
        <v>133</v>
      </c>
      <c r="B135" s="43">
        <f>VLOOKUP(C135,CHOOSE({2,1},Suffix!B$2:B$412,Suffix!C$2:C$412),2,FALSE)</f>
        <v>101712007</v>
      </c>
      <c r="C135" s="43" t="s">
        <v>1447</v>
      </c>
      <c r="D135" s="43" t="s">
        <v>1448</v>
      </c>
      <c r="E135" s="43" t="str">
        <f>VLOOKUP(F135,CHOOSE({2,1},Attributes!B$3:B$130,Attributes!C$3:C$129),2,FALSE)</f>
        <v>DungeonSiegeMagicAttributeSet</v>
      </c>
      <c r="F135" s="43" t="str">
        <f>Attributes!C38</f>
        <v>NatureMagicMinDamageMod</v>
      </c>
      <c r="G135" s="43" t="str">
        <f t="shared" si="6"/>
        <v>(AttributeName="NatureMagicMinDamageMod",Attribute=/Script/DSAbilitySystem.DungeonSiegeMagicAttributeSet:NatureMagicMinDamageMod,AttributeOwner=Class'"/Script/DSAbilitySystem.DungeonSiegeMagicAttributeSet"')</v>
      </c>
      <c r="H135" s="43">
        <v>20</v>
      </c>
      <c r="I135" s="43" t="str">
        <f t="shared" si="7"/>
        <v>GE_Suffix_of_Boundlessness</v>
      </c>
      <c r="J135" s="43" t="str">
        <f t="shared" si="8"/>
        <v>/Game/DungeonSiege/Blueprints/GameplayAbilities/Affixes/GE_Suffix_of_Boundlessness</v>
      </c>
    </row>
    <row r="136" spans="1:10" ht="33.75" x14ac:dyDescent="0.25">
      <c r="A136" s="43">
        <v>134</v>
      </c>
      <c r="B136" s="43">
        <f>VLOOKUP(C136,CHOOSE({2,1},Suffix!B$2:B$412,Suffix!C$2:C$412),2,FALSE)</f>
        <v>101712008</v>
      </c>
      <c r="C136" s="43" t="s">
        <v>1450</v>
      </c>
      <c r="D136" s="43" t="s">
        <v>1451</v>
      </c>
      <c r="E136" s="43" t="str">
        <f>VLOOKUP(F136,CHOOSE({2,1},Attributes!B$3:B$130,Attributes!C$3:C$129),2,FALSE)</f>
        <v>DungeonSiegeMagicAttributeSet</v>
      </c>
      <c r="F136" s="43" t="str">
        <f>Attributes!C39</f>
        <v>NatureMagicMaxDamageMod</v>
      </c>
      <c r="G136" s="43" t="str">
        <f t="shared" si="6"/>
        <v>(AttributeName="NatureMagicMaxDamageMod",Attribute=/Script/DSAbilitySystem.DungeonSiegeMagicAttributeSet:NatureMagicMaxDamageMod,AttributeOwner=Class'"/Script/DSAbilitySystem.DungeonSiegeMagicAttributeSet"')</v>
      </c>
      <c r="H136" s="43">
        <v>20</v>
      </c>
      <c r="I136" s="43" t="str">
        <f t="shared" si="7"/>
        <v>GE_Suffix_of_Contention</v>
      </c>
      <c r="J136" s="43" t="str">
        <f t="shared" si="8"/>
        <v>/Game/DungeonSiege/Blueprints/GameplayAbilities/Affixes/GE_Suffix_of_Contention</v>
      </c>
    </row>
    <row r="137" spans="1:10" s="23" customFormat="1" ht="33.75" x14ac:dyDescent="0.25">
      <c r="A137" s="43">
        <v>135</v>
      </c>
      <c r="B137" s="43">
        <f>VLOOKUP(C137,CHOOSE({2,1},Suffix!B$2:B$412,Suffix!C$2:C$412),2,FALSE)</f>
        <v>101712009</v>
      </c>
      <c r="C137" s="43" t="s">
        <v>1453</v>
      </c>
      <c r="D137" s="43" t="s">
        <v>1454</v>
      </c>
      <c r="E137" s="43" t="str">
        <f>VLOOKUP(F137,CHOOSE({2,1},Attributes!B$3:B$130,Attributes!C$3:C$129),2,FALSE)</f>
        <v>DungeonSiegeDamageAttributeSet</v>
      </c>
      <c r="F137" s="43" t="str">
        <f>Attributes!C19</f>
        <v>MinDamageMod</v>
      </c>
      <c r="G137" s="43" t="str">
        <f t="shared" si="6"/>
        <v>(AttributeName="MinDamageMod",Attribute=/Script/DSAbilitySystem.DungeonSiegeDamageAttributeSet:MinDamageMod,AttributeOwner=Class'"/Script/DSAbilitySystem.DungeonSiegeDamageAttributeSet"')</v>
      </c>
      <c r="H137" s="43">
        <v>41</v>
      </c>
      <c r="I137" s="43" t="str">
        <f t="shared" si="7"/>
        <v>GE_Suffix_of_Impalement</v>
      </c>
      <c r="J137" s="43" t="str">
        <f t="shared" si="8"/>
        <v>/Game/DungeonSiege/Blueprints/GameplayAbilities/Affixes/GE_Suffix_of_Impalement</v>
      </c>
    </row>
    <row r="138" spans="1:10" ht="33.75" x14ac:dyDescent="0.25">
      <c r="A138" s="43">
        <v>136</v>
      </c>
      <c r="B138" s="43">
        <f>VLOOKUP(C138,CHOOSE({2,1},Suffix!B$2:B$412,Suffix!C$2:C$412),2,FALSE)</f>
        <v>101712009</v>
      </c>
      <c r="C138" s="43" t="s">
        <v>1453</v>
      </c>
      <c r="D138" s="43" t="s">
        <v>1454</v>
      </c>
      <c r="E138" s="43" t="str">
        <f>VLOOKUP(F138,CHOOSE({2,1},Attributes!B$3:B$130,Attributes!C$3:C$129),2,FALSE)</f>
        <v>DungeonSiegeDamageAttributeSet</v>
      </c>
      <c r="F138" s="43" t="str">
        <f>Attributes!C20</f>
        <v>MaxDamageMod</v>
      </c>
      <c r="G138" s="43" t="str">
        <f t="shared" si="6"/>
        <v>(AttributeName="MaxDamageMod",Attribute=/Script/DSAbilitySystem.DungeonSiegeDamageAttributeSet:MaxDamageMod,AttributeOwner=Class'"/Script/DSAbilitySystem.DungeonSiegeDamageAttributeSet"')</v>
      </c>
      <c r="H138" s="43">
        <v>67</v>
      </c>
      <c r="I138" s="43" t="str">
        <f t="shared" si="7"/>
        <v>GE_Suffix_of_Impalement</v>
      </c>
      <c r="J138" s="43" t="str">
        <f t="shared" si="8"/>
        <v>/Game/DungeonSiege/Blueprints/GameplayAbilities/Affixes/GE_Suffix_of_Impalement</v>
      </c>
    </row>
    <row r="139" spans="1:10" ht="33.75" x14ac:dyDescent="0.25">
      <c r="A139" s="43">
        <v>137</v>
      </c>
      <c r="B139" s="43">
        <f>VLOOKUP(C139,CHOOSE({2,1},Suffix!B$2:B$412,Suffix!C$2:C$412),2,FALSE)</f>
        <v>101712016</v>
      </c>
      <c r="C139" s="43" t="s">
        <v>175</v>
      </c>
      <c r="D139" s="43" t="s">
        <v>174</v>
      </c>
      <c r="E139" s="43" t="str">
        <f>VLOOKUP(F139,CHOOSE({2,1},Attributes!B$3:B$130,Attributes!C$3:C$129),2,FALSE)</f>
        <v>DungeonSiegeExperienceAttributeSet</v>
      </c>
      <c r="F139" s="43" t="str">
        <f>Attributes!C4</f>
        <v>Dexterity</v>
      </c>
      <c r="G139" s="43" t="str">
        <f t="shared" si="6"/>
        <v>(AttributeName="Dexterity",Attribute=/Script/DSAbilitySystem.DungeonSiegeExperienceAttributeSet:Dexterity,AttributeOwner=Class'"/Script/DSAbilitySystem.DungeonSiegeExperienceAttributeSet"')</v>
      </c>
      <c r="H139" s="43">
        <v>6</v>
      </c>
      <c r="I139" s="43" t="str">
        <f t="shared" si="7"/>
        <v>GE_Suffix_of_the_Dexterous</v>
      </c>
      <c r="J139" s="43" t="str">
        <f t="shared" si="8"/>
        <v>/Game/DungeonSiege/Blueprints/GameplayAbilities/Affixes/GE_Suffix_of_the_Dexterous</v>
      </c>
    </row>
    <row r="140" spans="1:10" ht="33.75" x14ac:dyDescent="0.25">
      <c r="A140" s="43">
        <v>138</v>
      </c>
      <c r="B140" s="43">
        <f>VLOOKUP(C140,CHOOSE({2,1},Suffix!B$2:B$412,Suffix!C$2:C$412),2,FALSE)</f>
        <v>101712017</v>
      </c>
      <c r="C140" s="43" t="s">
        <v>172</v>
      </c>
      <c r="D140" s="43" t="s">
        <v>171</v>
      </c>
      <c r="E140" s="43" t="str">
        <f>VLOOKUP(F140,CHOOSE({2,1},Attributes!B$3:B$130,Attributes!C$3:C$129),2,FALSE)</f>
        <v>DungeonSiegeManaAttributeSet</v>
      </c>
      <c r="F140" s="43" t="str">
        <f>Attributes!C90</f>
        <v>BaseManaBonus</v>
      </c>
      <c r="G140" s="43" t="str">
        <f t="shared" si="6"/>
        <v>(AttributeName="BaseManaBonus",Attribute=/Script/DSAbilitySystem.DungeonSiegeManaAttributeSet:BaseManaBonus,AttributeOwner=Class'"/Script/DSAbilitySystem.DungeonSiegeManaAttributeSet"')</v>
      </c>
      <c r="H140" s="43">
        <v>426</v>
      </c>
      <c r="I140" s="43" t="str">
        <f t="shared" si="7"/>
        <v>GE_Suffix_of_Reclamation</v>
      </c>
      <c r="J140" s="43" t="str">
        <f t="shared" si="8"/>
        <v>/Game/DungeonSiege/Blueprints/GameplayAbilities/Affixes/GE_Suffix_of_Reclamation</v>
      </c>
    </row>
    <row r="141" spans="1:10" ht="33.75" x14ac:dyDescent="0.25">
      <c r="A141" s="43">
        <v>139</v>
      </c>
      <c r="B141" s="43">
        <f>VLOOKUP(C141,CHOOSE({2,1},Suffix!B$2:B$412,Suffix!C$2:C$412),2,FALSE)</f>
        <v>101712018</v>
      </c>
      <c r="C141" s="43" t="s">
        <v>1456</v>
      </c>
      <c r="D141" s="43" t="s">
        <v>1342</v>
      </c>
      <c r="E141" s="43" t="str">
        <f>VLOOKUP(F141,CHOOSE({2,1},Attributes!B$3:B$130,Attributes!C$3:C$129),2,FALSE)</f>
        <v>DungeonSiegeDamageAttributeSet</v>
      </c>
      <c r="F141" s="43" t="str">
        <f>Attributes!C20</f>
        <v>MaxDamageMod</v>
      </c>
      <c r="G141" s="43" t="str">
        <f t="shared" si="6"/>
        <v>(AttributeName="MaxDamageMod",Attribute=/Script/DSAbilitySystem.DungeonSiegeDamageAttributeSet:MaxDamageMod,AttributeOwner=Class'"/Script/DSAbilitySystem.DungeonSiegeDamageAttributeSet"')</v>
      </c>
      <c r="H141" s="43">
        <v>54</v>
      </c>
      <c r="I141" s="43" t="str">
        <f t="shared" si="7"/>
        <v>GE_Suffix_of_the_Savage</v>
      </c>
      <c r="J141" s="43" t="str">
        <f t="shared" si="8"/>
        <v>/Game/DungeonSiege/Blueprints/GameplayAbilities/Affixes/GE_Suffix_of_the_Savage</v>
      </c>
    </row>
    <row r="142" spans="1:10" s="23" customFormat="1" ht="33.75" x14ac:dyDescent="0.25">
      <c r="A142" s="43">
        <v>140</v>
      </c>
      <c r="B142" s="43">
        <f>VLOOKUP(C142,CHOOSE({2,1},Suffix!B$2:B$412,Suffix!C$2:C$412),2,FALSE)</f>
        <v>101712019</v>
      </c>
      <c r="C142" s="43" t="s">
        <v>1458</v>
      </c>
      <c r="D142" s="43" t="s">
        <v>1459</v>
      </c>
      <c r="E142" s="43" t="str">
        <f>VLOOKUP(F142,CHOOSE({2,1},Attributes!B$3:B$130,Attributes!C$3:C$129),2,FALSE)</f>
        <v>DungeonSiegeElementalAttributeSet</v>
      </c>
      <c r="F142" s="43" t="str">
        <f>Attributes!C78</f>
        <v>LightningMinDamageMod</v>
      </c>
      <c r="G142" s="43" t="str">
        <f t="shared" si="6"/>
        <v>(AttributeName="LightningMinDamageMod",Attribute=/Script/DSAbilitySystem.DungeonSiegeElementalAttributeSet:LightningMinDamageMod,AttributeOwner=Class'"/Script/DSAbilitySystem.DungeonSiegeElementalAttributeSet"')</v>
      </c>
      <c r="H142" s="43">
        <v>49</v>
      </c>
      <c r="I142" s="43" t="str">
        <f t="shared" si="7"/>
        <v>GE_Suffix_of_the_Jolted</v>
      </c>
      <c r="J142" s="43" t="str">
        <f t="shared" si="8"/>
        <v>/Game/DungeonSiege/Blueprints/GameplayAbilities/Affixes/GE_Suffix_of_the_Jolted</v>
      </c>
    </row>
    <row r="143" spans="1:10" ht="33.75" x14ac:dyDescent="0.25">
      <c r="A143" s="43">
        <v>141</v>
      </c>
      <c r="B143" s="43">
        <f>VLOOKUP(C143,CHOOSE({2,1},Suffix!B$2:B$412,Suffix!C$2:C$412),2,FALSE)</f>
        <v>101712019</v>
      </c>
      <c r="C143" s="43" t="s">
        <v>1458</v>
      </c>
      <c r="D143" s="43" t="s">
        <v>1459</v>
      </c>
      <c r="E143" s="43" t="str">
        <f>VLOOKUP(F143,CHOOSE({2,1},Attributes!B$3:B$130,Attributes!C$3:C$129),2,FALSE)</f>
        <v>DungeonSiegeElementalAttributeSet</v>
      </c>
      <c r="F143" s="43" t="str">
        <f>Attributes!C79</f>
        <v>LightningMaxDamageMod</v>
      </c>
      <c r="G143" s="43" t="str">
        <f t="shared" si="6"/>
        <v>(AttributeName="LightningMaxDamageMod",Attribute=/Script/DSAbilitySystem.DungeonSiegeElementalAttributeSet:LightningMaxDamageMod,AttributeOwner=Class'"/Script/DSAbilitySystem.DungeonSiegeElementalAttributeSet"')</v>
      </c>
      <c r="H143" s="43">
        <v>58</v>
      </c>
      <c r="I143" s="43" t="str">
        <f t="shared" si="7"/>
        <v>GE_Suffix_of_the_Jolted</v>
      </c>
      <c r="J143" s="43" t="str">
        <f t="shared" si="8"/>
        <v>/Game/DungeonSiege/Blueprints/GameplayAbilities/Affixes/GE_Suffix_of_the_Jolted</v>
      </c>
    </row>
    <row r="144" spans="1:10" s="23" customFormat="1" ht="33.75" x14ac:dyDescent="0.25">
      <c r="A144" s="43">
        <v>142</v>
      </c>
      <c r="B144" s="43">
        <f>VLOOKUP(C144,CHOOSE({2,1},Suffix!B$2:B$412,Suffix!C$2:C$412),2,FALSE)</f>
        <v>101712020</v>
      </c>
      <c r="C144" s="43" t="s">
        <v>1461</v>
      </c>
      <c r="D144" s="43" t="s">
        <v>1462</v>
      </c>
      <c r="E144" s="43" t="str">
        <f>VLOOKUP(F144,CHOOSE({2,1},Attributes!B$3:B$130,Attributes!C$3:C$129),2,FALSE)</f>
        <v>DungeonSiegeElementalAttributeSet</v>
      </c>
      <c r="F144" s="43" t="str">
        <f>Attributes!C78</f>
        <v>LightningMinDamageMod</v>
      </c>
      <c r="G144" s="43" t="str">
        <f t="shared" si="6"/>
        <v>(AttributeName="LightningMinDamageMod",Attribute=/Script/DSAbilitySystem.DungeonSiegeElementalAttributeSet:LightningMinDamageMod,AttributeOwner=Class'"/Script/DSAbilitySystem.DungeonSiegeElementalAttributeSet"')</v>
      </c>
      <c r="H144" s="43">
        <v>34</v>
      </c>
      <c r="I144" s="43" t="str">
        <f t="shared" si="7"/>
        <v>GE_Suffix_of_Cyclones</v>
      </c>
      <c r="J144" s="43" t="str">
        <f t="shared" si="8"/>
        <v>/Game/DungeonSiege/Blueprints/GameplayAbilities/Affixes/GE_Suffix_of_Cyclones</v>
      </c>
    </row>
    <row r="145" spans="1:10" ht="33.75" x14ac:dyDescent="0.25">
      <c r="A145" s="43">
        <v>143</v>
      </c>
      <c r="B145" s="43">
        <f>VLOOKUP(C145,CHOOSE({2,1},Suffix!B$2:B$412,Suffix!C$2:C$412),2,FALSE)</f>
        <v>101712020</v>
      </c>
      <c r="C145" s="43" t="s">
        <v>1461</v>
      </c>
      <c r="D145" s="43" t="s">
        <v>1462</v>
      </c>
      <c r="E145" s="43" t="str">
        <f>VLOOKUP(F145,CHOOSE({2,1},Attributes!B$3:B$130,Attributes!C$3:C$129),2,FALSE)</f>
        <v>DungeonSiegeElementalAttributeSet</v>
      </c>
      <c r="F145" s="43" t="str">
        <f>Attributes!C79</f>
        <v>LightningMaxDamageMod</v>
      </c>
      <c r="G145" s="43" t="str">
        <f t="shared" si="6"/>
        <v>(AttributeName="LightningMaxDamageMod",Attribute=/Script/DSAbilitySystem.DungeonSiegeElementalAttributeSet:LightningMaxDamageMod,AttributeOwner=Class'"/Script/DSAbilitySystem.DungeonSiegeElementalAttributeSet"')</v>
      </c>
      <c r="H145" s="43">
        <v>41</v>
      </c>
      <c r="I145" s="43" t="str">
        <f t="shared" si="7"/>
        <v>GE_Suffix_of_Cyclones</v>
      </c>
      <c r="J145" s="43" t="str">
        <f t="shared" si="8"/>
        <v>/Game/DungeonSiege/Blueprints/GameplayAbilities/Affixes/GE_Suffix_of_Cyclones</v>
      </c>
    </row>
    <row r="146" spans="1:10" ht="33.75" x14ac:dyDescent="0.25">
      <c r="A146" s="43">
        <v>144</v>
      </c>
      <c r="B146" s="43">
        <f>VLOOKUP(C146,CHOOSE({2,1},Suffix!B$2:B$412,Suffix!C$2:C$412),2,FALSE)</f>
        <v>101712021</v>
      </c>
      <c r="C146" s="43" t="s">
        <v>1464</v>
      </c>
      <c r="D146" s="43" t="s">
        <v>1465</v>
      </c>
      <c r="E146" s="43" t="str">
        <f>VLOOKUP(F146,CHOOSE({2,1},Attributes!B$3:B$130,Attributes!C$3:C$129),2,FALSE)</f>
        <v>DungeonSiegePerHitAttributeSet</v>
      </c>
      <c r="F146" s="43" t="str">
        <f>Attributes!C13</f>
        <v>HealthStealPerHit</v>
      </c>
      <c r="G146" s="43" t="str">
        <f t="shared" si="6"/>
        <v>(AttributeName="HealthStealPerHit",Attribute=/Script/DSAbilitySystem.DungeonSiegePerHitAttributeSet:HealthStealPerHit,AttributeOwner=Class'"/Script/DSAbilitySystem.DungeonSiegePerHitAttributeSet"')</v>
      </c>
      <c r="H146" s="43">
        <v>6</v>
      </c>
      <c r="I146" s="43" t="str">
        <f t="shared" si="7"/>
        <v>GE_Suffix_of_Perjury</v>
      </c>
      <c r="J146" s="43" t="str">
        <f t="shared" si="8"/>
        <v>/Game/DungeonSiege/Blueprints/GameplayAbilities/Affixes/GE_Suffix_of_Perjury</v>
      </c>
    </row>
    <row r="147" spans="1:10" s="23" customFormat="1" ht="33.75" x14ac:dyDescent="0.25">
      <c r="A147" s="43">
        <v>145</v>
      </c>
      <c r="B147" s="43">
        <f>VLOOKUP(C147,CHOOSE({2,1},Suffix!B$2:B$412,Suffix!C$2:C$412),2,FALSE)</f>
        <v>101712022</v>
      </c>
      <c r="C147" s="43" t="s">
        <v>1467</v>
      </c>
      <c r="D147" s="43" t="s">
        <v>1468</v>
      </c>
      <c r="E147" s="43" t="str">
        <f>VLOOKUP(F147,CHOOSE({2,1},Attributes!B$3:B$130,Attributes!C$3:C$129),2,FALSE)</f>
        <v>DungeonSiegeDamageAttributeSet</v>
      </c>
      <c r="F147" s="43" t="str">
        <f>Attributes!C19</f>
        <v>MinDamageMod</v>
      </c>
      <c r="G147" s="43" t="str">
        <f t="shared" si="6"/>
        <v>(AttributeName="MinDamageMod",Attribute=/Script/DSAbilitySystem.DungeonSiegeDamageAttributeSet:MinDamageMod,AttributeOwner=Class'"/Script/DSAbilitySystem.DungeonSiegeDamageAttributeSet"')</v>
      </c>
      <c r="H147" s="43">
        <v>21</v>
      </c>
      <c r="I147" s="43" t="str">
        <f t="shared" si="7"/>
        <v>GE_Suffix_of_Afar</v>
      </c>
      <c r="J147" s="43" t="str">
        <f t="shared" si="8"/>
        <v>/Game/DungeonSiege/Blueprints/GameplayAbilities/Affixes/GE_Suffix_of_Afar</v>
      </c>
    </row>
    <row r="148" spans="1:10" ht="33.75" x14ac:dyDescent="0.25">
      <c r="A148" s="43">
        <v>146</v>
      </c>
      <c r="B148" s="43">
        <f>VLOOKUP(C148,CHOOSE({2,1},Suffix!B$2:B$412,Suffix!C$2:C$412),2,FALSE)</f>
        <v>101712022</v>
      </c>
      <c r="C148" s="43" t="s">
        <v>1467</v>
      </c>
      <c r="D148" s="43" t="s">
        <v>1468</v>
      </c>
      <c r="E148" s="43" t="str">
        <f>VLOOKUP(F148,CHOOSE({2,1},Attributes!B$3:B$130,Attributes!C$3:C$129),2,FALSE)</f>
        <v>DungeonSiegeDamageAttributeSet</v>
      </c>
      <c r="F148" s="43" t="str">
        <f>Attributes!C20</f>
        <v>MaxDamageMod</v>
      </c>
      <c r="G148" s="43" t="str">
        <f t="shared" si="6"/>
        <v>(AttributeName="MaxDamageMod",Attribute=/Script/DSAbilitySystem.DungeonSiegeDamageAttributeSet:MaxDamageMod,AttributeOwner=Class'"/Script/DSAbilitySystem.DungeonSiegeDamageAttributeSet"')</v>
      </c>
      <c r="H148" s="43">
        <v>51</v>
      </c>
      <c r="I148" s="43" t="str">
        <f t="shared" si="7"/>
        <v>GE_Suffix_of_Afar</v>
      </c>
      <c r="J148" s="43" t="str">
        <f t="shared" si="8"/>
        <v>/Game/DungeonSiege/Blueprints/GameplayAbilities/Affixes/GE_Suffix_of_Afar</v>
      </c>
    </row>
    <row r="149" spans="1:10" ht="33.75" x14ac:dyDescent="0.25">
      <c r="A149" s="43">
        <v>147</v>
      </c>
      <c r="B149" s="43">
        <f>VLOOKUP(C149,CHOOSE({2,1},Suffix!B$2:B$412,Suffix!C$2:C$412),2,FALSE)</f>
        <v>101712023</v>
      </c>
      <c r="C149" s="43" t="s">
        <v>1470</v>
      </c>
      <c r="D149" s="43" t="s">
        <v>1471</v>
      </c>
      <c r="E149" s="43" t="str">
        <f>VLOOKUP(F149,CHOOSE({2,1},Attributes!B$3:B$130,Attributes!C$3:C$129),2,FALSE)</f>
        <v>DungeonSiegeCastOnHitAttributeSet</v>
      </c>
      <c r="F149" s="43" t="str">
        <f>Attributes!C107</f>
        <v>ChanceToCastStarburstOnHit</v>
      </c>
      <c r="G149" s="43" t="str">
        <f t="shared" si="6"/>
        <v>(AttributeName="ChanceToCastStarburstOnHit",Attribute=/Script/DSAbilitySystem.DungeonSiegeCastOnHitAttributeSet:ChanceToCastStarburstOnHit,AttributeOwner=Class'"/Script/DSAbilitySystem.DungeonSiegeCastOnHitAttributeSet"')</v>
      </c>
      <c r="H149" s="43">
        <v>30</v>
      </c>
      <c r="I149" s="43" t="str">
        <f t="shared" si="7"/>
        <v>GE_Suffix_of_Greater_Starburst</v>
      </c>
      <c r="J149" s="43" t="str">
        <f t="shared" si="8"/>
        <v>/Game/DungeonSiege/Blueprints/GameplayAbilities/Affixes/GE_Suffix_of_Greater_Starburst</v>
      </c>
    </row>
    <row r="150" spans="1:10" s="23" customFormat="1" ht="33.75" x14ac:dyDescent="0.25">
      <c r="A150" s="43">
        <v>148</v>
      </c>
      <c r="B150" s="43">
        <f>VLOOKUP(C150,CHOOSE({2,1},Suffix!B$2:B$412,Suffix!C$2:C$412),2,FALSE)</f>
        <v>101712024</v>
      </c>
      <c r="C150" s="43" t="s">
        <v>1473</v>
      </c>
      <c r="D150" s="43" t="s">
        <v>3266</v>
      </c>
      <c r="E150" s="43" t="str">
        <f>VLOOKUP(F150,CHOOSE({2,1},Attributes!B$3:B$130,Attributes!C$3:C$129),2,FALSE)</f>
        <v>DungeonSiegeHealthAttributeSet</v>
      </c>
      <c r="F150" s="43" t="str">
        <f>Attributes!C82</f>
        <v>BaseHealthBonus</v>
      </c>
      <c r="G150" s="43" t="str">
        <f t="shared" si="6"/>
        <v>(AttributeName="BaseHealthBonus",Attribute=/Script/DSAbilitySystem.DungeonSiegeHealthAttributeSet:BaseHealthBonus,AttributeOwner=Class'"/Script/DSAbilitySystem.DungeonSiegeHealthAttributeSet"')</v>
      </c>
      <c r="H150" s="43">
        <v>62</v>
      </c>
      <c r="I150" s="43" t="str">
        <f t="shared" si="7"/>
        <v>GE_Suffix_of_Glory</v>
      </c>
      <c r="J150" s="43" t="str">
        <f t="shared" si="8"/>
        <v>/Game/DungeonSiege/Blueprints/GameplayAbilities/Affixes/GE_Suffix_of_Glory</v>
      </c>
    </row>
    <row r="151" spans="1:10" s="23" customFormat="1" ht="33.75" x14ac:dyDescent="0.25">
      <c r="A151" s="43">
        <v>149</v>
      </c>
      <c r="B151" s="43">
        <f>VLOOKUP(C151,CHOOSE({2,1},Suffix!B$2:B$412,Suffix!C$2:C$412),2,FALSE)</f>
        <v>101712024</v>
      </c>
      <c r="C151" s="43" t="s">
        <v>1473</v>
      </c>
      <c r="D151" s="43" t="s">
        <v>744</v>
      </c>
      <c r="E151" s="43" t="str">
        <f>VLOOKUP(F151,CHOOSE({2,1},Attributes!B$3:B$130,Attributes!C$3:C$129),2,FALSE)</f>
        <v>DungeonSiegePerHitAttributeSet</v>
      </c>
      <c r="F151" s="43" t="str">
        <f>Attributes!C12</f>
        <v>ManaPerHit</v>
      </c>
      <c r="G151" s="43" t="str">
        <f t="shared" si="6"/>
        <v>(AttributeName="ManaPerHit",Attribute=/Script/DSAbilitySystem.DungeonSiegePerHitAttributeSet:ManaPerHit,AttributeOwner=Class'"/Script/DSAbilitySystem.DungeonSiegePerHitAttributeSet"')</v>
      </c>
      <c r="H151" s="43">
        <v>6</v>
      </c>
      <c r="I151" s="43" t="str">
        <f t="shared" si="7"/>
        <v>GE_Suffix_of_Glory</v>
      </c>
      <c r="J151" s="43" t="str">
        <f t="shared" si="8"/>
        <v>/Game/DungeonSiege/Blueprints/GameplayAbilities/Affixes/GE_Suffix_of_Glory</v>
      </c>
    </row>
    <row r="152" spans="1:10" s="23" customFormat="1" ht="33.75" x14ac:dyDescent="0.25">
      <c r="A152" s="43">
        <v>150</v>
      </c>
      <c r="B152" s="43">
        <f>VLOOKUP(C152,CHOOSE({2,1},Suffix!B$2:B$412,Suffix!C$2:C$412),2,FALSE)</f>
        <v>101712024</v>
      </c>
      <c r="C152" s="43" t="s">
        <v>1473</v>
      </c>
      <c r="D152" s="43" t="s">
        <v>3267</v>
      </c>
      <c r="E152" s="43" t="str">
        <f>VLOOKUP(F152,CHOOSE({2,1},Attributes!B$3:B$130,Attributes!C$3:C$129),2,FALSE)</f>
        <v>DungeonSiegeMagicAttributeSet</v>
      </c>
      <c r="F152" s="43" t="str">
        <f>Attributes!C42</f>
        <v>CombatMagicMaxDamageMod</v>
      </c>
      <c r="G152" s="43" t="str">
        <f t="shared" si="6"/>
        <v>(AttributeName="CombatMagicMaxDamageMod",Attribute=/Script/DSAbilitySystem.DungeonSiegeMagicAttributeSet:CombatMagicMaxDamageMod,AttributeOwner=Class'"/Script/DSAbilitySystem.DungeonSiegeMagicAttributeSet"')</v>
      </c>
      <c r="H152" s="43">
        <v>7</v>
      </c>
      <c r="I152" s="43" t="str">
        <f t="shared" si="7"/>
        <v>GE_Suffix_of_Glory</v>
      </c>
      <c r="J152" s="43" t="str">
        <f t="shared" si="8"/>
        <v>/Game/DungeonSiege/Blueprints/GameplayAbilities/Affixes/GE_Suffix_of_Glory</v>
      </c>
    </row>
    <row r="153" spans="1:10" ht="33.75" x14ac:dyDescent="0.25">
      <c r="A153" s="43">
        <v>151</v>
      </c>
      <c r="B153" s="43">
        <f>VLOOKUP(C153,CHOOSE({2,1},Suffix!B$2:B$412,Suffix!C$2:C$412),2,FALSE)</f>
        <v>101712024</v>
      </c>
      <c r="C153" s="43" t="s">
        <v>1473</v>
      </c>
      <c r="D153" s="43" t="s">
        <v>800</v>
      </c>
      <c r="E153" s="43" t="str">
        <f>VLOOKUP(F153,CHOOSE({2,1},Attributes!B$3:B$130,Attributes!C$3:C$129),2,FALSE)</f>
        <v>DungeonSiegeMagicAttributeSet</v>
      </c>
      <c r="F153" s="43" t="str">
        <f>Attributes!C38</f>
        <v>NatureMagicMinDamageMod</v>
      </c>
      <c r="G153" s="43" t="str">
        <f t="shared" si="6"/>
        <v>(AttributeName="NatureMagicMinDamageMod",Attribute=/Script/DSAbilitySystem.DungeonSiegeMagicAttributeSet:NatureMagicMinDamageMod,AttributeOwner=Class'"/Script/DSAbilitySystem.DungeonSiegeMagicAttributeSet"')</v>
      </c>
      <c r="H153" s="43">
        <v>1</v>
      </c>
      <c r="I153" s="43" t="str">
        <f t="shared" si="7"/>
        <v>GE_Suffix_of_Glory</v>
      </c>
      <c r="J153" s="43" t="str">
        <f t="shared" si="8"/>
        <v>/Game/DungeonSiege/Blueprints/GameplayAbilities/Affixes/GE_Suffix_of_Glory</v>
      </c>
    </row>
    <row r="154" spans="1:10" ht="33.75" x14ac:dyDescent="0.25">
      <c r="A154" s="43">
        <v>152</v>
      </c>
      <c r="B154" s="43">
        <f>VLOOKUP(C154,CHOOSE({2,1},Suffix!B$2:B$412,Suffix!C$2:C$412),2,FALSE)</f>
        <v>101712025</v>
      </c>
      <c r="C154" s="43" t="s">
        <v>1475</v>
      </c>
      <c r="D154" s="43" t="s">
        <v>1476</v>
      </c>
      <c r="E154" s="43" t="str">
        <f>VLOOKUP(F154,CHOOSE({2,1},Attributes!B$3:B$130,Attributes!C$3:C$129),2,FALSE)</f>
        <v>DungeonSiegeCastOnHitAttributeSet</v>
      </c>
      <c r="F154" s="43" t="str">
        <f>Attributes!C105</f>
        <v>ChanceToCastNovaStrikeOnHit</v>
      </c>
      <c r="G154" s="43" t="str">
        <f t="shared" si="6"/>
        <v>(AttributeName="ChanceToCastNovaStrikeOnHit",Attribute=/Script/DSAbilitySystem.DungeonSiegeCastOnHitAttributeSet:ChanceToCastNovaStrikeOnHit,AttributeOwner=Class'"/Script/DSAbilitySystem.DungeonSiegeCastOnHitAttributeSet"')</v>
      </c>
      <c r="H154" s="43">
        <v>25</v>
      </c>
      <c r="I154" s="43" t="str">
        <f t="shared" si="7"/>
        <v>GE_Suffix_of_Major_Nova_Strike</v>
      </c>
      <c r="J154" s="43" t="str">
        <f t="shared" si="8"/>
        <v>/Game/DungeonSiege/Blueprints/GameplayAbilities/Affixes/GE_Suffix_of_Major_Nova_Strike</v>
      </c>
    </row>
    <row r="155" spans="1:10" ht="33.75" x14ac:dyDescent="0.25">
      <c r="A155" s="43">
        <v>153</v>
      </c>
      <c r="B155" s="43">
        <f>VLOOKUP(C155,CHOOSE({2,1},Suffix!B$2:B$412,Suffix!C$2:C$412),2,FALSE)</f>
        <v>101712128</v>
      </c>
      <c r="C155" s="43" t="s">
        <v>169</v>
      </c>
      <c r="D155" s="43" t="s">
        <v>168</v>
      </c>
      <c r="E155" s="43" t="str">
        <f>VLOOKUP(F155,CHOOSE({2,1},Attributes!B$3:B$130,Attributes!C$3:C$129),2,FALSE)</f>
        <v>DungeonSiegeHealthAttributeSet</v>
      </c>
      <c r="F155" s="43" t="str">
        <f>Attributes!C82</f>
        <v>BaseHealthBonus</v>
      </c>
      <c r="G155" s="43" t="str">
        <f t="shared" si="6"/>
        <v>(AttributeName="BaseHealthBonus",Attribute=/Script/DSAbilitySystem.DungeonSiegeHealthAttributeSet:BaseHealthBonus,AttributeOwner=Class'"/Script/DSAbilitySystem.DungeonSiegeHealthAttributeSet"')</v>
      </c>
      <c r="H155" s="43">
        <v>230</v>
      </c>
      <c r="I155" s="43" t="str">
        <f t="shared" si="7"/>
        <v>GE_Suffix_of_the_Leopard</v>
      </c>
      <c r="J155" s="43" t="str">
        <f t="shared" si="8"/>
        <v>/Game/DungeonSiege/Blueprints/GameplayAbilities/Affixes/GE_Suffix_of_the_Leopard</v>
      </c>
    </row>
    <row r="156" spans="1:10" s="23" customFormat="1" ht="33.75" x14ac:dyDescent="0.25">
      <c r="A156" s="43">
        <v>154</v>
      </c>
      <c r="B156" s="43">
        <f>VLOOKUP(C156,CHOOSE({2,1},Suffix!B$2:B$412,Suffix!C$2:C$412),2,FALSE)</f>
        <v>101712129</v>
      </c>
      <c r="C156" s="43" t="s">
        <v>1478</v>
      </c>
      <c r="D156" s="43" t="s">
        <v>1479</v>
      </c>
      <c r="E156" s="43" t="str">
        <f>VLOOKUP(F156,CHOOSE({2,1},Attributes!B$3:B$130,Attributes!C$3:C$129),2,FALSE)</f>
        <v>DungeonSiegeDamageAttributeSet</v>
      </c>
      <c r="F156" s="43" t="str">
        <f>Attributes!C25</f>
        <v>MinPiercingDamageMod</v>
      </c>
      <c r="G156" s="43" t="str">
        <f t="shared" si="6"/>
        <v>(AttributeName="MinPiercingDamageMod",Attribute=/Script/DSAbilitySystem.DungeonSiegeDamageAttributeSet:MinPiercingDamageMod,AttributeOwner=Class'"/Script/DSAbilitySystem.DungeonSiegeDamageAttributeSet"')</v>
      </c>
      <c r="H156" s="43">
        <v>17</v>
      </c>
      <c r="I156" s="43" t="str">
        <f t="shared" si="7"/>
        <v>GE_Suffix_of_Tusks</v>
      </c>
      <c r="J156" s="43" t="str">
        <f t="shared" si="8"/>
        <v>/Game/DungeonSiege/Blueprints/GameplayAbilities/Affixes/GE_Suffix_of_Tusks</v>
      </c>
    </row>
    <row r="157" spans="1:10" ht="33.75" x14ac:dyDescent="0.25">
      <c r="A157" s="43">
        <v>155</v>
      </c>
      <c r="B157" s="43">
        <f>VLOOKUP(C157,CHOOSE({2,1},Suffix!B$2:B$412,Suffix!C$2:C$412),2,FALSE)</f>
        <v>101712129</v>
      </c>
      <c r="C157" s="43" t="s">
        <v>1478</v>
      </c>
      <c r="D157" s="43" t="s">
        <v>1479</v>
      </c>
      <c r="E157" s="43" t="str">
        <f>VLOOKUP(F157,CHOOSE({2,1},Attributes!B$3:B$130,Attributes!C$3:C$129),2,FALSE)</f>
        <v>DungeonSiegeDamageAttributeSet</v>
      </c>
      <c r="F157" s="43" t="str">
        <f>Attributes!C26</f>
        <v>MaxPiercingDamageMod</v>
      </c>
      <c r="G157" s="43" t="str">
        <f t="shared" si="6"/>
        <v>(AttributeName="MaxPiercingDamageMod",Attribute=/Script/DSAbilitySystem.DungeonSiegeDamageAttributeSet:MaxPiercingDamageMod,AttributeOwner=Class'"/Script/DSAbilitySystem.DungeonSiegeDamageAttributeSet"')</v>
      </c>
      <c r="H157" s="43">
        <v>41</v>
      </c>
      <c r="I157" s="43" t="str">
        <f t="shared" si="7"/>
        <v>GE_Suffix_of_Tusks</v>
      </c>
      <c r="J157" s="43" t="str">
        <f t="shared" si="8"/>
        <v>/Game/DungeonSiege/Blueprints/GameplayAbilities/Affixes/GE_Suffix_of_Tusks</v>
      </c>
    </row>
    <row r="158" spans="1:10" ht="33.75" x14ac:dyDescent="0.25">
      <c r="A158" s="43">
        <v>156</v>
      </c>
      <c r="B158" s="43">
        <f>VLOOKUP(C158,CHOOSE({2,1},Suffix!B$2:B$412,Suffix!C$2:C$412),2,FALSE)</f>
        <v>101712130</v>
      </c>
      <c r="C158" s="43" t="s">
        <v>1481</v>
      </c>
      <c r="D158" s="43" t="s">
        <v>1482</v>
      </c>
      <c r="E158" s="43" t="str">
        <f>VLOOKUP(F158,CHOOSE({2,1},Attributes!B$3:B$130,Attributes!C$3:C$129),2,FALSE)</f>
        <v>DungeonSiegePerHitAttributeSet</v>
      </c>
      <c r="F158" s="43" t="str">
        <f>Attributes!C14</f>
        <v>ManaStealPerHit</v>
      </c>
      <c r="G158" s="43" t="str">
        <f t="shared" si="6"/>
        <v>(AttributeName="ManaStealPerHit",Attribute=/Script/DSAbilitySystem.DungeonSiegePerHitAttributeSet:ManaStealPerHit,AttributeOwner=Class'"/Script/DSAbilitySystem.DungeonSiegePerHitAttributeSet"')</v>
      </c>
      <c r="H158" s="43">
        <v>11</v>
      </c>
      <c r="I158" s="43" t="str">
        <f t="shared" si="7"/>
        <v>GE_Suffix_of_the_Raider</v>
      </c>
      <c r="J158" s="43" t="str">
        <f t="shared" si="8"/>
        <v>/Game/DungeonSiege/Blueprints/GameplayAbilities/Affixes/GE_Suffix_of_the_Raider</v>
      </c>
    </row>
    <row r="159" spans="1:10" s="23" customFormat="1" ht="33.75" x14ac:dyDescent="0.25">
      <c r="A159" s="43">
        <v>157</v>
      </c>
      <c r="B159" s="43">
        <f>VLOOKUP(C159,CHOOSE({2,1},Suffix!B$2:B$412,Suffix!C$2:C$412),2,FALSE)</f>
        <v>101712131</v>
      </c>
      <c r="C159" s="43" t="s">
        <v>1484</v>
      </c>
      <c r="D159" s="43" t="s">
        <v>1485</v>
      </c>
      <c r="E159" s="43" t="str">
        <f>VLOOKUP(F159,CHOOSE({2,1},Attributes!B$3:B$130,Attributes!C$3:C$129),2,FALSE)</f>
        <v>DungeonSiegeMagicAttributeSet</v>
      </c>
      <c r="F159" s="43" t="str">
        <f>Attributes!C38</f>
        <v>NatureMagicMinDamageMod</v>
      </c>
      <c r="G159" s="43" t="str">
        <f t="shared" si="6"/>
        <v>(AttributeName="NatureMagicMinDamageMod",Attribute=/Script/DSAbilitySystem.DungeonSiegeMagicAttributeSet:NatureMagicMinDamageMod,AttributeOwner=Class'"/Script/DSAbilitySystem.DungeonSiegeMagicAttributeSet"')</v>
      </c>
      <c r="H159" s="43">
        <v>10</v>
      </c>
      <c r="I159" s="43" t="str">
        <f t="shared" si="7"/>
        <v>GE_Suffix_of_Vibrancy</v>
      </c>
      <c r="J159" s="43" t="str">
        <f t="shared" si="8"/>
        <v>/Game/DungeonSiege/Blueprints/GameplayAbilities/Affixes/GE_Suffix_of_Vibrancy</v>
      </c>
    </row>
    <row r="160" spans="1:10" ht="33.75" x14ac:dyDescent="0.25">
      <c r="A160" s="43">
        <v>158</v>
      </c>
      <c r="B160" s="43">
        <f>VLOOKUP(C160,CHOOSE({2,1},Suffix!B$2:B$412,Suffix!C$2:C$412),2,FALSE)</f>
        <v>101712131</v>
      </c>
      <c r="C160" s="43" t="s">
        <v>1484</v>
      </c>
      <c r="D160" s="43" t="s">
        <v>1485</v>
      </c>
      <c r="E160" s="43" t="str">
        <f>VLOOKUP(F160,CHOOSE({2,1},Attributes!B$3:B$130,Attributes!C$3:C$129),2,FALSE)</f>
        <v>DungeonSiegeMagicAttributeSet</v>
      </c>
      <c r="F160" s="43" t="str">
        <f>Attributes!C39</f>
        <v>NatureMagicMaxDamageMod</v>
      </c>
      <c r="G160" s="43" t="str">
        <f t="shared" si="6"/>
        <v>(AttributeName="NatureMagicMaxDamageMod",Attribute=/Script/DSAbilitySystem.DungeonSiegeMagicAttributeSet:NatureMagicMaxDamageMod,AttributeOwner=Class'"/Script/DSAbilitySystem.DungeonSiegeMagicAttributeSet"')</v>
      </c>
      <c r="H160" s="43">
        <v>30</v>
      </c>
      <c r="I160" s="43" t="str">
        <f t="shared" si="7"/>
        <v>GE_Suffix_of_Vibrancy</v>
      </c>
      <c r="J160" s="43" t="str">
        <f t="shared" si="8"/>
        <v>/Game/DungeonSiege/Blueprints/GameplayAbilities/Affixes/GE_Suffix_of_Vibrancy</v>
      </c>
    </row>
    <row r="161" spans="1:10" s="23" customFormat="1" ht="33.75" x14ac:dyDescent="0.25">
      <c r="A161" s="43">
        <v>159</v>
      </c>
      <c r="B161" s="43">
        <f>VLOOKUP(C161,CHOOSE({2,1},Suffix!B$2:B$412,Suffix!C$2:C$412),2,FALSE)</f>
        <v>101712132</v>
      </c>
      <c r="C161" s="43" t="s">
        <v>1487</v>
      </c>
      <c r="D161" s="43" t="s">
        <v>1488</v>
      </c>
      <c r="E161" s="43" t="str">
        <f>VLOOKUP(F161,CHOOSE({2,1},Attributes!B$3:B$130,Attributes!C$3:C$129),2,FALSE)</f>
        <v>DungeonSiegeMagicAttributeSet</v>
      </c>
      <c r="F161" s="43" t="str">
        <f>Attributes!C41</f>
        <v>CombatMagicMinDamageMod</v>
      </c>
      <c r="G161" s="43" t="str">
        <f t="shared" si="6"/>
        <v>(AttributeName="CombatMagicMinDamageMod",Attribute=/Script/DSAbilitySystem.DungeonSiegeMagicAttributeSet:CombatMagicMinDamageMod,AttributeOwner=Class'"/Script/DSAbilitySystem.DungeonSiegeMagicAttributeSet"')</v>
      </c>
      <c r="H161" s="43">
        <v>10</v>
      </c>
      <c r="I161" s="43" t="str">
        <f t="shared" si="7"/>
        <v>GE_Suffix_of_Clashing</v>
      </c>
      <c r="J161" s="43" t="str">
        <f t="shared" si="8"/>
        <v>/Game/DungeonSiege/Blueprints/GameplayAbilities/Affixes/GE_Suffix_of_Clashing</v>
      </c>
    </row>
    <row r="162" spans="1:10" ht="33.75" x14ac:dyDescent="0.25">
      <c r="A162" s="43">
        <v>160</v>
      </c>
      <c r="B162" s="43">
        <f>VLOOKUP(C162,CHOOSE({2,1},Suffix!B$2:B$412,Suffix!C$2:C$412),2,FALSE)</f>
        <v>101712132</v>
      </c>
      <c r="C162" s="43" t="s">
        <v>1487</v>
      </c>
      <c r="D162" s="43" t="s">
        <v>1488</v>
      </c>
      <c r="E162" s="43" t="str">
        <f>VLOOKUP(F162,CHOOSE({2,1},Attributes!B$3:B$130,Attributes!C$3:C$129),2,FALSE)</f>
        <v>DungeonSiegeMagicAttributeSet</v>
      </c>
      <c r="F162" s="43" t="str">
        <f>Attributes!C42</f>
        <v>CombatMagicMaxDamageMod</v>
      </c>
      <c r="G162" s="43" t="str">
        <f t="shared" si="6"/>
        <v>(AttributeName="CombatMagicMaxDamageMod",Attribute=/Script/DSAbilitySystem.DungeonSiegeMagicAttributeSet:CombatMagicMaxDamageMod,AttributeOwner=Class'"/Script/DSAbilitySystem.DungeonSiegeMagicAttributeSet"')</v>
      </c>
      <c r="H162" s="43">
        <v>30</v>
      </c>
      <c r="I162" s="43" t="str">
        <f t="shared" si="7"/>
        <v>GE_Suffix_of_Clashing</v>
      </c>
      <c r="J162" s="43" t="str">
        <f t="shared" si="8"/>
        <v>/Game/DungeonSiege/Blueprints/GameplayAbilities/Affixes/GE_Suffix_of_Clashing</v>
      </c>
    </row>
    <row r="163" spans="1:10" ht="33.75" x14ac:dyDescent="0.25">
      <c r="A163" s="43">
        <v>161</v>
      </c>
      <c r="B163" s="43">
        <f>VLOOKUP(C163,CHOOSE({2,1},Suffix!B$2:B$412,Suffix!C$2:C$412),2,FALSE)</f>
        <v>101712133</v>
      </c>
      <c r="C163" s="43" t="s">
        <v>1490</v>
      </c>
      <c r="D163" s="43" t="s">
        <v>1491</v>
      </c>
      <c r="E163" s="43" t="str">
        <f>VLOOKUP(F163,CHOOSE({2,1},Attributes!B$3:B$130,Attributes!C$3:C$129),2,FALSE)</f>
        <v>DungeonSiegeDamageAttributeSet</v>
      </c>
      <c r="F163" s="43" t="str">
        <f>Attributes!C20</f>
        <v>MaxDamageMod</v>
      </c>
      <c r="G163" s="43" t="str">
        <f t="shared" si="6"/>
        <v>(AttributeName="MaxDamageMod",Attribute=/Script/DSAbilitySystem.DungeonSiegeDamageAttributeSet:MaxDamageMod,AttributeOwner=Class'"/Script/DSAbilitySystem.DungeonSiegeDamageAttributeSet"')</v>
      </c>
      <c r="H163" s="43">
        <v>45</v>
      </c>
      <c r="I163" s="43" t="str">
        <f t="shared" si="7"/>
        <v>GE_Suffix_of_Disease</v>
      </c>
      <c r="J163" s="43" t="str">
        <f t="shared" si="8"/>
        <v>/Game/DungeonSiege/Blueprints/GameplayAbilities/Affixes/GE_Suffix_of_Disease</v>
      </c>
    </row>
    <row r="164" spans="1:10" ht="33.75" x14ac:dyDescent="0.25">
      <c r="A164" s="43">
        <v>162</v>
      </c>
      <c r="B164" s="43">
        <f>VLOOKUP(C164,CHOOSE({2,1},Suffix!B$2:B$412,Suffix!C$2:C$412),2,FALSE)</f>
        <v>101712134</v>
      </c>
      <c r="C164" s="43" t="s">
        <v>1493</v>
      </c>
      <c r="D164" s="43" t="s">
        <v>1494</v>
      </c>
      <c r="E164" s="43" t="str">
        <f>VLOOKUP(F164,CHOOSE({2,1},Attributes!B$3:B$130,Attributes!C$3:C$129),2,FALSE)</f>
        <v>DungeonSiegeDamageAttributeSet</v>
      </c>
      <c r="F164" s="43" t="str">
        <f>Attributes!C20</f>
        <v>MaxDamageMod</v>
      </c>
      <c r="G164" s="43" t="str">
        <f t="shared" si="6"/>
        <v>(AttributeName="MaxDamageMod",Attribute=/Script/DSAbilitySystem.DungeonSiegeDamageAttributeSet:MaxDamageMod,AttributeOwner=Class'"/Script/DSAbilitySystem.DungeonSiegeDamageAttributeSet"')</v>
      </c>
      <c r="H164" s="43">
        <v>32</v>
      </c>
      <c r="I164" s="43" t="str">
        <f t="shared" si="7"/>
        <v>GE_Suffix_of_Consumption</v>
      </c>
      <c r="J164" s="43" t="str">
        <f t="shared" si="8"/>
        <v>/Game/DungeonSiege/Blueprints/GameplayAbilities/Affixes/GE_Suffix_of_Consumption</v>
      </c>
    </row>
    <row r="165" spans="1:10" s="23" customFormat="1" ht="33.75" x14ac:dyDescent="0.25">
      <c r="A165" s="43">
        <v>163</v>
      </c>
      <c r="B165" s="43">
        <f>VLOOKUP(C165,CHOOSE({2,1},Suffix!B$2:B$412,Suffix!C$2:C$412),2,FALSE)</f>
        <v>101712135</v>
      </c>
      <c r="C165" s="43" t="s">
        <v>1496</v>
      </c>
      <c r="D165" s="43" t="s">
        <v>943</v>
      </c>
      <c r="E165" s="43" t="str">
        <f>VLOOKUP(F165,CHOOSE({2,1},Attributes!B$3:B$130,Attributes!C$3:C$129),2,FALSE)</f>
        <v>DungeonSiegeDamageAttributeSet</v>
      </c>
      <c r="F165" s="43" t="str">
        <f>Attributes!C25</f>
        <v>MinPiercingDamageMod</v>
      </c>
      <c r="G165" s="43" t="str">
        <f t="shared" si="6"/>
        <v>(AttributeName="MinPiercingDamageMod",Attribute=/Script/DSAbilitySystem.DungeonSiegeDamageAttributeSet:MinPiercingDamageMod,AttributeOwner=Class'"/Script/DSAbilitySystem.DungeonSiegeDamageAttributeSet"')</v>
      </c>
      <c r="H165" s="43">
        <v>1</v>
      </c>
      <c r="I165" s="43" t="str">
        <f t="shared" si="7"/>
        <v>GE_Suffix_of_Equity</v>
      </c>
      <c r="J165" s="43" t="str">
        <f t="shared" si="8"/>
        <v>/Game/DungeonSiege/Blueprints/GameplayAbilities/Affixes/GE_Suffix_of_Equity</v>
      </c>
    </row>
    <row r="166" spans="1:10" s="23" customFormat="1" ht="33.75" x14ac:dyDescent="0.25">
      <c r="A166" s="43">
        <v>164</v>
      </c>
      <c r="B166" s="43">
        <f>VLOOKUP(C166,CHOOSE({2,1},Suffix!B$2:B$412,Suffix!C$2:C$412),2,FALSE)</f>
        <v>101712135</v>
      </c>
      <c r="C166" s="43" t="s">
        <v>1496</v>
      </c>
      <c r="D166" s="43" t="s">
        <v>943</v>
      </c>
      <c r="E166" s="43" t="str">
        <f>VLOOKUP(F166,CHOOSE({2,1},Attributes!B$3:B$130,Attributes!C$3:C$129),2,FALSE)</f>
        <v>DungeonSiegeDamageAttributeSet</v>
      </c>
      <c r="F166" s="43" t="str">
        <f>Attributes!C26</f>
        <v>MaxPiercingDamageMod</v>
      </c>
      <c r="G166" s="43" t="str">
        <f t="shared" si="6"/>
        <v>(AttributeName="MaxPiercingDamageMod",Attribute=/Script/DSAbilitySystem.DungeonSiegeDamageAttributeSet:MaxPiercingDamageMod,AttributeOwner=Class'"/Script/DSAbilitySystem.DungeonSiegeDamageAttributeSet"')</v>
      </c>
      <c r="H166" s="43">
        <v>4</v>
      </c>
      <c r="I166" s="43" t="str">
        <f t="shared" si="7"/>
        <v>GE_Suffix_of_Equity</v>
      </c>
      <c r="J166" s="43" t="str">
        <f t="shared" si="8"/>
        <v>/Game/DungeonSiege/Blueprints/GameplayAbilities/Affixes/GE_Suffix_of_Equity</v>
      </c>
    </row>
    <row r="167" spans="1:10" s="23" customFormat="1" ht="33.75" x14ac:dyDescent="0.25">
      <c r="A167" s="43">
        <v>165</v>
      </c>
      <c r="B167" s="43">
        <f>VLOOKUP(C167,CHOOSE({2,1},Suffix!B$2:B$412,Suffix!C$2:C$412),2,FALSE)</f>
        <v>101712135</v>
      </c>
      <c r="C167" s="43" t="s">
        <v>1496</v>
      </c>
      <c r="D167" s="43" t="s">
        <v>3268</v>
      </c>
      <c r="E167" s="43" t="str">
        <f>VLOOKUP(F167,CHOOSE({2,1},Attributes!B$3:B$130,Attributes!C$3:C$129),2,FALSE)</f>
        <v>DungeonSiegeDamageAttributeSet</v>
      </c>
      <c r="F167" s="43" t="str">
        <f>Attributes!C29</f>
        <v>RangedHitChance</v>
      </c>
      <c r="G167" s="43" t="str">
        <f t="shared" si="6"/>
        <v>(AttributeName="RangedHitChance",Attribute=/Script/DSAbilitySystem.DungeonSiegeDamageAttributeSet:RangedHitChance,AttributeOwner=Class'"/Script/DSAbilitySystem.DungeonSiegeDamageAttributeSet"')</v>
      </c>
      <c r="H167" s="43">
        <v>4</v>
      </c>
      <c r="I167" s="43" t="str">
        <f t="shared" si="7"/>
        <v>GE_Suffix_of_Equity</v>
      </c>
      <c r="J167" s="43" t="str">
        <f t="shared" si="8"/>
        <v>/Game/DungeonSiege/Blueprints/GameplayAbilities/Affixes/GE_Suffix_of_Equity</v>
      </c>
    </row>
    <row r="168" spans="1:10" ht="33.75" x14ac:dyDescent="0.25">
      <c r="A168" s="43">
        <v>166</v>
      </c>
      <c r="B168" s="43">
        <f>VLOOKUP(C168,CHOOSE({2,1},Suffix!B$2:B$412,Suffix!C$2:C$412),2,FALSE)</f>
        <v>101712135</v>
      </c>
      <c r="C168" s="43" t="s">
        <v>1496</v>
      </c>
      <c r="D168" s="43" t="s">
        <v>1497</v>
      </c>
      <c r="E168" s="43" t="str">
        <f>VLOOKUP(F168,CHOOSE({2,1},Attributes!B$3:B$130,Attributes!C$3:C$129),2,FALSE)</f>
        <v>DungeonSiegeDamageAttributeSet</v>
      </c>
      <c r="F168" s="43" t="str">
        <f>Attributes!C20</f>
        <v>MaxDamageMod</v>
      </c>
      <c r="G168" s="43" t="str">
        <f t="shared" si="6"/>
        <v>(AttributeName="MaxDamageMod",Attribute=/Script/DSAbilitySystem.DungeonSiegeDamageAttributeSet:MaxDamageMod,AttributeOwner=Class'"/Script/DSAbilitySystem.DungeonSiegeDamageAttributeSet"')</v>
      </c>
      <c r="H168" s="43">
        <v>23</v>
      </c>
      <c r="I168" s="43" t="str">
        <f t="shared" si="7"/>
        <v>GE_Suffix_of_Equity</v>
      </c>
      <c r="J168" s="43" t="str">
        <f t="shared" si="8"/>
        <v>/Game/DungeonSiege/Blueprints/GameplayAbilities/Affixes/GE_Suffix_of_Equity</v>
      </c>
    </row>
    <row r="169" spans="1:10" ht="33.75" x14ac:dyDescent="0.25">
      <c r="A169" s="43">
        <v>167</v>
      </c>
      <c r="B169" s="43">
        <f>VLOOKUP(C169,CHOOSE({2,1},Suffix!B$2:B$412,Suffix!C$2:C$412),2,FALSE)</f>
        <v>101712136</v>
      </c>
      <c r="C169" s="43" t="s">
        <v>1499</v>
      </c>
      <c r="D169" s="43" t="s">
        <v>1500</v>
      </c>
      <c r="E169" s="43" t="str">
        <f>VLOOKUP(F169,CHOOSE({2,1},Attributes!B$3:B$130,Attributes!C$3:C$129),2,FALSE)</f>
        <v>DungeonSiegeDamageAttributeSet</v>
      </c>
      <c r="F169" s="43" t="str">
        <f>Attributes!C29</f>
        <v>RangedHitChance</v>
      </c>
      <c r="G169" s="43" t="str">
        <f t="shared" si="6"/>
        <v>(AttributeName="RangedHitChance",Attribute=/Script/DSAbilitySystem.DungeonSiegeDamageAttributeSet:RangedHitChance,AttributeOwner=Class'"/Script/DSAbilitySystem.DungeonSiegeDamageAttributeSet"')</v>
      </c>
      <c r="H169" s="43">
        <v>15</v>
      </c>
      <c r="I169" s="43" t="str">
        <f t="shared" si="7"/>
        <v>GE_Suffix_of_Extension</v>
      </c>
      <c r="J169" s="43" t="str">
        <f t="shared" si="8"/>
        <v>/Game/DungeonSiege/Blueprints/GameplayAbilities/Affixes/GE_Suffix_of_Extension</v>
      </c>
    </row>
    <row r="170" spans="1:10" s="23" customFormat="1" ht="33.75" x14ac:dyDescent="0.25">
      <c r="A170" s="43">
        <v>168</v>
      </c>
      <c r="B170" s="43">
        <f>VLOOKUP(C170,CHOOSE({2,1},Suffix!B$2:B$412,Suffix!C$2:C$412),2,FALSE)</f>
        <v>101712137</v>
      </c>
      <c r="C170" s="43" t="s">
        <v>1502</v>
      </c>
      <c r="D170" s="43" t="s">
        <v>1503</v>
      </c>
      <c r="E170" s="43" t="str">
        <f>VLOOKUP(F170,CHOOSE({2,1},Attributes!B$3:B$130,Attributes!C$3:C$129),2,FALSE)</f>
        <v>DungeonSiegeDamageAttributeSet</v>
      </c>
      <c r="F170" s="43" t="str">
        <f>Attributes!C19</f>
        <v>MinDamageMod</v>
      </c>
      <c r="G170" s="43" t="str">
        <f t="shared" si="6"/>
        <v>(AttributeName="MinDamageMod",Attribute=/Script/DSAbilitySystem.DungeonSiegeDamageAttributeSet:MinDamageMod,AttributeOwner=Class'"/Script/DSAbilitySystem.DungeonSiegeDamageAttributeSet"')</v>
      </c>
      <c r="H170" s="43">
        <v>35</v>
      </c>
      <c r="I170" s="43" t="str">
        <f t="shared" si="7"/>
        <v>GE_Suffix_of_Wounding</v>
      </c>
      <c r="J170" s="43" t="str">
        <f t="shared" si="8"/>
        <v>/Game/DungeonSiege/Blueprints/GameplayAbilities/Affixes/GE_Suffix_of_Wounding</v>
      </c>
    </row>
    <row r="171" spans="1:10" ht="33.75" x14ac:dyDescent="0.25">
      <c r="A171" s="43">
        <v>169</v>
      </c>
      <c r="B171" s="43">
        <f>VLOOKUP(C171,CHOOSE({2,1},Suffix!B$2:B$412,Suffix!C$2:C$412),2,FALSE)</f>
        <v>101712137</v>
      </c>
      <c r="C171" s="43" t="s">
        <v>1502</v>
      </c>
      <c r="D171" s="43" t="s">
        <v>1503</v>
      </c>
      <c r="E171" s="43" t="str">
        <f>VLOOKUP(F171,CHOOSE({2,1},Attributes!B$3:B$130,Attributes!C$3:C$129),2,FALSE)</f>
        <v>DungeonSiegeDamageAttributeSet</v>
      </c>
      <c r="F171" s="43" t="str">
        <f>Attributes!C20</f>
        <v>MaxDamageMod</v>
      </c>
      <c r="G171" s="43" t="str">
        <f t="shared" si="6"/>
        <v>(AttributeName="MaxDamageMod",Attribute=/Script/DSAbilitySystem.DungeonSiegeDamageAttributeSet:MaxDamageMod,AttributeOwner=Class'"/Script/DSAbilitySystem.DungeonSiegeDamageAttributeSet"')</v>
      </c>
      <c r="H171" s="43">
        <v>57</v>
      </c>
      <c r="I171" s="43" t="str">
        <f t="shared" si="7"/>
        <v>GE_Suffix_of_Wounding</v>
      </c>
      <c r="J171" s="43" t="str">
        <f t="shared" si="8"/>
        <v>/Game/DungeonSiege/Blueprints/GameplayAbilities/Affixes/GE_Suffix_of_Wounding</v>
      </c>
    </row>
    <row r="172" spans="1:10" s="23" customFormat="1" ht="33.75" x14ac:dyDescent="0.25">
      <c r="A172" s="43">
        <v>170</v>
      </c>
      <c r="B172" s="43">
        <f>VLOOKUP(C172,CHOOSE({2,1},Suffix!B$2:B$412,Suffix!C$2:C$412),2,FALSE)</f>
        <v>101712144</v>
      </c>
      <c r="C172" s="43" t="s">
        <v>1505</v>
      </c>
      <c r="D172" s="43" t="s">
        <v>227</v>
      </c>
      <c r="E172" s="43" t="str">
        <f>VLOOKUP(F172,CHOOSE({2,1},Attributes!B$3:B$130,Attributes!C$3:C$129),2,FALSE)</f>
        <v>DungeonSiegeExperienceAttributeSet</v>
      </c>
      <c r="F172" s="43" t="str">
        <f>Attributes!C3</f>
        <v>Strength</v>
      </c>
      <c r="G172" s="43" t="str">
        <f t="shared" si="6"/>
        <v>(AttributeName="Strength",Attribute=/Script/DSAbilitySystem.DungeonSiegeExperienceAttributeSet:Strength,AttributeOwner=Class'"/Script/DSAbilitySystem.DungeonSiegeExperienceAttributeSet"')</v>
      </c>
      <c r="H172" s="43">
        <v>1</v>
      </c>
      <c r="I172" s="43" t="str">
        <f t="shared" si="7"/>
        <v>GE_Suffix_of_Regard</v>
      </c>
      <c r="J172" s="43" t="str">
        <f t="shared" si="8"/>
        <v>/Game/DungeonSiege/Blueprints/GameplayAbilities/Affixes/GE_Suffix_of_Regard</v>
      </c>
    </row>
    <row r="173" spans="1:10" s="23" customFormat="1" ht="33.75" x14ac:dyDescent="0.25">
      <c r="A173" s="43">
        <v>171</v>
      </c>
      <c r="B173" s="43">
        <f>VLOOKUP(C173,CHOOSE({2,1},Suffix!B$2:B$412,Suffix!C$2:C$412),2,FALSE)</f>
        <v>101712144</v>
      </c>
      <c r="C173" s="43" t="s">
        <v>1505</v>
      </c>
      <c r="D173" s="43" t="s">
        <v>75</v>
      </c>
      <c r="E173" s="43" t="str">
        <f>VLOOKUP(F173,CHOOSE({2,1},Attributes!B$3:B$130,Attributes!C$3:C$129),2,FALSE)</f>
        <v>DungeonSiegeExperienceAttributeSet</v>
      </c>
      <c r="F173" s="43" t="str">
        <f>Attributes!C5</f>
        <v>Intelligence</v>
      </c>
      <c r="G173" s="43" t="str">
        <f t="shared" si="6"/>
        <v>(AttributeName="Intelligence",Attribute=/Script/DSAbilitySystem.DungeonSiegeExperienceAttributeSet:Intelligence,AttributeOwner=Class'"/Script/DSAbilitySystem.DungeonSiegeExperienceAttributeSet"')</v>
      </c>
      <c r="H173" s="43">
        <v>1</v>
      </c>
      <c r="I173" s="43" t="str">
        <f t="shared" si="7"/>
        <v>GE_Suffix_of_Regard</v>
      </c>
      <c r="J173" s="43" t="str">
        <f t="shared" si="8"/>
        <v>/Game/DungeonSiege/Blueprints/GameplayAbilities/Affixes/GE_Suffix_of_Regard</v>
      </c>
    </row>
    <row r="174" spans="1:10" s="23" customFormat="1" ht="33.75" x14ac:dyDescent="0.25">
      <c r="A174" s="43">
        <v>172</v>
      </c>
      <c r="B174" s="43">
        <f>VLOOKUP(C174,CHOOSE({2,1},Suffix!B$2:B$412,Suffix!C$2:C$412),2,FALSE)</f>
        <v>101712144</v>
      </c>
      <c r="C174" s="43" t="s">
        <v>1505</v>
      </c>
      <c r="D174" s="43" t="s">
        <v>111</v>
      </c>
      <c r="E174" s="43" t="str">
        <f>VLOOKUP(F174,CHOOSE({2,1},Attributes!B$3:B$130,Attributes!C$3:C$129),2,FALSE)</f>
        <v>DungeonSiegeHealthAttributeSet</v>
      </c>
      <c r="F174" s="43" t="str">
        <f>Attributes!C82</f>
        <v>BaseHealthBonus</v>
      </c>
      <c r="G174" s="43" t="str">
        <f t="shared" si="6"/>
        <v>(AttributeName="BaseHealthBonus",Attribute=/Script/DSAbilitySystem.DungeonSiegeHealthAttributeSet:BaseHealthBonus,AttributeOwner=Class'"/Script/DSAbilitySystem.DungeonSiegeHealthAttributeSet"')</v>
      </c>
      <c r="H174" s="43">
        <v>98</v>
      </c>
      <c r="I174" s="43" t="str">
        <f t="shared" si="7"/>
        <v>GE_Suffix_of_Regard</v>
      </c>
      <c r="J174" s="43" t="str">
        <f t="shared" si="8"/>
        <v>/Game/DungeonSiege/Blueprints/GameplayAbilities/Affixes/GE_Suffix_of_Regard</v>
      </c>
    </row>
    <row r="175" spans="1:10" ht="33.75" x14ac:dyDescent="0.25">
      <c r="A175" s="43">
        <v>173</v>
      </c>
      <c r="B175" s="43">
        <f>VLOOKUP(C175,CHOOSE({2,1},Suffix!B$2:B$412,Suffix!C$2:C$412),2,FALSE)</f>
        <v>101712144</v>
      </c>
      <c r="C175" s="43" t="s">
        <v>1505</v>
      </c>
      <c r="D175" s="43" t="s">
        <v>744</v>
      </c>
      <c r="E175" s="43" t="str">
        <f>VLOOKUP(F175,CHOOSE({2,1},Attributes!B$3:B$130,Attributes!C$3:C$129),2,FALSE)</f>
        <v>DungeonSiegePerHitAttributeSet</v>
      </c>
      <c r="F175" s="43" t="str">
        <f>Attributes!C12</f>
        <v>ManaPerHit</v>
      </c>
      <c r="G175" s="43" t="str">
        <f t="shared" si="6"/>
        <v>(AttributeName="ManaPerHit",Attribute=/Script/DSAbilitySystem.DungeonSiegePerHitAttributeSet:ManaPerHit,AttributeOwner=Class'"/Script/DSAbilitySystem.DungeonSiegePerHitAttributeSet"')</v>
      </c>
      <c r="H175" s="43">
        <v>6</v>
      </c>
      <c r="I175" s="43" t="str">
        <f t="shared" si="7"/>
        <v>GE_Suffix_of_Regard</v>
      </c>
      <c r="J175" s="43" t="str">
        <f t="shared" si="8"/>
        <v>/Game/DungeonSiege/Blueprints/GameplayAbilities/Affixes/GE_Suffix_of_Regard</v>
      </c>
    </row>
    <row r="176" spans="1:10" ht="33.75" x14ac:dyDescent="0.25">
      <c r="A176" s="43">
        <v>174</v>
      </c>
      <c r="B176" s="43">
        <f>VLOOKUP(C176,CHOOSE({2,1},Suffix!B$2:B$412,Suffix!C$2:C$412),2,FALSE)</f>
        <v>101712145</v>
      </c>
      <c r="C176" s="43" t="s">
        <v>1507</v>
      </c>
      <c r="D176" s="43" t="s">
        <v>1508</v>
      </c>
      <c r="E176" s="43" t="str">
        <f>VLOOKUP(F176,CHOOSE({2,1},Attributes!B$3:B$130,Attributes!C$3:C$129),2,FALSE)</f>
        <v>DungeonSiegeCastOnHitAttributeSet</v>
      </c>
      <c r="F176" s="43" t="str">
        <f>Attributes!C108</f>
        <v>ChanceToCastLightrayOnHit</v>
      </c>
      <c r="G176" s="43" t="str">
        <f t="shared" si="6"/>
        <v>(AttributeName="ChanceToCastLightrayOnHit",Attribute=/Script/DSAbilitySystem.DungeonSiegeCastOnHitAttributeSet:ChanceToCastLightrayOnHit,AttributeOwner=Class'"/Script/DSAbilitySystem.DungeonSiegeCastOnHitAttributeSet"')</v>
      </c>
      <c r="H176" s="43">
        <v>30</v>
      </c>
      <c r="I176" s="43" t="str">
        <f t="shared" si="7"/>
        <v>GE_Suffix_of_Greater_Lightray</v>
      </c>
      <c r="J176" s="43" t="str">
        <f t="shared" si="8"/>
        <v>/Game/DungeonSiege/Blueprints/GameplayAbilities/Affixes/GE_Suffix_of_Greater_Lightray</v>
      </c>
    </row>
    <row r="177" spans="1:10" ht="33.75" x14ac:dyDescent="0.25">
      <c r="A177" s="43">
        <v>175</v>
      </c>
      <c r="B177" s="43">
        <f>VLOOKUP(C177,CHOOSE({2,1},Suffix!B$2:B$412,Suffix!C$2:C$412),2,FALSE)</f>
        <v>101712146</v>
      </c>
      <c r="C177" s="43" t="s">
        <v>1510</v>
      </c>
      <c r="D177" s="43" t="s">
        <v>1511</v>
      </c>
      <c r="E177" s="43" t="str">
        <f>VLOOKUP(F177,CHOOSE({2,1},Attributes!B$3:B$130,Attributes!C$3:C$129),2,FALSE)</f>
        <v>DungeonSiegeCastOnHitAttributeSet</v>
      </c>
      <c r="F177" s="43" t="str">
        <f>Attributes!C106</f>
        <v>ChanceToCastFirebombOnHit</v>
      </c>
      <c r="G177" s="43" t="str">
        <f t="shared" si="6"/>
        <v>(AttributeName="ChanceToCastFirebombOnHit",Attribute=/Script/DSAbilitySystem.DungeonSiegeCastOnHitAttributeSet:ChanceToCastFirebombOnHit,AttributeOwner=Class'"/Script/DSAbilitySystem.DungeonSiegeCastOnHitAttributeSet"')</v>
      </c>
      <c r="H177" s="43">
        <v>25</v>
      </c>
      <c r="I177" s="43" t="str">
        <f t="shared" si="7"/>
        <v>GE_Suffix_of_Major_Firebomb</v>
      </c>
      <c r="J177" s="43" t="str">
        <f t="shared" si="8"/>
        <v>/Game/DungeonSiege/Blueprints/GameplayAbilities/Affixes/GE_Suffix_of_Major_Firebomb</v>
      </c>
    </row>
    <row r="178" spans="1:10" ht="33.75" x14ac:dyDescent="0.25">
      <c r="A178" s="43">
        <v>176</v>
      </c>
      <c r="B178" s="43">
        <f>VLOOKUP(C178,CHOOSE({2,1},Suffix!B$2:B$412,Suffix!C$2:C$412),2,FALSE)</f>
        <v>101712147</v>
      </c>
      <c r="C178" s="43" t="s">
        <v>166</v>
      </c>
      <c r="D178" s="43" t="s">
        <v>165</v>
      </c>
      <c r="E178" s="43" t="str">
        <f>VLOOKUP(F178,CHOOSE({2,1},Attributes!B$3:B$130,Attributes!C$3:C$129),2,FALSE)</f>
        <v>DungeonSiegeManaAttributeSet</v>
      </c>
      <c r="F178" s="43" t="str">
        <f>Attributes!C90</f>
        <v>BaseManaBonus</v>
      </c>
      <c r="G178" s="43" t="str">
        <f t="shared" si="6"/>
        <v>(AttributeName="BaseManaBonus",Attribute=/Script/DSAbilitySystem.DungeonSiegeManaAttributeSet:BaseManaBonus,AttributeOwner=Class'"/Script/DSAbilitySystem.DungeonSiegeManaAttributeSet"')</v>
      </c>
      <c r="H178" s="43">
        <v>346</v>
      </c>
      <c r="I178" s="43" t="str">
        <f t="shared" si="7"/>
        <v>GE_Suffix_of_Reinvention</v>
      </c>
      <c r="J178" s="43" t="str">
        <f t="shared" si="8"/>
        <v>/Game/DungeonSiege/Blueprints/GameplayAbilities/Affixes/GE_Suffix_of_Reinvention</v>
      </c>
    </row>
    <row r="179" spans="1:10" ht="33.75" x14ac:dyDescent="0.25">
      <c r="A179" s="43">
        <v>177</v>
      </c>
      <c r="B179" s="43">
        <f>VLOOKUP(C179,CHOOSE({2,1},Suffix!B$2:B$412,Suffix!C$2:C$412),2,FALSE)</f>
        <v>101712148</v>
      </c>
      <c r="C179" s="43" t="s">
        <v>1513</v>
      </c>
      <c r="D179" s="43" t="s">
        <v>1514</v>
      </c>
      <c r="E179" s="43" t="str">
        <f>VLOOKUP(F179,CHOOSE({2,1},Attributes!B$3:B$130,Attributes!C$3:C$129),2,FALSE)</f>
        <v>DungeonSiegePerHitAttributeSet</v>
      </c>
      <c r="F179" s="43" t="str">
        <f>Attributes!C11</f>
        <v>HealthPerHit</v>
      </c>
      <c r="G179" s="43" t="str">
        <f t="shared" si="6"/>
        <v>(AttributeName="HealthPerHit",Attribute=/Script/DSAbilitySystem.DungeonSiegePerHitAttributeSet:HealthPerHit,AttributeOwner=Class'"/Script/DSAbilitySystem.DungeonSiegePerHitAttributeSet"')</v>
      </c>
      <c r="H179" s="43">
        <v>7</v>
      </c>
      <c r="I179" s="43" t="str">
        <f t="shared" si="7"/>
        <v>GE_Suffix_of_Wealth</v>
      </c>
      <c r="J179" s="43" t="str">
        <f t="shared" si="8"/>
        <v>/Game/DungeonSiege/Blueprints/GameplayAbilities/Affixes/GE_Suffix_of_Wealth</v>
      </c>
    </row>
    <row r="180" spans="1:10" ht="33.75" x14ac:dyDescent="0.25">
      <c r="A180" s="43">
        <v>178</v>
      </c>
      <c r="B180" s="43">
        <f>VLOOKUP(C180,CHOOSE({2,1},Suffix!B$2:B$412,Suffix!C$2:C$412),2,FALSE)</f>
        <v>101712149</v>
      </c>
      <c r="C180" s="43" t="s">
        <v>1516</v>
      </c>
      <c r="D180" s="43" t="s">
        <v>1517</v>
      </c>
      <c r="E180" s="43" t="str">
        <f>VLOOKUP(F180,CHOOSE({2,1},Attributes!B$3:B$130,Attributes!C$3:C$129),2,FALSE)</f>
        <v>DungeonSiegeDamageAttributeSet</v>
      </c>
      <c r="F180" s="43" t="str">
        <f>Attributes!C20</f>
        <v>MaxDamageMod</v>
      </c>
      <c r="G180" s="43" t="str">
        <f t="shared" si="6"/>
        <v>(AttributeName="MaxDamageMod",Attribute=/Script/DSAbilitySystem.DungeonSiegeDamageAttributeSet:MaxDamageMod,AttributeOwner=Class'"/Script/DSAbilitySystem.DungeonSiegeDamageAttributeSet"')</v>
      </c>
      <c r="H180" s="43">
        <v>45</v>
      </c>
      <c r="I180" s="43" t="str">
        <f t="shared" si="7"/>
        <v>GE_Suffix_of_the_Feral</v>
      </c>
      <c r="J180" s="43" t="str">
        <f t="shared" si="8"/>
        <v>/Game/DungeonSiege/Blueprints/GameplayAbilities/Affixes/GE_Suffix_of_the_Feral</v>
      </c>
    </row>
    <row r="181" spans="1:10" s="23" customFormat="1" ht="33.75" x14ac:dyDescent="0.25">
      <c r="A181" s="43">
        <v>179</v>
      </c>
      <c r="B181" s="43">
        <f>VLOOKUP(C181,CHOOSE({2,1},Suffix!B$2:B$412,Suffix!C$2:C$412),2,FALSE)</f>
        <v>101712150</v>
      </c>
      <c r="C181" s="43" t="s">
        <v>1519</v>
      </c>
      <c r="D181" s="43" t="s">
        <v>3261</v>
      </c>
      <c r="E181" s="43" t="str">
        <f>VLOOKUP(F181,CHOOSE({2,1},Attributes!B$3:B$130,Attributes!C$3:C$129),2,FALSE)</f>
        <v>DungeonSiegeElementalAttributeSet</v>
      </c>
      <c r="F181" s="43" t="str">
        <f>Attributes!C100</f>
        <v>ChanceToFreeze</v>
      </c>
      <c r="G181" s="43" t="str">
        <f t="shared" si="6"/>
        <v>(AttributeName="ChanceToFreeze",Attribute=/Script/DSAbilitySystem.DungeonSiegeElementalAttributeSet:ChanceToFreeze,AttributeOwner=Class'"/Script/DSAbilitySystem.DungeonSiegeElementalAttributeSet"')</v>
      </c>
      <c r="H181" s="43">
        <v>10</v>
      </c>
      <c r="I181" s="43" t="str">
        <f t="shared" si="7"/>
        <v>GE_Suffix_of_Numbness</v>
      </c>
      <c r="J181" s="43" t="str">
        <f t="shared" si="8"/>
        <v>/Game/DungeonSiege/Blueprints/GameplayAbilities/Affixes/GE_Suffix_of_Numbness</v>
      </c>
    </row>
    <row r="182" spans="1:10" s="23" customFormat="1" ht="33.75" x14ac:dyDescent="0.25">
      <c r="A182" s="43">
        <v>180</v>
      </c>
      <c r="B182" s="43">
        <f>VLOOKUP(C182,CHOOSE({2,1},Suffix!B$2:B$412,Suffix!C$2:C$412),2,FALSE)</f>
        <v>101712150</v>
      </c>
      <c r="C182" s="43" t="s">
        <v>1519</v>
      </c>
      <c r="D182" s="43" t="s">
        <v>3269</v>
      </c>
      <c r="E182" s="43" t="str">
        <f>VLOOKUP(F182,CHOOSE({2,1},Attributes!B$3:B$130,Attributes!C$3:C$129),2,FALSE)</f>
        <v>DungeonSiegeElementalAttributeSet</v>
      </c>
      <c r="F182" s="43" t="str">
        <f>Attributes!C101</f>
        <v>ColdDamageMinDamageMod</v>
      </c>
      <c r="G182" s="43" t="str">
        <f t="shared" si="6"/>
        <v>(AttributeName="ColdDamageMinDamageMod",Attribute=/Script/DSAbilitySystem.DungeonSiegeElementalAttributeSet:ColdDamageMinDamageMod,AttributeOwner=Class'"/Script/DSAbilitySystem.DungeonSiegeElementalAttributeSet"')</v>
      </c>
      <c r="H182" s="43">
        <v>22</v>
      </c>
      <c r="I182" s="43" t="str">
        <f t="shared" si="7"/>
        <v>GE_Suffix_of_Numbness</v>
      </c>
      <c r="J182" s="43" t="str">
        <f t="shared" si="8"/>
        <v>/Game/DungeonSiege/Blueprints/GameplayAbilities/Affixes/GE_Suffix_of_Numbness</v>
      </c>
    </row>
    <row r="183" spans="1:10" ht="33.75" x14ac:dyDescent="0.25">
      <c r="A183" s="43">
        <v>181</v>
      </c>
      <c r="B183" s="43">
        <f>VLOOKUP(C183,CHOOSE({2,1},Suffix!B$2:B$412,Suffix!C$2:C$412),2,FALSE)</f>
        <v>101712150</v>
      </c>
      <c r="C183" s="43" t="s">
        <v>1519</v>
      </c>
      <c r="D183" s="43" t="s">
        <v>3269</v>
      </c>
      <c r="E183" s="43" t="str">
        <f>VLOOKUP(F183,CHOOSE({2,1},Attributes!B$3:B$130,Attributes!C$3:C$129),2,FALSE)</f>
        <v>DungeonSiegeElementalAttributeSet</v>
      </c>
      <c r="F183" s="43" t="str">
        <f>Attributes!C102</f>
        <v>ColdDamageMaxDamageMod</v>
      </c>
      <c r="G183" s="43" t="str">
        <f t="shared" si="6"/>
        <v>(AttributeName="ColdDamageMaxDamageMod",Attribute=/Script/DSAbilitySystem.DungeonSiegeElementalAttributeSet:ColdDamageMaxDamageMod,AttributeOwner=Class'"/Script/DSAbilitySystem.DungeonSiegeElementalAttributeSet"')</v>
      </c>
      <c r="H183" s="43">
        <v>40</v>
      </c>
      <c r="I183" s="43" t="str">
        <f t="shared" si="7"/>
        <v>GE_Suffix_of_Numbness</v>
      </c>
      <c r="J183" s="43" t="str">
        <f t="shared" si="8"/>
        <v>/Game/DungeonSiege/Blueprints/GameplayAbilities/Affixes/GE_Suffix_of_Numbness</v>
      </c>
    </row>
    <row r="184" spans="1:10" s="23" customFormat="1" ht="33.75" x14ac:dyDescent="0.25">
      <c r="A184" s="43">
        <v>182</v>
      </c>
      <c r="B184" s="43">
        <f>VLOOKUP(C184,CHOOSE({2,1},Suffix!B$2:B$412,Suffix!C$2:C$412),2,FALSE)</f>
        <v>101712151</v>
      </c>
      <c r="C184" s="43" t="s">
        <v>1521</v>
      </c>
      <c r="D184" s="43" t="s">
        <v>3270</v>
      </c>
      <c r="E184" s="43" t="str">
        <f>VLOOKUP(F184,CHOOSE({2,1},Attributes!B$3:B$130,Attributes!C$3:C$129),2,FALSE)</f>
        <v>DungeonSiegeElementalAttributeSet</v>
      </c>
      <c r="F184" s="43" t="str">
        <f>Attributes!C100</f>
        <v>ChanceToFreeze</v>
      </c>
      <c r="G184" s="43" t="str">
        <f t="shared" si="6"/>
        <v>(AttributeName="ChanceToFreeze",Attribute=/Script/DSAbilitySystem.DungeonSiegeElementalAttributeSet:ChanceToFreeze,AttributeOwner=Class'"/Script/DSAbilitySystem.DungeonSiegeElementalAttributeSet"')</v>
      </c>
      <c r="H184" s="43">
        <v>7</v>
      </c>
      <c r="I184" s="43" t="str">
        <f t="shared" si="7"/>
        <v>GE_Suffix_of_Hail</v>
      </c>
      <c r="J184" s="43" t="str">
        <f t="shared" si="8"/>
        <v>/Game/DungeonSiege/Blueprints/GameplayAbilities/Affixes/GE_Suffix_of_Hail</v>
      </c>
    </row>
    <row r="185" spans="1:10" s="23" customFormat="1" ht="33.75" x14ac:dyDescent="0.25">
      <c r="A185" s="43">
        <v>183</v>
      </c>
      <c r="B185" s="43">
        <f>VLOOKUP(C185,CHOOSE({2,1},Suffix!B$2:B$412,Suffix!C$2:C$412),2,FALSE)</f>
        <v>101712151</v>
      </c>
      <c r="C185" s="43" t="s">
        <v>1521</v>
      </c>
      <c r="D185" s="43" t="s">
        <v>3271</v>
      </c>
      <c r="E185" s="43" t="str">
        <f>VLOOKUP(F185,CHOOSE({2,1},Attributes!B$3:B$130,Attributes!C$3:C$129),2,FALSE)</f>
        <v>DungeonSiegeElementalAttributeSet</v>
      </c>
      <c r="F185" s="43" t="str">
        <f>Attributes!C101</f>
        <v>ColdDamageMinDamageMod</v>
      </c>
      <c r="G185" s="43" t="str">
        <f t="shared" si="6"/>
        <v>(AttributeName="ColdDamageMinDamageMod",Attribute=/Script/DSAbilitySystem.DungeonSiegeElementalAttributeSet:ColdDamageMinDamageMod,AttributeOwner=Class'"/Script/DSAbilitySystem.DungeonSiegeElementalAttributeSet"')</v>
      </c>
      <c r="H185" s="43">
        <v>18</v>
      </c>
      <c r="I185" s="43" t="str">
        <f t="shared" si="7"/>
        <v>GE_Suffix_of_Hail</v>
      </c>
      <c r="J185" s="43" t="str">
        <f t="shared" si="8"/>
        <v>/Game/DungeonSiege/Blueprints/GameplayAbilities/Affixes/GE_Suffix_of_Hail</v>
      </c>
    </row>
    <row r="186" spans="1:10" ht="33.75" x14ac:dyDescent="0.25">
      <c r="A186" s="43">
        <v>184</v>
      </c>
      <c r="B186" s="43">
        <f>VLOOKUP(C186,CHOOSE({2,1},Suffix!B$2:B$412,Suffix!C$2:C$412),2,FALSE)</f>
        <v>101712151</v>
      </c>
      <c r="C186" s="43" t="s">
        <v>1521</v>
      </c>
      <c r="D186" s="43" t="s">
        <v>3271</v>
      </c>
      <c r="E186" s="43" t="str">
        <f>VLOOKUP(F186,CHOOSE({2,1},Attributes!B$3:B$130,Attributes!C$3:C$129),2,FALSE)</f>
        <v>DungeonSiegeElementalAttributeSet</v>
      </c>
      <c r="F186" s="43" t="str">
        <f>Attributes!C102</f>
        <v>ColdDamageMaxDamageMod</v>
      </c>
      <c r="G186" s="43" t="str">
        <f t="shared" si="6"/>
        <v>(AttributeName="ColdDamageMaxDamageMod",Attribute=/Script/DSAbilitySystem.DungeonSiegeElementalAttributeSet:ColdDamageMaxDamageMod,AttributeOwner=Class'"/Script/DSAbilitySystem.DungeonSiegeElementalAttributeSet"')</v>
      </c>
      <c r="H186" s="43">
        <v>32</v>
      </c>
      <c r="I186" s="43" t="str">
        <f t="shared" si="7"/>
        <v>GE_Suffix_of_Hail</v>
      </c>
      <c r="J186" s="43" t="str">
        <f t="shared" si="8"/>
        <v>/Game/DungeonSiege/Blueprints/GameplayAbilities/Affixes/GE_Suffix_of_Hail</v>
      </c>
    </row>
    <row r="187" spans="1:10" ht="33.75" x14ac:dyDescent="0.25">
      <c r="A187" s="43">
        <v>185</v>
      </c>
      <c r="B187" s="43">
        <f>VLOOKUP(C187,CHOOSE({2,1},Suffix!B$2:B$412,Suffix!C$2:C$412),2,FALSE)</f>
        <v>101712152</v>
      </c>
      <c r="C187" s="43" t="s">
        <v>1523</v>
      </c>
      <c r="D187" s="43" t="s">
        <v>1524</v>
      </c>
      <c r="E187" s="43" t="str">
        <f>VLOOKUP(F187,CHOOSE({2,1},Attributes!B$3:B$130,Attributes!C$3:C$129),2,FALSE)</f>
        <v>DungeonSiegeCastOnHitAttributeSet</v>
      </c>
      <c r="F187" s="43" t="str">
        <f>Attributes!C109</f>
        <v>ChanceToCastLightningblastOnHit</v>
      </c>
      <c r="G187" s="43" t="str">
        <f t="shared" si="6"/>
        <v>(AttributeName="ChanceToCastLightningblastOnHit",Attribute=/Script/DSAbilitySystem.DungeonSiegeCastOnHitAttributeSet:ChanceToCastLightningblastOnHit,AttributeOwner=Class'"/Script/DSAbilitySystem.DungeonSiegeCastOnHitAttributeSet"')</v>
      </c>
      <c r="H187" s="43">
        <v>30</v>
      </c>
      <c r="I187" s="43" t="str">
        <f t="shared" si="7"/>
        <v>GE_Suffix_of_Greater_Lightning_Blast</v>
      </c>
      <c r="J187" s="43" t="str">
        <f t="shared" si="8"/>
        <v>/Game/DungeonSiege/Blueprints/GameplayAbilities/Affixes/GE_Suffix_of_Greater_Lightning_Blast</v>
      </c>
    </row>
    <row r="188" spans="1:10" ht="33.75" x14ac:dyDescent="0.25">
      <c r="A188" s="43">
        <v>186</v>
      </c>
      <c r="B188" s="43">
        <f>VLOOKUP(C188,CHOOSE({2,1},Suffix!B$2:B$412,Suffix!C$2:C$412),2,FALSE)</f>
        <v>101712153</v>
      </c>
      <c r="C188" s="43" t="s">
        <v>1526</v>
      </c>
      <c r="D188" s="43" t="s">
        <v>1527</v>
      </c>
      <c r="E188" s="43" t="str">
        <f>VLOOKUP(F188,CHOOSE({2,1},Attributes!B$3:B$130,Attributes!C$3:C$129),2,FALSE)</f>
        <v>DungeonSiegeCastOnHitAttributeSet</v>
      </c>
      <c r="F188" s="43" t="str">
        <f>Attributes!C107</f>
        <v>ChanceToCastStarburstOnHit</v>
      </c>
      <c r="G188" s="43" t="str">
        <f t="shared" si="6"/>
        <v>(AttributeName="ChanceToCastStarburstOnHit",Attribute=/Script/DSAbilitySystem.DungeonSiegeCastOnHitAttributeSet:ChanceToCastStarburstOnHit,AttributeOwner=Class'"/Script/DSAbilitySystem.DungeonSiegeCastOnHitAttributeSet"')</v>
      </c>
      <c r="H188" s="43">
        <v>25</v>
      </c>
      <c r="I188" s="43" t="str">
        <f t="shared" si="7"/>
        <v>GE_Suffix_of_Major_Starburst</v>
      </c>
      <c r="J188" s="43" t="str">
        <f t="shared" si="8"/>
        <v>/Game/DungeonSiege/Blueprints/GameplayAbilities/Affixes/GE_Suffix_of_Major_Starburst</v>
      </c>
    </row>
    <row r="189" spans="1:10" s="23" customFormat="1" ht="33.75" x14ac:dyDescent="0.25">
      <c r="A189" s="43">
        <v>187</v>
      </c>
      <c r="B189" s="43">
        <f>VLOOKUP(C189,CHOOSE({2,1},Suffix!B$2:B$412,Suffix!C$2:C$412),2,FALSE)</f>
        <v>101712160</v>
      </c>
      <c r="C189" s="43" t="s">
        <v>1529</v>
      </c>
      <c r="D189" s="43" t="s">
        <v>1530</v>
      </c>
      <c r="E189" s="43" t="str">
        <f>VLOOKUP(F189,CHOOSE({2,1},Attributes!B$3:B$130,Attributes!C$3:C$129),2,FALSE)</f>
        <v>DungeonSiegeDamageAttributeSet</v>
      </c>
      <c r="F189" s="43" t="str">
        <f>Attributes!C25</f>
        <v>MinPiercingDamageMod</v>
      </c>
      <c r="G189" s="43" t="str">
        <f t="shared" si="6"/>
        <v>(AttributeName="MinPiercingDamageMod",Attribute=/Script/DSAbilitySystem.DungeonSiegeDamageAttributeSet:MinPiercingDamageMod,AttributeOwner=Class'"/Script/DSAbilitySystem.DungeonSiegeDamageAttributeSet"')</v>
      </c>
      <c r="H189" s="43">
        <v>14</v>
      </c>
      <c r="I189" s="43" t="str">
        <f t="shared" si="7"/>
        <v>GE_Suffix_of_Agility</v>
      </c>
      <c r="J189" s="43" t="str">
        <f t="shared" si="8"/>
        <v>/Game/DungeonSiege/Blueprints/GameplayAbilities/Affixes/GE_Suffix_of_Agility</v>
      </c>
    </row>
    <row r="190" spans="1:10" ht="33.75" x14ac:dyDescent="0.25">
      <c r="A190" s="43">
        <v>188</v>
      </c>
      <c r="B190" s="43">
        <f>VLOOKUP(C190,CHOOSE({2,1},Suffix!B$2:B$412,Suffix!C$2:C$412),2,FALSE)</f>
        <v>101712160</v>
      </c>
      <c r="C190" s="43" t="s">
        <v>1529</v>
      </c>
      <c r="D190" s="43" t="s">
        <v>1530</v>
      </c>
      <c r="E190" s="43" t="str">
        <f>VLOOKUP(F190,CHOOSE({2,1},Attributes!B$3:B$130,Attributes!C$3:C$129),2,FALSE)</f>
        <v>DungeonSiegeDamageAttributeSet</v>
      </c>
      <c r="F190" s="43" t="str">
        <f>Attributes!C26</f>
        <v>MaxPiercingDamageMod</v>
      </c>
      <c r="G190" s="43" t="str">
        <f t="shared" si="6"/>
        <v>(AttributeName="MaxPiercingDamageMod",Attribute=/Script/DSAbilitySystem.DungeonSiegeDamageAttributeSet:MaxPiercingDamageMod,AttributeOwner=Class'"/Script/DSAbilitySystem.DungeonSiegeDamageAttributeSet"')</v>
      </c>
      <c r="H190" s="43">
        <v>30</v>
      </c>
      <c r="I190" s="43" t="str">
        <f t="shared" si="7"/>
        <v>GE_Suffix_of_Agility</v>
      </c>
      <c r="J190" s="43" t="str">
        <f t="shared" si="8"/>
        <v>/Game/DungeonSiege/Blueprints/GameplayAbilities/Affixes/GE_Suffix_of_Agility</v>
      </c>
    </row>
    <row r="191" spans="1:10" ht="33.75" x14ac:dyDescent="0.25">
      <c r="A191" s="43">
        <v>189</v>
      </c>
      <c r="B191" s="43">
        <f>VLOOKUP(C191,CHOOSE({2,1},Suffix!B$2:B$412,Suffix!C$2:C$412),2,FALSE)</f>
        <v>101712161</v>
      </c>
      <c r="C191" s="43" t="s">
        <v>1532</v>
      </c>
      <c r="D191" s="43" t="s">
        <v>1533</v>
      </c>
      <c r="E191" s="43" t="str">
        <f>VLOOKUP(F191,CHOOSE({2,1},Attributes!B$3:B$130,Attributes!C$3:C$129),2,FALSE)</f>
        <v>DungeonSiegePerHitAttributeSet</v>
      </c>
      <c r="F191" s="43" t="str">
        <f>Attributes!C13</f>
        <v>HealthStealPerHit</v>
      </c>
      <c r="G191" s="43" t="str">
        <f t="shared" si="6"/>
        <v>(AttributeName="HealthStealPerHit",Attribute=/Script/DSAbilitySystem.DungeonSiegePerHitAttributeSet:HealthStealPerHit,AttributeOwner=Class'"/Script/DSAbilitySystem.DungeonSiegePerHitAttributeSet"')</v>
      </c>
      <c r="H191" s="43">
        <v>5</v>
      </c>
      <c r="I191" s="43" t="str">
        <f t="shared" si="7"/>
        <v>GE_Suffix_of_Threat</v>
      </c>
      <c r="J191" s="43" t="str">
        <f t="shared" si="8"/>
        <v>/Game/DungeonSiege/Blueprints/GameplayAbilities/Affixes/GE_Suffix_of_Threat</v>
      </c>
    </row>
    <row r="192" spans="1:10" ht="33.75" x14ac:dyDescent="0.25">
      <c r="A192" s="43">
        <v>190</v>
      </c>
      <c r="B192" s="43">
        <f>VLOOKUP(C192,CHOOSE({2,1},Suffix!B$2:B$412,Suffix!C$2:C$412),2,FALSE)</f>
        <v>101712162</v>
      </c>
      <c r="C192" s="43" t="s">
        <v>1535</v>
      </c>
      <c r="D192" s="43" t="s">
        <v>1536</v>
      </c>
      <c r="E192" s="43" t="str">
        <f>VLOOKUP(F192,CHOOSE({2,1},Attributes!B$3:B$130,Attributes!C$3:C$129),2,FALSE)</f>
        <v>DungeonSiegeDamageAttributeSet</v>
      </c>
      <c r="F192" s="43" t="str">
        <f>Attributes!C21</f>
        <v>PercentDamageReflectedToEnemy</v>
      </c>
      <c r="G192" s="43" t="str">
        <f t="shared" si="6"/>
        <v>(AttributeName="PercentDamageReflectedToEnemy",Attribute=/Script/DSAbilitySystem.DungeonSiegeDamageAttributeSet:PercentDamageReflectedToEnemy,AttributeOwner=Class'"/Script/DSAbilitySystem.DungeonSiegeDamageAttributeSet"')</v>
      </c>
      <c r="H192" s="43">
        <v>13</v>
      </c>
      <c r="I192" s="43" t="str">
        <f t="shared" si="7"/>
        <v>GE_Suffix_of_Retribution</v>
      </c>
      <c r="J192" s="43" t="str">
        <f t="shared" si="8"/>
        <v>/Game/DungeonSiege/Blueprints/GameplayAbilities/Affixes/GE_Suffix_of_Retribution</v>
      </c>
    </row>
    <row r="193" spans="1:10" ht="33.75" x14ac:dyDescent="0.25">
      <c r="A193" s="43">
        <v>191</v>
      </c>
      <c r="B193" s="43">
        <f>VLOOKUP(C193,CHOOSE({2,1},Suffix!B$2:B$412,Suffix!C$2:C$412),2,FALSE)</f>
        <v>101712163</v>
      </c>
      <c r="C193" s="43" t="s">
        <v>1538</v>
      </c>
      <c r="D193" s="43" t="s">
        <v>1539</v>
      </c>
      <c r="E193" s="43" t="str">
        <f>VLOOKUP(F193,CHOOSE({2,1},Attributes!B$3:B$130,Attributes!C$3:C$129),2,FALSE)</f>
        <v>DungeonSiegeDamageAttributeSet</v>
      </c>
      <c r="F193" s="43" t="str">
        <f>Attributes!C20</f>
        <v>MaxDamageMod</v>
      </c>
      <c r="G193" s="43" t="str">
        <f t="shared" si="6"/>
        <v>(AttributeName="MaxDamageMod",Attribute=/Script/DSAbilitySystem.DungeonSiegeDamageAttributeSet:MaxDamageMod,AttributeOwner=Class'"/Script/DSAbilitySystem.DungeonSiegeDamageAttributeSet"')</v>
      </c>
      <c r="H193" s="43">
        <v>28</v>
      </c>
      <c r="I193" s="43" t="str">
        <f t="shared" si="7"/>
        <v>GE_Suffix_of_the_Heron</v>
      </c>
      <c r="J193" s="43" t="str">
        <f t="shared" si="8"/>
        <v>/Game/DungeonSiege/Blueprints/GameplayAbilities/Affixes/GE_Suffix_of_the_Heron</v>
      </c>
    </row>
    <row r="194" spans="1:10" s="23" customFormat="1" ht="33.75" x14ac:dyDescent="0.25">
      <c r="A194" s="43">
        <v>192</v>
      </c>
      <c r="B194" s="43">
        <f>VLOOKUP(C194,CHOOSE({2,1},Suffix!B$2:B$412,Suffix!C$2:C$412),2,FALSE)</f>
        <v>101712164</v>
      </c>
      <c r="C194" s="43" t="s">
        <v>1541</v>
      </c>
      <c r="D194" s="43" t="s">
        <v>1542</v>
      </c>
      <c r="E194" s="43" t="str">
        <f>VLOOKUP(F194,CHOOSE({2,1},Attributes!B$3:B$130,Attributes!C$3:C$129),2,FALSE)</f>
        <v>DungeonSiegeDamageAttributeSet</v>
      </c>
      <c r="F194" s="43" t="str">
        <f>Attributes!C19</f>
        <v>MinDamageMod</v>
      </c>
      <c r="G194" s="43" t="str">
        <f t="shared" si="6"/>
        <v>(AttributeName="MinDamageMod",Attribute=/Script/DSAbilitySystem.DungeonSiegeDamageAttributeSet:MinDamageMod,AttributeOwner=Class'"/Script/DSAbilitySystem.DungeonSiegeDamageAttributeSet"')</v>
      </c>
      <c r="H194" s="43">
        <v>17</v>
      </c>
      <c r="I194" s="43" t="str">
        <f t="shared" si="7"/>
        <v>GE_Suffix_of_Breadth</v>
      </c>
      <c r="J194" s="43" t="str">
        <f t="shared" si="8"/>
        <v>/Game/DungeonSiege/Blueprints/GameplayAbilities/Affixes/GE_Suffix_of_Breadth</v>
      </c>
    </row>
    <row r="195" spans="1:10" ht="33.75" x14ac:dyDescent="0.25">
      <c r="A195" s="43">
        <v>193</v>
      </c>
      <c r="B195" s="43">
        <f>VLOOKUP(C195,CHOOSE({2,1},Suffix!B$2:B$412,Suffix!C$2:C$412),2,FALSE)</f>
        <v>101712164</v>
      </c>
      <c r="C195" s="43" t="s">
        <v>1541</v>
      </c>
      <c r="D195" s="43" t="s">
        <v>1542</v>
      </c>
      <c r="E195" s="43" t="str">
        <f>VLOOKUP(F195,CHOOSE({2,1},Attributes!B$3:B$130,Attributes!C$3:C$129),2,FALSE)</f>
        <v>DungeonSiegeDamageAttributeSet</v>
      </c>
      <c r="F195" s="43" t="str">
        <f>Attributes!C20</f>
        <v>MaxDamageMod</v>
      </c>
      <c r="G195" s="43" t="str">
        <f t="shared" ref="G195:G258" si="9">CONCATENATE("(AttributeName=""",F195,""",Attribute=/Script/DSAbilitySystem."&amp; E195 &amp;":",F195,",AttributeOwner=Class'""/Script/DSAbilitySystem." &amp; E195 &amp; """')")</f>
        <v>(AttributeName="MaxDamageMod",Attribute=/Script/DSAbilitySystem.DungeonSiegeDamageAttributeSet:MaxDamageMod,AttributeOwner=Class'"/Script/DSAbilitySystem.DungeonSiegeDamageAttributeSet"')</v>
      </c>
      <c r="H195" s="43">
        <v>40</v>
      </c>
      <c r="I195" s="43" t="str">
        <f t="shared" ref="I195:I258" si="10">CONCATENATE("GE_Suffix_", SUBSTITUTE(C195," ","_"))</f>
        <v>GE_Suffix_of_Breadth</v>
      </c>
      <c r="J195" s="43" t="str">
        <f t="shared" ref="J195:J258" si="11">"/Game/DungeonSiege/Blueprints/GameplayAbilities/Affixes/" &amp;I195</f>
        <v>/Game/DungeonSiege/Blueprints/GameplayAbilities/Affixes/GE_Suffix_of_Breadth</v>
      </c>
    </row>
    <row r="196" spans="1:10" ht="33.75" x14ac:dyDescent="0.25">
      <c r="A196" s="43">
        <v>194</v>
      </c>
      <c r="B196" s="43">
        <f>VLOOKUP(C196,CHOOSE({2,1},Suffix!B$2:B$412,Suffix!C$2:C$412),2,FALSE)</f>
        <v>101712165</v>
      </c>
      <c r="C196" s="43" t="s">
        <v>1544</v>
      </c>
      <c r="D196" s="43" t="s">
        <v>1545</v>
      </c>
      <c r="E196" s="43" t="str">
        <f>VLOOKUP(F196,CHOOSE({2,1},Attributes!B$3:B$130,Attributes!C$3:C$129),2,FALSE)</f>
        <v>DungeonSiegeCastOnHitAttributeSet</v>
      </c>
      <c r="F196" s="43" t="str">
        <f>Attributes!C105</f>
        <v>ChanceToCastNovaStrikeOnHit</v>
      </c>
      <c r="G196" s="43" t="str">
        <f t="shared" si="9"/>
        <v>(AttributeName="ChanceToCastNovaStrikeOnHit",Attribute=/Script/DSAbilitySystem.DungeonSiegeCastOnHitAttributeSet:ChanceToCastNovaStrikeOnHit,AttributeOwner=Class'"/Script/DSAbilitySystem.DungeonSiegeCastOnHitAttributeSet"')</v>
      </c>
      <c r="H196" s="43">
        <v>20</v>
      </c>
      <c r="I196" s="43" t="str">
        <f t="shared" si="10"/>
        <v>GE_Suffix_of_Nova_Strike</v>
      </c>
      <c r="J196" s="43" t="str">
        <f t="shared" si="11"/>
        <v>/Game/DungeonSiege/Blueprints/GameplayAbilities/Affixes/GE_Suffix_of_Nova_Strike</v>
      </c>
    </row>
    <row r="197" spans="1:10" ht="33.75" x14ac:dyDescent="0.25">
      <c r="A197" s="43">
        <v>195</v>
      </c>
      <c r="B197" s="43">
        <f>VLOOKUP(C197,CHOOSE({2,1},Suffix!B$2:B$412,Suffix!C$2:C$412),2,FALSE)</f>
        <v>101712166</v>
      </c>
      <c r="C197" s="43" t="s">
        <v>1547</v>
      </c>
      <c r="D197" s="43" t="s">
        <v>162</v>
      </c>
      <c r="E197" s="43" t="str">
        <f>VLOOKUP(F197,CHOOSE({2,1},Attributes!B$3:B$130,Attributes!C$3:C$129),2,FALSE)</f>
        <v>DungeonSiegeMagicAttributeSet</v>
      </c>
      <c r="F197" s="43" t="str">
        <f>Attributes!C46</f>
        <v>ColdSpellCostReduction</v>
      </c>
      <c r="G197" s="43" t="str">
        <f t="shared" si="9"/>
        <v>(AttributeName="ColdSpellCostReduction",Attribute=/Script/DSAbilitySystem.DungeonSiegeMagicAttributeSet:ColdSpellCostReduction,AttributeOwner=Class'"/Script/DSAbilitySystem.DungeonSiegeMagicAttributeSet"')</v>
      </c>
      <c r="H197" s="43">
        <v>20</v>
      </c>
      <c r="I197" s="43" t="str">
        <f t="shared" si="10"/>
        <v>GE_Suffix_of_The_Frozen</v>
      </c>
      <c r="J197" s="43" t="str">
        <f t="shared" si="11"/>
        <v>/Game/DungeonSiege/Blueprints/GameplayAbilities/Affixes/GE_Suffix_of_The_Frozen</v>
      </c>
    </row>
    <row r="198" spans="1:10" ht="33.75" x14ac:dyDescent="0.25">
      <c r="A198" s="43">
        <v>196</v>
      </c>
      <c r="B198" s="43">
        <f>VLOOKUP(C198,CHOOSE({2,1},Suffix!B$2:B$412,Suffix!C$2:C$412),2,FALSE)</f>
        <v>101712167</v>
      </c>
      <c r="C198" s="43" t="s">
        <v>1548</v>
      </c>
      <c r="D198" s="43" t="s">
        <v>159</v>
      </c>
      <c r="E198" s="43" t="str">
        <f>VLOOKUP(F198,CHOOSE({2,1},Attributes!B$3:B$130,Attributes!C$3:C$129),2,FALSE)</f>
        <v>DungeonSiegeMagicAttributeSet</v>
      </c>
      <c r="F198" s="43" t="str">
        <f>Attributes!C49</f>
        <v>FireSpellCostReduction</v>
      </c>
      <c r="G198" s="43" t="str">
        <f t="shared" si="9"/>
        <v>(AttributeName="FireSpellCostReduction",Attribute=/Script/DSAbilitySystem.DungeonSiegeMagicAttributeSet:FireSpellCostReduction,AttributeOwner=Class'"/Script/DSAbilitySystem.DungeonSiegeMagicAttributeSet"')</v>
      </c>
      <c r="H198" s="43">
        <v>20</v>
      </c>
      <c r="I198" s="43" t="str">
        <f t="shared" si="10"/>
        <v>GE_Suffix_of_The_Conflagration</v>
      </c>
      <c r="J198" s="43" t="str">
        <f t="shared" si="11"/>
        <v>/Game/DungeonSiege/Blueprints/GameplayAbilities/Affixes/GE_Suffix_of_The_Conflagration</v>
      </c>
    </row>
    <row r="199" spans="1:10" ht="33.75" x14ac:dyDescent="0.25">
      <c r="A199" s="43">
        <v>197</v>
      </c>
      <c r="B199" s="43">
        <f>VLOOKUP(C199,CHOOSE({2,1},Suffix!B$2:B$412,Suffix!C$2:C$412),2,FALSE)</f>
        <v>101712168</v>
      </c>
      <c r="C199" s="43" t="s">
        <v>157</v>
      </c>
      <c r="D199" s="43" t="s">
        <v>156</v>
      </c>
      <c r="E199" s="43" t="str">
        <f>VLOOKUP(F199,CHOOSE({2,1},Attributes!B$3:B$130,Attributes!C$3:C$129),2,FALSE)</f>
        <v>DungeonSiegeMagicAttributeSet</v>
      </c>
      <c r="F199" s="43" t="str">
        <f>Attributes!C97</f>
        <v>LightningSpellCostReduction</v>
      </c>
      <c r="G199" s="43" t="str">
        <f t="shared" si="9"/>
        <v>(AttributeName="LightningSpellCostReduction",Attribute=/Script/DSAbilitySystem.DungeonSiegeMagicAttributeSet:LightningSpellCostReduction,AttributeOwner=Class'"/Script/DSAbilitySystem.DungeonSiegeMagicAttributeSet"')</v>
      </c>
      <c r="H199" s="43">
        <v>20</v>
      </c>
      <c r="I199" s="43" t="str">
        <f t="shared" si="10"/>
        <v>GE_Suffix_of_Electricity</v>
      </c>
      <c r="J199" s="43" t="str">
        <f t="shared" si="11"/>
        <v>/Game/DungeonSiege/Blueprints/GameplayAbilities/Affixes/GE_Suffix_of_Electricity</v>
      </c>
    </row>
    <row r="200" spans="1:10" ht="33.75" x14ac:dyDescent="0.25">
      <c r="A200" s="43">
        <v>198</v>
      </c>
      <c r="B200" s="43">
        <f>VLOOKUP(C200,CHOOSE({2,1},Suffix!B$2:B$412,Suffix!C$2:C$412),2,FALSE)</f>
        <v>101712169</v>
      </c>
      <c r="C200" s="43" t="s">
        <v>154</v>
      </c>
      <c r="D200" s="43" t="s">
        <v>153</v>
      </c>
      <c r="E200" s="43" t="str">
        <f>VLOOKUP(F200,CHOOSE({2,1},Attributes!B$3:B$130,Attributes!C$3:C$129),2,FALSE)</f>
        <v>DungeonSiegeMagicAttributeSet</v>
      </c>
      <c r="F200" s="43" t="str">
        <f>Attributes!C98</f>
        <v>SummoningSpellCostReduction</v>
      </c>
      <c r="G200" s="43" t="str">
        <f t="shared" si="9"/>
        <v>(AttributeName="SummoningSpellCostReduction",Attribute=/Script/DSAbilitySystem.DungeonSiegeMagicAttributeSet:SummoningSpellCostReduction,AttributeOwner=Class'"/Script/DSAbilitySystem.DungeonSiegeMagicAttributeSet"')</v>
      </c>
      <c r="H200" s="43">
        <v>20</v>
      </c>
      <c r="I200" s="43" t="str">
        <f t="shared" si="10"/>
        <v>GE_Suffix_of_Convoking</v>
      </c>
      <c r="J200" s="43" t="str">
        <f t="shared" si="11"/>
        <v>/Game/DungeonSiege/Blueprints/GameplayAbilities/Affixes/GE_Suffix_of_Convoking</v>
      </c>
    </row>
    <row r="201" spans="1:10" ht="33.75" x14ac:dyDescent="0.25">
      <c r="A201" s="43">
        <v>199</v>
      </c>
      <c r="B201" s="43">
        <f>VLOOKUP(C201,CHOOSE({2,1},Suffix!B$2:B$412,Suffix!C$2:C$412),2,FALSE)</f>
        <v>101712176</v>
      </c>
      <c r="C201" s="43" t="s">
        <v>151</v>
      </c>
      <c r="D201" s="43" t="s">
        <v>150</v>
      </c>
      <c r="E201" s="43" t="str">
        <f>VLOOKUP(F201,CHOOSE({2,1},Attributes!B$3:B$130,Attributes!C$3:C$129),2,FALSE)</f>
        <v>DungeonSiegeMagicAttributeSet</v>
      </c>
      <c r="F201" s="43" t="str">
        <f>Attributes!C99</f>
        <v>HealingSpellCostReduction</v>
      </c>
      <c r="G201" s="43" t="str">
        <f t="shared" si="9"/>
        <v>(AttributeName="HealingSpellCostReduction",Attribute=/Script/DSAbilitySystem.DungeonSiegeMagicAttributeSet:HealingSpellCostReduction,AttributeOwner=Class'"/Script/DSAbilitySystem.DungeonSiegeMagicAttributeSet"')</v>
      </c>
      <c r="H201" s="43">
        <v>20</v>
      </c>
      <c r="I201" s="43" t="str">
        <f t="shared" si="10"/>
        <v>GE_Suffix_of_Compassion</v>
      </c>
      <c r="J201" s="43" t="str">
        <f t="shared" si="11"/>
        <v>/Game/DungeonSiege/Blueprints/GameplayAbilities/Affixes/GE_Suffix_of_Compassion</v>
      </c>
    </row>
    <row r="202" spans="1:10" ht="33.75" x14ac:dyDescent="0.25">
      <c r="A202" s="43">
        <v>200</v>
      </c>
      <c r="B202" s="43">
        <f>VLOOKUP(C202,CHOOSE({2,1},Suffix!B$2:B$412,Suffix!C$2:C$412),2,FALSE)</f>
        <v>101712177</v>
      </c>
      <c r="C202" s="43" t="s">
        <v>1549</v>
      </c>
      <c r="D202" s="43" t="s">
        <v>296</v>
      </c>
      <c r="E202" s="43" t="str">
        <f>VLOOKUP(F202,CHOOSE({2,1},Attributes!B$3:B$130,Attributes!C$3:C$129),2,FALSE)</f>
        <v>DungeonSiegeExperienceAttributeSet</v>
      </c>
      <c r="F202" s="43" t="str">
        <f>Attributes!C3</f>
        <v>Strength</v>
      </c>
      <c r="G202" s="43" t="str">
        <f t="shared" si="9"/>
        <v>(AttributeName="Strength",Attribute=/Script/DSAbilitySystem.DungeonSiegeExperienceAttributeSet:Strength,AttributeOwner=Class'"/Script/DSAbilitySystem.DungeonSiegeExperienceAttributeSet"')</v>
      </c>
      <c r="H202" s="43">
        <v>4</v>
      </c>
      <c r="I202" s="43" t="str">
        <f t="shared" si="10"/>
        <v>GE_Suffix_of_Virulence</v>
      </c>
      <c r="J202" s="43" t="str">
        <f t="shared" si="11"/>
        <v>/Game/DungeonSiege/Blueprints/GameplayAbilities/Affixes/GE_Suffix_of_Virulence</v>
      </c>
    </row>
    <row r="203" spans="1:10" ht="33.75" x14ac:dyDescent="0.25">
      <c r="A203" s="43">
        <v>201</v>
      </c>
      <c r="B203" s="43">
        <f>VLOOKUP(C203,CHOOSE({2,1},Suffix!B$2:B$412,Suffix!C$2:C$412),2,FALSE)</f>
        <v>101712178</v>
      </c>
      <c r="C203" s="43" t="s">
        <v>148</v>
      </c>
      <c r="D203" s="43" t="s">
        <v>147</v>
      </c>
      <c r="E203" s="43" t="str">
        <f>VLOOKUP(F203,CHOOSE({2,1},Attributes!B$3:B$130,Attributes!C$3:C$129),2,FALSE)</f>
        <v>DungeonSiegeExperienceAttributeSet</v>
      </c>
      <c r="F203" s="43" t="str">
        <f>Attributes!C5</f>
        <v>Intelligence</v>
      </c>
      <c r="G203" s="43" t="str">
        <f t="shared" si="9"/>
        <v>(AttributeName="Intelligence",Attribute=/Script/DSAbilitySystem.DungeonSiegeExperienceAttributeSet:Intelligence,AttributeOwner=Class'"/Script/DSAbilitySystem.DungeonSiegeExperienceAttributeSet"')</v>
      </c>
      <c r="H203" s="43">
        <v>4</v>
      </c>
      <c r="I203" s="43" t="str">
        <f t="shared" si="10"/>
        <v>GE_Suffix_of_Intellect</v>
      </c>
      <c r="J203" s="43" t="str">
        <f t="shared" si="11"/>
        <v>/Game/DungeonSiege/Blueprints/GameplayAbilities/Affixes/GE_Suffix_of_Intellect</v>
      </c>
    </row>
    <row r="204" spans="1:10" s="23" customFormat="1" ht="33.75" x14ac:dyDescent="0.25">
      <c r="A204" s="43">
        <v>202</v>
      </c>
      <c r="B204" s="43">
        <f>VLOOKUP(C204,CHOOSE({2,1},Suffix!B$2:B$412,Suffix!C$2:C$412),2,FALSE)</f>
        <v>101712179</v>
      </c>
      <c r="C204" s="43" t="s">
        <v>1551</v>
      </c>
      <c r="D204" s="43" t="s">
        <v>1552</v>
      </c>
      <c r="E204" s="43" t="str">
        <f>VLOOKUP(F204,CHOOSE({2,1},Attributes!B$3:B$130,Attributes!C$3:C$129),2,FALSE)</f>
        <v>DungeonSiegeDamageAttributeSet</v>
      </c>
      <c r="F204" s="43" t="str">
        <f>Attributes!C25</f>
        <v>MinPiercingDamageMod</v>
      </c>
      <c r="G204" s="43" t="str">
        <f t="shared" si="9"/>
        <v>(AttributeName="MinPiercingDamageMod",Attribute=/Script/DSAbilitySystem.DungeonSiegeDamageAttributeSet:MinPiercingDamageMod,AttributeOwner=Class'"/Script/DSAbilitySystem.DungeonSiegeDamageAttributeSet"')</v>
      </c>
      <c r="H204" s="43">
        <v>14</v>
      </c>
      <c r="I204" s="43" t="str">
        <f t="shared" si="10"/>
        <v>GE_Suffix_of_Claws</v>
      </c>
      <c r="J204" s="43" t="str">
        <f t="shared" si="11"/>
        <v>/Game/DungeonSiege/Blueprints/GameplayAbilities/Affixes/GE_Suffix_of_Claws</v>
      </c>
    </row>
    <row r="205" spans="1:10" ht="33.75" x14ac:dyDescent="0.25">
      <c r="A205" s="43">
        <v>203</v>
      </c>
      <c r="B205" s="43">
        <f>VLOOKUP(C205,CHOOSE({2,1},Suffix!B$2:B$412,Suffix!C$2:C$412),2,FALSE)</f>
        <v>101712179</v>
      </c>
      <c r="C205" s="43" t="s">
        <v>1551</v>
      </c>
      <c r="D205" s="43" t="s">
        <v>1552</v>
      </c>
      <c r="E205" s="43" t="str">
        <f>VLOOKUP(F205,CHOOSE({2,1},Attributes!B$3:B$130,Attributes!C$3:C$129),2,FALSE)</f>
        <v>DungeonSiegeDamageAttributeSet</v>
      </c>
      <c r="F205" s="43" t="str">
        <f>Attributes!C26</f>
        <v>MaxPiercingDamageMod</v>
      </c>
      <c r="G205" s="43" t="str">
        <f t="shared" si="9"/>
        <v>(AttributeName="MaxPiercingDamageMod",Attribute=/Script/DSAbilitySystem.DungeonSiegeDamageAttributeSet:MaxPiercingDamageMod,AttributeOwner=Class'"/Script/DSAbilitySystem.DungeonSiegeDamageAttributeSet"')</v>
      </c>
      <c r="H205" s="43">
        <v>32</v>
      </c>
      <c r="I205" s="43" t="str">
        <f t="shared" si="10"/>
        <v>GE_Suffix_of_Claws</v>
      </c>
      <c r="J205" s="43" t="str">
        <f t="shared" si="11"/>
        <v>/Game/DungeonSiege/Blueprints/GameplayAbilities/Affixes/GE_Suffix_of_Claws</v>
      </c>
    </row>
    <row r="206" spans="1:10" ht="33.75" x14ac:dyDescent="0.25">
      <c r="A206" s="43">
        <v>204</v>
      </c>
      <c r="B206" s="43">
        <f>VLOOKUP(C206,CHOOSE({2,1},Suffix!B$2:B$412,Suffix!C$2:C$412),2,FALSE)</f>
        <v>101712180</v>
      </c>
      <c r="C206" s="43" t="s">
        <v>1554</v>
      </c>
      <c r="D206" s="43" t="s">
        <v>1555</v>
      </c>
      <c r="E206" s="43" t="str">
        <f>VLOOKUP(F206,CHOOSE({2,1},Attributes!B$3:B$130,Attributes!C$3:C$129),2,FALSE)</f>
        <v>DungeonSiegeDamageAttributeSet</v>
      </c>
      <c r="F206" s="43" t="str">
        <f>Attributes!C23</f>
        <v>ChanceToInflictPiercingHit</v>
      </c>
      <c r="G206" s="43" t="str">
        <f t="shared" si="9"/>
        <v>(AttributeName="ChanceToInflictPiercingHit",Attribute=/Script/DSAbilitySystem.DungeonSiegeDamageAttributeSet:ChanceToInflictPiercingHit,AttributeOwner=Class'"/Script/DSAbilitySystem.DungeonSiegeDamageAttributeSet"')</v>
      </c>
      <c r="H206" s="43">
        <v>8</v>
      </c>
      <c r="I206" s="43" t="str">
        <f t="shared" si="10"/>
        <v>GE_Suffix_of_Target</v>
      </c>
      <c r="J206" s="43" t="str">
        <f t="shared" si="11"/>
        <v>/Game/DungeonSiege/Blueprints/GameplayAbilities/Affixes/GE_Suffix_of_Target</v>
      </c>
    </row>
    <row r="207" spans="1:10" ht="33.75" x14ac:dyDescent="0.25">
      <c r="A207" s="43">
        <v>205</v>
      </c>
      <c r="B207" s="43">
        <f>VLOOKUP(C207,CHOOSE({2,1},Suffix!B$2:B$412,Suffix!C$2:C$412),2,FALSE)</f>
        <v>101712181</v>
      </c>
      <c r="C207" s="43" t="s">
        <v>1557</v>
      </c>
      <c r="D207" s="43" t="s">
        <v>1558</v>
      </c>
      <c r="E207" s="43" t="str">
        <f>VLOOKUP(F207,CHOOSE({2,1},Attributes!B$3:B$130,Attributes!C$3:C$129),2,FALSE)</f>
        <v>DungeonSiegePerHitAttributeSet</v>
      </c>
      <c r="F207" s="43" t="str">
        <f>Attributes!C12</f>
        <v>ManaPerHit</v>
      </c>
      <c r="G207" s="43" t="str">
        <f t="shared" si="9"/>
        <v>(AttributeName="ManaPerHit",Attribute=/Script/DSAbilitySystem.DungeonSiegePerHitAttributeSet:ManaPerHit,AttributeOwner=Class'"/Script/DSAbilitySystem.DungeonSiegePerHitAttributeSet"')</v>
      </c>
      <c r="H207" s="43">
        <v>9</v>
      </c>
      <c r="I207" s="43" t="str">
        <f t="shared" si="10"/>
        <v>GE_Suffix_of_Sunset</v>
      </c>
      <c r="J207" s="43" t="str">
        <f t="shared" si="11"/>
        <v>/Game/DungeonSiege/Blueprints/GameplayAbilities/Affixes/GE_Suffix_of_Sunset</v>
      </c>
    </row>
    <row r="208" spans="1:10" ht="33.75" x14ac:dyDescent="0.25">
      <c r="A208" s="43">
        <v>206</v>
      </c>
      <c r="B208" s="43">
        <f>VLOOKUP(C208,CHOOSE({2,1},Suffix!B$2:B$412,Suffix!C$2:C$412),2,FALSE)</f>
        <v>101712182</v>
      </c>
      <c r="C208" s="43" t="s">
        <v>1560</v>
      </c>
      <c r="D208" s="43" t="s">
        <v>1561</v>
      </c>
      <c r="E208" s="43" t="str">
        <f>VLOOKUP(F208,CHOOSE({2,1},Attributes!B$3:B$130,Attributes!C$3:C$129),2,FALSE)</f>
        <v>DungeonSiegeDamageAttributeSet</v>
      </c>
      <c r="F208" s="43" t="str">
        <f>Attributes!C33</f>
        <v>MeleeHitChance</v>
      </c>
      <c r="G208" s="43" t="str">
        <f t="shared" si="9"/>
        <v>(AttributeName="MeleeHitChance",Attribute=/Script/DSAbilitySystem.DungeonSiegeDamageAttributeSet:MeleeHitChance,AttributeOwner=Class'"/Script/DSAbilitySystem.DungeonSiegeDamageAttributeSet"')</v>
      </c>
      <c r="H208" s="43">
        <v>14</v>
      </c>
      <c r="I208" s="43" t="str">
        <f t="shared" si="10"/>
        <v>GE_Suffix_of_Perfection</v>
      </c>
      <c r="J208" s="43" t="str">
        <f t="shared" si="11"/>
        <v>/Game/DungeonSiege/Blueprints/GameplayAbilities/Affixes/GE_Suffix_of_Perfection</v>
      </c>
    </row>
    <row r="209" spans="1:10" ht="33.75" x14ac:dyDescent="0.25">
      <c r="A209" s="43">
        <v>207</v>
      </c>
      <c r="B209" s="43">
        <f>VLOOKUP(C209,CHOOSE({2,1},Suffix!B$2:B$412,Suffix!C$2:C$412),2,FALSE)</f>
        <v>101712183</v>
      </c>
      <c r="C209" s="43" t="s">
        <v>1563</v>
      </c>
      <c r="D209" s="43" t="s">
        <v>1564</v>
      </c>
      <c r="E209" s="43" t="str">
        <f>VLOOKUP(F209,CHOOSE({2,1},Attributes!B$3:B$130,Attributes!C$3:C$129),2,FALSE)</f>
        <v>DungeonSiegeMagicAttributeSet</v>
      </c>
      <c r="F209" s="43" t="str">
        <f>Attributes!C39</f>
        <v>NatureMagicMaxDamageMod</v>
      </c>
      <c r="G209" s="43" t="str">
        <f t="shared" si="9"/>
        <v>(AttributeName="NatureMagicMaxDamageMod",Attribute=/Script/DSAbilitySystem.DungeonSiegeMagicAttributeSet:NatureMagicMaxDamageMod,AttributeOwner=Class'"/Script/DSAbilitySystem.DungeonSiegeMagicAttributeSet"')</v>
      </c>
      <c r="H209" s="43">
        <v>13</v>
      </c>
      <c r="I209" s="43" t="str">
        <f t="shared" si="10"/>
        <v>GE_Suffix_of_Enormity</v>
      </c>
      <c r="J209" s="43" t="str">
        <f t="shared" si="11"/>
        <v>/Game/DungeonSiege/Blueprints/GameplayAbilities/Affixes/GE_Suffix_of_Enormity</v>
      </c>
    </row>
    <row r="210" spans="1:10" ht="33.75" x14ac:dyDescent="0.25">
      <c r="A210" s="43">
        <v>208</v>
      </c>
      <c r="B210" s="43">
        <f>VLOOKUP(C210,CHOOSE({2,1},Suffix!B$2:B$412,Suffix!C$2:C$412),2,FALSE)</f>
        <v>101712184</v>
      </c>
      <c r="C210" s="43" t="s">
        <v>1566</v>
      </c>
      <c r="D210" s="43" t="s">
        <v>1567</v>
      </c>
      <c r="E210" s="43" t="str">
        <f>VLOOKUP(F210,CHOOSE({2,1},Attributes!B$3:B$130,Attributes!C$3:C$129),2,FALSE)</f>
        <v>DungeonSiegeMagicAttributeSet</v>
      </c>
      <c r="F210" s="43" t="str">
        <f>Attributes!C42</f>
        <v>CombatMagicMaxDamageMod</v>
      </c>
      <c r="G210" s="43" t="str">
        <f t="shared" si="9"/>
        <v>(AttributeName="CombatMagicMaxDamageMod",Attribute=/Script/DSAbilitySystem.DungeonSiegeMagicAttributeSet:CombatMagicMaxDamageMod,AttributeOwner=Class'"/Script/DSAbilitySystem.DungeonSiegeMagicAttributeSet"')</v>
      </c>
      <c r="H210" s="43">
        <v>13</v>
      </c>
      <c r="I210" s="43" t="str">
        <f t="shared" si="10"/>
        <v>GE_Suffix_of_Opposition</v>
      </c>
      <c r="J210" s="43" t="str">
        <f t="shared" si="11"/>
        <v>/Game/DungeonSiege/Blueprints/GameplayAbilities/Affixes/GE_Suffix_of_Opposition</v>
      </c>
    </row>
    <row r="211" spans="1:10" s="23" customFormat="1" ht="33.75" x14ac:dyDescent="0.25">
      <c r="A211" s="43">
        <v>209</v>
      </c>
      <c r="B211" s="43">
        <f>VLOOKUP(C211,CHOOSE({2,1},Suffix!B$2:B$412,Suffix!C$2:C$412),2,FALSE)</f>
        <v>101712185</v>
      </c>
      <c r="C211" s="43" t="s">
        <v>1569</v>
      </c>
      <c r="D211" s="43" t="s">
        <v>1570</v>
      </c>
      <c r="E211" s="43" t="str">
        <f>VLOOKUP(F211,CHOOSE({2,1},Attributes!B$3:B$130,Attributes!C$3:C$129),2,FALSE)</f>
        <v>DungeonSiegeMagicAttributeSet</v>
      </c>
      <c r="F211" s="43" t="str">
        <f>Attributes!C38</f>
        <v>NatureMagicMinDamageMod</v>
      </c>
      <c r="G211" s="43" t="str">
        <f t="shared" si="9"/>
        <v>(AttributeName="NatureMagicMinDamageMod",Attribute=/Script/DSAbilitySystem.DungeonSiegeMagicAttributeSet:NatureMagicMinDamageMod,AttributeOwner=Class'"/Script/DSAbilitySystem.DungeonSiegeMagicAttributeSet"')</v>
      </c>
      <c r="H211" s="43">
        <v>8</v>
      </c>
      <c r="I211" s="43" t="str">
        <f t="shared" si="10"/>
        <v>GE_Suffix_of_Animation</v>
      </c>
      <c r="J211" s="43" t="str">
        <f t="shared" si="11"/>
        <v>/Game/DungeonSiege/Blueprints/GameplayAbilities/Affixes/GE_Suffix_of_Animation</v>
      </c>
    </row>
    <row r="212" spans="1:10" ht="33.75" x14ac:dyDescent="0.25">
      <c r="A212" s="43">
        <v>210</v>
      </c>
      <c r="B212" s="43">
        <f>VLOOKUP(C212,CHOOSE({2,1},Suffix!B$2:B$412,Suffix!C$2:C$412),2,FALSE)</f>
        <v>101712185</v>
      </c>
      <c r="C212" s="43" t="s">
        <v>1569</v>
      </c>
      <c r="D212" s="43" t="s">
        <v>1570</v>
      </c>
      <c r="E212" s="43" t="str">
        <f>VLOOKUP(F212,CHOOSE({2,1},Attributes!B$3:B$130,Attributes!C$3:C$129),2,FALSE)</f>
        <v>DungeonSiegeMagicAttributeSet</v>
      </c>
      <c r="F212" s="43" t="str">
        <f>Attributes!C39</f>
        <v>NatureMagicMaxDamageMod</v>
      </c>
      <c r="G212" s="43" t="str">
        <f t="shared" si="9"/>
        <v>(AttributeName="NatureMagicMaxDamageMod",Attribute=/Script/DSAbilitySystem.DungeonSiegeMagicAttributeSet:NatureMagicMaxDamageMod,AttributeOwner=Class'"/Script/DSAbilitySystem.DungeonSiegeMagicAttributeSet"')</v>
      </c>
      <c r="H212" s="43">
        <v>24</v>
      </c>
      <c r="I212" s="43" t="str">
        <f t="shared" si="10"/>
        <v>GE_Suffix_of_Animation</v>
      </c>
      <c r="J212" s="43" t="str">
        <f t="shared" si="11"/>
        <v>/Game/DungeonSiege/Blueprints/GameplayAbilities/Affixes/GE_Suffix_of_Animation</v>
      </c>
    </row>
    <row r="213" spans="1:10" s="23" customFormat="1" ht="33.75" x14ac:dyDescent="0.25">
      <c r="A213" s="43">
        <v>211</v>
      </c>
      <c r="B213" s="43">
        <f>VLOOKUP(C213,CHOOSE({2,1},Suffix!B$2:B$412,Suffix!C$2:C$412),2,FALSE)</f>
        <v>101712192</v>
      </c>
      <c r="C213" s="43" t="s">
        <v>1572</v>
      </c>
      <c r="D213" s="43" t="s">
        <v>1573</v>
      </c>
      <c r="E213" s="43" t="str">
        <f>VLOOKUP(F213,CHOOSE({2,1},Attributes!B$3:B$130,Attributes!C$3:C$129),2,FALSE)</f>
        <v>DungeonSiegeMagicAttributeSet</v>
      </c>
      <c r="F213" s="43" t="str">
        <f>Attributes!C41</f>
        <v>CombatMagicMinDamageMod</v>
      </c>
      <c r="G213" s="43" t="str">
        <f t="shared" si="9"/>
        <v>(AttributeName="CombatMagicMinDamageMod",Attribute=/Script/DSAbilitySystem.DungeonSiegeMagicAttributeSet:CombatMagicMinDamageMod,AttributeOwner=Class'"/Script/DSAbilitySystem.DungeonSiegeMagicAttributeSet"')</v>
      </c>
      <c r="H213" s="43">
        <v>8</v>
      </c>
      <c r="I213" s="43" t="str">
        <f t="shared" si="10"/>
        <v>GE_Suffix_of_Dissension</v>
      </c>
      <c r="J213" s="43" t="str">
        <f t="shared" si="11"/>
        <v>/Game/DungeonSiege/Blueprints/GameplayAbilities/Affixes/GE_Suffix_of_Dissension</v>
      </c>
    </row>
    <row r="214" spans="1:10" ht="33.75" x14ac:dyDescent="0.25">
      <c r="A214" s="43">
        <v>212</v>
      </c>
      <c r="B214" s="43">
        <f>VLOOKUP(C214,CHOOSE({2,1},Suffix!B$2:B$412,Suffix!C$2:C$412),2,FALSE)</f>
        <v>101712192</v>
      </c>
      <c r="C214" s="43" t="s">
        <v>1572</v>
      </c>
      <c r="D214" s="43" t="s">
        <v>1573</v>
      </c>
      <c r="E214" s="43" t="str">
        <f>VLOOKUP(F214,CHOOSE({2,1},Attributes!B$3:B$130,Attributes!C$3:C$129),2,FALSE)</f>
        <v>DungeonSiegeMagicAttributeSet</v>
      </c>
      <c r="F214" s="43" t="str">
        <f>Attributes!C42</f>
        <v>CombatMagicMaxDamageMod</v>
      </c>
      <c r="G214" s="43" t="str">
        <f t="shared" si="9"/>
        <v>(AttributeName="CombatMagicMaxDamageMod",Attribute=/Script/DSAbilitySystem.DungeonSiegeMagicAttributeSet:CombatMagicMaxDamageMod,AttributeOwner=Class'"/Script/DSAbilitySystem.DungeonSiegeMagicAttributeSet"')</v>
      </c>
      <c r="H214" s="43">
        <v>24</v>
      </c>
      <c r="I214" s="43" t="str">
        <f t="shared" si="10"/>
        <v>GE_Suffix_of_Dissension</v>
      </c>
      <c r="J214" s="43" t="str">
        <f t="shared" si="11"/>
        <v>/Game/DungeonSiege/Blueprints/GameplayAbilities/Affixes/GE_Suffix_of_Dissension</v>
      </c>
    </row>
    <row r="215" spans="1:10" s="23" customFormat="1" ht="33.75" x14ac:dyDescent="0.25">
      <c r="A215" s="43">
        <v>213</v>
      </c>
      <c r="B215" s="43">
        <f>VLOOKUP(C215,CHOOSE({2,1},Suffix!B$2:B$412,Suffix!C$2:C$412),2,FALSE)</f>
        <v>101712193</v>
      </c>
      <c r="C215" s="43" t="s">
        <v>1575</v>
      </c>
      <c r="D215" s="43" t="s">
        <v>1576</v>
      </c>
      <c r="E215" s="43" t="str">
        <f>VLOOKUP(F215,CHOOSE({2,1},Attributes!B$3:B$130,Attributes!C$3:C$129),2,FALSE)</f>
        <v>DungeonSiegeElementalAttributeSet</v>
      </c>
      <c r="F215" s="43" t="str">
        <f>Attributes!C103</f>
        <v>FireDamageMinDamageMod</v>
      </c>
      <c r="G215" s="43" t="str">
        <f t="shared" si="9"/>
        <v>(AttributeName="FireDamageMinDamageMod",Attribute=/Script/DSAbilitySystem.DungeonSiegeElementalAttributeSet:FireDamageMinDamageMod,AttributeOwner=Class'"/Script/DSAbilitySystem.DungeonSiegeElementalAttributeSet"')</v>
      </c>
      <c r="H215" s="43">
        <v>25</v>
      </c>
      <c r="I215" s="43" t="str">
        <f t="shared" si="10"/>
        <v>GE_Suffix_of_Blistering</v>
      </c>
      <c r="J215" s="43" t="str">
        <f t="shared" si="11"/>
        <v>/Game/DungeonSiege/Blueprints/GameplayAbilities/Affixes/GE_Suffix_of_Blistering</v>
      </c>
    </row>
    <row r="216" spans="1:10" ht="33.75" x14ac:dyDescent="0.25">
      <c r="A216" s="43">
        <v>214</v>
      </c>
      <c r="B216" s="43">
        <f>VLOOKUP(C216,CHOOSE({2,1},Suffix!B$2:B$412,Suffix!C$2:C$412),2,FALSE)</f>
        <v>101712193</v>
      </c>
      <c r="C216" s="43" t="s">
        <v>1575</v>
      </c>
      <c r="D216" s="43" t="s">
        <v>1576</v>
      </c>
      <c r="E216" s="43" t="str">
        <f>VLOOKUP(F216,CHOOSE({2,1},Attributes!B$3:B$130,Attributes!C$3:C$129),2,FALSE)</f>
        <v>DungeonSiegeElementalAttributeSet</v>
      </c>
      <c r="F216" s="43" t="str">
        <f>Attributes!C104</f>
        <v>FireDamageMaxDamageMod</v>
      </c>
      <c r="G216" s="43" t="str">
        <f t="shared" si="9"/>
        <v>(AttributeName="FireDamageMaxDamageMod",Attribute=/Script/DSAbilitySystem.DungeonSiegeElementalAttributeSet:FireDamageMaxDamageMod,AttributeOwner=Class'"/Script/DSAbilitySystem.DungeonSiegeElementalAttributeSet"')</v>
      </c>
      <c r="H216" s="43">
        <v>52</v>
      </c>
      <c r="I216" s="43" t="str">
        <f t="shared" si="10"/>
        <v>GE_Suffix_of_Blistering</v>
      </c>
      <c r="J216" s="43" t="str">
        <f t="shared" si="11"/>
        <v>/Game/DungeonSiege/Blueprints/GameplayAbilities/Affixes/GE_Suffix_of_Blistering</v>
      </c>
    </row>
    <row r="217" spans="1:10" s="23" customFormat="1" ht="33.75" x14ac:dyDescent="0.25">
      <c r="A217" s="43">
        <v>215</v>
      </c>
      <c r="B217" s="43">
        <f>VLOOKUP(C217,CHOOSE({2,1},Suffix!B$2:B$412,Suffix!C$2:C$412),2,FALSE)</f>
        <v>101712194</v>
      </c>
      <c r="C217" s="43" t="s">
        <v>1578</v>
      </c>
      <c r="D217" s="43" t="s">
        <v>1579</v>
      </c>
      <c r="E217" s="43" t="str">
        <f>VLOOKUP(F217,CHOOSE({2,1},Attributes!B$3:B$130,Attributes!C$3:C$129),2,FALSE)</f>
        <v>DungeonSiegeElementalAttributeSet</v>
      </c>
      <c r="F217" s="43" t="str">
        <f>Attributes!C103</f>
        <v>FireDamageMinDamageMod</v>
      </c>
      <c r="G217" s="43" t="str">
        <f t="shared" si="9"/>
        <v>(AttributeName="FireDamageMinDamageMod",Attribute=/Script/DSAbilitySystem.DungeonSiegeElementalAttributeSet:FireDamageMinDamageMod,AttributeOwner=Class'"/Script/DSAbilitySystem.DungeonSiegeElementalAttributeSet"')</v>
      </c>
      <c r="H217" s="43">
        <v>18</v>
      </c>
      <c r="I217" s="43" t="str">
        <f t="shared" si="10"/>
        <v>GE_Suffix_of_Embers</v>
      </c>
      <c r="J217" s="43" t="str">
        <f t="shared" si="11"/>
        <v>/Game/DungeonSiege/Blueprints/GameplayAbilities/Affixes/GE_Suffix_of_Embers</v>
      </c>
    </row>
    <row r="218" spans="1:10" ht="33.75" x14ac:dyDescent="0.25">
      <c r="A218" s="43">
        <v>216</v>
      </c>
      <c r="B218" s="43">
        <f>VLOOKUP(C218,CHOOSE({2,1},Suffix!B$2:B$412,Suffix!C$2:C$412),2,FALSE)</f>
        <v>101712194</v>
      </c>
      <c r="C218" s="43" t="s">
        <v>1578</v>
      </c>
      <c r="D218" s="43" t="s">
        <v>1579</v>
      </c>
      <c r="E218" s="43" t="str">
        <f>VLOOKUP(F218,CHOOSE({2,1},Attributes!B$3:B$130,Attributes!C$3:C$129),2,FALSE)</f>
        <v>DungeonSiegeElementalAttributeSet</v>
      </c>
      <c r="F218" s="43" t="str">
        <f>Attributes!C104</f>
        <v>FireDamageMaxDamageMod</v>
      </c>
      <c r="G218" s="43" t="str">
        <f t="shared" si="9"/>
        <v>(AttributeName="FireDamageMaxDamageMod",Attribute=/Script/DSAbilitySystem.DungeonSiegeElementalAttributeSet:FireDamageMaxDamageMod,AttributeOwner=Class'"/Script/DSAbilitySystem.DungeonSiegeElementalAttributeSet"')</v>
      </c>
      <c r="H218" s="43">
        <v>36</v>
      </c>
      <c r="I218" s="43" t="str">
        <f t="shared" si="10"/>
        <v>GE_Suffix_of_Embers</v>
      </c>
      <c r="J218" s="43" t="str">
        <f t="shared" si="11"/>
        <v>/Game/DungeonSiege/Blueprints/GameplayAbilities/Affixes/GE_Suffix_of_Embers</v>
      </c>
    </row>
    <row r="219" spans="1:10" ht="33.75" x14ac:dyDescent="0.25">
      <c r="A219" s="43">
        <v>217</v>
      </c>
      <c r="B219" s="43">
        <f>VLOOKUP(C219,CHOOSE({2,1},Suffix!B$2:B$412,Suffix!C$2:C$412),2,FALSE)</f>
        <v>101712195</v>
      </c>
      <c r="C219" s="43" t="s">
        <v>1581</v>
      </c>
      <c r="D219" s="43" t="s">
        <v>1582</v>
      </c>
      <c r="E219" s="43" t="str">
        <f>VLOOKUP(F219,CHOOSE({2,1},Attributes!B$3:B$130,Attributes!C$3:C$129),2,FALSE)</f>
        <v>DungeonSiegeDamageAttributeSet</v>
      </c>
      <c r="F219" s="43" t="str">
        <f>Attributes!C20</f>
        <v>MaxDamageMod</v>
      </c>
      <c r="G219" s="43" t="str">
        <f t="shared" si="9"/>
        <v>(AttributeName="MaxDamageMod",Attribute=/Script/DSAbilitySystem.DungeonSiegeDamageAttributeSet:MaxDamageMod,AttributeOwner=Class'"/Script/DSAbilitySystem.DungeonSiegeDamageAttributeSet"')</v>
      </c>
      <c r="H219" s="43">
        <v>39</v>
      </c>
      <c r="I219" s="43" t="str">
        <f t="shared" si="10"/>
        <v>GE_Suffix_of_Infirmity</v>
      </c>
      <c r="J219" s="43" t="str">
        <f t="shared" si="11"/>
        <v>/Game/DungeonSiege/Blueprints/GameplayAbilities/Affixes/GE_Suffix_of_Infirmity</v>
      </c>
    </row>
    <row r="220" spans="1:10" ht="33.75" x14ac:dyDescent="0.25">
      <c r="A220" s="43">
        <v>218</v>
      </c>
      <c r="B220" s="43">
        <f>VLOOKUP(C220,CHOOSE({2,1},Suffix!B$2:B$412,Suffix!C$2:C$412),2,FALSE)</f>
        <v>101712196</v>
      </c>
      <c r="C220" s="43" t="s">
        <v>1584</v>
      </c>
      <c r="D220" s="43" t="s">
        <v>1585</v>
      </c>
      <c r="E220" s="43" t="str">
        <f>VLOOKUP(F220,CHOOSE({2,1},Attributes!B$3:B$130,Attributes!C$3:C$129),2,FALSE)</f>
        <v>DungeonSiegeDamageAttributeSet</v>
      </c>
      <c r="F220" s="43" t="str">
        <f>Attributes!C20</f>
        <v>MaxDamageMod</v>
      </c>
      <c r="G220" s="43" t="str">
        <f t="shared" si="9"/>
        <v>(AttributeName="MaxDamageMod",Attribute=/Script/DSAbilitySystem.DungeonSiegeDamageAttributeSet:MaxDamageMod,AttributeOwner=Class'"/Script/DSAbilitySystem.DungeonSiegeDamageAttributeSet"')</v>
      </c>
      <c r="H220" s="43">
        <v>27</v>
      </c>
      <c r="I220" s="43" t="str">
        <f t="shared" si="10"/>
        <v>GE_Suffix_of_Malady</v>
      </c>
      <c r="J220" s="43" t="str">
        <f t="shared" si="11"/>
        <v>/Game/DungeonSiege/Blueprints/GameplayAbilities/Affixes/GE_Suffix_of_Malady</v>
      </c>
    </row>
    <row r="221" spans="1:10" s="23" customFormat="1" ht="33.75" x14ac:dyDescent="0.25">
      <c r="A221" s="43">
        <v>219</v>
      </c>
      <c r="B221" s="43">
        <f>VLOOKUP(C221,CHOOSE({2,1},Suffix!B$2:B$412,Suffix!C$2:C$412),2,FALSE)</f>
        <v>101712197</v>
      </c>
      <c r="C221" s="43" t="s">
        <v>1587</v>
      </c>
      <c r="D221" s="43" t="s">
        <v>700</v>
      </c>
      <c r="E221" s="43" t="str">
        <f>VLOOKUP(F221,CHOOSE({2,1},Attributes!B$3:B$130,Attributes!C$3:C$129),2,FALSE)</f>
        <v>DungeonSiegePerHitAttributeSet</v>
      </c>
      <c r="F221" s="43" t="str">
        <f>Attributes!C11</f>
        <v>HealthPerHit</v>
      </c>
      <c r="G221" s="43" t="str">
        <f t="shared" si="9"/>
        <v>(AttributeName="HealthPerHit",Attribute=/Script/DSAbilitySystem.DungeonSiegePerHitAttributeSet:HealthPerHit,AttributeOwner=Class'"/Script/DSAbilitySystem.DungeonSiegePerHitAttributeSet"')</v>
      </c>
      <c r="H221" s="43">
        <v>3</v>
      </c>
      <c r="I221" s="43" t="str">
        <f t="shared" si="10"/>
        <v>GE_Suffix_of_Revenge</v>
      </c>
      <c r="J221" s="43" t="str">
        <f t="shared" si="11"/>
        <v>/Game/DungeonSiege/Blueprints/GameplayAbilities/Affixes/GE_Suffix_of_Revenge</v>
      </c>
    </row>
    <row r="222" spans="1:10" s="23" customFormat="1" ht="33.75" x14ac:dyDescent="0.25">
      <c r="A222" s="43">
        <v>220</v>
      </c>
      <c r="B222" s="43">
        <f>VLOOKUP(C222,CHOOSE({2,1},Suffix!B$2:B$412,Suffix!C$2:C$412),2,FALSE)</f>
        <v>101712197</v>
      </c>
      <c r="C222" s="43" t="s">
        <v>1587</v>
      </c>
      <c r="D222" s="43" t="s">
        <v>1588</v>
      </c>
      <c r="E222" s="43" t="str">
        <f>VLOOKUP(F222,CHOOSE({2,1},Attributes!B$3:B$130,Attributes!C$3:C$129),2,FALSE)</f>
        <v>DungeonSiegeDamageAttributeSet</v>
      </c>
      <c r="F222" s="43" t="str">
        <f>Attributes!C23</f>
        <v>ChanceToInflictPiercingHit</v>
      </c>
      <c r="G222" s="43" t="str">
        <f t="shared" si="9"/>
        <v>(AttributeName="ChanceToInflictPiercingHit",Attribute=/Script/DSAbilitySystem.DungeonSiegeDamageAttributeSet:ChanceToInflictPiercingHit,AttributeOwner=Class'"/Script/DSAbilitySystem.DungeonSiegeDamageAttributeSet"')</v>
      </c>
      <c r="H222" s="43">
        <v>6</v>
      </c>
      <c r="I222" s="43" t="str">
        <f t="shared" si="10"/>
        <v>GE_Suffix_of_Revenge</v>
      </c>
      <c r="J222" s="43" t="str">
        <f t="shared" si="11"/>
        <v>/Game/DungeonSiege/Blueprints/GameplayAbilities/Affixes/GE_Suffix_of_Revenge</v>
      </c>
    </row>
    <row r="223" spans="1:10" s="23" customFormat="1" ht="33.75" x14ac:dyDescent="0.25">
      <c r="A223" s="43">
        <v>221</v>
      </c>
      <c r="B223" s="43">
        <f>VLOOKUP(C223,CHOOSE({2,1},Suffix!B$2:B$412,Suffix!C$2:C$412),2,FALSE)</f>
        <v>101712197</v>
      </c>
      <c r="C223" s="43" t="s">
        <v>1587</v>
      </c>
      <c r="D223" s="43" t="s">
        <v>913</v>
      </c>
      <c r="E223" s="43" t="str">
        <f>VLOOKUP(F223,CHOOSE({2,1},Attributes!B$3:B$130,Attributes!C$3:C$129),2,FALSE)</f>
        <v>DungeonSiegeDamageAttributeSet</v>
      </c>
      <c r="F223" s="43" t="str">
        <f>Attributes!C19</f>
        <v>MinDamageMod</v>
      </c>
      <c r="G223" s="43" t="str">
        <f t="shared" si="9"/>
        <v>(AttributeName="MinDamageMod",Attribute=/Script/DSAbilitySystem.DungeonSiegeDamageAttributeSet:MinDamageMod,AttributeOwner=Class'"/Script/DSAbilitySystem.DungeonSiegeDamageAttributeSet"')</v>
      </c>
      <c r="H223" s="43">
        <v>8</v>
      </c>
      <c r="I223" s="43" t="str">
        <f t="shared" si="10"/>
        <v>GE_Suffix_of_Revenge</v>
      </c>
      <c r="J223" s="43" t="str">
        <f t="shared" si="11"/>
        <v>/Game/DungeonSiege/Blueprints/GameplayAbilities/Affixes/GE_Suffix_of_Revenge</v>
      </c>
    </row>
    <row r="224" spans="1:10" ht="33.75" x14ac:dyDescent="0.25">
      <c r="A224" s="43">
        <v>222</v>
      </c>
      <c r="B224" s="43">
        <f>VLOOKUP(C224,CHOOSE({2,1},Suffix!B$2:B$412,Suffix!C$2:C$412),2,FALSE)</f>
        <v>101712197</v>
      </c>
      <c r="C224" s="43" t="s">
        <v>1587</v>
      </c>
      <c r="D224" s="43" t="s">
        <v>913</v>
      </c>
      <c r="E224" s="43" t="str">
        <f>VLOOKUP(F224,CHOOSE({2,1},Attributes!B$3:B$130,Attributes!C$3:C$129),2,FALSE)</f>
        <v>DungeonSiegeDamageAttributeSet</v>
      </c>
      <c r="F224" s="43" t="str">
        <f>Attributes!C20</f>
        <v>MaxDamageMod</v>
      </c>
      <c r="G224" s="43" t="str">
        <f t="shared" si="9"/>
        <v>(AttributeName="MaxDamageMod",Attribute=/Script/DSAbilitySystem.DungeonSiegeDamageAttributeSet:MaxDamageMod,AttributeOwner=Class'"/Script/DSAbilitySystem.DungeonSiegeDamageAttributeSet"')</v>
      </c>
      <c r="H224" s="43">
        <v>13</v>
      </c>
      <c r="I224" s="43" t="str">
        <f t="shared" si="10"/>
        <v>GE_Suffix_of_Revenge</v>
      </c>
      <c r="J224" s="43" t="str">
        <f t="shared" si="11"/>
        <v>/Game/DungeonSiege/Blueprints/GameplayAbilities/Affixes/GE_Suffix_of_Revenge</v>
      </c>
    </row>
    <row r="225" spans="1:10" ht="33.75" x14ac:dyDescent="0.25">
      <c r="A225" s="43">
        <v>223</v>
      </c>
      <c r="B225" s="43">
        <f>VLOOKUP(C225,CHOOSE({2,1},Suffix!B$2:B$412,Suffix!C$2:C$412),2,FALSE)</f>
        <v>101712198</v>
      </c>
      <c r="C225" s="43" t="s">
        <v>1590</v>
      </c>
      <c r="D225" s="43" t="s">
        <v>1591</v>
      </c>
      <c r="E225" s="43" t="str">
        <f>VLOOKUP(F225,CHOOSE({2,1},Attributes!B$3:B$130,Attributes!C$3:C$129),2,FALSE)</f>
        <v>DungeonSiegeCastOnHitAttributeSet</v>
      </c>
      <c r="F225" s="43" t="str">
        <f>Attributes!C108</f>
        <v>ChanceToCastLightrayOnHit</v>
      </c>
      <c r="G225" s="43" t="str">
        <f t="shared" si="9"/>
        <v>(AttributeName="ChanceToCastLightrayOnHit",Attribute=/Script/DSAbilitySystem.DungeonSiegeCastOnHitAttributeSet:ChanceToCastLightrayOnHit,AttributeOwner=Class'"/Script/DSAbilitySystem.DungeonSiegeCastOnHitAttributeSet"')</v>
      </c>
      <c r="H225" s="43">
        <v>25</v>
      </c>
      <c r="I225" s="43" t="str">
        <f t="shared" si="10"/>
        <v>GE_Suffix_of_Major_Lightray</v>
      </c>
      <c r="J225" s="43" t="str">
        <f t="shared" si="11"/>
        <v>/Game/DungeonSiege/Blueprints/GameplayAbilities/Affixes/GE_Suffix_of_Major_Lightray</v>
      </c>
    </row>
    <row r="226" spans="1:10" ht="33.75" x14ac:dyDescent="0.25">
      <c r="A226" s="43">
        <v>224</v>
      </c>
      <c r="B226" s="43">
        <f>VLOOKUP(C226,CHOOSE({2,1},Suffix!B$2:B$412,Suffix!C$2:C$412),2,FALSE)</f>
        <v>101712199</v>
      </c>
      <c r="C226" s="43" t="s">
        <v>145</v>
      </c>
      <c r="D226" s="43" t="s">
        <v>144</v>
      </c>
      <c r="E226" s="43" t="str">
        <f>VLOOKUP(F226,CHOOSE({2,1},Attributes!B$3:B$130,Attributes!C$3:C$129),2,FALSE)</f>
        <v>DungeonSiegeExperienceAttributeSet</v>
      </c>
      <c r="F226" s="43" t="str">
        <f>Attributes!C4</f>
        <v>Dexterity</v>
      </c>
      <c r="G226" s="43" t="str">
        <f t="shared" si="9"/>
        <v>(AttributeName="Dexterity",Attribute=/Script/DSAbilitySystem.DungeonSiegeExperienceAttributeSet:Dexterity,AttributeOwner=Class'"/Script/DSAbilitySystem.DungeonSiegeExperienceAttributeSet"')</v>
      </c>
      <c r="H226" s="43">
        <v>4</v>
      </c>
      <c r="I226" s="43" t="str">
        <f t="shared" si="10"/>
        <v>GE_Suffix_of_the_Deft</v>
      </c>
      <c r="J226" s="43" t="str">
        <f t="shared" si="11"/>
        <v>/Game/DungeonSiege/Blueprints/GameplayAbilities/Affixes/GE_Suffix_of_the_Deft</v>
      </c>
    </row>
    <row r="227" spans="1:10" ht="33.75" x14ac:dyDescent="0.25">
      <c r="A227" s="43">
        <v>225</v>
      </c>
      <c r="B227" s="43">
        <f>VLOOKUP(C227,CHOOSE({2,1},Suffix!B$2:B$412,Suffix!C$2:C$412),2,FALSE)</f>
        <v>101712200</v>
      </c>
      <c r="C227" s="43" t="s">
        <v>1593</v>
      </c>
      <c r="D227" s="43" t="s">
        <v>1594</v>
      </c>
      <c r="E227" s="43" t="str">
        <f>VLOOKUP(F227,CHOOSE({2,1},Attributes!B$3:B$130,Attributes!C$3:C$129),2,FALSE)</f>
        <v>DungeonSiegeDamageAttributeSet</v>
      </c>
      <c r="F227" s="43" t="str">
        <f>Attributes!C23</f>
        <v>ChanceToInflictPiercingHit</v>
      </c>
      <c r="G227" s="43" t="str">
        <f t="shared" si="9"/>
        <v>(AttributeName="ChanceToInflictPiercingHit",Attribute=/Script/DSAbilitySystem.DungeonSiegeDamageAttributeSet:ChanceToInflictPiercingHit,AttributeOwner=Class'"/Script/DSAbilitySystem.DungeonSiegeDamageAttributeSet"')</v>
      </c>
      <c r="H227" s="43">
        <v>7</v>
      </c>
      <c r="I227" s="43" t="str">
        <f t="shared" si="10"/>
        <v>GE_Suffix_of_Endeavor</v>
      </c>
      <c r="J227" s="43" t="str">
        <f t="shared" si="11"/>
        <v>/Game/DungeonSiege/Blueprints/GameplayAbilities/Affixes/GE_Suffix_of_Endeavor</v>
      </c>
    </row>
    <row r="228" spans="1:10" ht="33.75" x14ac:dyDescent="0.25">
      <c r="A228" s="43">
        <v>226</v>
      </c>
      <c r="B228" s="43">
        <f>VLOOKUP(C228,CHOOSE({2,1},Suffix!B$2:B$412,Suffix!C$2:C$412),2,FALSE)</f>
        <v>101712201</v>
      </c>
      <c r="C228" s="43" t="s">
        <v>1596</v>
      </c>
      <c r="D228" s="43" t="s">
        <v>1597</v>
      </c>
      <c r="E228" s="43" t="str">
        <f>VLOOKUP(F228,CHOOSE({2,1},Attributes!B$3:B$130,Attributes!C$3:C$129),2,FALSE)</f>
        <v>DungeonSiegePerHitAttributeSet</v>
      </c>
      <c r="F228" s="43" t="str">
        <f>Attributes!C14</f>
        <v>ManaStealPerHit</v>
      </c>
      <c r="G228" s="43" t="str">
        <f t="shared" si="9"/>
        <v>(AttributeName="ManaStealPerHit",Attribute=/Script/DSAbilitySystem.DungeonSiegePerHitAttributeSet:ManaStealPerHit,AttributeOwner=Class'"/Script/DSAbilitySystem.DungeonSiegePerHitAttributeSet"')</v>
      </c>
      <c r="H228" s="43">
        <v>9</v>
      </c>
      <c r="I228" s="43" t="str">
        <f t="shared" si="10"/>
        <v>GE_Suffix_of_the_Plunderer</v>
      </c>
      <c r="J228" s="43" t="str">
        <f t="shared" si="11"/>
        <v>/Game/DungeonSiege/Blueprints/GameplayAbilities/Affixes/GE_Suffix_of_the_Plunderer</v>
      </c>
    </row>
    <row r="229" spans="1:10" s="23" customFormat="1" ht="33.75" x14ac:dyDescent="0.25">
      <c r="A229" s="43">
        <v>227</v>
      </c>
      <c r="B229" s="43">
        <f>VLOOKUP(C229,CHOOSE({2,1},Suffix!B$2:B$412,Suffix!C$2:C$412),2,FALSE)</f>
        <v>101712208</v>
      </c>
      <c r="C229" s="43" t="s">
        <v>1599</v>
      </c>
      <c r="D229" s="43" t="s">
        <v>1600</v>
      </c>
      <c r="E229" s="43" t="str">
        <f>VLOOKUP(F229,CHOOSE({2,1},Attributes!B$3:B$130,Attributes!C$3:C$129),2,FALSE)</f>
        <v>DungeonSiegeDamageAttributeSet</v>
      </c>
      <c r="F229" s="43" t="str">
        <f>Attributes!C19</f>
        <v>MinDamageMod</v>
      </c>
      <c r="G229" s="43" t="str">
        <f t="shared" si="9"/>
        <v>(AttributeName="MinDamageMod",Attribute=/Script/DSAbilitySystem.DungeonSiegeDamageAttributeSet:MinDamageMod,AttributeOwner=Class'"/Script/DSAbilitySystem.DungeonSiegeDamageAttributeSet"')</v>
      </c>
      <c r="H229" s="43">
        <v>27</v>
      </c>
      <c r="I229" s="43" t="str">
        <f t="shared" si="10"/>
        <v>GE_Suffix_of_Puncture</v>
      </c>
      <c r="J229" s="43" t="str">
        <f t="shared" si="11"/>
        <v>/Game/DungeonSiege/Blueprints/GameplayAbilities/Affixes/GE_Suffix_of_Puncture</v>
      </c>
    </row>
    <row r="230" spans="1:10" ht="33.75" x14ac:dyDescent="0.25">
      <c r="A230" s="43">
        <v>228</v>
      </c>
      <c r="B230" s="43">
        <f>VLOOKUP(C230,CHOOSE({2,1},Suffix!B$2:B$412,Suffix!C$2:C$412),2,FALSE)</f>
        <v>101712208</v>
      </c>
      <c r="C230" s="43" t="s">
        <v>1599</v>
      </c>
      <c r="D230" s="43" t="s">
        <v>1600</v>
      </c>
      <c r="E230" s="43" t="str">
        <f>VLOOKUP(F230,CHOOSE({2,1},Attributes!B$3:B$130,Attributes!C$3:C$129),2,FALSE)</f>
        <v>DungeonSiegeDamageAttributeSet</v>
      </c>
      <c r="F230" s="43" t="str">
        <f>Attributes!C20</f>
        <v>MaxDamageMod</v>
      </c>
      <c r="G230" s="43" t="str">
        <f t="shared" si="9"/>
        <v>(AttributeName="MaxDamageMod",Attribute=/Script/DSAbilitySystem.DungeonSiegeDamageAttributeSet:MaxDamageMod,AttributeOwner=Class'"/Script/DSAbilitySystem.DungeonSiegeDamageAttributeSet"')</v>
      </c>
      <c r="H230" s="43">
        <v>48</v>
      </c>
      <c r="I230" s="43" t="str">
        <f t="shared" si="10"/>
        <v>GE_Suffix_of_Puncture</v>
      </c>
      <c r="J230" s="43" t="str">
        <f t="shared" si="11"/>
        <v>/Game/DungeonSiege/Blueprints/GameplayAbilities/Affixes/GE_Suffix_of_Puncture</v>
      </c>
    </row>
    <row r="231" spans="1:10" s="23" customFormat="1" ht="33.75" x14ac:dyDescent="0.25">
      <c r="A231" s="43">
        <v>229</v>
      </c>
      <c r="B231" s="43">
        <f>VLOOKUP(C231,CHOOSE({2,1},Suffix!B$2:B$412,Suffix!C$2:C$412),2,FALSE)</f>
        <v>101712209</v>
      </c>
      <c r="C231" s="43" t="s">
        <v>1602</v>
      </c>
      <c r="D231" s="43" t="s">
        <v>700</v>
      </c>
      <c r="E231" s="43" t="str">
        <f>VLOOKUP(F231,CHOOSE({2,1},Attributes!B$3:B$130,Attributes!C$3:C$129),2,FALSE)</f>
        <v>DungeonSiegePerHitAttributeSet</v>
      </c>
      <c r="F231" s="43" t="str">
        <f>Attributes!C11</f>
        <v>HealthPerHit</v>
      </c>
      <c r="G231" s="43" t="str">
        <f t="shared" si="9"/>
        <v>(AttributeName="HealthPerHit",Attribute=/Script/DSAbilitySystem.DungeonSiegePerHitAttributeSet:HealthPerHit,AttributeOwner=Class'"/Script/DSAbilitySystem.DungeonSiegePerHitAttributeSet"')</v>
      </c>
      <c r="H231" s="43">
        <v>3</v>
      </c>
      <c r="I231" s="43" t="str">
        <f t="shared" si="10"/>
        <v>GE_Suffix_of_Certainty</v>
      </c>
      <c r="J231" s="43" t="str">
        <f t="shared" si="11"/>
        <v>/Game/DungeonSiege/Blueprints/GameplayAbilities/Affixes/GE_Suffix_of_Certainty</v>
      </c>
    </row>
    <row r="232" spans="1:10" s="23" customFormat="1" ht="33.75" x14ac:dyDescent="0.25">
      <c r="A232" s="43">
        <v>230</v>
      </c>
      <c r="B232" s="43">
        <f>VLOOKUP(C232,CHOOSE({2,1},Suffix!B$2:B$412,Suffix!C$2:C$412),2,FALSE)</f>
        <v>101712209</v>
      </c>
      <c r="C232" s="43" t="s">
        <v>1602</v>
      </c>
      <c r="D232" s="43" t="s">
        <v>3272</v>
      </c>
      <c r="E232" s="43" t="str">
        <f>VLOOKUP(F232,CHOOSE({2,1},Attributes!B$3:B$130,Attributes!C$3:C$129),2,FALSE)</f>
        <v>DungeonSiegeManaAttributeSet</v>
      </c>
      <c r="F232" s="43" t="str">
        <f>Attributes!C90</f>
        <v>BaseManaBonus</v>
      </c>
      <c r="G232" s="43" t="str">
        <f t="shared" si="9"/>
        <v>(AttributeName="BaseManaBonus",Attribute=/Script/DSAbilitySystem.DungeonSiegeManaAttributeSet:BaseManaBonus,AttributeOwner=Class'"/Script/DSAbilitySystem.DungeonSiegeManaAttributeSet"')</v>
      </c>
      <c r="H232" s="43">
        <v>34</v>
      </c>
      <c r="I232" s="43" t="str">
        <f t="shared" si="10"/>
        <v>GE_Suffix_of_Certainty</v>
      </c>
      <c r="J232" s="43" t="str">
        <f t="shared" si="11"/>
        <v>/Game/DungeonSiege/Blueprints/GameplayAbilities/Affixes/GE_Suffix_of_Certainty</v>
      </c>
    </row>
    <row r="233" spans="1:10" s="23" customFormat="1" ht="33.75" x14ac:dyDescent="0.25">
      <c r="A233" s="43">
        <v>231</v>
      </c>
      <c r="B233" s="43">
        <f>VLOOKUP(C233,CHOOSE({2,1},Suffix!B$2:B$412,Suffix!C$2:C$412),2,FALSE)</f>
        <v>101712209</v>
      </c>
      <c r="C233" s="43" t="s">
        <v>1602</v>
      </c>
      <c r="D233" s="43" t="s">
        <v>3268</v>
      </c>
      <c r="E233" s="43" t="str">
        <f>VLOOKUP(F233,CHOOSE({2,1},Attributes!B$3:B$130,Attributes!C$3:C$129),2,FALSE)</f>
        <v>DungeonSiegeDamageAttributeSet</v>
      </c>
      <c r="F233" s="43" t="str">
        <f>Attributes!C29</f>
        <v>RangedHitChance</v>
      </c>
      <c r="G233" s="43" t="str">
        <f t="shared" si="9"/>
        <v>(AttributeName="RangedHitChance",Attribute=/Script/DSAbilitySystem.DungeonSiegeDamageAttributeSet:RangedHitChance,AttributeOwner=Class'"/Script/DSAbilitySystem.DungeonSiegeDamageAttributeSet"')</v>
      </c>
      <c r="H233" s="43">
        <v>4</v>
      </c>
      <c r="I233" s="43" t="str">
        <f t="shared" si="10"/>
        <v>GE_Suffix_of_Certainty</v>
      </c>
      <c r="J233" s="43" t="str">
        <f t="shared" si="11"/>
        <v>/Game/DungeonSiege/Blueprints/GameplayAbilities/Affixes/GE_Suffix_of_Certainty</v>
      </c>
    </row>
    <row r="234" spans="1:10" ht="33.75" x14ac:dyDescent="0.25">
      <c r="A234" s="43">
        <v>232</v>
      </c>
      <c r="B234" s="43">
        <f>VLOOKUP(C234,CHOOSE({2,1},Suffix!B$2:B$412,Suffix!C$2:C$412),2,FALSE)</f>
        <v>101712209</v>
      </c>
      <c r="C234" s="43" t="s">
        <v>1602</v>
      </c>
      <c r="D234" s="43" t="s">
        <v>3273</v>
      </c>
      <c r="E234" s="43" t="str">
        <f>VLOOKUP(F234,CHOOSE({2,1},Attributes!B$3:B$130,Attributes!C$3:C$129),2,FALSE)</f>
        <v>DungeonSiegeDamageAttributeSet</v>
      </c>
      <c r="F234" s="43" t="str">
        <f>Attributes!C21</f>
        <v>PercentDamageReflectedToEnemy</v>
      </c>
      <c r="G234" s="43" t="str">
        <f t="shared" si="9"/>
        <v>(AttributeName="PercentDamageReflectedToEnemy",Attribute=/Script/DSAbilitySystem.DungeonSiegeDamageAttributeSet:PercentDamageReflectedToEnemy,AttributeOwner=Class'"/Script/DSAbilitySystem.DungeonSiegeDamageAttributeSet"')</v>
      </c>
      <c r="H234" s="43">
        <v>6</v>
      </c>
      <c r="I234" s="43" t="str">
        <f t="shared" si="10"/>
        <v>GE_Suffix_of_Certainty</v>
      </c>
      <c r="J234" s="43" t="str">
        <f t="shared" si="11"/>
        <v>/Game/DungeonSiege/Blueprints/GameplayAbilities/Affixes/GE_Suffix_of_Certainty</v>
      </c>
    </row>
    <row r="235" spans="1:10" ht="33.75" x14ac:dyDescent="0.25">
      <c r="A235" s="43">
        <v>233</v>
      </c>
      <c r="B235" s="43">
        <f>VLOOKUP(C235,CHOOSE({2,1},Suffix!B$2:B$412,Suffix!C$2:C$412),2,FALSE)</f>
        <v>101712210</v>
      </c>
      <c r="C235" s="43" t="s">
        <v>1604</v>
      </c>
      <c r="D235" s="43" t="s">
        <v>1605</v>
      </c>
      <c r="E235" s="43" t="str">
        <f>VLOOKUP(F235,CHOOSE({2,1},Attributes!B$3:B$130,Attributes!C$3:C$129),2,FALSE)</f>
        <v>DungeonSiegeCastOnHitAttributeSet</v>
      </c>
      <c r="F235" s="43" t="str">
        <f>Attributes!C110</f>
        <v>ChanceToCastMultisparkOnHit</v>
      </c>
      <c r="G235" s="43" t="str">
        <f t="shared" si="9"/>
        <v>(AttributeName="ChanceToCastMultisparkOnHit",Attribute=/Script/DSAbilitySystem.DungeonSiegeCastOnHitAttributeSet:ChanceToCastMultisparkOnHit,AttributeOwner=Class'"/Script/DSAbilitySystem.DungeonSiegeCastOnHitAttributeSet"')</v>
      </c>
      <c r="H235" s="43">
        <v>30</v>
      </c>
      <c r="I235" s="43" t="str">
        <f t="shared" si="10"/>
        <v>GE_Suffix_of_Greater_Multispark</v>
      </c>
      <c r="J235" s="43" t="str">
        <f t="shared" si="11"/>
        <v>/Game/DungeonSiege/Blueprints/GameplayAbilities/Affixes/GE_Suffix_of_Greater_Multispark</v>
      </c>
    </row>
    <row r="236" spans="1:10" ht="33.75" x14ac:dyDescent="0.25">
      <c r="A236" s="43">
        <v>234</v>
      </c>
      <c r="B236" s="43">
        <f>VLOOKUP(C236,CHOOSE({2,1},Suffix!B$2:B$412,Suffix!C$2:C$412),2,FALSE)</f>
        <v>101712211</v>
      </c>
      <c r="C236" s="43" t="s">
        <v>1607</v>
      </c>
      <c r="D236" s="43" t="s">
        <v>1608</v>
      </c>
      <c r="E236" s="43" t="str">
        <f>VLOOKUP(F236,CHOOSE({2,1},Attributes!B$3:B$130,Attributes!C$3:C$129),2,FALSE)</f>
        <v>DungeonSiegeCastOnHitAttributeSet</v>
      </c>
      <c r="F236" s="43" t="str">
        <f>Attributes!C106</f>
        <v>ChanceToCastFirebombOnHit</v>
      </c>
      <c r="G236" s="43" t="str">
        <f t="shared" si="9"/>
        <v>(AttributeName="ChanceToCastFirebombOnHit",Attribute=/Script/DSAbilitySystem.DungeonSiegeCastOnHitAttributeSet:ChanceToCastFirebombOnHit,AttributeOwner=Class'"/Script/DSAbilitySystem.DungeonSiegeCastOnHitAttributeSet"')</v>
      </c>
      <c r="H236" s="43">
        <v>20</v>
      </c>
      <c r="I236" s="43" t="str">
        <f t="shared" si="10"/>
        <v>GE_Suffix_of_Firebomb</v>
      </c>
      <c r="J236" s="43" t="str">
        <f t="shared" si="11"/>
        <v>/Game/DungeonSiege/Blueprints/GameplayAbilities/Affixes/GE_Suffix_of_Firebomb</v>
      </c>
    </row>
    <row r="237" spans="1:10" ht="33.75" x14ac:dyDescent="0.25">
      <c r="A237" s="43">
        <v>235</v>
      </c>
      <c r="B237" s="43">
        <f>VLOOKUP(C237,CHOOSE({2,1},Suffix!B$2:B$412,Suffix!C$2:C$412),2,FALSE)</f>
        <v>101712212</v>
      </c>
      <c r="C237" s="43" t="s">
        <v>142</v>
      </c>
      <c r="D237" s="43" t="s">
        <v>141</v>
      </c>
      <c r="E237" s="43" t="str">
        <f>VLOOKUP(F237,CHOOSE({2,1},Attributes!B$3:B$130,Attributes!C$3:C$129),2,FALSE)</f>
        <v>DungeonSiegeHealthAttributeSet</v>
      </c>
      <c r="F237" s="43" t="str">
        <f>Attributes!C82</f>
        <v>BaseHealthBonus</v>
      </c>
      <c r="G237" s="43" t="str">
        <f t="shared" si="9"/>
        <v>(AttributeName="BaseHealthBonus",Attribute=/Script/DSAbilitySystem.DungeonSiegeHealthAttributeSet:BaseHealthBonus,AttributeOwner=Class'"/Script/DSAbilitySystem.DungeonSiegeHealthAttributeSet"')</v>
      </c>
      <c r="H237" s="43">
        <v>163</v>
      </c>
      <c r="I237" s="43" t="str">
        <f t="shared" si="10"/>
        <v>GE_Suffix_of_the_Ram</v>
      </c>
      <c r="J237" s="43" t="str">
        <f t="shared" si="11"/>
        <v>/Game/DungeonSiege/Blueprints/GameplayAbilities/Affixes/GE_Suffix_of_the_Ram</v>
      </c>
    </row>
    <row r="238" spans="1:10" ht="33.75" x14ac:dyDescent="0.25">
      <c r="A238" s="43">
        <v>236</v>
      </c>
      <c r="B238" s="43">
        <f>VLOOKUP(C238,CHOOSE({2,1},Suffix!B$2:B$412,Suffix!C$2:C$412),2,FALSE)</f>
        <v>101712213</v>
      </c>
      <c r="C238" s="43" t="s">
        <v>139</v>
      </c>
      <c r="D238" s="43" t="s">
        <v>138</v>
      </c>
      <c r="E238" s="43" t="str">
        <f>VLOOKUP(F238,CHOOSE({2,1},Attributes!B$3:B$130,Attributes!C$3:C$129),2,FALSE)</f>
        <v>DungeonSiegeManaAttributeSet</v>
      </c>
      <c r="F238" s="43" t="str">
        <f>Attributes!C90</f>
        <v>BaseManaBonus</v>
      </c>
      <c r="G238" s="43" t="str">
        <f t="shared" si="9"/>
        <v>(AttributeName="BaseManaBonus",Attribute=/Script/DSAbilitySystem.DungeonSiegeManaAttributeSet:BaseManaBonus,AttributeOwner=Class'"/Script/DSAbilitySystem.DungeonSiegeManaAttributeSet"')</v>
      </c>
      <c r="H238" s="43">
        <v>275</v>
      </c>
      <c r="I238" s="43" t="str">
        <f t="shared" si="10"/>
        <v>GE_Suffix_of_Restoration</v>
      </c>
      <c r="J238" s="43" t="str">
        <f t="shared" si="11"/>
        <v>/Game/DungeonSiege/Blueprints/GameplayAbilities/Affixes/GE_Suffix_of_Restoration</v>
      </c>
    </row>
    <row r="239" spans="1:10" ht="33.75" x14ac:dyDescent="0.25">
      <c r="A239" s="43">
        <v>237</v>
      </c>
      <c r="B239" s="43">
        <f>VLOOKUP(C239,CHOOSE({2,1},Suffix!B$2:B$412,Suffix!C$2:C$412),2,FALSE)</f>
        <v>101712214</v>
      </c>
      <c r="C239" s="43" t="s">
        <v>1610</v>
      </c>
      <c r="D239" s="43" t="s">
        <v>1611</v>
      </c>
      <c r="E239" s="43" t="str">
        <f>VLOOKUP(F239,CHOOSE({2,1},Attributes!B$3:B$130,Attributes!C$3:C$129),2,FALSE)</f>
        <v>DungeonSiegePerHitAttributeSet</v>
      </c>
      <c r="F239" s="43" t="str">
        <f>Attributes!C11</f>
        <v>HealthPerHit</v>
      </c>
      <c r="G239" s="43" t="str">
        <f t="shared" si="9"/>
        <v>(AttributeName="HealthPerHit",Attribute=/Script/DSAbilitySystem.DungeonSiegePerHitAttributeSet:HealthPerHit,AttributeOwner=Class'"/Script/DSAbilitySystem.DungeonSiegePerHitAttributeSet"')</v>
      </c>
      <c r="H239" s="43">
        <v>6</v>
      </c>
      <c r="I239" s="43" t="str">
        <f t="shared" si="10"/>
        <v>GE_Suffix_of_Surplus</v>
      </c>
      <c r="J239" s="43" t="str">
        <f t="shared" si="11"/>
        <v>/Game/DungeonSiege/Blueprints/GameplayAbilities/Affixes/GE_Suffix_of_Surplus</v>
      </c>
    </row>
    <row r="240" spans="1:10" ht="33.75" x14ac:dyDescent="0.25">
      <c r="A240" s="43">
        <v>238</v>
      </c>
      <c r="B240" s="43">
        <f>VLOOKUP(C240,CHOOSE({2,1},Suffix!B$2:B$412,Suffix!C$2:C$412),2,FALSE)</f>
        <v>101712215</v>
      </c>
      <c r="C240" s="43" t="s">
        <v>1613</v>
      </c>
      <c r="D240" s="43" t="s">
        <v>1614</v>
      </c>
      <c r="E240" s="43" t="str">
        <f>VLOOKUP(F240,CHOOSE({2,1},Attributes!B$3:B$130,Attributes!C$3:C$129),2,FALSE)</f>
        <v>DungeonSiegeDamageAttributeSet</v>
      </c>
      <c r="F240" s="43" t="str">
        <f>Attributes!C20</f>
        <v>MaxDamageMod</v>
      </c>
      <c r="G240" s="43" t="str">
        <f t="shared" si="9"/>
        <v>(AttributeName="MaxDamageMod",Attribute=/Script/DSAbilitySystem.DungeonSiegeDamageAttributeSet:MaxDamageMod,AttributeOwner=Class'"/Script/DSAbilitySystem.DungeonSiegeDamageAttributeSet"')</v>
      </c>
      <c r="H240" s="43">
        <v>36</v>
      </c>
      <c r="I240" s="43" t="str">
        <f t="shared" si="10"/>
        <v>GE_Suffix_of_the_Rabid</v>
      </c>
      <c r="J240" s="43" t="str">
        <f t="shared" si="11"/>
        <v>/Game/DungeonSiege/Blueprints/GameplayAbilities/Affixes/GE_Suffix_of_the_Rabid</v>
      </c>
    </row>
    <row r="241" spans="1:10" s="23" customFormat="1" ht="33.75" x14ac:dyDescent="0.25">
      <c r="A241" s="43">
        <v>239</v>
      </c>
      <c r="B241" s="43">
        <f>VLOOKUP(C241,CHOOSE({2,1},Suffix!B$2:B$412,Suffix!C$2:C$412),2,FALSE)</f>
        <v>101712216</v>
      </c>
      <c r="C241" s="43" t="s">
        <v>1616</v>
      </c>
      <c r="D241" s="43" t="s">
        <v>685</v>
      </c>
      <c r="E241" s="43" t="str">
        <f>VLOOKUP(F241,CHOOSE({2,1},Attributes!B$3:B$130,Attributes!C$3:C$129),2,FALSE)</f>
        <v>DungeonSiegeDamageAttributeSet</v>
      </c>
      <c r="F241" s="43" t="str">
        <f>Attributes!C19</f>
        <v>MinDamageMod</v>
      </c>
      <c r="G241" s="43" t="str">
        <f t="shared" si="9"/>
        <v>(AttributeName="MinDamageMod",Attribute=/Script/DSAbilitySystem.DungeonSiegeDamageAttributeSet:MinDamageMod,AttributeOwner=Class'"/Script/DSAbilitySystem.DungeonSiegeDamageAttributeSet"')</v>
      </c>
      <c r="H241" s="43">
        <v>15</v>
      </c>
      <c r="I241" s="43" t="str">
        <f t="shared" si="10"/>
        <v>GE_Suffix_of_Reach</v>
      </c>
      <c r="J241" s="43" t="str">
        <f t="shared" si="11"/>
        <v>/Game/DungeonSiege/Blueprints/GameplayAbilities/Affixes/GE_Suffix_of_Reach</v>
      </c>
    </row>
    <row r="242" spans="1:10" ht="33.75" x14ac:dyDescent="0.25">
      <c r="A242" s="43">
        <v>240</v>
      </c>
      <c r="B242" s="43">
        <f>VLOOKUP(C242,CHOOSE({2,1},Suffix!B$2:B$412,Suffix!C$2:C$412),2,FALSE)</f>
        <v>101712216</v>
      </c>
      <c r="C242" s="43" t="s">
        <v>1616</v>
      </c>
      <c r="D242" s="43" t="s">
        <v>685</v>
      </c>
      <c r="E242" s="43" t="str">
        <f>VLOOKUP(F242,CHOOSE({2,1},Attributes!B$3:B$130,Attributes!C$3:C$129),2,FALSE)</f>
        <v>DungeonSiegeDamageAttributeSet</v>
      </c>
      <c r="F242" s="43" t="str">
        <f>Attributes!C20</f>
        <v>MaxDamageMod</v>
      </c>
      <c r="G242" s="43" t="str">
        <f t="shared" si="9"/>
        <v>(AttributeName="MaxDamageMod",Attribute=/Script/DSAbilitySystem.DungeonSiegeDamageAttributeSet:MaxDamageMod,AttributeOwner=Class'"/Script/DSAbilitySystem.DungeonSiegeDamageAttributeSet"')</v>
      </c>
      <c r="H242" s="43">
        <v>35</v>
      </c>
      <c r="I242" s="43" t="str">
        <f t="shared" si="10"/>
        <v>GE_Suffix_of_Reach</v>
      </c>
      <c r="J242" s="43" t="str">
        <f t="shared" si="11"/>
        <v>/Game/DungeonSiege/Blueprints/GameplayAbilities/Affixes/GE_Suffix_of_Reach</v>
      </c>
    </row>
    <row r="243" spans="1:10" s="23" customFormat="1" ht="33.75" x14ac:dyDescent="0.25">
      <c r="A243" s="43">
        <v>241</v>
      </c>
      <c r="B243" s="43">
        <f>VLOOKUP(C243,CHOOSE({2,1},Suffix!B$2:B$412,Suffix!C$2:C$412),2,FALSE)</f>
        <v>101712217</v>
      </c>
      <c r="C243" s="43" t="s">
        <v>1618</v>
      </c>
      <c r="D243" s="43" t="s">
        <v>242</v>
      </c>
      <c r="E243" s="43" t="str">
        <f>VLOOKUP(F243,CHOOSE({2,1},Attributes!B$3:B$130,Attributes!C$3:C$129),2,FALSE)</f>
        <v>DungeonSiegeExperienceAttributeSet</v>
      </c>
      <c r="F243" s="43" t="str">
        <f>Attributes!C3</f>
        <v>Strength</v>
      </c>
      <c r="G243" s="43" t="str">
        <f t="shared" si="9"/>
        <v>(AttributeName="Strength",Attribute=/Script/DSAbilitySystem.DungeonSiegeExperienceAttributeSet:Strength,AttributeOwner=Class'"/Script/DSAbilitySystem.DungeonSiegeExperienceAttributeSet"')</v>
      </c>
      <c r="H243" s="43">
        <v>2</v>
      </c>
      <c r="I243" s="43" t="str">
        <f t="shared" si="10"/>
        <v>GE_Suffix_of_Emphasis</v>
      </c>
      <c r="J243" s="43" t="str">
        <f t="shared" si="11"/>
        <v>/Game/DungeonSiege/Blueprints/GameplayAbilities/Affixes/GE_Suffix_of_Emphasis</v>
      </c>
    </row>
    <row r="244" spans="1:10" s="23" customFormat="1" ht="33.75" x14ac:dyDescent="0.25">
      <c r="A244" s="43">
        <v>242</v>
      </c>
      <c r="B244" s="43">
        <f>VLOOKUP(C244,CHOOSE({2,1},Suffix!B$2:B$412,Suffix!C$2:C$412),2,FALSE)</f>
        <v>101712217</v>
      </c>
      <c r="C244" s="43" t="s">
        <v>1618</v>
      </c>
      <c r="D244" s="43" t="s">
        <v>75</v>
      </c>
      <c r="E244" s="43" t="str">
        <f>VLOOKUP(F244,CHOOSE({2,1},Attributes!B$3:B$130,Attributes!C$3:C$129),2,FALSE)</f>
        <v>DungeonSiegeExperienceAttributeSet</v>
      </c>
      <c r="F244" s="43" t="str">
        <f>Attributes!C5</f>
        <v>Intelligence</v>
      </c>
      <c r="G244" s="43" t="str">
        <f t="shared" si="9"/>
        <v>(AttributeName="Intelligence",Attribute=/Script/DSAbilitySystem.DungeonSiegeExperienceAttributeSet:Intelligence,AttributeOwner=Class'"/Script/DSAbilitySystem.DungeonSiegeExperienceAttributeSet"')</v>
      </c>
      <c r="H244" s="43">
        <v>1</v>
      </c>
      <c r="I244" s="43" t="str">
        <f t="shared" si="10"/>
        <v>GE_Suffix_of_Emphasis</v>
      </c>
      <c r="J244" s="43" t="str">
        <f t="shared" si="11"/>
        <v>/Game/DungeonSiege/Blueprints/GameplayAbilities/Affixes/GE_Suffix_of_Emphasis</v>
      </c>
    </row>
    <row r="245" spans="1:10" s="23" customFormat="1" ht="33.75" x14ac:dyDescent="0.25">
      <c r="A245" s="43">
        <v>243</v>
      </c>
      <c r="B245" s="43">
        <f>VLOOKUP(C245,CHOOSE({2,1},Suffix!B$2:B$412,Suffix!C$2:C$412),2,FALSE)</f>
        <v>101712217</v>
      </c>
      <c r="C245" s="43" t="s">
        <v>1618</v>
      </c>
      <c r="D245" s="43" t="s">
        <v>141</v>
      </c>
      <c r="E245" s="43" t="str">
        <f>VLOOKUP(F245,CHOOSE({2,1},Attributes!B$3:B$130,Attributes!C$3:C$129),2,FALSE)</f>
        <v>DungeonSiegeHealthAttributeSet</v>
      </c>
      <c r="F245" s="43" t="str">
        <f>Attributes!C82</f>
        <v>BaseHealthBonus</v>
      </c>
      <c r="G245" s="43" t="str">
        <f t="shared" si="9"/>
        <v>(AttributeName="BaseHealthBonus",Attribute=/Script/DSAbilitySystem.DungeonSiegeHealthAttributeSet:BaseHealthBonus,AttributeOwner=Class'"/Script/DSAbilitySystem.DungeonSiegeHealthAttributeSet"')</v>
      </c>
      <c r="H245" s="43">
        <v>163</v>
      </c>
      <c r="I245" s="43" t="str">
        <f t="shared" si="10"/>
        <v>GE_Suffix_of_Emphasis</v>
      </c>
      <c r="J245" s="43" t="str">
        <f t="shared" si="11"/>
        <v>/Game/DungeonSiege/Blueprints/GameplayAbilities/Affixes/GE_Suffix_of_Emphasis</v>
      </c>
    </row>
    <row r="246" spans="1:10" ht="33.75" x14ac:dyDescent="0.25">
      <c r="A246" s="43">
        <v>244</v>
      </c>
      <c r="B246" s="43">
        <f>VLOOKUP(C246,CHOOSE({2,1},Suffix!B$2:B$412,Suffix!C$2:C$412),2,FALSE)</f>
        <v>101712217</v>
      </c>
      <c r="C246" s="43" t="s">
        <v>1618</v>
      </c>
      <c r="D246" s="43" t="s">
        <v>3273</v>
      </c>
      <c r="E246" s="43" t="str">
        <f>VLOOKUP(F246,CHOOSE({2,1},Attributes!B$3:B$130,Attributes!C$3:C$129),2,FALSE)</f>
        <v>DungeonSiegeDamageAttributeSet</v>
      </c>
      <c r="F246" s="43" t="str">
        <f>Attributes!C21</f>
        <v>PercentDamageReflectedToEnemy</v>
      </c>
      <c r="G246" s="43" t="str">
        <f t="shared" si="9"/>
        <v>(AttributeName="PercentDamageReflectedToEnemy",Attribute=/Script/DSAbilitySystem.DungeonSiegeDamageAttributeSet:PercentDamageReflectedToEnemy,AttributeOwner=Class'"/Script/DSAbilitySystem.DungeonSiegeDamageAttributeSet"')</v>
      </c>
      <c r="H246" s="43">
        <v>6</v>
      </c>
      <c r="I246" s="43" t="str">
        <f t="shared" si="10"/>
        <v>GE_Suffix_of_Emphasis</v>
      </c>
      <c r="J246" s="43" t="str">
        <f t="shared" si="11"/>
        <v>/Game/DungeonSiege/Blueprints/GameplayAbilities/Affixes/GE_Suffix_of_Emphasis</v>
      </c>
    </row>
    <row r="247" spans="1:10" ht="33.75" x14ac:dyDescent="0.25">
      <c r="A247" s="43">
        <v>245</v>
      </c>
      <c r="B247" s="43">
        <f>VLOOKUP(C247,CHOOSE({2,1},Suffix!B$2:B$412,Suffix!C$2:C$412),2,FALSE)</f>
        <v>101712224</v>
      </c>
      <c r="C247" s="43" t="s">
        <v>1620</v>
      </c>
      <c r="D247" s="43" t="s">
        <v>1621</v>
      </c>
      <c r="E247" s="43" t="str">
        <f>VLOOKUP(F247,CHOOSE({2,1},Attributes!B$3:B$130,Attributes!C$3:C$129),2,FALSE)</f>
        <v>DungeonSiegeCastOnHitAttributeSet</v>
      </c>
      <c r="F247" s="43" t="str">
        <f>Attributes!C109</f>
        <v>ChanceToCastLightningblastOnHit</v>
      </c>
      <c r="G247" s="43" t="str">
        <f t="shared" si="9"/>
        <v>(AttributeName="ChanceToCastLightningblastOnHit",Attribute=/Script/DSAbilitySystem.DungeonSiegeCastOnHitAttributeSet:ChanceToCastLightningblastOnHit,AttributeOwner=Class'"/Script/DSAbilitySystem.DungeonSiegeCastOnHitAttributeSet"')</v>
      </c>
      <c r="H247" s="43">
        <v>25</v>
      </c>
      <c r="I247" s="43" t="str">
        <f t="shared" si="10"/>
        <v>GE_Suffix_of_Major_Lightning_Blast</v>
      </c>
      <c r="J247" s="43" t="str">
        <f t="shared" si="11"/>
        <v>/Game/DungeonSiege/Blueprints/GameplayAbilities/Affixes/GE_Suffix_of_Major_Lightning_Blast</v>
      </c>
    </row>
    <row r="248" spans="1:10" s="23" customFormat="1" ht="33.75" x14ac:dyDescent="0.25">
      <c r="A248" s="43">
        <v>246</v>
      </c>
      <c r="B248" s="43">
        <f>VLOOKUP(C248,CHOOSE({2,1},Suffix!B$2:B$412,Suffix!C$2:C$412),2,FALSE)</f>
        <v>101712225</v>
      </c>
      <c r="C248" s="43" t="s">
        <v>1623</v>
      </c>
      <c r="D248" s="43" t="s">
        <v>84</v>
      </c>
      <c r="E248" s="43" t="str">
        <f>VLOOKUP(F248,CHOOSE({2,1},Attributes!B$3:B$130,Attributes!C$3:C$129),2,FALSE)</f>
        <v>DungeonSiegeHealthAttributeSet</v>
      </c>
      <c r="F248" s="43" t="str">
        <f>Attributes!C82</f>
        <v>BaseHealthBonus</v>
      </c>
      <c r="G248" s="43" t="str">
        <f t="shared" si="9"/>
        <v>(AttributeName="BaseHealthBonus",Attribute=/Script/DSAbilitySystem.DungeonSiegeHealthAttributeSet:BaseHealthBonus,AttributeOwner=Class'"/Script/DSAbilitySystem.DungeonSiegeHealthAttributeSet"')</v>
      </c>
      <c r="H248" s="43">
        <v>42</v>
      </c>
      <c r="I248" s="43" t="str">
        <f t="shared" si="10"/>
        <v>GE_Suffix_of_Impulse</v>
      </c>
      <c r="J248" s="43" t="str">
        <f t="shared" si="11"/>
        <v>/Game/DungeonSiege/Blueprints/GameplayAbilities/Affixes/GE_Suffix_of_Impulse</v>
      </c>
    </row>
    <row r="249" spans="1:10" s="23" customFormat="1" ht="33.75" x14ac:dyDescent="0.25">
      <c r="A249" s="43">
        <v>247</v>
      </c>
      <c r="B249" s="43">
        <f>VLOOKUP(C249,CHOOSE({2,1},Suffix!B$2:B$412,Suffix!C$2:C$412),2,FALSE)</f>
        <v>101712225</v>
      </c>
      <c r="C249" s="43" t="s">
        <v>1623</v>
      </c>
      <c r="D249" s="43" t="s">
        <v>701</v>
      </c>
      <c r="E249" s="43" t="str">
        <f>VLOOKUP(F249,CHOOSE({2,1},Attributes!B$3:B$130,Attributes!C$3:C$129),2,FALSE)</f>
        <v>DungeonSiegePerHitAttributeSet</v>
      </c>
      <c r="F249" s="43" t="str">
        <f>Attributes!C14</f>
        <v>ManaStealPerHit</v>
      </c>
      <c r="G249" s="43" t="str">
        <f t="shared" si="9"/>
        <v>(AttributeName="ManaStealPerHit",Attribute=/Script/DSAbilitySystem.DungeonSiegePerHitAttributeSet:ManaStealPerHit,AttributeOwner=Class'"/Script/DSAbilitySystem.DungeonSiegePerHitAttributeSet"')</v>
      </c>
      <c r="H249" s="43">
        <v>4</v>
      </c>
      <c r="I249" s="43" t="str">
        <f t="shared" si="10"/>
        <v>GE_Suffix_of_Impulse</v>
      </c>
      <c r="J249" s="43" t="str">
        <f t="shared" si="11"/>
        <v>/Game/DungeonSiege/Blueprints/GameplayAbilities/Affixes/GE_Suffix_of_Impulse</v>
      </c>
    </row>
    <row r="250" spans="1:10" ht="33.75" x14ac:dyDescent="0.25">
      <c r="A250" s="43">
        <v>248</v>
      </c>
      <c r="B250" s="43">
        <f>VLOOKUP(C250,CHOOSE({2,1},Suffix!B$2:B$412,Suffix!C$2:C$412),2,FALSE)</f>
        <v>101712225</v>
      </c>
      <c r="C250" s="43" t="s">
        <v>1623</v>
      </c>
      <c r="D250" s="43" t="s">
        <v>804</v>
      </c>
      <c r="E250" s="43" t="str">
        <f>VLOOKUP(F250,CHOOSE({2,1},Attributes!B$3:B$130,Attributes!C$3:C$129),2,FALSE)</f>
        <v>DungeonSiegeDamageAttributeSet</v>
      </c>
      <c r="F250" s="43" t="str">
        <f>Attributes!C23</f>
        <v>ChanceToInflictPiercingHit</v>
      </c>
      <c r="G250" s="43" t="str">
        <f t="shared" si="9"/>
        <v>(AttributeName="ChanceToInflictPiercingHit",Attribute=/Script/DSAbilitySystem.DungeonSiegeDamageAttributeSet:ChanceToInflictPiercingHit,AttributeOwner=Class'"/Script/DSAbilitySystem.DungeonSiegeDamageAttributeSet"')</v>
      </c>
      <c r="H250" s="43">
        <v>4</v>
      </c>
      <c r="I250" s="43" t="str">
        <f t="shared" si="10"/>
        <v>GE_Suffix_of_Impulse</v>
      </c>
      <c r="J250" s="43" t="str">
        <f t="shared" si="11"/>
        <v>/Game/DungeonSiege/Blueprints/GameplayAbilities/Affixes/GE_Suffix_of_Impulse</v>
      </c>
    </row>
    <row r="251" spans="1:10" s="23" customFormat="1" ht="33.75" x14ac:dyDescent="0.25">
      <c r="A251" s="43">
        <v>249</v>
      </c>
      <c r="B251" s="43">
        <f>VLOOKUP(C251,CHOOSE({2,1},Suffix!B$2:B$412,Suffix!C$2:C$412),2,FALSE)</f>
        <v>101712226</v>
      </c>
      <c r="C251" s="43" t="s">
        <v>1625</v>
      </c>
      <c r="D251" s="43" t="s">
        <v>278</v>
      </c>
      <c r="E251" s="43" t="str">
        <f>VLOOKUP(F251,CHOOSE({2,1},Attributes!B$3:B$130,Attributes!C$3:C$129),2,FALSE)</f>
        <v>DungeonSiegeExperienceAttributeSet</v>
      </c>
      <c r="F251" s="43" t="str">
        <f>Attributes!C3</f>
        <v>Strength</v>
      </c>
      <c r="G251" s="43" t="str">
        <f t="shared" si="9"/>
        <v>(AttributeName="Strength",Attribute=/Script/DSAbilitySystem.DungeonSiegeExperienceAttributeSet:Strength,AttributeOwner=Class'"/Script/DSAbilitySystem.DungeonSiegeExperienceAttributeSet"')</v>
      </c>
      <c r="H251" s="43">
        <v>3</v>
      </c>
      <c r="I251" s="43" t="str">
        <f t="shared" si="10"/>
        <v>GE_Suffix_of_Fortitude</v>
      </c>
      <c r="J251" s="43" t="str">
        <f t="shared" si="11"/>
        <v>/Game/DungeonSiege/Blueprints/GameplayAbilities/Affixes/GE_Suffix_of_Fortitude</v>
      </c>
    </row>
    <row r="252" spans="1:10" s="23" customFormat="1" ht="33.75" x14ac:dyDescent="0.25">
      <c r="A252" s="43">
        <v>250</v>
      </c>
      <c r="B252" s="43">
        <f>VLOOKUP(C252,CHOOSE({2,1},Suffix!B$2:B$412,Suffix!C$2:C$412),2,FALSE)</f>
        <v>101712226</v>
      </c>
      <c r="C252" s="43" t="s">
        <v>1625</v>
      </c>
      <c r="D252" s="43" t="s">
        <v>54</v>
      </c>
      <c r="E252" s="43" t="str">
        <f>VLOOKUP(F252,CHOOSE({2,1},Attributes!B$3:B$130,Attributes!C$3:C$129),2,FALSE)</f>
        <v>DungeonSiegeExperienceAttributeSet</v>
      </c>
      <c r="F252" s="43" t="str">
        <f>Attributes!C4</f>
        <v>Dexterity</v>
      </c>
      <c r="G252" s="43" t="str">
        <f t="shared" si="9"/>
        <v>(AttributeName="Dexterity",Attribute=/Script/DSAbilitySystem.DungeonSiegeExperienceAttributeSet:Dexterity,AttributeOwner=Class'"/Script/DSAbilitySystem.DungeonSiegeExperienceAttributeSet"')</v>
      </c>
      <c r="H252" s="43">
        <v>1</v>
      </c>
      <c r="I252" s="43" t="str">
        <f t="shared" si="10"/>
        <v>GE_Suffix_of_Fortitude</v>
      </c>
      <c r="J252" s="43" t="str">
        <f t="shared" si="11"/>
        <v>/Game/DungeonSiege/Blueprints/GameplayAbilities/Affixes/GE_Suffix_of_Fortitude</v>
      </c>
    </row>
    <row r="253" spans="1:10" ht="14.25" customHeight="1" x14ac:dyDescent="0.25">
      <c r="A253" s="43">
        <v>251</v>
      </c>
      <c r="B253" s="43">
        <f>VLOOKUP(C253,CHOOSE({2,1},Suffix!B$2:B$412,Suffix!C$2:C$412),2,FALSE)</f>
        <v>101712226</v>
      </c>
      <c r="C253" s="43" t="s">
        <v>1625</v>
      </c>
      <c r="D253" s="43" t="s">
        <v>75</v>
      </c>
      <c r="E253" s="43" t="str">
        <f>VLOOKUP(F253,CHOOSE({2,1},Attributes!B$3:B$130,Attributes!C$3:C$129),2,FALSE)</f>
        <v>DungeonSiegeExperienceAttributeSet</v>
      </c>
      <c r="F253" s="43" t="str">
        <f>Attributes!C5</f>
        <v>Intelligence</v>
      </c>
      <c r="G253" s="43" t="str">
        <f t="shared" si="9"/>
        <v>(AttributeName="Intelligence",Attribute=/Script/DSAbilitySystem.DungeonSiegeExperienceAttributeSet:Intelligence,AttributeOwner=Class'"/Script/DSAbilitySystem.DungeonSiegeExperienceAttributeSet"')</v>
      </c>
      <c r="H253" s="43">
        <v>1</v>
      </c>
      <c r="I253" s="43" t="str">
        <f t="shared" si="10"/>
        <v>GE_Suffix_of_Fortitude</v>
      </c>
      <c r="J253" s="43" t="str">
        <f t="shared" si="11"/>
        <v>/Game/DungeonSiege/Blueprints/GameplayAbilities/Affixes/GE_Suffix_of_Fortitude</v>
      </c>
    </row>
    <row r="254" spans="1:10" ht="33.75" x14ac:dyDescent="0.25">
      <c r="A254" s="43">
        <v>252</v>
      </c>
      <c r="B254" s="43">
        <f>VLOOKUP(C254,CHOOSE({2,1},Suffix!B$2:B$412,Suffix!C$2:C$412),2,FALSE)</f>
        <v>101712227</v>
      </c>
      <c r="C254" s="43" t="s">
        <v>1627</v>
      </c>
      <c r="D254" s="43" t="s">
        <v>1628</v>
      </c>
      <c r="E254" s="43" t="str">
        <f>VLOOKUP(F254,CHOOSE({2,1},Attributes!B$3:B$130,Attributes!C$3:C$129),2,FALSE)</f>
        <v>DungeonSiegeCastOnHitAttributeSet</v>
      </c>
      <c r="F254" s="43" t="str">
        <f>Attributes!C107</f>
        <v>ChanceToCastStarburstOnHit</v>
      </c>
      <c r="G254" s="43" t="str">
        <f t="shared" si="9"/>
        <v>(AttributeName="ChanceToCastStarburstOnHit",Attribute=/Script/DSAbilitySystem.DungeonSiegeCastOnHitAttributeSet:ChanceToCastStarburstOnHit,AttributeOwner=Class'"/Script/DSAbilitySystem.DungeonSiegeCastOnHitAttributeSet"')</v>
      </c>
      <c r="H254" s="43">
        <v>20</v>
      </c>
      <c r="I254" s="43" t="str">
        <f t="shared" si="10"/>
        <v>GE_Suffix_of_Starburst</v>
      </c>
      <c r="J254" s="43" t="str">
        <f t="shared" si="11"/>
        <v>/Game/DungeonSiege/Blueprints/GameplayAbilities/Affixes/GE_Suffix_of_Starburst</v>
      </c>
    </row>
    <row r="255" spans="1:10" ht="33.75" x14ac:dyDescent="0.25">
      <c r="A255" s="43">
        <v>253</v>
      </c>
      <c r="B255" s="43">
        <f>VLOOKUP(C255,CHOOSE({2,1},Suffix!B$2:B$412,Suffix!C$2:C$412),2,FALSE)</f>
        <v>101712228</v>
      </c>
      <c r="C255" s="43" t="s">
        <v>1630</v>
      </c>
      <c r="D255" s="43" t="s">
        <v>1631</v>
      </c>
      <c r="E255" s="43" t="str">
        <f>VLOOKUP(F255,CHOOSE({2,1},Attributes!B$3:B$130,Attributes!C$3:C$129),2,FALSE)</f>
        <v>DungeonSiegeCastOnHitAttributeSet</v>
      </c>
      <c r="F255" s="43" t="str">
        <f>Attributes!C111</f>
        <v>ChanceToCastFireballOnHit</v>
      </c>
      <c r="G255" s="43" t="str">
        <f t="shared" si="9"/>
        <v>(AttributeName="ChanceToCastFireballOnHit",Attribute=/Script/DSAbilitySystem.DungeonSiegeCastOnHitAttributeSet:ChanceToCastFireballOnHit,AttributeOwner=Class'"/Script/DSAbilitySystem.DungeonSiegeCastOnHitAttributeSet"')</v>
      </c>
      <c r="H255" s="43">
        <v>30</v>
      </c>
      <c r="I255" s="43" t="str">
        <f t="shared" si="10"/>
        <v>GE_Suffix_of_Greater_Fireball</v>
      </c>
      <c r="J255" s="43" t="str">
        <f t="shared" si="11"/>
        <v>/Game/DungeonSiege/Blueprints/GameplayAbilities/Affixes/GE_Suffix_of_Greater_Fireball</v>
      </c>
    </row>
    <row r="256" spans="1:10" s="23" customFormat="1" ht="33.75" x14ac:dyDescent="0.25">
      <c r="A256" s="43">
        <v>254</v>
      </c>
      <c r="B256" s="43">
        <f>VLOOKUP(C256,CHOOSE({2,1},Suffix!B$2:B$412,Suffix!C$2:C$412),2,FALSE)</f>
        <v>101712229</v>
      </c>
      <c r="C256" s="43" t="s">
        <v>1633</v>
      </c>
      <c r="D256" s="43" t="s">
        <v>1634</v>
      </c>
      <c r="E256" s="43" t="str">
        <f>VLOOKUP(F256,CHOOSE({2,1},Attributes!B$3:B$130,Attributes!C$3:C$129),2,FALSE)</f>
        <v>DungeonSiegeDamageAttributeSet</v>
      </c>
      <c r="F256" s="43" t="str">
        <f>Attributes!C25</f>
        <v>MinPiercingDamageMod</v>
      </c>
      <c r="G256" s="43" t="str">
        <f t="shared" si="9"/>
        <v>(AttributeName="MinPiercingDamageMod",Attribute=/Script/DSAbilitySystem.DungeonSiegeDamageAttributeSet:MinPiercingDamageMod,AttributeOwner=Class'"/Script/DSAbilitySystem.DungeonSiegeDamageAttributeSet"')</v>
      </c>
      <c r="H256" s="43">
        <v>12</v>
      </c>
      <c r="I256" s="43" t="str">
        <f t="shared" si="10"/>
        <v>GE_Suffix_of_Teeth</v>
      </c>
      <c r="J256" s="43" t="str">
        <f t="shared" si="11"/>
        <v>/Game/DungeonSiege/Blueprints/GameplayAbilities/Affixes/GE_Suffix_of_Teeth</v>
      </c>
    </row>
    <row r="257" spans="1:10" ht="33.75" x14ac:dyDescent="0.25">
      <c r="A257" s="43">
        <v>255</v>
      </c>
      <c r="B257" s="43">
        <f>VLOOKUP(C257,CHOOSE({2,1},Suffix!B$2:B$412,Suffix!C$2:C$412),2,FALSE)</f>
        <v>101712229</v>
      </c>
      <c r="C257" s="43" t="s">
        <v>1633</v>
      </c>
      <c r="D257" s="43" t="s">
        <v>1634</v>
      </c>
      <c r="E257" s="43" t="str">
        <f>VLOOKUP(F257,CHOOSE({2,1},Attributes!B$3:B$130,Attributes!C$3:C$129),2,FALSE)</f>
        <v>DungeonSiegeDamageAttributeSet</v>
      </c>
      <c r="F257" s="43" t="str">
        <f>Attributes!C26</f>
        <v>MaxPiercingDamageMod</v>
      </c>
      <c r="G257" s="43" t="str">
        <f t="shared" si="9"/>
        <v>(AttributeName="MaxPiercingDamageMod",Attribute=/Script/DSAbilitySystem.DungeonSiegeDamageAttributeSet:MaxPiercingDamageMod,AttributeOwner=Class'"/Script/DSAbilitySystem.DungeonSiegeDamageAttributeSet"')</v>
      </c>
      <c r="H257" s="43">
        <v>28</v>
      </c>
      <c r="I257" s="43" t="str">
        <f t="shared" si="10"/>
        <v>GE_Suffix_of_Teeth</v>
      </c>
      <c r="J257" s="43" t="str">
        <f t="shared" si="11"/>
        <v>/Game/DungeonSiege/Blueprints/GameplayAbilities/Affixes/GE_Suffix_of_Teeth</v>
      </c>
    </row>
    <row r="258" spans="1:10" ht="33.75" x14ac:dyDescent="0.25">
      <c r="A258" s="43">
        <v>256</v>
      </c>
      <c r="B258" s="43">
        <f>VLOOKUP(C258,CHOOSE({2,1},Suffix!B$2:B$412,Suffix!C$2:C$412),2,FALSE)</f>
        <v>101712230</v>
      </c>
      <c r="C258" s="43" t="s">
        <v>1636</v>
      </c>
      <c r="D258" s="43" t="s">
        <v>1637</v>
      </c>
      <c r="E258" s="43" t="str">
        <f>VLOOKUP(F258,CHOOSE({2,1},Attributes!B$3:B$130,Attributes!C$3:C$129),2,FALSE)</f>
        <v>DungeonSiegePerHitAttributeSet</v>
      </c>
      <c r="F258" s="43" t="str">
        <f>Attributes!C13</f>
        <v>HealthStealPerHit</v>
      </c>
      <c r="G258" s="43" t="str">
        <f t="shared" si="9"/>
        <v>(AttributeName="HealthStealPerHit",Attribute=/Script/DSAbilitySystem.DungeonSiegePerHitAttributeSet:HealthStealPerHit,AttributeOwner=Class'"/Script/DSAbilitySystem.DungeonSiegePerHitAttributeSet"')</v>
      </c>
      <c r="H258" s="43">
        <v>4</v>
      </c>
      <c r="I258" s="43" t="str">
        <f t="shared" si="10"/>
        <v>GE_Suffix_of_Malevolence</v>
      </c>
      <c r="J258" s="43" t="str">
        <f t="shared" si="11"/>
        <v>/Game/DungeonSiege/Blueprints/GameplayAbilities/Affixes/GE_Suffix_of_Malevolence</v>
      </c>
    </row>
    <row r="259" spans="1:10" ht="33.75" x14ac:dyDescent="0.25">
      <c r="A259" s="43">
        <v>257</v>
      </c>
      <c r="B259" s="43">
        <f>VLOOKUP(C259,CHOOSE({2,1},Suffix!B$2:B$412,Suffix!C$2:C$412),2,FALSE)</f>
        <v>101712231</v>
      </c>
      <c r="C259" s="43" t="s">
        <v>1639</v>
      </c>
      <c r="D259" s="43" t="s">
        <v>703</v>
      </c>
      <c r="E259" s="43" t="str">
        <f>VLOOKUP(F259,CHOOSE({2,1},Attributes!B$3:B$130,Attributes!C$3:C$129),2,FALSE)</f>
        <v>DungeonSiegeDamageAttributeSet</v>
      </c>
      <c r="F259" s="43" t="str">
        <f>Attributes!C21</f>
        <v>PercentDamageReflectedToEnemy</v>
      </c>
      <c r="G259" s="43" t="str">
        <f t="shared" ref="G259:G322" si="12">CONCATENATE("(AttributeName=""",F259,""",Attribute=/Script/DSAbilitySystem."&amp; E259 &amp;":",F259,",AttributeOwner=Class'""/Script/DSAbilitySystem." &amp; E259 &amp; """')")</f>
        <v>(AttributeName="PercentDamageReflectedToEnemy",Attribute=/Script/DSAbilitySystem.DungeonSiegeDamageAttributeSet:PercentDamageReflectedToEnemy,AttributeOwner=Class'"/Script/DSAbilitySystem.DungeonSiegeDamageAttributeSet"')</v>
      </c>
      <c r="H259" s="43">
        <v>10</v>
      </c>
      <c r="I259" s="43" t="str">
        <f t="shared" ref="I259:I327" si="13">CONCATENATE("GE_Suffix_", SUBSTITUTE(C259," ","_"))</f>
        <v>GE_Suffix_of_Defiance</v>
      </c>
      <c r="J259" s="43" t="str">
        <f t="shared" ref="J259:J327" si="14">"/Game/DungeonSiege/Blueprints/GameplayAbilities/Affixes/" &amp;I259</f>
        <v>/Game/DungeonSiege/Blueprints/GameplayAbilities/Affixes/GE_Suffix_of_Defiance</v>
      </c>
    </row>
    <row r="260" spans="1:10" ht="33.75" x14ac:dyDescent="0.25">
      <c r="A260" s="43">
        <v>258</v>
      </c>
      <c r="B260" s="43">
        <f>VLOOKUP(C260,CHOOSE({2,1},Suffix!B$2:B$412,Suffix!C$2:C$412),2,FALSE)</f>
        <v>101712232</v>
      </c>
      <c r="C260" s="43" t="s">
        <v>1641</v>
      </c>
      <c r="D260" s="43" t="s">
        <v>1497</v>
      </c>
      <c r="E260" s="43" t="str">
        <f>VLOOKUP(F260,CHOOSE({2,1},Attributes!B$3:B$130,Attributes!C$3:C$129),2,FALSE)</f>
        <v>DungeonSiegeDamageAttributeSet</v>
      </c>
      <c r="F260" s="43" t="str">
        <f>Attributes!C20</f>
        <v>MaxDamageMod</v>
      </c>
      <c r="G260" s="43" t="str">
        <f t="shared" si="12"/>
        <v>(AttributeName="MaxDamageMod",Attribute=/Script/DSAbilitySystem.DungeonSiegeDamageAttributeSet:MaxDamageMod,AttributeOwner=Class'"/Script/DSAbilitySystem.DungeonSiegeDamageAttributeSet"')</v>
      </c>
      <c r="H260" s="43">
        <v>23</v>
      </c>
      <c r="I260" s="43" t="str">
        <f t="shared" si="13"/>
        <v>GE_Suffix_of_the_Raven</v>
      </c>
      <c r="J260" s="43" t="str">
        <f t="shared" si="14"/>
        <v>/Game/DungeonSiege/Blueprints/GameplayAbilities/Affixes/GE_Suffix_of_the_Raven</v>
      </c>
    </row>
    <row r="261" spans="1:10" s="23" customFormat="1" ht="33.75" x14ac:dyDescent="0.25">
      <c r="A261" s="43">
        <v>259</v>
      </c>
      <c r="B261" s="43">
        <f>VLOOKUP(C261,CHOOSE({2,1},Suffix!B$2:B$412,Suffix!C$2:C$412),2,FALSE)</f>
        <v>101712233</v>
      </c>
      <c r="C261" s="43" t="s">
        <v>1643</v>
      </c>
      <c r="D261" s="43" t="s">
        <v>3257</v>
      </c>
      <c r="E261" s="43" t="str">
        <f>VLOOKUP(F261,CHOOSE({2,1},Attributes!B$3:B$130,Attributes!C$3:C$129),2,FALSE)</f>
        <v>DungeonSiegeElementalAttributeSet</v>
      </c>
      <c r="F261" s="43" t="str">
        <f>Attributes!C100</f>
        <v>ChanceToFreeze</v>
      </c>
      <c r="G261" s="43" t="str">
        <f t="shared" si="12"/>
        <v>(AttributeName="ChanceToFreeze",Attribute=/Script/DSAbilitySystem.DungeonSiegeElementalAttributeSet:ChanceToFreeze,AttributeOwner=Class'"/Script/DSAbilitySystem.DungeonSiegeElementalAttributeSet"')</v>
      </c>
      <c r="H261" s="43">
        <v>5</v>
      </c>
      <c r="I261" s="43" t="str">
        <f t="shared" si="13"/>
        <v>GE_Suffix_of_Frigidity</v>
      </c>
      <c r="J261" s="43" t="str">
        <f t="shared" si="14"/>
        <v>/Game/DungeonSiege/Blueprints/GameplayAbilities/Affixes/GE_Suffix_of_Frigidity</v>
      </c>
    </row>
    <row r="262" spans="1:10" s="23" customFormat="1" ht="33.75" x14ac:dyDescent="0.25">
      <c r="A262" s="43">
        <v>260</v>
      </c>
      <c r="B262" s="43">
        <f>VLOOKUP(C262,CHOOSE({2,1},Suffix!B$2:B$412,Suffix!C$2:C$412),2,FALSE)</f>
        <v>101712233</v>
      </c>
      <c r="C262" s="43" t="s">
        <v>1643</v>
      </c>
      <c r="D262" s="43" t="s">
        <v>3274</v>
      </c>
      <c r="E262" s="43" t="str">
        <f>VLOOKUP(F262,CHOOSE({2,1},Attributes!B$3:B$130,Attributes!C$3:C$129),2,FALSE)</f>
        <v>DungeonSiegeElementalAttributeSet</v>
      </c>
      <c r="F262" s="43" t="str">
        <f>Attributes!C101</f>
        <v>ColdDamageMinDamageMod</v>
      </c>
      <c r="G262" s="43" t="str">
        <f t="shared" si="12"/>
        <v>(AttributeName="ColdDamageMinDamageMod",Attribute=/Script/DSAbilitySystem.DungeonSiegeElementalAttributeSet:ColdDamageMinDamageMod,AttributeOwner=Class'"/Script/DSAbilitySystem.DungeonSiegeElementalAttributeSet"')</v>
      </c>
      <c r="H262" s="43">
        <v>17</v>
      </c>
      <c r="I262" s="43" t="str">
        <f t="shared" si="13"/>
        <v>GE_Suffix_of_Frigidity</v>
      </c>
      <c r="J262" s="43" t="str">
        <f t="shared" si="14"/>
        <v>/Game/DungeonSiege/Blueprints/GameplayAbilities/Affixes/GE_Suffix_of_Frigidity</v>
      </c>
    </row>
    <row r="263" spans="1:10" ht="33.75" x14ac:dyDescent="0.25">
      <c r="A263" s="43">
        <v>261</v>
      </c>
      <c r="B263" s="43">
        <f>VLOOKUP(C263,CHOOSE({2,1},Suffix!B$2:B$412,Suffix!C$2:C$412),2,FALSE)</f>
        <v>101712233</v>
      </c>
      <c r="C263" s="43" t="s">
        <v>1643</v>
      </c>
      <c r="D263" s="43" t="s">
        <v>3274</v>
      </c>
      <c r="E263" s="43" t="str">
        <f>VLOOKUP(F263,CHOOSE({2,1},Attributes!B$3:B$130,Attributes!C$3:C$129),2,FALSE)</f>
        <v>DungeonSiegeElementalAttributeSet</v>
      </c>
      <c r="F263" s="43" t="str">
        <f>Attributes!C102</f>
        <v>ColdDamageMaxDamageMod</v>
      </c>
      <c r="G263" s="43" t="str">
        <f t="shared" si="12"/>
        <v>(AttributeName="ColdDamageMaxDamageMod",Attribute=/Script/DSAbilitySystem.DungeonSiegeElementalAttributeSet:ColdDamageMaxDamageMod,AttributeOwner=Class'"/Script/DSAbilitySystem.DungeonSiegeElementalAttributeSet"')</v>
      </c>
      <c r="H263" s="43">
        <v>30</v>
      </c>
      <c r="I263" s="43" t="str">
        <f t="shared" si="13"/>
        <v>GE_Suffix_of_Frigidity</v>
      </c>
      <c r="J263" s="43" t="str">
        <f t="shared" si="14"/>
        <v>/Game/DungeonSiege/Blueprints/GameplayAbilities/Affixes/GE_Suffix_of_Frigidity</v>
      </c>
    </row>
    <row r="264" spans="1:10" s="23" customFormat="1" ht="33.75" x14ac:dyDescent="0.25">
      <c r="A264" s="43">
        <v>262</v>
      </c>
      <c r="B264" s="43">
        <f>VLOOKUP(C264,CHOOSE({2,1},Suffix!B$2:B$412,Suffix!C$2:C$412),2,FALSE)</f>
        <v>101712240</v>
      </c>
      <c r="C264" s="43" t="s">
        <v>1645</v>
      </c>
      <c r="D264" s="43" t="s">
        <v>1646</v>
      </c>
      <c r="E264" s="43" t="str">
        <f>VLOOKUP(F264,CHOOSE({2,1},Attributes!B$3:B$130,Attributes!C$3:C$129),2,FALSE)</f>
        <v>DungeonSiegeElementalAttributeSet</v>
      </c>
      <c r="F264" s="43" t="str">
        <f>Attributes!C101</f>
        <v>ColdDamageMinDamageMod</v>
      </c>
      <c r="G264" s="43" t="str">
        <f t="shared" si="12"/>
        <v>(AttributeName="ColdDamageMinDamageMod",Attribute=/Script/DSAbilitySystem.DungeonSiegeElementalAttributeSet:ColdDamageMinDamageMod,AttributeOwner=Class'"/Script/DSAbilitySystem.DungeonSiegeElementalAttributeSet"')</v>
      </c>
      <c r="H264" s="43">
        <v>13</v>
      </c>
      <c r="I264" s="43" t="str">
        <f t="shared" si="13"/>
        <v>GE_Suffix_of_Sleet</v>
      </c>
      <c r="J264" s="43" t="str">
        <f t="shared" si="14"/>
        <v>/Game/DungeonSiege/Blueprints/GameplayAbilities/Affixes/GE_Suffix_of_Sleet</v>
      </c>
    </row>
    <row r="265" spans="1:10" ht="33.75" x14ac:dyDescent="0.25">
      <c r="A265" s="43">
        <v>263</v>
      </c>
      <c r="B265" s="43">
        <f>VLOOKUP(C265,CHOOSE({2,1},Suffix!B$2:B$412,Suffix!C$2:C$412),2,FALSE)</f>
        <v>101712240</v>
      </c>
      <c r="C265" s="43" t="s">
        <v>1645</v>
      </c>
      <c r="D265" s="43" t="s">
        <v>1646</v>
      </c>
      <c r="E265" s="43" t="str">
        <f>VLOOKUP(F265,CHOOSE({2,1},Attributes!B$3:B$130,Attributes!C$3:C$129),2,FALSE)</f>
        <v>DungeonSiegeElementalAttributeSet</v>
      </c>
      <c r="F265" s="43" t="str">
        <f>Attributes!C102</f>
        <v>ColdDamageMaxDamageMod</v>
      </c>
      <c r="G265" s="43" t="str">
        <f t="shared" si="12"/>
        <v>(AttributeName="ColdDamageMaxDamageMod",Attribute=/Script/DSAbilitySystem.DungeonSiegeElementalAttributeSet:ColdDamageMaxDamageMod,AttributeOwner=Class'"/Script/DSAbilitySystem.DungeonSiegeElementalAttributeSet"')</v>
      </c>
      <c r="H265" s="43">
        <v>23</v>
      </c>
      <c r="I265" s="43" t="str">
        <f t="shared" si="13"/>
        <v>GE_Suffix_of_Sleet</v>
      </c>
      <c r="J265" s="43" t="str">
        <f t="shared" si="14"/>
        <v>/Game/DungeonSiege/Blueprints/GameplayAbilities/Affixes/GE_Suffix_of_Sleet</v>
      </c>
    </row>
    <row r="266" spans="1:10" s="23" customFormat="1" ht="33.75" x14ac:dyDescent="0.25">
      <c r="A266" s="43">
        <v>264</v>
      </c>
      <c r="B266" s="43">
        <f>VLOOKUP(C266,CHOOSE({2,1},Suffix!B$2:B$412,Suffix!C$2:C$412),2,FALSE)</f>
        <v>101712241</v>
      </c>
      <c r="C266" s="43" t="s">
        <v>1648</v>
      </c>
      <c r="D266" s="43" t="s">
        <v>737</v>
      </c>
      <c r="E266" s="43" t="str">
        <f>VLOOKUP(F266,CHOOSE({2,1},Attributes!B$3:B$130,Attributes!C$3:C$129),2,FALSE)</f>
        <v>DungeonSiegePerHitAttributeSet</v>
      </c>
      <c r="F266" s="43" t="str">
        <f>Attributes!C13</f>
        <v>HealthStealPerHit</v>
      </c>
      <c r="G266" s="43" t="str">
        <f t="shared" si="12"/>
        <v>(AttributeName="HealthStealPerHit",Attribute=/Script/DSAbilitySystem.DungeonSiegePerHitAttributeSet:HealthStealPerHit,AttributeOwner=Class'"/Script/DSAbilitySystem.DungeonSiegePerHitAttributeSet"')</v>
      </c>
      <c r="H266" s="43">
        <v>2</v>
      </c>
      <c r="I266" s="43" t="str">
        <f t="shared" si="13"/>
        <v>GE_Suffix_of_Virtue</v>
      </c>
      <c r="J266" s="43" t="str">
        <f t="shared" si="14"/>
        <v>/Game/DungeonSiege/Blueprints/GameplayAbilities/Affixes/GE_Suffix_of_Virtue</v>
      </c>
    </row>
    <row r="267" spans="1:10" s="23" customFormat="1" ht="33.75" x14ac:dyDescent="0.25">
      <c r="A267" s="43">
        <v>265</v>
      </c>
      <c r="B267" s="43">
        <f>VLOOKUP(C267,CHOOSE({2,1},Suffix!B$2:B$412,Suffix!C$2:C$412),2,FALSE)</f>
        <v>101712241</v>
      </c>
      <c r="C267" s="43" t="s">
        <v>1648</v>
      </c>
      <c r="D267" s="43" t="s">
        <v>1649</v>
      </c>
      <c r="E267" s="43" t="str">
        <f>VLOOKUP(F267,CHOOSE({2,1},Attributes!B$3:B$130,Attributes!C$3:C$129),2,FALSE)</f>
        <v>DungeonSiegePerHitAttributeSet</v>
      </c>
      <c r="F267" s="43" t="str">
        <f>Attributes!C12</f>
        <v>ManaPerHit</v>
      </c>
      <c r="G267" s="43" t="str">
        <f t="shared" si="12"/>
        <v>(AttributeName="ManaPerHit",Attribute=/Script/DSAbilitySystem.DungeonSiegePerHitAttributeSet:ManaPerHit,AttributeOwner=Class'"/Script/DSAbilitySystem.DungeonSiegePerHitAttributeSet"')</v>
      </c>
      <c r="H267" s="43">
        <v>3</v>
      </c>
      <c r="I267" s="43" t="str">
        <f t="shared" si="13"/>
        <v>GE_Suffix_of_Virtue</v>
      </c>
      <c r="J267" s="43" t="str">
        <f t="shared" si="14"/>
        <v>/Game/DungeonSiege/Blueprints/GameplayAbilities/Affixes/GE_Suffix_of_Virtue</v>
      </c>
    </row>
    <row r="268" spans="1:10" ht="33.75" x14ac:dyDescent="0.25">
      <c r="A268" s="43">
        <v>266</v>
      </c>
      <c r="B268" s="43">
        <f>VLOOKUP(C268,CHOOSE({2,1},Suffix!B$2:B$412,Suffix!C$2:C$412),2,FALSE)</f>
        <v>101712241</v>
      </c>
      <c r="C268" s="43" t="s">
        <v>1648</v>
      </c>
      <c r="D268" s="43" t="s">
        <v>715</v>
      </c>
      <c r="E268" s="43" t="str">
        <f>VLOOKUP(F268,CHOOSE({2,1},Attributes!B$3:B$130,Attributes!C$3:C$129),2,FALSE)</f>
        <v>DungeonSiegeDamageAttributeSet</v>
      </c>
      <c r="F268" s="43" t="str">
        <f>Attributes!C21</f>
        <v>PercentDamageReflectedToEnemy</v>
      </c>
      <c r="G268" s="43" t="str">
        <f t="shared" si="12"/>
        <v>(AttributeName="PercentDamageReflectedToEnemy",Attribute=/Script/DSAbilitySystem.DungeonSiegeDamageAttributeSet:PercentDamageReflectedToEnemy,AttributeOwner=Class'"/Script/DSAbilitySystem.DungeonSiegeDamageAttributeSet"')</v>
      </c>
      <c r="H268" s="43">
        <v>3</v>
      </c>
      <c r="I268" s="43" t="str">
        <f t="shared" si="13"/>
        <v>GE_Suffix_of_Virtue</v>
      </c>
      <c r="J268" s="43" t="str">
        <f t="shared" si="14"/>
        <v>/Game/DungeonSiege/Blueprints/GameplayAbilities/Affixes/GE_Suffix_of_Virtue</v>
      </c>
    </row>
    <row r="269" spans="1:10" ht="33.75" x14ac:dyDescent="0.25">
      <c r="A269" s="43">
        <v>267</v>
      </c>
      <c r="B269" s="43">
        <f>VLOOKUP(C269,CHOOSE({2,1},Suffix!B$2:B$412,Suffix!C$2:C$412),2,FALSE)</f>
        <v>101712242</v>
      </c>
      <c r="C269" s="43" t="s">
        <v>1652</v>
      </c>
      <c r="D269" s="43" t="s">
        <v>1653</v>
      </c>
      <c r="E269" s="43" t="str">
        <f>VLOOKUP(F269,CHOOSE({2,1},Attributes!B$3:B$130,Attributes!C$3:C$129),2,FALSE)</f>
        <v>DungeonSiegeCastOnHitAttributeSet</v>
      </c>
      <c r="F269" s="43" t="str">
        <f>Attributes!C110</f>
        <v>ChanceToCastMultisparkOnHit</v>
      </c>
      <c r="G269" s="43" t="str">
        <f t="shared" si="12"/>
        <v>(AttributeName="ChanceToCastMultisparkOnHit",Attribute=/Script/DSAbilitySystem.DungeonSiegeCastOnHitAttributeSet:ChanceToCastMultisparkOnHit,AttributeOwner=Class'"/Script/DSAbilitySystem.DungeonSiegeCastOnHitAttributeSet"')</v>
      </c>
      <c r="H269" s="43">
        <v>25</v>
      </c>
      <c r="I269" s="43" t="str">
        <f t="shared" si="13"/>
        <v>GE_Suffix_of_Major_Multispark</v>
      </c>
      <c r="J269" s="43" t="str">
        <f t="shared" si="14"/>
        <v>/Game/DungeonSiege/Blueprints/GameplayAbilities/Affixes/GE_Suffix_of_Major_Multispark</v>
      </c>
    </row>
    <row r="270" spans="1:10" ht="33.75" x14ac:dyDescent="0.25">
      <c r="A270" s="43">
        <v>268</v>
      </c>
      <c r="B270" s="43">
        <f>VLOOKUP(C270,CHOOSE({2,1},Suffix!B$2:B$412,Suffix!C$2:C$412),2,FALSE)</f>
        <v>101712243</v>
      </c>
      <c r="C270" s="43" t="s">
        <v>1655</v>
      </c>
      <c r="D270" s="43" t="s">
        <v>1656</v>
      </c>
      <c r="E270" s="43" t="str">
        <f>VLOOKUP(F270,CHOOSE({2,1},Attributes!B$3:B$130,Attributes!C$3:C$129),2,FALSE)</f>
        <v>DungeonSiegeCastOnHitAttributeSet</v>
      </c>
      <c r="F270" s="43" t="str">
        <f>Attributes!C108</f>
        <v>ChanceToCastLightrayOnHit</v>
      </c>
      <c r="G270" s="43" t="str">
        <f t="shared" si="12"/>
        <v>(AttributeName="ChanceToCastLightrayOnHit",Attribute=/Script/DSAbilitySystem.DungeonSiegeCastOnHitAttributeSet:ChanceToCastLightrayOnHit,AttributeOwner=Class'"/Script/DSAbilitySystem.DungeonSiegeCastOnHitAttributeSet"')</v>
      </c>
      <c r="H270" s="43">
        <v>20</v>
      </c>
      <c r="I270" s="43" t="str">
        <f t="shared" si="13"/>
        <v>GE_Suffix_of_Lightray</v>
      </c>
      <c r="J270" s="43" t="str">
        <f t="shared" si="14"/>
        <v>/Game/DungeonSiege/Blueprints/GameplayAbilities/Affixes/GE_Suffix_of_Lightray</v>
      </c>
    </row>
    <row r="271" spans="1:10" ht="33.75" x14ac:dyDescent="0.25">
      <c r="A271" s="43">
        <v>269</v>
      </c>
      <c r="B271" s="43">
        <f>VLOOKUP(C271,CHOOSE({2,1},Suffix!B$2:B$412,Suffix!C$2:C$412),2,FALSE)</f>
        <v>101712244</v>
      </c>
      <c r="C271" s="43" t="s">
        <v>1658</v>
      </c>
      <c r="D271" s="43" t="s">
        <v>1659</v>
      </c>
      <c r="E271" s="43" t="str">
        <f>VLOOKUP(F271,CHOOSE({2,1},Attributes!B$3:B$130,Attributes!C$3:C$129),2,FALSE)</f>
        <v>DungeonSiegePerHitAttributeSet</v>
      </c>
      <c r="F271" s="43" t="str">
        <f>Attributes!C14</f>
        <v>ManaStealPerHit</v>
      </c>
      <c r="G271" s="43" t="str">
        <f t="shared" si="12"/>
        <v>(AttributeName="ManaStealPerHit",Attribute=/Script/DSAbilitySystem.DungeonSiegePerHitAttributeSet:ManaStealPerHit,AttributeOwner=Class'"/Script/DSAbilitySystem.DungeonSiegePerHitAttributeSet"')</v>
      </c>
      <c r="H271" s="43">
        <v>7</v>
      </c>
      <c r="I271" s="43" t="str">
        <f t="shared" si="13"/>
        <v>GE_Suffix_of_the_Pillager</v>
      </c>
      <c r="J271" s="43" t="str">
        <f t="shared" si="14"/>
        <v>/Game/DungeonSiege/Blueprints/GameplayAbilities/Affixes/GE_Suffix_of_the_Pillager</v>
      </c>
    </row>
    <row r="272" spans="1:10" ht="33.75" x14ac:dyDescent="0.25">
      <c r="A272" s="43">
        <v>270</v>
      </c>
      <c r="B272" s="43">
        <f>VLOOKUP(C272,CHOOSE({2,1},Suffix!B$2:B$412,Suffix!C$2:C$412),2,FALSE)</f>
        <v>101712245</v>
      </c>
      <c r="C272" s="43" t="s">
        <v>1661</v>
      </c>
      <c r="D272" s="43" t="s">
        <v>1662</v>
      </c>
      <c r="E272" s="43" t="str">
        <f>VLOOKUP(F272,CHOOSE({2,1},Attributes!B$3:B$130,Attributes!C$3:C$129),2,FALSE)</f>
        <v>DungeonSiegePerHitAttributeSet</v>
      </c>
      <c r="F272" s="43" t="str">
        <f>Attributes!C12</f>
        <v>ManaPerHit</v>
      </c>
      <c r="G272" s="43" t="str">
        <f t="shared" si="12"/>
        <v>(AttributeName="ManaPerHit",Attribute=/Script/DSAbilitySystem.DungeonSiegePerHitAttributeSet:ManaPerHit,AttributeOwner=Class'"/Script/DSAbilitySystem.DungeonSiegePerHitAttributeSet"')</v>
      </c>
      <c r="H272" s="43">
        <v>7</v>
      </c>
      <c r="I272" s="43" t="str">
        <f t="shared" si="13"/>
        <v>GE_Suffix_of_Shadows</v>
      </c>
      <c r="J272" s="43" t="str">
        <f t="shared" si="14"/>
        <v>/Game/DungeonSiege/Blueprints/GameplayAbilities/Affixes/GE_Suffix_of_Shadows</v>
      </c>
    </row>
    <row r="273" spans="1:10" ht="33.75" x14ac:dyDescent="0.25">
      <c r="A273" s="43">
        <v>271</v>
      </c>
      <c r="B273" s="43">
        <f>VLOOKUP(C273,CHOOSE({2,1},Suffix!B$2:B$412,Suffix!C$2:C$412),2,FALSE)</f>
        <v>101712246</v>
      </c>
      <c r="C273" s="43" t="s">
        <v>1664</v>
      </c>
      <c r="D273" s="43" t="s">
        <v>1665</v>
      </c>
      <c r="E273" s="43" t="str">
        <f>VLOOKUP(F273,CHOOSE({2,1},Attributes!B$3:B$130,Attributes!C$3:C$129),2,FALSE)</f>
        <v>DungeonSiegeDamageAttributeSet</v>
      </c>
      <c r="F273" s="43" t="str">
        <f>Attributes!C33</f>
        <v>MeleeHitChance</v>
      </c>
      <c r="G273" s="43" t="str">
        <f t="shared" si="12"/>
        <v>(AttributeName="MeleeHitChance",Attribute=/Script/DSAbilitySystem.DungeonSiegeDamageAttributeSet:MeleeHitChance,AttributeOwner=Class'"/Script/DSAbilitySystem.DungeonSiegeDamageAttributeSet"')</v>
      </c>
      <c r="H273" s="43">
        <v>13</v>
      </c>
      <c r="I273" s="43" t="str">
        <f t="shared" si="13"/>
        <v>GE_Suffix_of_Detail</v>
      </c>
      <c r="J273" s="43" t="str">
        <f t="shared" si="14"/>
        <v>/Game/DungeonSiege/Blueprints/GameplayAbilities/Affixes/GE_Suffix_of_Detail</v>
      </c>
    </row>
    <row r="274" spans="1:10" s="23" customFormat="1" ht="33.75" x14ac:dyDescent="0.25">
      <c r="A274" s="43">
        <v>272</v>
      </c>
      <c r="B274" s="43">
        <f>VLOOKUP(C274,CHOOSE({2,1},Suffix!B$2:B$412,Suffix!C$2:C$412),2,FALSE)</f>
        <v>101712247</v>
      </c>
      <c r="C274" s="43" t="s">
        <v>1667</v>
      </c>
      <c r="D274" s="43" t="s">
        <v>1668</v>
      </c>
      <c r="E274" s="43" t="str">
        <f>VLOOKUP(F274,CHOOSE({2,1},Attributes!B$3:B$130,Attributes!C$3:C$129),2,FALSE)</f>
        <v>DungeonSiegeDamageAttributeSet</v>
      </c>
      <c r="F274" s="43" t="str">
        <f>Attributes!C19</f>
        <v>MinDamageMod</v>
      </c>
      <c r="G274" s="43" t="str">
        <f t="shared" si="12"/>
        <v>(AttributeName="MinDamageMod",Attribute=/Script/DSAbilitySystem.DungeonSiegeDamageAttributeSet:MinDamageMod,AttributeOwner=Class'"/Script/DSAbilitySystem.DungeonSiegeDamageAttributeSet"')</v>
      </c>
      <c r="H274" s="43">
        <v>23</v>
      </c>
      <c r="I274" s="43" t="str">
        <f t="shared" si="13"/>
        <v>GE_Suffix_of_Perforation</v>
      </c>
      <c r="J274" s="43" t="str">
        <f t="shared" si="14"/>
        <v>/Game/DungeonSiege/Blueprints/GameplayAbilities/Affixes/GE_Suffix_of_Perforation</v>
      </c>
    </row>
    <row r="275" spans="1:10" ht="33.75" x14ac:dyDescent="0.25">
      <c r="A275" s="43">
        <v>273</v>
      </c>
      <c r="B275" s="43">
        <f>VLOOKUP(C275,CHOOSE({2,1},Suffix!B$2:B$412,Suffix!C$2:C$412),2,FALSE)</f>
        <v>101712247</v>
      </c>
      <c r="C275" s="43" t="s">
        <v>1667</v>
      </c>
      <c r="D275" s="43" t="s">
        <v>1668</v>
      </c>
      <c r="E275" s="43" t="str">
        <f>VLOOKUP(F275,CHOOSE({2,1},Attributes!B$3:B$130,Attributes!C$3:C$129),2,FALSE)</f>
        <v>DungeonSiegeDamageAttributeSet</v>
      </c>
      <c r="F275" s="43" t="str">
        <f>Attributes!C20</f>
        <v>MaxDamageMod</v>
      </c>
      <c r="G275" s="43" t="str">
        <f t="shared" si="12"/>
        <v>(AttributeName="MaxDamageMod",Attribute=/Script/DSAbilitySystem.DungeonSiegeDamageAttributeSet:MaxDamageMod,AttributeOwner=Class'"/Script/DSAbilitySystem.DungeonSiegeDamageAttributeSet"')</v>
      </c>
      <c r="H275" s="43">
        <v>33</v>
      </c>
      <c r="I275" s="43" t="str">
        <f t="shared" si="13"/>
        <v>GE_Suffix_of_Perforation</v>
      </c>
      <c r="J275" s="43" t="str">
        <f t="shared" si="14"/>
        <v>/Game/DungeonSiege/Blueprints/GameplayAbilities/Affixes/GE_Suffix_of_Perforation</v>
      </c>
    </row>
    <row r="276" spans="1:10" s="23" customFormat="1" ht="33.75" x14ac:dyDescent="0.25">
      <c r="A276" s="43">
        <v>274</v>
      </c>
      <c r="B276" s="43">
        <f>VLOOKUP(C276,CHOOSE({2,1},Suffix!B$2:B$412,Suffix!C$2:C$412),2,FALSE)</f>
        <v>101712248</v>
      </c>
      <c r="C276" s="43" t="s">
        <v>1670</v>
      </c>
      <c r="D276" s="43" t="s">
        <v>911</v>
      </c>
      <c r="E276" s="43" t="str">
        <f>VLOOKUP(F276,CHOOSE({2,1},Attributes!B$3:B$130,Attributes!C$3:C$129),2,FALSE)</f>
        <v>DungeonSiegePerHitAttributeSet</v>
      </c>
      <c r="F276" s="43" t="str">
        <f>Attributes!C11</f>
        <v>HealthPerHit</v>
      </c>
      <c r="G276" s="43" t="str">
        <f t="shared" si="12"/>
        <v>(AttributeName="HealthPerHit",Attribute=/Script/DSAbilitySystem.DungeonSiegePerHitAttributeSet:HealthPerHit,AttributeOwner=Class'"/Script/DSAbilitySystem.DungeonSiegePerHitAttributeSet"')</v>
      </c>
      <c r="H276" s="43">
        <v>2</v>
      </c>
      <c r="I276" s="43" t="str">
        <f t="shared" si="13"/>
        <v>GE_Suffix_of_Confidence</v>
      </c>
      <c r="J276" s="43" t="str">
        <f t="shared" si="14"/>
        <v>/Game/DungeonSiege/Blueprints/GameplayAbilities/Affixes/GE_Suffix_of_Confidence</v>
      </c>
    </row>
    <row r="277" spans="1:10" s="23" customFormat="1" ht="33.75" x14ac:dyDescent="0.25">
      <c r="A277" s="43">
        <v>275</v>
      </c>
      <c r="B277" s="43">
        <f>VLOOKUP(C277,CHOOSE({2,1},Suffix!B$2:B$412,Suffix!C$2:C$412),2,FALSE)</f>
        <v>101712248</v>
      </c>
      <c r="C277" s="43" t="s">
        <v>1670</v>
      </c>
      <c r="D277" s="43" t="s">
        <v>797</v>
      </c>
      <c r="E277" s="43" t="str">
        <f>VLOOKUP(F277,CHOOSE({2,1},Attributes!B$3:B$130,Attributes!C$3:C$129),2,FALSE)</f>
        <v>DungeonSiegeDamageAttributeSet</v>
      </c>
      <c r="F277" s="43" t="str">
        <f>Attributes!C21</f>
        <v>PercentDamageReflectedToEnemy</v>
      </c>
      <c r="G277" s="43" t="str">
        <f t="shared" si="12"/>
        <v>(AttributeName="PercentDamageReflectedToEnemy",Attribute=/Script/DSAbilitySystem.DungeonSiegeDamageAttributeSet:PercentDamageReflectedToEnemy,AttributeOwner=Class'"/Script/DSAbilitySystem.DungeonSiegeDamageAttributeSet"')</v>
      </c>
      <c r="H277" s="43">
        <v>5</v>
      </c>
      <c r="I277" s="43" t="str">
        <f t="shared" si="13"/>
        <v>GE_Suffix_of_Confidence</v>
      </c>
      <c r="J277" s="43" t="str">
        <f t="shared" si="14"/>
        <v>/Game/DungeonSiege/Blueprints/GameplayAbilities/Affixes/GE_Suffix_of_Confidence</v>
      </c>
    </row>
    <row r="278" spans="1:10" ht="33.75" x14ac:dyDescent="0.25">
      <c r="A278" s="43">
        <v>276</v>
      </c>
      <c r="B278" s="43">
        <f>VLOOKUP(C278,CHOOSE({2,1},Suffix!B$2:B$412,Suffix!C$2:C$412),2,FALSE)</f>
        <v>101712248</v>
      </c>
      <c r="C278" s="43" t="s">
        <v>1670</v>
      </c>
      <c r="D278" s="43" t="s">
        <v>93</v>
      </c>
      <c r="E278" s="43" t="str">
        <f>VLOOKUP(F278,CHOOSE({2,1},Attributes!B$3:B$130,Attributes!C$3:C$129),2,FALSE)</f>
        <v>DungeonSiegeExperienceAttributeSet</v>
      </c>
      <c r="F278" s="43" t="str">
        <f>Attributes!C5</f>
        <v>Intelligence</v>
      </c>
      <c r="G278" s="43" t="str">
        <f t="shared" si="12"/>
        <v>(AttributeName="Intelligence",Attribute=/Script/DSAbilitySystem.DungeonSiegeExperienceAttributeSet:Intelligence,AttributeOwner=Class'"/Script/DSAbilitySystem.DungeonSiegeExperienceAttributeSet"')</v>
      </c>
      <c r="H278" s="43">
        <v>2</v>
      </c>
      <c r="I278" s="43" t="str">
        <f t="shared" si="13"/>
        <v>GE_Suffix_of_Confidence</v>
      </c>
      <c r="J278" s="43" t="str">
        <f t="shared" si="14"/>
        <v>/Game/DungeonSiege/Blueprints/GameplayAbilities/Affixes/GE_Suffix_of_Confidence</v>
      </c>
    </row>
    <row r="279" spans="1:10" s="23" customFormat="1" ht="33.75" x14ac:dyDescent="0.25">
      <c r="A279" s="43">
        <v>277</v>
      </c>
      <c r="B279" s="43">
        <f>VLOOKUP(C279,CHOOSE({2,1},Suffix!B$2:B$412,Suffix!C$2:C$412),2,FALSE)</f>
        <v>101712249</v>
      </c>
      <c r="C279" s="43" t="s">
        <v>1672</v>
      </c>
      <c r="D279" s="43" t="s">
        <v>737</v>
      </c>
      <c r="E279" s="43" t="str">
        <f>VLOOKUP(F279,CHOOSE({2,1},Attributes!B$3:B$130,Attributes!C$3:C$129),2,FALSE)</f>
        <v>DungeonSiegePerHitAttributeSet</v>
      </c>
      <c r="F279" s="43" t="str">
        <f>Attributes!C13</f>
        <v>HealthStealPerHit</v>
      </c>
      <c r="G279" s="43" t="str">
        <f t="shared" si="12"/>
        <v>(AttributeName="HealthStealPerHit",Attribute=/Script/DSAbilitySystem.DungeonSiegePerHitAttributeSet:HealthStealPerHit,AttributeOwner=Class'"/Script/DSAbilitySystem.DungeonSiegePerHitAttributeSet"')</v>
      </c>
      <c r="H279" s="43">
        <v>2</v>
      </c>
      <c r="I279" s="43" t="str">
        <f t="shared" si="13"/>
        <v>GE_Suffix_of_Calculation</v>
      </c>
      <c r="J279" s="43" t="str">
        <f t="shared" si="14"/>
        <v>/Game/DungeonSiege/Blueprints/GameplayAbilities/Affixes/GE_Suffix_of_Calculation</v>
      </c>
    </row>
    <row r="280" spans="1:10" s="23" customFormat="1" ht="33.75" x14ac:dyDescent="0.25">
      <c r="A280" s="43">
        <v>278</v>
      </c>
      <c r="B280" s="43">
        <f>VLOOKUP(C280,CHOOSE({2,1},Suffix!B$2:B$412,Suffix!C$2:C$412),2,FALSE)</f>
        <v>101712249</v>
      </c>
      <c r="C280" s="43" t="s">
        <v>1672</v>
      </c>
      <c r="D280" s="43" t="s">
        <v>912</v>
      </c>
      <c r="E280" s="43" t="str">
        <f>VLOOKUP(F280,CHOOSE({2,1},Attributes!B$3:B$130,Attributes!C$3:C$129),2,FALSE)</f>
        <v>DungeonSiegeDamageAttributeSet</v>
      </c>
      <c r="F280" s="43" t="str">
        <f>Attributes!C25</f>
        <v>MinPiercingDamageMod</v>
      </c>
      <c r="G280" s="43" t="str">
        <f t="shared" si="12"/>
        <v>(AttributeName="MinPiercingDamageMod",Attribute=/Script/DSAbilitySystem.DungeonSiegeDamageAttributeSet:MinPiercingDamageMod,AttributeOwner=Class'"/Script/DSAbilitySystem.DungeonSiegeDamageAttributeSet"')</v>
      </c>
      <c r="H280" s="43">
        <v>4</v>
      </c>
      <c r="I280" s="43" t="str">
        <f t="shared" si="13"/>
        <v>GE_Suffix_of_Calculation</v>
      </c>
      <c r="J280" s="43" t="str">
        <f t="shared" si="14"/>
        <v>/Game/DungeonSiege/Blueprints/GameplayAbilities/Affixes/GE_Suffix_of_Calculation</v>
      </c>
    </row>
    <row r="281" spans="1:10" s="23" customFormat="1" ht="33.75" x14ac:dyDescent="0.25">
      <c r="A281" s="43">
        <v>279</v>
      </c>
      <c r="B281" s="43">
        <f>VLOOKUP(C281,CHOOSE({2,1},Suffix!B$2:B$412,Suffix!C$2:C$412),2,FALSE)</f>
        <v>101712249</v>
      </c>
      <c r="C281" s="43" t="s">
        <v>1672</v>
      </c>
      <c r="D281" s="43" t="s">
        <v>912</v>
      </c>
      <c r="E281" s="43" t="str">
        <f>VLOOKUP(F281,CHOOSE({2,1},Attributes!B$3:B$130,Attributes!C$3:C$129),2,FALSE)</f>
        <v>DungeonSiegeDamageAttributeSet</v>
      </c>
      <c r="F281" s="43" t="str">
        <f>Attributes!C26</f>
        <v>MaxPiercingDamageMod</v>
      </c>
      <c r="G281" s="43" t="str">
        <f t="shared" si="12"/>
        <v>(AttributeName="MaxPiercingDamageMod",Attribute=/Script/DSAbilitySystem.DungeonSiegeDamageAttributeSet:MaxPiercingDamageMod,AttributeOwner=Class'"/Script/DSAbilitySystem.DungeonSiegeDamageAttributeSet"')</v>
      </c>
      <c r="H281" s="43">
        <v>10</v>
      </c>
      <c r="I281" s="43" t="str">
        <f t="shared" si="13"/>
        <v>GE_Suffix_of_Calculation</v>
      </c>
      <c r="J281" s="43" t="str">
        <f t="shared" si="14"/>
        <v>/Game/DungeonSiege/Blueprints/GameplayAbilities/Affixes/GE_Suffix_of_Calculation</v>
      </c>
    </row>
    <row r="282" spans="1:10" s="23" customFormat="1" ht="33.75" x14ac:dyDescent="0.25">
      <c r="A282" s="43">
        <v>280</v>
      </c>
      <c r="B282" s="43">
        <f>VLOOKUP(C282,CHOOSE({2,1},Suffix!B$2:B$412,Suffix!C$2:C$412),2,FALSE)</f>
        <v>101712249</v>
      </c>
      <c r="C282" s="43" t="s">
        <v>1672</v>
      </c>
      <c r="D282" s="43" t="s">
        <v>715</v>
      </c>
      <c r="E282" s="43" t="str">
        <f>VLOOKUP(F282,CHOOSE({2,1},Attributes!B$3:B$130,Attributes!C$3:C$129),2,FALSE)</f>
        <v>DungeonSiegeDamageAttributeSet</v>
      </c>
      <c r="F282" s="43" t="str">
        <f>Attributes!C21</f>
        <v>PercentDamageReflectedToEnemy</v>
      </c>
      <c r="G282" s="43" t="str">
        <f t="shared" si="12"/>
        <v>(AttributeName="PercentDamageReflectedToEnemy",Attribute=/Script/DSAbilitySystem.DungeonSiegeDamageAttributeSet:PercentDamageReflectedToEnemy,AttributeOwner=Class'"/Script/DSAbilitySystem.DungeonSiegeDamageAttributeSet"')</v>
      </c>
      <c r="H282" s="43">
        <v>3</v>
      </c>
      <c r="I282" s="43" t="str">
        <f t="shared" si="13"/>
        <v>GE_Suffix_of_Calculation</v>
      </c>
      <c r="J282" s="43" t="str">
        <f t="shared" si="14"/>
        <v>/Game/DungeonSiege/Blueprints/GameplayAbilities/Affixes/GE_Suffix_of_Calculation</v>
      </c>
    </row>
    <row r="283" spans="1:10" ht="33.75" x14ac:dyDescent="0.25">
      <c r="A283" s="43">
        <v>281</v>
      </c>
      <c r="B283" s="43">
        <f>VLOOKUP(C283,CHOOSE({2,1},Suffix!B$2:B$412,Suffix!C$2:C$412),2,FALSE)</f>
        <v>101712249</v>
      </c>
      <c r="C283" s="43" t="s">
        <v>1672</v>
      </c>
      <c r="D283" s="43" t="s">
        <v>950</v>
      </c>
      <c r="E283" s="43" t="str">
        <f>VLOOKUP(F283,CHOOSE({2,1},Attributes!B$3:B$130,Attributes!C$3:C$129),2,FALSE)</f>
        <v>DungeonSiegeDamageAttributeSet</v>
      </c>
      <c r="F283" s="43" t="str">
        <f>Attributes!C19</f>
        <v>MinDamageMod</v>
      </c>
      <c r="G283" s="43" t="str">
        <f t="shared" si="12"/>
        <v>(AttributeName="MinDamageMod",Attribute=/Script/DSAbilitySystem.DungeonSiegeDamageAttributeSet:MinDamageMod,AttributeOwner=Class'"/Script/DSAbilitySystem.DungeonSiegeDamageAttributeSet"')</v>
      </c>
      <c r="H283" s="43">
        <v>1</v>
      </c>
      <c r="I283" s="43" t="str">
        <f t="shared" si="13"/>
        <v>GE_Suffix_of_Calculation</v>
      </c>
      <c r="J283" s="43" t="str">
        <f t="shared" si="14"/>
        <v>/Game/DungeonSiege/Blueprints/GameplayAbilities/Affixes/GE_Suffix_of_Calculation</v>
      </c>
    </row>
    <row r="284" spans="1:10" s="23" customFormat="1" ht="33.75" x14ac:dyDescent="0.25">
      <c r="A284" s="43">
        <v>282</v>
      </c>
      <c r="B284" s="43">
        <f>VLOOKUP(C284,CHOOSE({2,1},Suffix!B$2:B$412,Suffix!C$2:C$412),2,FALSE)</f>
        <v>101712256</v>
      </c>
      <c r="C284" s="43" t="s">
        <v>1674</v>
      </c>
      <c r="D284" s="43" t="s">
        <v>737</v>
      </c>
      <c r="E284" s="43" t="str">
        <f>VLOOKUP(F284,CHOOSE({2,1},Attributes!B$3:B$130,Attributes!C$3:C$129),2,FALSE)</f>
        <v>DungeonSiegePerHitAttributeSet</v>
      </c>
      <c r="F284" s="43" t="str">
        <f>Attributes!C13</f>
        <v>HealthStealPerHit</v>
      </c>
      <c r="G284" s="43" t="str">
        <f t="shared" si="12"/>
        <v>(AttributeName="HealthStealPerHit",Attribute=/Script/DSAbilitySystem.DungeonSiegePerHitAttributeSet:HealthStealPerHit,AttributeOwner=Class'"/Script/DSAbilitySystem.DungeonSiegePerHitAttributeSet"')</v>
      </c>
      <c r="H284" s="43">
        <v>2</v>
      </c>
      <c r="I284" s="43" t="str">
        <f t="shared" ref="I284:I287" si="15">CONCATENATE("GE_Suffix_", SUBSTITUTE(C284," ","_"))</f>
        <v>GE_Suffix_of_the_Proud</v>
      </c>
      <c r="J284" s="43" t="str">
        <f t="shared" ref="J284:J287" si="16">"/Game/DungeonSiege/Blueprints/GameplayAbilities/Affixes/" &amp;I284</f>
        <v>/Game/DungeonSiege/Blueprints/GameplayAbilities/Affixes/GE_Suffix_of_the_Proud</v>
      </c>
    </row>
    <row r="285" spans="1:10" s="23" customFormat="1" ht="33.75" x14ac:dyDescent="0.25">
      <c r="A285" s="43">
        <v>283</v>
      </c>
      <c r="B285" s="43">
        <f>VLOOKUP(C285,CHOOSE({2,1},Suffix!B$2:B$412,Suffix!C$2:C$412),2,FALSE)</f>
        <v>101712256</v>
      </c>
      <c r="C285" s="43" t="s">
        <v>1674</v>
      </c>
      <c r="D285" s="43" t="s">
        <v>1053</v>
      </c>
      <c r="E285" s="43" t="str">
        <f>VLOOKUP(F285,CHOOSE({2,1},Attributes!B$3:B$130,Attributes!C$3:C$129),2,FALSE)</f>
        <v>DungeonSiegeDamageAttributeSet</v>
      </c>
      <c r="F285" s="43" t="str">
        <f>Attributes!C23</f>
        <v>ChanceToInflictPiercingHit</v>
      </c>
      <c r="G285" s="43" t="str">
        <f t="shared" si="12"/>
        <v>(AttributeName="ChanceToInflictPiercingHit",Attribute=/Script/DSAbilitySystem.DungeonSiegeDamageAttributeSet:ChanceToInflictPiercingHit,AttributeOwner=Class'"/Script/DSAbilitySystem.DungeonSiegeDamageAttributeSet"')</v>
      </c>
      <c r="H285" s="43">
        <v>3</v>
      </c>
      <c r="I285" s="43" t="str">
        <f t="shared" si="15"/>
        <v>GE_Suffix_of_the_Proud</v>
      </c>
      <c r="J285" s="43" t="str">
        <f t="shared" si="16"/>
        <v>/Game/DungeonSiege/Blueprints/GameplayAbilities/Affixes/GE_Suffix_of_the_Proud</v>
      </c>
    </row>
    <row r="286" spans="1:10" s="23" customFormat="1" ht="33.75" x14ac:dyDescent="0.25">
      <c r="A286" s="43">
        <v>284</v>
      </c>
      <c r="B286" s="43">
        <f>VLOOKUP(C286,CHOOSE({2,1},Suffix!B$2:B$412,Suffix!C$2:C$412),2,FALSE)</f>
        <v>101712256</v>
      </c>
      <c r="C286" s="43" t="s">
        <v>1674</v>
      </c>
      <c r="D286" s="43" t="s">
        <v>3350</v>
      </c>
      <c r="E286" s="43" t="str">
        <f>VLOOKUP(F286,CHOOSE({2,1},Attributes!B$3:B$130,Attributes!C$3:C$129),2,FALSE)</f>
        <v>DungeonSiegeDamageAttributeSet</v>
      </c>
      <c r="F286" s="43" t="str">
        <f>Attributes!C19</f>
        <v>MinDamageMod</v>
      </c>
      <c r="G286" s="43" t="str">
        <f t="shared" si="12"/>
        <v>(AttributeName="MinDamageMod",Attribute=/Script/DSAbilitySystem.DungeonSiegeDamageAttributeSet:MinDamageMod,AttributeOwner=Class'"/Script/DSAbilitySystem.DungeonSiegeDamageAttributeSet"')</v>
      </c>
      <c r="H286" s="43">
        <v>4</v>
      </c>
      <c r="I286" s="43" t="str">
        <f t="shared" si="15"/>
        <v>GE_Suffix_of_the_Proud</v>
      </c>
      <c r="J286" s="43" t="str">
        <f t="shared" si="16"/>
        <v>/Game/DungeonSiege/Blueprints/GameplayAbilities/Affixes/GE_Suffix_of_the_Proud</v>
      </c>
    </row>
    <row r="287" spans="1:10" s="23" customFormat="1" ht="33.75" x14ac:dyDescent="0.25">
      <c r="A287" s="43">
        <v>285</v>
      </c>
      <c r="B287" s="43">
        <f>VLOOKUP(C287,CHOOSE({2,1},Suffix!B$2:B$412,Suffix!C$2:C$412),2,FALSE)</f>
        <v>101712256</v>
      </c>
      <c r="C287" s="43" t="s">
        <v>1674</v>
      </c>
      <c r="D287" s="43" t="s">
        <v>3350</v>
      </c>
      <c r="E287" s="43" t="str">
        <f>VLOOKUP(F287,CHOOSE({2,1},Attributes!B$3:B$130,Attributes!C$3:C$129),2,FALSE)</f>
        <v>DungeonSiegeDamageAttributeSet</v>
      </c>
      <c r="F287" s="43" t="str">
        <f>Attributes!C20</f>
        <v>MaxDamageMod</v>
      </c>
      <c r="G287" s="43" t="str">
        <f t="shared" si="12"/>
        <v>(AttributeName="MaxDamageMod",Attribute=/Script/DSAbilitySystem.DungeonSiegeDamageAttributeSet:MaxDamageMod,AttributeOwner=Class'"/Script/DSAbilitySystem.DungeonSiegeDamageAttributeSet"')</v>
      </c>
      <c r="H287" s="43">
        <v>5</v>
      </c>
      <c r="I287" s="43" t="str">
        <f t="shared" si="15"/>
        <v>GE_Suffix_of_the_Proud</v>
      </c>
      <c r="J287" s="43" t="str">
        <f t="shared" si="16"/>
        <v>/Game/DungeonSiege/Blueprints/GameplayAbilities/Affixes/GE_Suffix_of_the_Proud</v>
      </c>
    </row>
    <row r="288" spans="1:10" s="23" customFormat="1" ht="33.75" x14ac:dyDescent="0.25">
      <c r="A288" s="43">
        <v>286</v>
      </c>
      <c r="B288" s="43">
        <f>VLOOKUP(C288,CHOOSE({2,1},Suffix!B$2:B$412,Suffix!C$2:C$412),2,FALSE)</f>
        <v>101712256</v>
      </c>
      <c r="C288" s="43" t="s">
        <v>1674</v>
      </c>
      <c r="D288" s="43" t="s">
        <v>1677</v>
      </c>
      <c r="E288" s="43" t="str">
        <f>VLOOKUP(F288,CHOOSE({2,1},Attributes!B$3:B$130,Attributes!C$3:C$129),2,FALSE)</f>
        <v>DungeonSiegeElementalAttributeSet</v>
      </c>
      <c r="F288" s="43" t="str">
        <f>Attributes!C104</f>
        <v>FireDamageMaxDamageMod</v>
      </c>
      <c r="G288" s="43" t="str">
        <f t="shared" si="12"/>
        <v>(AttributeName="FireDamageMaxDamageMod",Attribute=/Script/DSAbilitySystem.DungeonSiegeElementalAttributeSet:FireDamageMaxDamageMod,AttributeOwner=Class'"/Script/DSAbilitySystem.DungeonSiegeElementalAttributeSet"')</v>
      </c>
      <c r="H288" s="43">
        <v>15</v>
      </c>
      <c r="I288" s="43" t="str">
        <f t="shared" ref="I288" si="17">CONCATENATE("GE_Suffix_", SUBSTITUTE(C288," ","_"))</f>
        <v>GE_Suffix_of_the_Proud</v>
      </c>
      <c r="J288" s="43" t="str">
        <f t="shared" ref="J288" si="18">"/Game/DungeonSiege/Blueprints/GameplayAbilities/Affixes/" &amp;I288</f>
        <v>/Game/DungeonSiege/Blueprints/GameplayAbilities/Affixes/GE_Suffix_of_the_Proud</v>
      </c>
    </row>
    <row r="289" spans="1:10" ht="33.75" x14ac:dyDescent="0.25">
      <c r="A289" s="43">
        <v>287</v>
      </c>
      <c r="B289" s="43">
        <f>VLOOKUP(C289,CHOOSE({2,1},Suffix!B$2:B$412,Suffix!C$2:C$412),2,FALSE)</f>
        <v>101712257</v>
      </c>
      <c r="C289" s="43" t="s">
        <v>1676</v>
      </c>
      <c r="D289" s="43" t="s">
        <v>1677</v>
      </c>
      <c r="E289" s="43" t="str">
        <f>VLOOKUP(F289,CHOOSE({2,1},Attributes!B$3:B$130,Attributes!C$3:C$129),2,FALSE)</f>
        <v>DungeonSiegeCastOnHitAttributeSet</v>
      </c>
      <c r="F289" s="43" t="str">
        <f>Attributes!C105</f>
        <v>ChanceToCastNovaStrikeOnHit</v>
      </c>
      <c r="G289" s="43" t="str">
        <f t="shared" si="12"/>
        <v>(AttributeName="ChanceToCastNovaStrikeOnHit",Attribute=/Script/DSAbilitySystem.DungeonSiegeCastOnHitAttributeSet:ChanceToCastNovaStrikeOnHit,AttributeOwner=Class'"/Script/DSAbilitySystem.DungeonSiegeCastOnHitAttributeSet"')</v>
      </c>
      <c r="H289" s="43">
        <v>15</v>
      </c>
      <c r="I289" s="43" t="str">
        <f t="shared" si="13"/>
        <v>GE_Suffix_of_Minor_Nova_Strike</v>
      </c>
      <c r="J289" s="43" t="str">
        <f t="shared" si="14"/>
        <v>/Game/DungeonSiege/Blueprints/GameplayAbilities/Affixes/GE_Suffix_of_Minor_Nova_Strike</v>
      </c>
    </row>
    <row r="290" spans="1:10" s="23" customFormat="1" ht="33.75" x14ac:dyDescent="0.25">
      <c r="A290" s="43">
        <v>288</v>
      </c>
      <c r="B290" s="43">
        <f>VLOOKUP(C290,CHOOSE({2,1},Suffix!B$2:B$412,Suffix!C$2:C$412),2,FALSE)</f>
        <v>101712258</v>
      </c>
      <c r="C290" s="43" t="s">
        <v>1679</v>
      </c>
      <c r="D290" s="43" t="s">
        <v>75</v>
      </c>
      <c r="E290" s="43" t="str">
        <f>VLOOKUP(F290,CHOOSE({2,1},Attributes!B$3:B$130,Attributes!C$3:C$129),2,FALSE)</f>
        <v>DungeonSiegeExperienceAttributeSet</v>
      </c>
      <c r="F290" s="43" t="str">
        <f>Attributes!C5</f>
        <v>Intelligence</v>
      </c>
      <c r="G290" s="43" t="str">
        <f t="shared" si="12"/>
        <v>(AttributeName="Intelligence",Attribute=/Script/DSAbilitySystem.DungeonSiegeExperienceAttributeSet:Intelligence,AttributeOwner=Class'"/Script/DSAbilitySystem.DungeonSiegeExperienceAttributeSet"')</v>
      </c>
      <c r="H290" s="43">
        <v>1</v>
      </c>
      <c r="I290" s="43" t="str">
        <f t="shared" si="13"/>
        <v>GE_Suffix_of_Independence</v>
      </c>
      <c r="J290" s="43" t="str">
        <f t="shared" si="14"/>
        <v>/Game/DungeonSiege/Blueprints/GameplayAbilities/Affixes/GE_Suffix_of_Independence</v>
      </c>
    </row>
    <row r="291" spans="1:10" s="23" customFormat="1" ht="33.75" x14ac:dyDescent="0.25">
      <c r="A291" s="43">
        <v>289</v>
      </c>
      <c r="B291" s="43">
        <f>VLOOKUP(C291,CHOOSE({2,1},Suffix!B$2:B$412,Suffix!C$2:C$412),2,FALSE)</f>
        <v>101712258</v>
      </c>
      <c r="C291" s="43" t="s">
        <v>1679</v>
      </c>
      <c r="D291" s="43" t="s">
        <v>1649</v>
      </c>
      <c r="E291" s="43" t="str">
        <f>VLOOKUP(F291,CHOOSE({2,1},Attributes!B$3:B$130,Attributes!C$3:C$129),2,FALSE)</f>
        <v>DungeonSiegePerHitAttributeSet</v>
      </c>
      <c r="F291" s="43" t="str">
        <f>Attributes!C12</f>
        <v>ManaPerHit</v>
      </c>
      <c r="G291" s="43" t="str">
        <f t="shared" si="12"/>
        <v>(AttributeName="ManaPerHit",Attribute=/Script/DSAbilitySystem.DungeonSiegePerHitAttributeSet:ManaPerHit,AttributeOwner=Class'"/Script/DSAbilitySystem.DungeonSiegePerHitAttributeSet"')</v>
      </c>
      <c r="H291" s="43">
        <v>3</v>
      </c>
      <c r="I291" s="43" t="str">
        <f t="shared" si="13"/>
        <v>GE_Suffix_of_Independence</v>
      </c>
      <c r="J291" s="43" t="str">
        <f t="shared" si="14"/>
        <v>/Game/DungeonSiege/Blueprints/GameplayAbilities/Affixes/GE_Suffix_of_Independence</v>
      </c>
    </row>
    <row r="292" spans="1:10" s="23" customFormat="1" ht="33.75" x14ac:dyDescent="0.25">
      <c r="A292" s="43">
        <v>290</v>
      </c>
      <c r="B292" s="43">
        <f>VLOOKUP(C292,CHOOSE({2,1},Suffix!B$2:B$412,Suffix!C$2:C$412),2,FALSE)</f>
        <v>101712258</v>
      </c>
      <c r="C292" s="43" t="s">
        <v>1679</v>
      </c>
      <c r="D292" s="43" t="s">
        <v>1680</v>
      </c>
      <c r="E292" s="43" t="str">
        <f>VLOOKUP(F292,CHOOSE({2,1},Attributes!B$3:B$130,Attributes!C$3:C$129),2,FALSE)</f>
        <v>DungeonSiegeMagicAttributeSet</v>
      </c>
      <c r="F292" s="43" t="str">
        <f>Attributes!C42</f>
        <v>CombatMagicMaxDamageMod</v>
      </c>
      <c r="G292" s="43" t="str">
        <f t="shared" si="12"/>
        <v>(AttributeName="CombatMagicMaxDamageMod",Attribute=/Script/DSAbilitySystem.DungeonSiegeMagicAttributeSet:CombatMagicMaxDamageMod,AttributeOwner=Class'"/Script/DSAbilitySystem.DungeonSiegeMagicAttributeSet"')</v>
      </c>
      <c r="H292" s="43">
        <v>1</v>
      </c>
      <c r="I292" s="43" t="str">
        <f t="shared" si="13"/>
        <v>GE_Suffix_of_Independence</v>
      </c>
      <c r="J292" s="43" t="str">
        <f t="shared" si="14"/>
        <v>/Game/DungeonSiege/Blueprints/GameplayAbilities/Affixes/GE_Suffix_of_Independence</v>
      </c>
    </row>
    <row r="293" spans="1:10" s="23" customFormat="1" ht="33.75" x14ac:dyDescent="0.25">
      <c r="A293" s="43">
        <v>291</v>
      </c>
      <c r="B293" s="43">
        <f>VLOOKUP(C293,CHOOSE({2,1},Suffix!B$2:B$412,Suffix!C$2:C$412),2,FALSE)</f>
        <v>101712258</v>
      </c>
      <c r="C293" s="43" t="s">
        <v>1679</v>
      </c>
      <c r="D293" s="43" t="s">
        <v>1681</v>
      </c>
      <c r="E293" s="43" t="str">
        <f>VLOOKUP(F293,CHOOSE({2,1},Attributes!B$3:B$130,Attributes!C$3:C$129),2,FALSE)</f>
        <v>DungeonSiegeMagicAttributeSet</v>
      </c>
      <c r="F293" s="43" t="str">
        <f>Attributes!C38</f>
        <v>NatureMagicMinDamageMod</v>
      </c>
      <c r="G293" s="43" t="str">
        <f t="shared" si="12"/>
        <v>(AttributeName="NatureMagicMinDamageMod",Attribute=/Script/DSAbilitySystem.DungeonSiegeMagicAttributeSet:NatureMagicMinDamageMod,AttributeOwner=Class'"/Script/DSAbilitySystem.DungeonSiegeMagicAttributeSet"')</v>
      </c>
      <c r="H293" s="43">
        <v>3</v>
      </c>
      <c r="I293" s="43" t="str">
        <f t="shared" si="13"/>
        <v>GE_Suffix_of_Independence</v>
      </c>
      <c r="J293" s="43" t="str">
        <f t="shared" si="14"/>
        <v>/Game/DungeonSiege/Blueprints/GameplayAbilities/Affixes/GE_Suffix_of_Independence</v>
      </c>
    </row>
    <row r="294" spans="1:10" ht="33.75" x14ac:dyDescent="0.25">
      <c r="A294" s="43">
        <v>292</v>
      </c>
      <c r="B294" s="43">
        <f>VLOOKUP(C294,CHOOSE({2,1},Suffix!B$2:B$412,Suffix!C$2:C$412),2,FALSE)</f>
        <v>101712258</v>
      </c>
      <c r="C294" s="43" t="s">
        <v>1679</v>
      </c>
      <c r="D294" s="43" t="s">
        <v>1681</v>
      </c>
      <c r="E294" s="43" t="str">
        <f>VLOOKUP(F294,CHOOSE({2,1},Attributes!B$3:B$130,Attributes!C$3:C$129),2,FALSE)</f>
        <v>DungeonSiegeMagicAttributeSet</v>
      </c>
      <c r="F294" s="43" t="str">
        <f>Attributes!C39</f>
        <v>NatureMagicMaxDamageMod</v>
      </c>
      <c r="G294" s="43" t="str">
        <f t="shared" si="12"/>
        <v>(AttributeName="NatureMagicMaxDamageMod",Attribute=/Script/DSAbilitySystem.DungeonSiegeMagicAttributeSet:NatureMagicMaxDamageMod,AttributeOwner=Class'"/Script/DSAbilitySystem.DungeonSiegeMagicAttributeSet"')</v>
      </c>
      <c r="H294" s="43">
        <v>8</v>
      </c>
      <c r="I294" s="43" t="str">
        <f t="shared" si="13"/>
        <v>GE_Suffix_of_Independence</v>
      </c>
      <c r="J294" s="43" t="str">
        <f t="shared" si="14"/>
        <v>/Game/DungeonSiege/Blueprints/GameplayAbilities/Affixes/GE_Suffix_of_Independence</v>
      </c>
    </row>
    <row r="295" spans="1:10" ht="33.75" x14ac:dyDescent="0.25">
      <c r="A295" s="43">
        <v>293</v>
      </c>
      <c r="B295" s="43">
        <f>VLOOKUP(C295,CHOOSE({2,1},Suffix!B$2:B$412,Suffix!C$2:C$412),2,FALSE)</f>
        <v>101712259</v>
      </c>
      <c r="C295" s="43" t="s">
        <v>1683</v>
      </c>
      <c r="D295" s="43" t="s">
        <v>1684</v>
      </c>
      <c r="E295" s="43" t="str">
        <f>VLOOKUP(F295,CHOOSE({2,1},Attributes!B$3:B$130,Attributes!C$3:C$129),2,FALSE)</f>
        <v>DungeonSiegeCastOnHitAttributeSet</v>
      </c>
      <c r="F295" s="43" t="str">
        <f>Attributes!C112</f>
        <v>ChanceToCastLightningOnHit</v>
      </c>
      <c r="G295" s="43" t="str">
        <f t="shared" si="12"/>
        <v>(AttributeName="ChanceToCastLightningOnHit",Attribute=/Script/DSAbilitySystem.DungeonSiegeCastOnHitAttributeSet:ChanceToCastLightningOnHit,AttributeOwner=Class'"/Script/DSAbilitySystem.DungeonSiegeCastOnHitAttributeSet"')</v>
      </c>
      <c r="H295" s="43">
        <v>30</v>
      </c>
      <c r="I295" s="43" t="str">
        <f t="shared" si="13"/>
        <v>GE_Suffix_of_Greater_Lightning</v>
      </c>
      <c r="J295" s="43" t="str">
        <f t="shared" si="14"/>
        <v>/Game/DungeonSiege/Blueprints/GameplayAbilities/Affixes/GE_Suffix_of_Greater_Lightning</v>
      </c>
    </row>
    <row r="296" spans="1:10" ht="33.75" x14ac:dyDescent="0.25">
      <c r="A296" s="43">
        <v>294</v>
      </c>
      <c r="B296" s="43">
        <f>VLOOKUP(C296,CHOOSE({2,1},Suffix!B$2:B$412,Suffix!C$2:C$412),2,FALSE)</f>
        <v>101712260</v>
      </c>
      <c r="C296" s="43" t="s">
        <v>1686</v>
      </c>
      <c r="D296" s="43" t="s">
        <v>1687</v>
      </c>
      <c r="E296" s="43" t="str">
        <f>VLOOKUP(F296,CHOOSE({2,1},Attributes!B$3:B$130,Attributes!C$3:C$129),2,FALSE)</f>
        <v>DungeonSiegeCastOnHitAttributeSet</v>
      </c>
      <c r="F296" s="43" t="str">
        <f>Attributes!C109</f>
        <v>ChanceToCastLightningblastOnHit</v>
      </c>
      <c r="G296" s="43" t="str">
        <f t="shared" si="12"/>
        <v>(AttributeName="ChanceToCastLightningblastOnHit",Attribute=/Script/DSAbilitySystem.DungeonSiegeCastOnHitAttributeSet:ChanceToCastLightningblastOnHit,AttributeOwner=Class'"/Script/DSAbilitySystem.DungeonSiegeCastOnHitAttributeSet"')</v>
      </c>
      <c r="H296" s="43">
        <v>20</v>
      </c>
      <c r="I296" s="43" t="str">
        <f t="shared" si="13"/>
        <v>GE_Suffix_of_Lightning_Blast</v>
      </c>
      <c r="J296" s="43" t="str">
        <f t="shared" si="14"/>
        <v>/Game/DungeonSiege/Blueprints/GameplayAbilities/Affixes/GE_Suffix_of_Lightning_Blast</v>
      </c>
    </row>
    <row r="297" spans="1:10" s="23" customFormat="1" ht="33.75" x14ac:dyDescent="0.25">
      <c r="A297" s="43">
        <v>295</v>
      </c>
      <c r="B297" s="43">
        <f>VLOOKUP(C297,CHOOSE({2,1},Suffix!B$2:B$412,Suffix!C$2:C$412),2,FALSE)</f>
        <v>101712261</v>
      </c>
      <c r="C297" s="43" t="s">
        <v>1689</v>
      </c>
      <c r="D297" s="43" t="s">
        <v>242</v>
      </c>
      <c r="E297" s="43" t="str">
        <f>VLOOKUP(F297,CHOOSE({2,1},Attributes!B$3:B$130,Attributes!C$3:C$129),2,FALSE)</f>
        <v>DungeonSiegeExperienceAttributeSet</v>
      </c>
      <c r="F297" s="43" t="str">
        <f>Attributes!C3</f>
        <v>Strength</v>
      </c>
      <c r="G297" s="43" t="str">
        <f t="shared" si="12"/>
        <v>(AttributeName="Strength",Attribute=/Script/DSAbilitySystem.DungeonSiegeExperienceAttributeSet:Strength,AttributeOwner=Class'"/Script/DSAbilitySystem.DungeonSiegeExperienceAttributeSet"')</v>
      </c>
      <c r="H297" s="43">
        <v>2</v>
      </c>
      <c r="I297" s="43" t="str">
        <f t="shared" si="13"/>
        <v>GE_Suffix_of_the_Forgiven</v>
      </c>
      <c r="J297" s="43" t="str">
        <f t="shared" si="14"/>
        <v>/Game/DungeonSiege/Blueprints/GameplayAbilities/Affixes/GE_Suffix_of_the_Forgiven</v>
      </c>
    </row>
    <row r="298" spans="1:10" s="23" customFormat="1" ht="33.75" x14ac:dyDescent="0.25">
      <c r="A298" s="43">
        <v>296</v>
      </c>
      <c r="B298" s="43">
        <f>VLOOKUP(C298,CHOOSE({2,1},Suffix!B$2:B$412,Suffix!C$2:C$412),2,FALSE)</f>
        <v>101712261</v>
      </c>
      <c r="C298" s="43" t="s">
        <v>1689</v>
      </c>
      <c r="D298" s="43" t="s">
        <v>700</v>
      </c>
      <c r="E298" s="43" t="str">
        <f>VLOOKUP(F298,CHOOSE({2,1},Attributes!B$3:B$130,Attributes!C$3:C$129),2,FALSE)</f>
        <v>DungeonSiegePerHitAttributeSet</v>
      </c>
      <c r="F298" s="43" t="str">
        <f>Attributes!C11</f>
        <v>HealthPerHit</v>
      </c>
      <c r="G298" s="43" t="str">
        <f t="shared" si="12"/>
        <v>(AttributeName="HealthPerHit",Attribute=/Script/DSAbilitySystem.DungeonSiegePerHitAttributeSet:HealthPerHit,AttributeOwner=Class'"/Script/DSAbilitySystem.DungeonSiegePerHitAttributeSet"')</v>
      </c>
      <c r="H298" s="43">
        <v>3</v>
      </c>
      <c r="I298" s="43" t="str">
        <f t="shared" si="13"/>
        <v>GE_Suffix_of_the_Forgiven</v>
      </c>
      <c r="J298" s="43" t="str">
        <f t="shared" si="14"/>
        <v>/Game/DungeonSiege/Blueprints/GameplayAbilities/Affixes/GE_Suffix_of_the_Forgiven</v>
      </c>
    </row>
    <row r="299" spans="1:10" s="23" customFormat="1" ht="33.75" x14ac:dyDescent="0.25">
      <c r="A299" s="43">
        <v>297</v>
      </c>
      <c r="B299" s="43">
        <f>VLOOKUP(C299,CHOOSE({2,1},Suffix!B$2:B$412,Suffix!C$2:C$412),2,FALSE)</f>
        <v>101712261</v>
      </c>
      <c r="C299" s="43" t="s">
        <v>1689</v>
      </c>
      <c r="D299" s="43" t="s">
        <v>943</v>
      </c>
      <c r="E299" s="43" t="str">
        <f>VLOOKUP(F299,CHOOSE({2,1},Attributes!B$3:B$130,Attributes!C$3:C$129),2,FALSE)</f>
        <v>DungeonSiegeDamageAttributeSet</v>
      </c>
      <c r="F299" s="43" t="str">
        <f>Attributes!C25</f>
        <v>MinPiercingDamageMod</v>
      </c>
      <c r="G299" s="43" t="str">
        <f t="shared" si="12"/>
        <v>(AttributeName="MinPiercingDamageMod",Attribute=/Script/DSAbilitySystem.DungeonSiegeDamageAttributeSet:MinPiercingDamageMod,AttributeOwner=Class'"/Script/DSAbilitySystem.DungeonSiegeDamageAttributeSet"')</v>
      </c>
      <c r="H299" s="43">
        <v>1</v>
      </c>
      <c r="I299" s="43" t="str">
        <f t="shared" si="13"/>
        <v>GE_Suffix_of_the_Forgiven</v>
      </c>
      <c r="J299" s="43" t="str">
        <f t="shared" si="14"/>
        <v>/Game/DungeonSiege/Blueprints/GameplayAbilities/Affixes/GE_Suffix_of_the_Forgiven</v>
      </c>
    </row>
    <row r="300" spans="1:10" s="23" customFormat="1" ht="33.75" x14ac:dyDescent="0.25">
      <c r="A300" s="43">
        <v>298</v>
      </c>
      <c r="B300" s="43">
        <f>VLOOKUP(C300,CHOOSE({2,1},Suffix!B$2:B$412,Suffix!C$2:C$412),2,FALSE)</f>
        <v>101712261</v>
      </c>
      <c r="C300" s="43" t="s">
        <v>1689</v>
      </c>
      <c r="D300" s="43" t="s">
        <v>943</v>
      </c>
      <c r="E300" s="43" t="str">
        <f>VLOOKUP(F300,CHOOSE({2,1},Attributes!B$3:B$130,Attributes!C$3:C$129),2,FALSE)</f>
        <v>DungeonSiegeDamageAttributeSet</v>
      </c>
      <c r="F300" s="43" t="str">
        <f>Attributes!C26</f>
        <v>MaxPiercingDamageMod</v>
      </c>
      <c r="G300" s="43" t="str">
        <f t="shared" si="12"/>
        <v>(AttributeName="MaxPiercingDamageMod",Attribute=/Script/DSAbilitySystem.DungeonSiegeDamageAttributeSet:MaxPiercingDamageMod,AttributeOwner=Class'"/Script/DSAbilitySystem.DungeonSiegeDamageAttributeSet"')</v>
      </c>
      <c r="H300" s="43">
        <v>4</v>
      </c>
      <c r="I300" s="43" t="str">
        <f t="shared" si="13"/>
        <v>GE_Suffix_of_the_Forgiven</v>
      </c>
      <c r="J300" s="43" t="str">
        <f t="shared" si="14"/>
        <v>/Game/DungeonSiege/Blueprints/GameplayAbilities/Affixes/GE_Suffix_of_the_Forgiven</v>
      </c>
    </row>
    <row r="301" spans="1:10" ht="33.75" x14ac:dyDescent="0.25">
      <c r="A301" s="43">
        <v>299</v>
      </c>
      <c r="B301" s="43">
        <f>VLOOKUP(C301,CHOOSE({2,1},Suffix!B$2:B$412,Suffix!C$2:C$412),2,FALSE)</f>
        <v>101712261</v>
      </c>
      <c r="C301" s="43" t="s">
        <v>1689</v>
      </c>
      <c r="D301" s="43" t="s">
        <v>979</v>
      </c>
      <c r="E301" s="43" t="str">
        <f>VLOOKUP(F301,CHOOSE({2,1},Attributes!B$3:B$130,Attributes!C$3:C$129),2,FALSE)</f>
        <v>DungeonSiegeDamageAttributeSet</v>
      </c>
      <c r="F301" s="43" t="str">
        <f>Attributes!C20</f>
        <v>MaxDamageMod</v>
      </c>
      <c r="G301" s="43" t="str">
        <f t="shared" si="12"/>
        <v>(AttributeName="MaxDamageMod",Attribute=/Script/DSAbilitySystem.DungeonSiegeDamageAttributeSet:MaxDamageMod,AttributeOwner=Class'"/Script/DSAbilitySystem.DungeonSiegeDamageAttributeSet"')</v>
      </c>
      <c r="H301" s="43">
        <v>2</v>
      </c>
      <c r="I301" s="43" t="str">
        <f t="shared" si="13"/>
        <v>GE_Suffix_of_the_Forgiven</v>
      </c>
      <c r="J301" s="43" t="str">
        <f t="shared" si="14"/>
        <v>/Game/DungeonSiege/Blueprints/GameplayAbilities/Affixes/GE_Suffix_of_the_Forgiven</v>
      </c>
    </row>
    <row r="302" spans="1:10" s="23" customFormat="1" ht="33.75" x14ac:dyDescent="0.25">
      <c r="A302" s="43">
        <v>300</v>
      </c>
      <c r="B302" s="43">
        <f>VLOOKUP(C302,CHOOSE({2,1},Suffix!B$2:B$412,Suffix!C$2:C$412),2,FALSE)</f>
        <v>101712262</v>
      </c>
      <c r="C302" s="43" t="s">
        <v>1691</v>
      </c>
      <c r="D302" s="43" t="s">
        <v>911</v>
      </c>
      <c r="E302" s="43" t="str">
        <f>VLOOKUP(F302,CHOOSE({2,1},Attributes!B$3:B$130,Attributes!C$3:C$129),2,FALSE)</f>
        <v>DungeonSiegePerHitAttributeSet</v>
      </c>
      <c r="F302" s="43" t="str">
        <f>Attributes!C11</f>
        <v>HealthPerHit</v>
      </c>
      <c r="G302" s="43" t="str">
        <f t="shared" si="12"/>
        <v>(AttributeName="HealthPerHit",Attribute=/Script/DSAbilitySystem.DungeonSiegePerHitAttributeSet:HealthPerHit,AttributeOwner=Class'"/Script/DSAbilitySystem.DungeonSiegePerHitAttributeSet"')</v>
      </c>
      <c r="H302" s="43">
        <v>2</v>
      </c>
      <c r="I302" s="43" t="str">
        <f t="shared" si="13"/>
        <v>GE_Suffix_of_Conviction</v>
      </c>
      <c r="J302" s="43" t="str">
        <f t="shared" si="14"/>
        <v>/Game/DungeonSiege/Blueprints/GameplayAbilities/Affixes/GE_Suffix_of_Conviction</v>
      </c>
    </row>
    <row r="303" spans="1:10" s="23" customFormat="1" ht="33.75" x14ac:dyDescent="0.25">
      <c r="A303" s="43">
        <v>301</v>
      </c>
      <c r="B303" s="43">
        <f>VLOOKUP(C303,CHOOSE({2,1},Suffix!B$2:B$412,Suffix!C$2:C$412),2,FALSE)</f>
        <v>101712262</v>
      </c>
      <c r="C303" s="43" t="s">
        <v>1691</v>
      </c>
      <c r="D303" s="43" t="s">
        <v>1053</v>
      </c>
      <c r="E303" s="43" t="str">
        <f>VLOOKUP(F303,CHOOSE({2,1},Attributes!B$3:B$130,Attributes!C$3:C$129),2,FALSE)</f>
        <v>DungeonSiegeDamageAttributeSet</v>
      </c>
      <c r="F303" s="43" t="str">
        <f>Attributes!C21</f>
        <v>PercentDamageReflectedToEnemy</v>
      </c>
      <c r="G303" s="43" t="str">
        <f t="shared" si="12"/>
        <v>(AttributeName="PercentDamageReflectedToEnemy",Attribute=/Script/DSAbilitySystem.DungeonSiegeDamageAttributeSet:PercentDamageReflectedToEnemy,AttributeOwner=Class'"/Script/DSAbilitySystem.DungeonSiegeDamageAttributeSet"')</v>
      </c>
      <c r="H303" s="43">
        <v>3</v>
      </c>
      <c r="I303" s="43" t="str">
        <f t="shared" si="13"/>
        <v>GE_Suffix_of_Conviction</v>
      </c>
      <c r="J303" s="43" t="str">
        <f t="shared" si="14"/>
        <v>/Game/DungeonSiege/Blueprints/GameplayAbilities/Affixes/GE_Suffix_of_Conviction</v>
      </c>
    </row>
    <row r="304" spans="1:10" ht="33.75" x14ac:dyDescent="0.25">
      <c r="A304" s="43">
        <v>302</v>
      </c>
      <c r="B304" s="43">
        <f>VLOOKUP(C304,CHOOSE({2,1},Suffix!B$2:B$412,Suffix!C$2:C$412),2,FALSE)</f>
        <v>101712262</v>
      </c>
      <c r="C304" s="43" t="s">
        <v>1691</v>
      </c>
      <c r="D304" s="43" t="s">
        <v>3275</v>
      </c>
      <c r="E304" s="43" t="str">
        <f>VLOOKUP(F304,CHOOSE({2,1},Attributes!B$3:B$130,Attributes!C$3:C$129),2,FALSE)</f>
        <v>DungeonSiegeDamageAttributeSet</v>
      </c>
      <c r="F304" s="43" t="str">
        <f>Attributes!C33</f>
        <v>MeleeHitChance</v>
      </c>
      <c r="G304" s="43" t="str">
        <f t="shared" si="12"/>
        <v>(AttributeName="MeleeHitChance",Attribute=/Script/DSAbilitySystem.DungeonSiegeDamageAttributeSet:MeleeHitChance,AttributeOwner=Class'"/Script/DSAbilitySystem.DungeonSiegeDamageAttributeSet"')</v>
      </c>
      <c r="H304" s="43">
        <v>11</v>
      </c>
      <c r="I304" s="43" t="str">
        <f t="shared" si="13"/>
        <v>GE_Suffix_of_Conviction</v>
      </c>
      <c r="J304" s="43" t="str">
        <f t="shared" si="14"/>
        <v>/Game/DungeonSiege/Blueprints/GameplayAbilities/Affixes/GE_Suffix_of_Conviction</v>
      </c>
    </row>
    <row r="305" spans="1:10" ht="33.75" x14ac:dyDescent="0.25">
      <c r="A305" s="43">
        <v>303</v>
      </c>
      <c r="B305" s="43">
        <f>VLOOKUP(C305,CHOOSE({2,1},Suffix!B$2:B$412,Suffix!C$2:C$412),2,FALSE)</f>
        <v>101712263</v>
      </c>
      <c r="C305" s="43" t="s">
        <v>1693</v>
      </c>
      <c r="D305" s="43" t="s">
        <v>1694</v>
      </c>
      <c r="E305" s="43" t="str">
        <f>VLOOKUP(F305,CHOOSE({2,1},Attributes!B$3:B$130,Attributes!C$3:C$129),2,FALSE)</f>
        <v>DungeonSiegeCastOnHitAttributeSet</v>
      </c>
      <c r="F305" s="43" t="str">
        <f>Attributes!C111</f>
        <v>ChanceToCastFireballOnHit</v>
      </c>
      <c r="G305" s="43" t="str">
        <f t="shared" si="12"/>
        <v>(AttributeName="ChanceToCastFireballOnHit",Attribute=/Script/DSAbilitySystem.DungeonSiegeCastOnHitAttributeSet:ChanceToCastFireballOnHit,AttributeOwner=Class'"/Script/DSAbilitySystem.DungeonSiegeCastOnHitAttributeSet"')</v>
      </c>
      <c r="H305" s="43">
        <v>25</v>
      </c>
      <c r="I305" s="43" t="str">
        <f t="shared" si="13"/>
        <v>GE_Suffix_of_Major_Fireball</v>
      </c>
      <c r="J305" s="43" t="str">
        <f t="shared" si="14"/>
        <v>/Game/DungeonSiege/Blueprints/GameplayAbilities/Affixes/GE_Suffix_of_Major_Fireball</v>
      </c>
    </row>
    <row r="306" spans="1:10" ht="33.75" x14ac:dyDescent="0.25">
      <c r="A306" s="43">
        <v>304</v>
      </c>
      <c r="B306" s="43">
        <f>VLOOKUP(C306,CHOOSE({2,1},Suffix!B$2:B$412,Suffix!C$2:C$412),2,FALSE)</f>
        <v>101712264</v>
      </c>
      <c r="C306" s="43" t="s">
        <v>1696</v>
      </c>
      <c r="D306" s="43" t="s">
        <v>1697</v>
      </c>
      <c r="E306" s="43" t="str">
        <f>VLOOKUP(F306,CHOOSE({2,1},Attributes!B$3:B$130,Attributes!C$3:C$129),2,FALSE)</f>
        <v>DungeonSiegeCastOnHitAttributeSet</v>
      </c>
      <c r="F306" s="43" t="str">
        <f>Attributes!C106</f>
        <v>ChanceToCastFirebombOnHit</v>
      </c>
      <c r="G306" s="43" t="str">
        <f t="shared" si="12"/>
        <v>(AttributeName="ChanceToCastFirebombOnHit",Attribute=/Script/DSAbilitySystem.DungeonSiegeCastOnHitAttributeSet:ChanceToCastFirebombOnHit,AttributeOwner=Class'"/Script/DSAbilitySystem.DungeonSiegeCastOnHitAttributeSet"')</v>
      </c>
      <c r="H306" s="43">
        <v>15</v>
      </c>
      <c r="I306" s="43" t="str">
        <f t="shared" si="13"/>
        <v>GE_Suffix_of_Minor_Firebomb</v>
      </c>
      <c r="J306" s="43" t="str">
        <f t="shared" si="14"/>
        <v>/Game/DungeonSiege/Blueprints/GameplayAbilities/Affixes/GE_Suffix_of_Minor_Firebomb</v>
      </c>
    </row>
    <row r="307" spans="1:10" s="23" customFormat="1" ht="33.75" x14ac:dyDescent="0.25">
      <c r="A307" s="43">
        <v>305</v>
      </c>
      <c r="B307" s="43">
        <f>VLOOKUP(C307,CHOOSE({2,1},Suffix!B$2:B$412,Suffix!C$2:C$412),2,FALSE)</f>
        <v>101712265</v>
      </c>
      <c r="C307" s="43" t="s">
        <v>1699</v>
      </c>
      <c r="D307" s="43" t="s">
        <v>87</v>
      </c>
      <c r="E307" s="43" t="str">
        <f>VLOOKUP(F307,CHOOSE({2,1},Attributes!B$3:B$130,Attributes!C$3:C$129),2,FALSE)</f>
        <v>DungeonSiegeExperienceAttributeSet</v>
      </c>
      <c r="F307" s="43" t="str">
        <f>Attributes!C4</f>
        <v>Dexterity</v>
      </c>
      <c r="G307" s="43" t="str">
        <f t="shared" si="12"/>
        <v>(AttributeName="Dexterity",Attribute=/Script/DSAbilitySystem.DungeonSiegeExperienceAttributeSet:Dexterity,AttributeOwner=Class'"/Script/DSAbilitySystem.DungeonSiegeExperienceAttributeSet"')</v>
      </c>
      <c r="H307" s="43">
        <v>2</v>
      </c>
      <c r="I307" s="43" t="str">
        <f t="shared" si="13"/>
        <v>GE_Suffix_of_Risk</v>
      </c>
      <c r="J307" s="43" t="str">
        <f t="shared" si="14"/>
        <v>/Game/DungeonSiege/Blueprints/GameplayAbilities/Affixes/GE_Suffix_of_Risk</v>
      </c>
    </row>
    <row r="308" spans="1:10" s="23" customFormat="1" ht="33.75" x14ac:dyDescent="0.25">
      <c r="A308" s="43">
        <v>306</v>
      </c>
      <c r="B308" s="43">
        <f>VLOOKUP(C308,CHOOSE({2,1},Suffix!B$2:B$412,Suffix!C$2:C$412),2,FALSE)</f>
        <v>101712265</v>
      </c>
      <c r="C308" s="43" t="s">
        <v>1699</v>
      </c>
      <c r="D308" s="43" t="s">
        <v>1053</v>
      </c>
      <c r="E308" s="43" t="str">
        <f>VLOOKUP(F308,CHOOSE({2,1},Attributes!B$3:B$130,Attributes!C$3:C$129),2,FALSE)</f>
        <v>DungeonSiegeDamageAttributeSet</v>
      </c>
      <c r="F308" s="43" t="str">
        <f>Attributes!C23</f>
        <v>ChanceToInflictPiercingHit</v>
      </c>
      <c r="G308" s="43" t="str">
        <f t="shared" si="12"/>
        <v>(AttributeName="ChanceToInflictPiercingHit",Attribute=/Script/DSAbilitySystem.DungeonSiegeDamageAttributeSet:ChanceToInflictPiercingHit,AttributeOwner=Class'"/Script/DSAbilitySystem.DungeonSiegeDamageAttributeSet"')</v>
      </c>
      <c r="H308" s="43">
        <v>3</v>
      </c>
      <c r="I308" s="43" t="str">
        <f t="shared" si="13"/>
        <v>GE_Suffix_of_Risk</v>
      </c>
      <c r="J308" s="43" t="str">
        <f t="shared" si="14"/>
        <v>/Game/DungeonSiege/Blueprints/GameplayAbilities/Affixes/GE_Suffix_of_Risk</v>
      </c>
    </row>
    <row r="309" spans="1:10" ht="33.75" x14ac:dyDescent="0.25">
      <c r="A309" s="43">
        <v>307</v>
      </c>
      <c r="B309" s="43">
        <f>VLOOKUP(C309,CHOOSE({2,1},Suffix!B$2:B$412,Suffix!C$2:C$412),2,FALSE)</f>
        <v>101712265</v>
      </c>
      <c r="C309" s="43" t="s">
        <v>1699</v>
      </c>
      <c r="D309" s="43" t="s">
        <v>950</v>
      </c>
      <c r="E309" s="43" t="str">
        <f>VLOOKUP(F309,CHOOSE({2,1},Attributes!B$3:B$130,Attributes!C$3:C$129),2,FALSE)</f>
        <v>DungeonSiegeDamageAttributeSet</v>
      </c>
      <c r="F309" s="43" t="str">
        <f>Attributes!C19</f>
        <v>MinDamageMod</v>
      </c>
      <c r="G309" s="43" t="str">
        <f t="shared" si="12"/>
        <v>(AttributeName="MinDamageMod",Attribute=/Script/DSAbilitySystem.DungeonSiegeDamageAttributeSet:MinDamageMod,AttributeOwner=Class'"/Script/DSAbilitySystem.DungeonSiegeDamageAttributeSet"')</v>
      </c>
      <c r="H309" s="43">
        <v>1</v>
      </c>
      <c r="I309" s="43" t="str">
        <f t="shared" si="13"/>
        <v>GE_Suffix_of_Risk</v>
      </c>
      <c r="J309" s="43" t="str">
        <f t="shared" si="14"/>
        <v>/Game/DungeonSiege/Blueprints/GameplayAbilities/Affixes/GE_Suffix_of_Risk</v>
      </c>
    </row>
    <row r="310" spans="1:10" s="23" customFormat="1" ht="33.75" x14ac:dyDescent="0.25">
      <c r="A310" s="43">
        <v>308</v>
      </c>
      <c r="B310" s="43">
        <f>VLOOKUP(C310,CHOOSE({2,1},Suffix!B$2:B$412,Suffix!C$2:C$412),2,FALSE)</f>
        <v>101712272</v>
      </c>
      <c r="C310" s="43" t="s">
        <v>1701</v>
      </c>
      <c r="D310" s="43" t="s">
        <v>1702</v>
      </c>
      <c r="E310" s="43" t="str">
        <f>VLOOKUP(F310,CHOOSE({2,1},Attributes!B$3:B$130,Attributes!C$3:C$129),2,FALSE)</f>
        <v>DungeonSiegeDamageAttributeSet</v>
      </c>
      <c r="F310" s="43" t="str">
        <f>Attributes!C19</f>
        <v>MinDamageMod</v>
      </c>
      <c r="G310" s="43" t="str">
        <f t="shared" si="12"/>
        <v>(AttributeName="MinDamageMod",Attribute=/Script/DSAbilitySystem.DungeonSiegeDamageAttributeSet:MinDamageMod,AttributeOwner=Class'"/Script/DSAbilitySystem.DungeonSiegeDamageAttributeSet"')</v>
      </c>
      <c r="H310" s="43">
        <v>2</v>
      </c>
      <c r="I310" s="43" t="str">
        <f t="shared" si="13"/>
        <v>GE_Suffix_of_Talent</v>
      </c>
      <c r="J310" s="43" t="str">
        <f t="shared" si="14"/>
        <v>/Game/DungeonSiege/Blueprints/GameplayAbilities/Affixes/GE_Suffix_of_Talent</v>
      </c>
    </row>
    <row r="311" spans="1:10" ht="33.75" x14ac:dyDescent="0.25">
      <c r="A311" s="43">
        <v>309</v>
      </c>
      <c r="B311" s="43">
        <f>VLOOKUP(C311,CHOOSE({2,1},Suffix!B$2:B$412,Suffix!C$2:C$412),2,FALSE)</f>
        <v>101712272</v>
      </c>
      <c r="C311" s="43" t="s">
        <v>1701</v>
      </c>
      <c r="D311" s="43" t="s">
        <v>1702</v>
      </c>
      <c r="E311" s="43" t="str">
        <f>VLOOKUP(F311,CHOOSE({2,1},Attributes!B$3:B$130,Attributes!C$3:C$129),2,FALSE)</f>
        <v>DungeonSiegeDamageAttributeSet</v>
      </c>
      <c r="F311" s="43" t="str">
        <f>Attributes!C20</f>
        <v>MaxDamageMod</v>
      </c>
      <c r="G311" s="43" t="str">
        <f t="shared" si="12"/>
        <v>(AttributeName="MaxDamageMod",Attribute=/Script/DSAbilitySystem.DungeonSiegeDamageAttributeSet:MaxDamageMod,AttributeOwner=Class'"/Script/DSAbilitySystem.DungeonSiegeDamageAttributeSet"')</v>
      </c>
      <c r="H311" s="43">
        <v>27</v>
      </c>
      <c r="I311" s="43" t="str">
        <f t="shared" si="13"/>
        <v>GE_Suffix_of_Talent</v>
      </c>
      <c r="J311" s="43" t="str">
        <f t="shared" si="14"/>
        <v>/Game/DungeonSiege/Blueprints/GameplayAbilities/Affixes/GE_Suffix_of_Talent</v>
      </c>
    </row>
    <row r="312" spans="1:10" s="23" customFormat="1" ht="33.75" x14ac:dyDescent="0.25">
      <c r="A312" s="43">
        <v>310</v>
      </c>
      <c r="B312" s="43">
        <f>VLOOKUP(C312,CHOOSE({2,1},Suffix!B$2:B$412,Suffix!C$2:C$412),2,FALSE)</f>
        <v>101712273</v>
      </c>
      <c r="C312" s="43" t="s">
        <v>1704</v>
      </c>
      <c r="D312" s="43" t="s">
        <v>1705</v>
      </c>
      <c r="E312" s="43" t="str">
        <f>VLOOKUP(F312,CHOOSE({2,1},Attributes!B$3:B$130,Attributes!C$3:C$129),2,FALSE)</f>
        <v>DungeonSiegeDamageAttributeSet</v>
      </c>
      <c r="F312" s="43" t="str">
        <f>Attributes!C25</f>
        <v>MinPiercingDamageMod</v>
      </c>
      <c r="G312" s="43" t="str">
        <f t="shared" si="12"/>
        <v>(AttributeName="MinPiercingDamageMod",Attribute=/Script/DSAbilitySystem.DungeonSiegeDamageAttributeSet:MinPiercingDamageMod,AttributeOwner=Class'"/Script/DSAbilitySystem.DungeonSiegeDamageAttributeSet"')</v>
      </c>
      <c r="H312" s="43">
        <v>6</v>
      </c>
      <c r="I312" s="43" t="str">
        <f t="shared" si="13"/>
        <v>GE_Suffix_of_Reliance</v>
      </c>
      <c r="J312" s="43" t="str">
        <f t="shared" si="14"/>
        <v>/Game/DungeonSiege/Blueprints/GameplayAbilities/Affixes/GE_Suffix_of_Reliance</v>
      </c>
    </row>
    <row r="313" spans="1:10" s="23" customFormat="1" ht="33.75" x14ac:dyDescent="0.25">
      <c r="A313" s="43">
        <v>311</v>
      </c>
      <c r="B313" s="43">
        <f>VLOOKUP(C313,CHOOSE({2,1},Suffix!B$2:B$412,Suffix!C$2:C$412),2,FALSE)</f>
        <v>101712273</v>
      </c>
      <c r="C313" s="43" t="s">
        <v>1704</v>
      </c>
      <c r="D313" s="43" t="s">
        <v>1705</v>
      </c>
      <c r="E313" s="43" t="str">
        <f>VLOOKUP(F313,CHOOSE({2,1},Attributes!B$3:B$130,Attributes!C$3:C$129),2,FALSE)</f>
        <v>DungeonSiegeDamageAttributeSet</v>
      </c>
      <c r="F313" s="43" t="str">
        <f>Attributes!C26</f>
        <v>MaxPiercingDamageMod</v>
      </c>
      <c r="G313" s="43" t="str">
        <f t="shared" si="12"/>
        <v>(AttributeName="MaxPiercingDamageMod",Attribute=/Script/DSAbilitySystem.DungeonSiegeDamageAttributeSet:MaxPiercingDamageMod,AttributeOwner=Class'"/Script/DSAbilitySystem.DungeonSiegeDamageAttributeSet"')</v>
      </c>
      <c r="H313" s="43">
        <v>13</v>
      </c>
      <c r="I313" s="43" t="str">
        <f t="shared" si="13"/>
        <v>GE_Suffix_of_Reliance</v>
      </c>
      <c r="J313" s="43" t="str">
        <f t="shared" si="14"/>
        <v>/Game/DungeonSiege/Blueprints/GameplayAbilities/Affixes/GE_Suffix_of_Reliance</v>
      </c>
    </row>
    <row r="314" spans="1:10" s="23" customFormat="1" ht="33.75" x14ac:dyDescent="0.25">
      <c r="A314" s="43">
        <v>312</v>
      </c>
      <c r="B314" s="43">
        <f>VLOOKUP(C314,CHOOSE({2,1},Suffix!B$2:B$412,Suffix!C$2:C$412),2,FALSE)</f>
        <v>101712273</v>
      </c>
      <c r="C314" s="43" t="s">
        <v>1704</v>
      </c>
      <c r="D314" s="43" t="s">
        <v>715</v>
      </c>
      <c r="E314" s="43" t="str">
        <f>VLOOKUP(F314,CHOOSE({2,1},Attributes!B$3:B$130,Attributes!C$3:C$129),2,FALSE)</f>
        <v>DungeonSiegeDamageAttributeSet</v>
      </c>
      <c r="F314" s="43" t="str">
        <f>Attributes!C21</f>
        <v>PercentDamageReflectedToEnemy</v>
      </c>
      <c r="G314" s="43" t="str">
        <f t="shared" si="12"/>
        <v>(AttributeName="PercentDamageReflectedToEnemy",Attribute=/Script/DSAbilitySystem.DungeonSiegeDamageAttributeSet:PercentDamageReflectedToEnemy,AttributeOwner=Class'"/Script/DSAbilitySystem.DungeonSiegeDamageAttributeSet"')</v>
      </c>
      <c r="H314" s="43">
        <v>3</v>
      </c>
      <c r="I314" s="43" t="str">
        <f t="shared" si="13"/>
        <v>GE_Suffix_of_Reliance</v>
      </c>
      <c r="J314" s="43" t="str">
        <f t="shared" si="14"/>
        <v>/Game/DungeonSiege/Blueprints/GameplayAbilities/Affixes/GE_Suffix_of_Reliance</v>
      </c>
    </row>
    <row r="315" spans="1:10" ht="33.75" x14ac:dyDescent="0.25">
      <c r="A315" s="43">
        <v>313</v>
      </c>
      <c r="B315" s="43">
        <f>VLOOKUP(C315,CHOOSE({2,1},Suffix!B$2:B$412,Suffix!C$2:C$412),2,FALSE)</f>
        <v>101712273</v>
      </c>
      <c r="C315" s="43" t="s">
        <v>1704</v>
      </c>
      <c r="D315" s="43" t="s">
        <v>950</v>
      </c>
      <c r="E315" s="43" t="str">
        <f>VLOOKUP(F315,CHOOSE({2,1},Attributes!B$3:B$130,Attributes!C$3:C$129),2,FALSE)</f>
        <v>DungeonSiegeDamageAttributeSet</v>
      </c>
      <c r="F315" s="43" t="str">
        <f>Attributes!C19</f>
        <v>MinDamageMod</v>
      </c>
      <c r="G315" s="43" t="str">
        <f t="shared" si="12"/>
        <v>(AttributeName="MinDamageMod",Attribute=/Script/DSAbilitySystem.DungeonSiegeDamageAttributeSet:MinDamageMod,AttributeOwner=Class'"/Script/DSAbilitySystem.DungeonSiegeDamageAttributeSet"')</v>
      </c>
      <c r="H315" s="43">
        <v>1</v>
      </c>
      <c r="I315" s="43" t="str">
        <f t="shared" si="13"/>
        <v>GE_Suffix_of_Reliance</v>
      </c>
      <c r="J315" s="43" t="str">
        <f t="shared" si="14"/>
        <v>/Game/DungeonSiege/Blueprints/GameplayAbilities/Affixes/GE_Suffix_of_Reliance</v>
      </c>
    </row>
    <row r="316" spans="1:10" s="23" customFormat="1" ht="33.75" x14ac:dyDescent="0.25">
      <c r="A316" s="43">
        <v>314</v>
      </c>
      <c r="B316" s="43">
        <f>VLOOKUP(C316,CHOOSE({2,1},Suffix!B$2:B$412,Suffix!C$2:C$412),2,FALSE)</f>
        <v>101712274</v>
      </c>
      <c r="C316" s="43" t="s">
        <v>1707</v>
      </c>
      <c r="D316" s="43" t="s">
        <v>242</v>
      </c>
      <c r="E316" s="43" t="str">
        <f>VLOOKUP(F316,CHOOSE({2,1},Attributes!B$3:B$130,Attributes!C$3:C$129),2,FALSE)</f>
        <v>DungeonSiegeExperienceAttributeSet</v>
      </c>
      <c r="F316" s="43" t="str">
        <f>Attributes!C3</f>
        <v>Strength</v>
      </c>
      <c r="G316" s="43" t="str">
        <f t="shared" si="12"/>
        <v>(AttributeName="Strength",Attribute=/Script/DSAbilitySystem.DungeonSiegeExperienceAttributeSet:Strength,AttributeOwner=Class'"/Script/DSAbilitySystem.DungeonSiegeExperienceAttributeSet"')</v>
      </c>
      <c r="H316" s="43">
        <v>2</v>
      </c>
      <c r="I316" s="43" t="str">
        <f t="shared" si="13"/>
        <v>GE_Suffix_of_Aspiration</v>
      </c>
      <c r="J316" s="43" t="str">
        <f t="shared" si="14"/>
        <v>/Game/DungeonSiege/Blueprints/GameplayAbilities/Affixes/GE_Suffix_of_Aspiration</v>
      </c>
    </row>
    <row r="317" spans="1:10" s="23" customFormat="1" ht="33.75" x14ac:dyDescent="0.25">
      <c r="A317" s="43">
        <v>315</v>
      </c>
      <c r="B317" s="43">
        <f>VLOOKUP(C317,CHOOSE({2,1},Suffix!B$2:B$412,Suffix!C$2:C$412),2,FALSE)</f>
        <v>101712274</v>
      </c>
      <c r="C317" s="43" t="s">
        <v>1707</v>
      </c>
      <c r="D317" s="43" t="s">
        <v>3276</v>
      </c>
      <c r="E317" s="43" t="str">
        <f>VLOOKUP(F317,CHOOSE({2,1},Attributes!B$3:B$130,Attributes!C$3:C$129),2,FALSE)</f>
        <v>DungeonSiegeHealthAttributeSet</v>
      </c>
      <c r="F317" s="43" t="str">
        <f>Attributes!C82</f>
        <v>BaseHealthBonus</v>
      </c>
      <c r="G317" s="43" t="str">
        <f t="shared" si="12"/>
        <v>(AttributeName="BaseHealthBonus",Attribute=/Script/DSAbilitySystem.DungeonSiegeHealthAttributeSet:BaseHealthBonus,AttributeOwner=Class'"/Script/DSAbilitySystem.DungeonSiegeHealthAttributeSet"')</v>
      </c>
      <c r="H317" s="43">
        <v>33</v>
      </c>
      <c r="I317" s="43" t="str">
        <f t="shared" si="13"/>
        <v>GE_Suffix_of_Aspiration</v>
      </c>
      <c r="J317" s="43" t="str">
        <f t="shared" si="14"/>
        <v>/Game/DungeonSiege/Blueprints/GameplayAbilities/Affixes/GE_Suffix_of_Aspiration</v>
      </c>
    </row>
    <row r="318" spans="1:10" ht="33.75" x14ac:dyDescent="0.25">
      <c r="A318" s="43">
        <v>316</v>
      </c>
      <c r="B318" s="43">
        <f>VLOOKUP(C318,CHOOSE({2,1},Suffix!B$2:B$412,Suffix!C$2:C$412),2,FALSE)</f>
        <v>101712274</v>
      </c>
      <c r="C318" s="43" t="s">
        <v>1707</v>
      </c>
      <c r="D318" s="43" t="s">
        <v>81</v>
      </c>
      <c r="E318" s="43" t="str">
        <f>VLOOKUP(F318,CHOOSE({2,1},Attributes!B$3:B$130,Attributes!C$3:C$129),2,FALSE)</f>
        <v>DungeonSiegeManaAttributeSet</v>
      </c>
      <c r="F318" s="43" t="str">
        <f>Attributes!C90</f>
        <v>BaseManaBonus</v>
      </c>
      <c r="G318" s="43" t="str">
        <f t="shared" si="12"/>
        <v>(AttributeName="BaseManaBonus",Attribute=/Script/DSAbilitySystem.DungeonSiegeManaAttributeSet:BaseManaBonus,AttributeOwner=Class'"/Script/DSAbilitySystem.DungeonSiegeManaAttributeSet"')</v>
      </c>
      <c r="H318" s="43">
        <v>71</v>
      </c>
      <c r="I318" s="43" t="str">
        <f t="shared" si="13"/>
        <v>GE_Suffix_of_Aspiration</v>
      </c>
      <c r="J318" s="43" t="str">
        <f t="shared" si="14"/>
        <v>/Game/DungeonSiege/Blueprints/GameplayAbilities/Affixes/GE_Suffix_of_Aspiration</v>
      </c>
    </row>
    <row r="319" spans="1:10" ht="33.75" x14ac:dyDescent="0.25">
      <c r="A319" s="43">
        <v>317</v>
      </c>
      <c r="B319" s="43">
        <f>VLOOKUP(C319,CHOOSE({2,1},Suffix!B$2:B$412,Suffix!C$2:C$412),2,FALSE)</f>
        <v>101712275</v>
      </c>
      <c r="C319" s="43" t="s">
        <v>1709</v>
      </c>
      <c r="D319" s="43" t="s">
        <v>1710</v>
      </c>
      <c r="E319" s="43" t="str">
        <f>VLOOKUP(F319,CHOOSE({2,1},Attributes!B$3:B$130,Attributes!C$3:C$129),2,FALSE)</f>
        <v>DungeonSiegeCastOnHitAttributeSet</v>
      </c>
      <c r="F319" s="43" t="str">
        <f>Attributes!C110</f>
        <v>ChanceToCastMultisparkOnHit</v>
      </c>
      <c r="G319" s="43" t="str">
        <f t="shared" si="12"/>
        <v>(AttributeName="ChanceToCastMultisparkOnHit",Attribute=/Script/DSAbilitySystem.DungeonSiegeCastOnHitAttributeSet:ChanceToCastMultisparkOnHit,AttributeOwner=Class'"/Script/DSAbilitySystem.DungeonSiegeCastOnHitAttributeSet"')</v>
      </c>
      <c r="H319" s="43">
        <v>20</v>
      </c>
      <c r="I319" s="43" t="str">
        <f t="shared" si="13"/>
        <v>GE_Suffix_of_Multispark</v>
      </c>
      <c r="J319" s="43" t="str">
        <f t="shared" si="14"/>
        <v>/Game/DungeonSiege/Blueprints/GameplayAbilities/Affixes/GE_Suffix_of_Multispark</v>
      </c>
    </row>
    <row r="320" spans="1:10" ht="33.75" x14ac:dyDescent="0.25">
      <c r="A320" s="43">
        <v>318</v>
      </c>
      <c r="B320" s="43">
        <f>VLOOKUP(C320,CHOOSE({2,1},Suffix!B$2:B$412,Suffix!C$2:C$412),2,FALSE)</f>
        <v>101712276</v>
      </c>
      <c r="C320" s="43" t="s">
        <v>1712</v>
      </c>
      <c r="D320" s="43" t="s">
        <v>1713</v>
      </c>
      <c r="E320" s="43" t="str">
        <f>VLOOKUP(F320,CHOOSE({2,1},Attributes!B$3:B$130,Attributes!C$3:C$129),2,FALSE)</f>
        <v>DungeonSiegeCastOnHitAttributeSet</v>
      </c>
      <c r="F320" s="43" t="str">
        <f>Attributes!C107</f>
        <v>ChanceToCastStarburstOnHit</v>
      </c>
      <c r="G320" s="43" t="str">
        <f t="shared" si="12"/>
        <v>(AttributeName="ChanceToCastStarburstOnHit",Attribute=/Script/DSAbilitySystem.DungeonSiegeCastOnHitAttributeSet:ChanceToCastStarburstOnHit,AttributeOwner=Class'"/Script/DSAbilitySystem.DungeonSiegeCastOnHitAttributeSet"')</v>
      </c>
      <c r="H320" s="43">
        <v>15</v>
      </c>
      <c r="I320" s="43" t="str">
        <f t="shared" si="13"/>
        <v>GE_Suffix_of_Minor_Starburst</v>
      </c>
      <c r="J320" s="43" t="str">
        <f t="shared" si="14"/>
        <v>/Game/DungeonSiege/Blueprints/GameplayAbilities/Affixes/GE_Suffix_of_Minor_Starburst</v>
      </c>
    </row>
    <row r="321" spans="1:10" ht="33.75" x14ac:dyDescent="0.25">
      <c r="A321" s="43">
        <v>319</v>
      </c>
      <c r="B321" s="43">
        <f>VLOOKUP(C321,CHOOSE({2,1},Suffix!B$2:B$412,Suffix!C$2:C$412),2,FALSE)</f>
        <v>101712277</v>
      </c>
      <c r="C321" s="43" t="s">
        <v>1715</v>
      </c>
      <c r="D321" s="43" t="s">
        <v>278</v>
      </c>
      <c r="E321" s="43" t="str">
        <f>VLOOKUP(F321,CHOOSE({2,1},Attributes!B$3:B$130,Attributes!C$3:C$129),2,FALSE)</f>
        <v>DungeonSiegeExperienceAttributeSet</v>
      </c>
      <c r="F321" s="43" t="str">
        <f>Attributes!C3</f>
        <v>Strength</v>
      </c>
      <c r="G321" s="43" t="str">
        <f t="shared" si="12"/>
        <v>(AttributeName="Strength",Attribute=/Script/DSAbilitySystem.DungeonSiegeExperienceAttributeSet:Strength,AttributeOwner=Class'"/Script/DSAbilitySystem.DungeonSiegeExperienceAttributeSet"')</v>
      </c>
      <c r="H321" s="43">
        <v>3</v>
      </c>
      <c r="I321" s="43" t="str">
        <f t="shared" si="13"/>
        <v>GE_Suffix_of_Robustness</v>
      </c>
      <c r="J321" s="43" t="str">
        <f t="shared" si="14"/>
        <v>/Game/DungeonSiege/Blueprints/GameplayAbilities/Affixes/GE_Suffix_of_Robustness</v>
      </c>
    </row>
    <row r="322" spans="1:10" ht="33.75" x14ac:dyDescent="0.25">
      <c r="A322" s="43">
        <v>320</v>
      </c>
      <c r="B322" s="43">
        <f>VLOOKUP(C322,CHOOSE({2,1},Suffix!B$2:B$412,Suffix!C$2:C$412),2,FALSE)</f>
        <v>101712278</v>
      </c>
      <c r="C322" s="43" t="s">
        <v>136</v>
      </c>
      <c r="D322" s="43" t="s">
        <v>135</v>
      </c>
      <c r="E322" s="43" t="str">
        <f>VLOOKUP(F322,CHOOSE({2,1},Attributes!B$3:B$130,Attributes!C$3:C$129),2,FALSE)</f>
        <v>DungeonSiegeExperienceAttributeSet</v>
      </c>
      <c r="F322" s="43" t="str">
        <f>Attributes!C5</f>
        <v>Intelligence</v>
      </c>
      <c r="G322" s="43" t="str">
        <f t="shared" si="12"/>
        <v>(AttributeName="Intelligence",Attribute=/Script/DSAbilitySystem.DungeonSiegeExperienceAttributeSet:Intelligence,AttributeOwner=Class'"/Script/DSAbilitySystem.DungeonSiegeExperienceAttributeSet"')</v>
      </c>
      <c r="H322" s="43">
        <v>3</v>
      </c>
      <c r="I322" s="43" t="str">
        <f t="shared" si="13"/>
        <v>GE_Suffix_of_Knowledge</v>
      </c>
      <c r="J322" s="43" t="str">
        <f t="shared" si="14"/>
        <v>/Game/DungeonSiege/Blueprints/GameplayAbilities/Affixes/GE_Suffix_of_Knowledge</v>
      </c>
    </row>
    <row r="323" spans="1:10" ht="33.75" x14ac:dyDescent="0.25">
      <c r="A323" s="43">
        <v>321</v>
      </c>
      <c r="B323" s="43">
        <f>VLOOKUP(C323,CHOOSE({2,1},Suffix!B$2:B$412,Suffix!C$2:C$412),2,FALSE)</f>
        <v>101712279</v>
      </c>
      <c r="C323" s="43" t="s">
        <v>133</v>
      </c>
      <c r="D323" s="43" t="s">
        <v>132</v>
      </c>
      <c r="E323" s="43" t="str">
        <f>VLOOKUP(F323,CHOOSE({2,1},Attributes!B$3:B$130,Attributes!C$3:C$129),2,FALSE)</f>
        <v>DungeonSiegeManaAttributeSet</v>
      </c>
      <c r="F323" s="43" t="str">
        <f>Attributes!C90</f>
        <v>BaseManaBonus</v>
      </c>
      <c r="G323" s="43" t="str">
        <f t="shared" ref="G323:G386" si="19">CONCATENATE("(AttributeName=""",F323,""",Attribute=/Script/DSAbilitySystem."&amp; E323 &amp;":",F323,",AttributeOwner=Class'""/Script/DSAbilitySystem." &amp; E323 &amp; """')")</f>
        <v>(AttributeName="BaseManaBonus",Attribute=/Script/DSAbilitySystem.DungeonSiegeManaAttributeSet:BaseManaBonus,AttributeOwner=Class'"/Script/DSAbilitySystem.DungeonSiegeManaAttributeSet"')</v>
      </c>
      <c r="H323" s="43">
        <v>203</v>
      </c>
      <c r="I323" s="43" t="str">
        <f t="shared" si="13"/>
        <v>GE_Suffix_of_Recovery</v>
      </c>
      <c r="J323" s="43" t="str">
        <f t="shared" si="14"/>
        <v>/Game/DungeonSiege/Blueprints/GameplayAbilities/Affixes/GE_Suffix_of_Recovery</v>
      </c>
    </row>
    <row r="324" spans="1:10" s="23" customFormat="1" ht="33.75" x14ac:dyDescent="0.25">
      <c r="A324" s="43">
        <v>322</v>
      </c>
      <c r="B324" s="43">
        <f>VLOOKUP(C324,CHOOSE({2,1},Suffix!B$2:B$412,Suffix!C$2:C$412),2,FALSE)</f>
        <v>101712280</v>
      </c>
      <c r="C324" s="43" t="s">
        <v>1717</v>
      </c>
      <c r="D324" s="43" t="s">
        <v>1718</v>
      </c>
      <c r="E324" s="43" t="str">
        <f>VLOOKUP(F324,CHOOSE({2,1},Attributes!B$3:B$130,Attributes!C$3:C$129),2,FALSE)</f>
        <v>DungeonSiegeDamageAttributeSet</v>
      </c>
      <c r="F324" s="43" t="str">
        <f>Attributes!C25</f>
        <v>MinPiercingDamageMod</v>
      </c>
      <c r="G324" s="43" t="str">
        <f t="shared" si="19"/>
        <v>(AttributeName="MinPiercingDamageMod",Attribute=/Script/DSAbilitySystem.DungeonSiegeDamageAttributeSet:MinPiercingDamageMod,AttributeOwner=Class'"/Script/DSAbilitySystem.DungeonSiegeDamageAttributeSet"')</v>
      </c>
      <c r="H324" s="43">
        <v>8</v>
      </c>
      <c r="I324" s="43" t="str">
        <f t="shared" si="13"/>
        <v>GE_Suffix_of_Momentum</v>
      </c>
      <c r="J324" s="43" t="str">
        <f t="shared" si="14"/>
        <v>/Game/DungeonSiege/Blueprints/GameplayAbilities/Affixes/GE_Suffix_of_Momentum</v>
      </c>
    </row>
    <row r="325" spans="1:10" ht="33.75" x14ac:dyDescent="0.25">
      <c r="A325" s="43">
        <v>323</v>
      </c>
      <c r="B325" s="43">
        <f>VLOOKUP(C325,CHOOSE({2,1},Suffix!B$2:B$412,Suffix!C$2:C$412),2,FALSE)</f>
        <v>101712280</v>
      </c>
      <c r="C325" s="43" t="s">
        <v>1717</v>
      </c>
      <c r="D325" s="43" t="s">
        <v>1718</v>
      </c>
      <c r="E325" s="43" t="str">
        <f>VLOOKUP(F325,CHOOSE({2,1},Attributes!B$3:B$130,Attributes!C$3:C$129),2,FALSE)</f>
        <v>DungeonSiegeDamageAttributeSet</v>
      </c>
      <c r="F325" s="43" t="str">
        <f>Attributes!C26</f>
        <v>MaxPiercingDamageMod</v>
      </c>
      <c r="G325" s="43" t="str">
        <f t="shared" si="19"/>
        <v>(AttributeName="MaxPiercingDamageMod",Attribute=/Script/DSAbilitySystem.DungeonSiegeDamageAttributeSet:MaxPiercingDamageMod,AttributeOwner=Class'"/Script/DSAbilitySystem.DungeonSiegeDamageAttributeSet"')</v>
      </c>
      <c r="H325" s="43">
        <v>20</v>
      </c>
      <c r="I325" s="43" t="str">
        <f t="shared" si="13"/>
        <v>GE_Suffix_of_Momentum</v>
      </c>
      <c r="J325" s="43" t="str">
        <f t="shared" si="14"/>
        <v>/Game/DungeonSiege/Blueprints/GameplayAbilities/Affixes/GE_Suffix_of_Momentum</v>
      </c>
    </row>
    <row r="326" spans="1:10" ht="33.75" x14ac:dyDescent="0.25">
      <c r="A326" s="43">
        <v>324</v>
      </c>
      <c r="B326" s="43">
        <f>VLOOKUP(C326,CHOOSE({2,1},Suffix!B$2:B$412,Suffix!C$2:C$412),2,FALSE)</f>
        <v>101712281</v>
      </c>
      <c r="C326" s="43" t="s">
        <v>1720</v>
      </c>
      <c r="D326" s="43" t="s">
        <v>1721</v>
      </c>
      <c r="E326" s="43" t="str">
        <f>VLOOKUP(F326,CHOOSE({2,1},Attributes!B$3:B$130,Attributes!C$3:C$129),2,FALSE)</f>
        <v>DungeonSiegeMagicAttributeSet</v>
      </c>
      <c r="F326" s="43" t="str">
        <f>Attributes!C39</f>
        <v>NatureMagicMaxDamageMod</v>
      </c>
      <c r="G326" s="43" t="str">
        <f t="shared" si="19"/>
        <v>(AttributeName="NatureMagicMaxDamageMod",Attribute=/Script/DSAbilitySystem.DungeonSiegeMagicAttributeSet:NatureMagicMaxDamageMod,AttributeOwner=Class'"/Script/DSAbilitySystem.DungeonSiegeMagicAttributeSet"')</v>
      </c>
      <c r="H326" s="43">
        <v>8</v>
      </c>
      <c r="I326" s="43" t="str">
        <f t="shared" si="13"/>
        <v>GE_Suffix_of_Vastness</v>
      </c>
      <c r="J326" s="43" t="str">
        <f t="shared" si="14"/>
        <v>/Game/DungeonSiege/Blueprints/GameplayAbilities/Affixes/GE_Suffix_of_Vastness</v>
      </c>
    </row>
    <row r="327" spans="1:10" ht="33.75" x14ac:dyDescent="0.25">
      <c r="A327" s="43">
        <v>325</v>
      </c>
      <c r="B327" s="43">
        <f>VLOOKUP(C327,CHOOSE({2,1},Suffix!B$2:B$412,Suffix!C$2:C$412),2,FALSE)</f>
        <v>101712384</v>
      </c>
      <c r="C327" s="43" t="s">
        <v>1723</v>
      </c>
      <c r="D327" s="43" t="s">
        <v>1724</v>
      </c>
      <c r="E327" s="43" t="str">
        <f>VLOOKUP(F327,CHOOSE({2,1},Attributes!B$3:B$130,Attributes!C$3:C$129),2,FALSE)</f>
        <v>DungeonSiegeMagicAttributeSet</v>
      </c>
      <c r="F327" s="43" t="str">
        <f>Attributes!C42</f>
        <v>CombatMagicMaxDamageMod</v>
      </c>
      <c r="G327" s="43" t="str">
        <f t="shared" si="19"/>
        <v>(AttributeName="CombatMagicMaxDamageMod",Attribute=/Script/DSAbilitySystem.DungeonSiegeMagicAttributeSet:CombatMagicMaxDamageMod,AttributeOwner=Class'"/Script/DSAbilitySystem.DungeonSiegeMagicAttributeSet"')</v>
      </c>
      <c r="H327" s="43">
        <v>8</v>
      </c>
      <c r="I327" s="43" t="str">
        <f t="shared" si="13"/>
        <v>GE_Suffix_of_Rivalry</v>
      </c>
      <c r="J327" s="43" t="str">
        <f t="shared" si="14"/>
        <v>/Game/DungeonSiege/Blueprints/GameplayAbilities/Affixes/GE_Suffix_of_Rivalry</v>
      </c>
    </row>
    <row r="328" spans="1:10" s="23" customFormat="1" ht="33.75" x14ac:dyDescent="0.25">
      <c r="A328" s="43">
        <v>326</v>
      </c>
      <c r="B328" s="43">
        <f>VLOOKUP(C328,CHOOSE({2,1},Suffix!B$2:B$412,Suffix!C$2:C$412),2,FALSE)</f>
        <v>101712385</v>
      </c>
      <c r="C328" s="43" t="s">
        <v>1726</v>
      </c>
      <c r="D328" s="43" t="s">
        <v>1727</v>
      </c>
      <c r="E328" s="43" t="str">
        <f>VLOOKUP(F328,CHOOSE({2,1},Attributes!B$3:B$130,Attributes!C$3:C$129),2,FALSE)</f>
        <v>DungeonSiegeMagicAttributeSet</v>
      </c>
      <c r="F328" s="43" t="str">
        <f>Attributes!C38</f>
        <v>NatureMagicMinDamageMod</v>
      </c>
      <c r="G328" s="43" t="str">
        <f t="shared" si="19"/>
        <v>(AttributeName="NatureMagicMinDamageMod",Attribute=/Script/DSAbilitySystem.DungeonSiegeMagicAttributeSet:NatureMagicMinDamageMod,AttributeOwner=Class'"/Script/DSAbilitySystem.DungeonSiegeMagicAttributeSet"')</v>
      </c>
      <c r="H328" s="43">
        <v>5</v>
      </c>
      <c r="I328" s="43" t="str">
        <f t="shared" ref="I328:I391" si="20">CONCATENATE("GE_Suffix_", SUBSTITUTE(C328," ","_"))</f>
        <v>GE_Suffix_of_Vitality</v>
      </c>
      <c r="J328" s="43" t="str">
        <f t="shared" ref="J328:J391" si="21">"/Game/DungeonSiege/Blueprints/GameplayAbilities/Affixes/" &amp;I328</f>
        <v>/Game/DungeonSiege/Blueprints/GameplayAbilities/Affixes/GE_Suffix_of_Vitality</v>
      </c>
    </row>
    <row r="329" spans="1:10" ht="33.75" x14ac:dyDescent="0.25">
      <c r="A329" s="43">
        <v>327</v>
      </c>
      <c r="B329" s="43">
        <f>VLOOKUP(C329,CHOOSE({2,1},Suffix!B$2:B$412,Suffix!C$2:C$412),2,FALSE)</f>
        <v>101712385</v>
      </c>
      <c r="C329" s="43" t="s">
        <v>1726</v>
      </c>
      <c r="D329" s="43" t="s">
        <v>1727</v>
      </c>
      <c r="E329" s="43" t="str">
        <f>VLOOKUP(F329,CHOOSE({2,1},Attributes!B$3:B$130,Attributes!C$3:C$129),2,FALSE)</f>
        <v>DungeonSiegeMagicAttributeSet</v>
      </c>
      <c r="F329" s="43" t="str">
        <f>Attributes!C39</f>
        <v>NatureMagicMaxDamageMod</v>
      </c>
      <c r="G329" s="43" t="str">
        <f t="shared" si="19"/>
        <v>(AttributeName="NatureMagicMaxDamageMod",Attribute=/Script/DSAbilitySystem.DungeonSiegeMagicAttributeSet:NatureMagicMaxDamageMod,AttributeOwner=Class'"/Script/DSAbilitySystem.DungeonSiegeMagicAttributeSet"')</v>
      </c>
      <c r="H329" s="43">
        <v>15</v>
      </c>
      <c r="I329" s="43" t="str">
        <f t="shared" si="20"/>
        <v>GE_Suffix_of_Vitality</v>
      </c>
      <c r="J329" s="43" t="str">
        <f t="shared" si="21"/>
        <v>/Game/DungeonSiege/Blueprints/GameplayAbilities/Affixes/GE_Suffix_of_Vitality</v>
      </c>
    </row>
    <row r="330" spans="1:10" s="23" customFormat="1" ht="33.75" x14ac:dyDescent="0.25">
      <c r="A330" s="43">
        <v>328</v>
      </c>
      <c r="B330" s="43">
        <f>VLOOKUP(C330,CHOOSE({2,1},Suffix!B$2:B$412,Suffix!C$2:C$412),2,FALSE)</f>
        <v>101712386</v>
      </c>
      <c r="C330" s="43" t="s">
        <v>1729</v>
      </c>
      <c r="D330" s="43" t="s">
        <v>1730</v>
      </c>
      <c r="E330" s="43" t="str">
        <f>VLOOKUP(F330,CHOOSE({2,1},Attributes!B$3:B$130,Attributes!C$3:C$129),2,FALSE)</f>
        <v>DungeonSiegeMagicAttributeSet</v>
      </c>
      <c r="F330" s="43" t="str">
        <f>Attributes!C41</f>
        <v>CombatMagicMinDamageMod</v>
      </c>
      <c r="G330" s="43" t="str">
        <f t="shared" si="19"/>
        <v>(AttributeName="CombatMagicMinDamageMod",Attribute=/Script/DSAbilitySystem.DungeonSiegeMagicAttributeSet:CombatMagicMinDamageMod,AttributeOwner=Class'"/Script/DSAbilitySystem.DungeonSiegeMagicAttributeSet"')</v>
      </c>
      <c r="H330" s="43">
        <v>5</v>
      </c>
      <c r="I330" s="43" t="str">
        <f t="shared" si="20"/>
        <v>GE_Suffix_of_Disparity</v>
      </c>
      <c r="J330" s="43" t="str">
        <f t="shared" si="21"/>
        <v>/Game/DungeonSiege/Blueprints/GameplayAbilities/Affixes/GE_Suffix_of_Disparity</v>
      </c>
    </row>
    <row r="331" spans="1:10" ht="33.75" x14ac:dyDescent="0.25">
      <c r="A331" s="43">
        <v>329</v>
      </c>
      <c r="B331" s="43">
        <f>VLOOKUP(C331,CHOOSE({2,1},Suffix!B$2:B$412,Suffix!C$2:C$412),2,FALSE)</f>
        <v>101712386</v>
      </c>
      <c r="C331" s="43" t="s">
        <v>1729</v>
      </c>
      <c r="D331" s="43" t="s">
        <v>1730</v>
      </c>
      <c r="E331" s="43" t="str">
        <f>VLOOKUP(F331,CHOOSE({2,1},Attributes!B$3:B$130,Attributes!C$3:C$129),2,FALSE)</f>
        <v>DungeonSiegeMagicAttributeSet</v>
      </c>
      <c r="F331" s="43" t="str">
        <f>Attributes!C42</f>
        <v>CombatMagicMaxDamageMod</v>
      </c>
      <c r="G331" s="43" t="str">
        <f t="shared" si="19"/>
        <v>(AttributeName="CombatMagicMaxDamageMod",Attribute=/Script/DSAbilitySystem.DungeonSiegeMagicAttributeSet:CombatMagicMaxDamageMod,AttributeOwner=Class'"/Script/DSAbilitySystem.DungeonSiegeMagicAttributeSet"')</v>
      </c>
      <c r="H331" s="43">
        <v>15</v>
      </c>
      <c r="I331" s="43" t="str">
        <f t="shared" si="20"/>
        <v>GE_Suffix_of_Disparity</v>
      </c>
      <c r="J331" s="43" t="str">
        <f t="shared" si="21"/>
        <v>/Game/DungeonSiege/Blueprints/GameplayAbilities/Affixes/GE_Suffix_of_Disparity</v>
      </c>
    </row>
    <row r="332" spans="1:10" s="23" customFormat="1" ht="33.75" x14ac:dyDescent="0.25">
      <c r="A332" s="43">
        <v>330</v>
      </c>
      <c r="B332" s="43">
        <f>VLOOKUP(C332,CHOOSE({2,1},Suffix!B$2:B$412,Suffix!C$2:C$412),2,FALSE)</f>
        <v>101712387</v>
      </c>
      <c r="C332" s="43" t="s">
        <v>1732</v>
      </c>
      <c r="D332" s="43" t="s">
        <v>1733</v>
      </c>
      <c r="E332" s="43" t="str">
        <f>VLOOKUP(F332,CHOOSE({2,1},Attributes!B$3:B$130,Attributes!C$3:C$129),2,FALSE)</f>
        <v>DungeonSiegeElementalAttributeSet</v>
      </c>
      <c r="F332" s="43" t="str">
        <f>Attributes!C103</f>
        <v>FireDamageMinDamageMod</v>
      </c>
      <c r="G332" s="43" t="str">
        <f t="shared" si="19"/>
        <v>(AttributeName="FireDamageMinDamageMod",Attribute=/Script/DSAbilitySystem.DungeonSiegeElementalAttributeSet:FireDamageMinDamageMod,AttributeOwner=Class'"/Script/DSAbilitySystem.DungeonSiegeElementalAttributeSet"')</v>
      </c>
      <c r="H332" s="43">
        <v>16</v>
      </c>
      <c r="I332" s="43" t="str">
        <f t="shared" si="20"/>
        <v>GE_Suffix_of_Scorching</v>
      </c>
      <c r="J332" s="43" t="str">
        <f t="shared" si="21"/>
        <v>/Game/DungeonSiege/Blueprints/GameplayAbilities/Affixes/GE_Suffix_of_Scorching</v>
      </c>
    </row>
    <row r="333" spans="1:10" ht="33.75" x14ac:dyDescent="0.25">
      <c r="A333" s="43">
        <v>331</v>
      </c>
      <c r="B333" s="43">
        <f>VLOOKUP(C333,CHOOSE({2,1},Suffix!B$2:B$412,Suffix!C$2:C$412),2,FALSE)</f>
        <v>101712387</v>
      </c>
      <c r="C333" s="43" t="s">
        <v>1732</v>
      </c>
      <c r="D333" s="43" t="s">
        <v>1733</v>
      </c>
      <c r="E333" s="43" t="str">
        <f>VLOOKUP(F333,CHOOSE({2,1},Attributes!B$3:B$130,Attributes!C$3:C$129),2,FALSE)</f>
        <v>DungeonSiegeElementalAttributeSet</v>
      </c>
      <c r="F333" s="43" t="str">
        <f>Attributes!C104</f>
        <v>FireDamageMaxDamageMod</v>
      </c>
      <c r="G333" s="43" t="str">
        <f t="shared" si="19"/>
        <v>(AttributeName="FireDamageMaxDamageMod",Attribute=/Script/DSAbilitySystem.DungeonSiegeElementalAttributeSet:FireDamageMaxDamageMod,AttributeOwner=Class'"/Script/DSAbilitySystem.DungeonSiegeElementalAttributeSet"')</v>
      </c>
      <c r="H333" s="43">
        <v>34</v>
      </c>
      <c r="I333" s="43" t="str">
        <f t="shared" si="20"/>
        <v>GE_Suffix_of_Scorching</v>
      </c>
      <c r="J333" s="43" t="str">
        <f t="shared" si="21"/>
        <v>/Game/DungeonSiege/Blueprints/GameplayAbilities/Affixes/GE_Suffix_of_Scorching</v>
      </c>
    </row>
    <row r="334" spans="1:10" s="23" customFormat="1" ht="33.75" x14ac:dyDescent="0.25">
      <c r="A334" s="43">
        <v>332</v>
      </c>
      <c r="B334" s="43">
        <f>VLOOKUP(C334,CHOOSE({2,1},Suffix!B$2:B$412,Suffix!C$2:C$412),2,FALSE)</f>
        <v>101712388</v>
      </c>
      <c r="C334" s="43" t="s">
        <v>1735</v>
      </c>
      <c r="D334" s="43" t="s">
        <v>1736</v>
      </c>
      <c r="E334" s="43" t="str">
        <f>VLOOKUP(F334,CHOOSE({2,1},Attributes!B$3:B$130,Attributes!C$3:C$129),2,FALSE)</f>
        <v>DungeonSiegeElementalAttributeSet</v>
      </c>
      <c r="F334" s="43" t="str">
        <f>Attributes!C103</f>
        <v>FireDamageMinDamageMod</v>
      </c>
      <c r="G334" s="43" t="str">
        <f t="shared" si="19"/>
        <v>(AttributeName="FireDamageMinDamageMod",Attribute=/Script/DSAbilitySystem.DungeonSiegeElementalAttributeSet:FireDamageMinDamageMod,AttributeOwner=Class'"/Script/DSAbilitySystem.DungeonSiegeElementalAttributeSet"')</v>
      </c>
      <c r="H334" s="43">
        <v>11</v>
      </c>
      <c r="I334" s="43" t="str">
        <f t="shared" si="20"/>
        <v>GE_Suffix_of_Coals</v>
      </c>
      <c r="J334" s="43" t="str">
        <f t="shared" si="21"/>
        <v>/Game/DungeonSiege/Blueprints/GameplayAbilities/Affixes/GE_Suffix_of_Coals</v>
      </c>
    </row>
    <row r="335" spans="1:10" ht="33.75" x14ac:dyDescent="0.25">
      <c r="A335" s="43">
        <v>333</v>
      </c>
      <c r="B335" s="43">
        <f>VLOOKUP(C335,CHOOSE({2,1},Suffix!B$2:B$412,Suffix!C$2:C$412),2,FALSE)</f>
        <v>101712388</v>
      </c>
      <c r="C335" s="43" t="s">
        <v>1735</v>
      </c>
      <c r="D335" s="43" t="s">
        <v>1736</v>
      </c>
      <c r="E335" s="43" t="str">
        <f>VLOOKUP(F335,CHOOSE({2,1},Attributes!B$3:B$130,Attributes!C$3:C$129),2,FALSE)</f>
        <v>DungeonSiegeElementalAttributeSet</v>
      </c>
      <c r="F335" s="43" t="str">
        <f>Attributes!C104</f>
        <v>FireDamageMaxDamageMod</v>
      </c>
      <c r="G335" s="43" t="str">
        <f t="shared" si="19"/>
        <v>(AttributeName="FireDamageMaxDamageMod",Attribute=/Script/DSAbilitySystem.DungeonSiegeElementalAttributeSet:FireDamageMaxDamageMod,AttributeOwner=Class'"/Script/DSAbilitySystem.DungeonSiegeElementalAttributeSet"')</v>
      </c>
      <c r="H335" s="43">
        <v>24</v>
      </c>
      <c r="I335" s="43" t="str">
        <f t="shared" si="20"/>
        <v>GE_Suffix_of_Coals</v>
      </c>
      <c r="J335" s="43" t="str">
        <f t="shared" si="21"/>
        <v>/Game/DungeonSiege/Blueprints/GameplayAbilities/Affixes/GE_Suffix_of_Coals</v>
      </c>
    </row>
    <row r="336" spans="1:10" ht="33.75" x14ac:dyDescent="0.25">
      <c r="A336" s="43">
        <v>334</v>
      </c>
      <c r="B336" s="43">
        <f>VLOOKUP(C336,CHOOSE({2,1},Suffix!B$2:B$412,Suffix!C$2:C$412),2,FALSE)</f>
        <v>101712389</v>
      </c>
      <c r="C336" s="43" t="s">
        <v>1738</v>
      </c>
      <c r="D336" s="43" t="s">
        <v>129</v>
      </c>
      <c r="E336" s="43" t="str">
        <f>VLOOKUP(F336,CHOOSE({2,1},Attributes!B$3:B$130,Attributes!C$3:C$129),2,FALSE)</f>
        <v>DungeonSiegeMagicAttributeSet</v>
      </c>
      <c r="F336" s="43" t="str">
        <f>Attributes!C46</f>
        <v>ColdSpellCostReduction</v>
      </c>
      <c r="G336" s="43" t="str">
        <f t="shared" si="19"/>
        <v>(AttributeName="ColdSpellCostReduction",Attribute=/Script/DSAbilitySystem.DungeonSiegeMagicAttributeSet:ColdSpellCostReduction,AttributeOwner=Class'"/Script/DSAbilitySystem.DungeonSiegeMagicAttributeSet"')</v>
      </c>
      <c r="H336" s="43">
        <v>15</v>
      </c>
      <c r="I336" s="43" t="str">
        <f t="shared" si="20"/>
        <v>GE_Suffix_of_The_Frigid</v>
      </c>
      <c r="J336" s="43" t="str">
        <f t="shared" si="21"/>
        <v>/Game/DungeonSiege/Blueprints/GameplayAbilities/Affixes/GE_Suffix_of_The_Frigid</v>
      </c>
    </row>
    <row r="337" spans="1:10" ht="33.75" x14ac:dyDescent="0.25">
      <c r="A337" s="43">
        <v>335</v>
      </c>
      <c r="B337" s="43">
        <f>VLOOKUP(C337,CHOOSE({2,1},Suffix!B$2:B$412,Suffix!C$2:C$412),2,FALSE)</f>
        <v>101712390</v>
      </c>
      <c r="C337" s="43" t="s">
        <v>1739</v>
      </c>
      <c r="D337" s="43" t="s">
        <v>126</v>
      </c>
      <c r="E337" s="43" t="str">
        <f>VLOOKUP(F337,CHOOSE({2,1},Attributes!B$3:B$130,Attributes!C$3:C$129),2,FALSE)</f>
        <v>DungeonSiegeMagicAttributeSet</v>
      </c>
      <c r="F337" s="43" t="str">
        <f>Attributes!C49</f>
        <v>FireSpellCostReduction</v>
      </c>
      <c r="G337" s="43" t="str">
        <f t="shared" si="19"/>
        <v>(AttributeName="FireSpellCostReduction",Attribute=/Script/DSAbilitySystem.DungeonSiegeMagicAttributeSet:FireSpellCostReduction,AttributeOwner=Class'"/Script/DSAbilitySystem.DungeonSiegeMagicAttributeSet"')</v>
      </c>
      <c r="H337" s="43">
        <v>15</v>
      </c>
      <c r="I337" s="43" t="str">
        <f t="shared" si="20"/>
        <v>GE_Suffix_of_The_Fire</v>
      </c>
      <c r="J337" s="43" t="str">
        <f t="shared" si="21"/>
        <v>/Game/DungeonSiege/Blueprints/GameplayAbilities/Affixes/GE_Suffix_of_The_Fire</v>
      </c>
    </row>
    <row r="338" spans="1:10" ht="33.75" x14ac:dyDescent="0.25">
      <c r="A338" s="43">
        <v>336</v>
      </c>
      <c r="B338" s="43">
        <f>VLOOKUP(C338,CHOOSE({2,1},Suffix!B$2:B$412,Suffix!C$2:C$412),2,FALSE)</f>
        <v>101712391</v>
      </c>
      <c r="C338" s="43" t="s">
        <v>1740</v>
      </c>
      <c r="D338" s="43" t="s">
        <v>123</v>
      </c>
      <c r="E338" s="43" t="str">
        <f>VLOOKUP(F338,CHOOSE({2,1},Attributes!B$3:B$130,Attributes!C$3:C$129),2,FALSE)</f>
        <v>DungeonSiegeMagicAttributeSet</v>
      </c>
      <c r="F338" s="43" t="str">
        <f>Attributes!C97</f>
        <v>LightningSpellCostReduction</v>
      </c>
      <c r="G338" s="43" t="str">
        <f t="shared" si="19"/>
        <v>(AttributeName="LightningSpellCostReduction",Attribute=/Script/DSAbilitySystem.DungeonSiegeMagicAttributeSet:LightningSpellCostReduction,AttributeOwner=Class'"/Script/DSAbilitySystem.DungeonSiegeMagicAttributeSet"')</v>
      </c>
      <c r="H338" s="43">
        <v>15</v>
      </c>
      <c r="I338" s="43" t="str">
        <f t="shared" si="20"/>
        <v>GE_Suffix_of_The_Spark</v>
      </c>
      <c r="J338" s="43" t="str">
        <f t="shared" si="21"/>
        <v>/Game/DungeonSiege/Blueprints/GameplayAbilities/Affixes/GE_Suffix_of_The_Spark</v>
      </c>
    </row>
    <row r="339" spans="1:10" ht="33.75" x14ac:dyDescent="0.25">
      <c r="A339" s="43">
        <v>337</v>
      </c>
      <c r="B339" s="43">
        <f>VLOOKUP(C339,CHOOSE({2,1},Suffix!B$2:B$412,Suffix!C$2:C$412),2,FALSE)</f>
        <v>101712392</v>
      </c>
      <c r="C339" s="43" t="s">
        <v>121</v>
      </c>
      <c r="D339" s="43" t="s">
        <v>120</v>
      </c>
      <c r="E339" s="43" t="str">
        <f>VLOOKUP(F339,CHOOSE({2,1},Attributes!B$3:B$130,Attributes!C$3:C$129),2,FALSE)</f>
        <v>DungeonSiegeMagicAttributeSet</v>
      </c>
      <c r="F339" s="43" t="str">
        <f>Attributes!C98</f>
        <v>SummoningSpellCostReduction</v>
      </c>
      <c r="G339" s="43" t="str">
        <f t="shared" si="19"/>
        <v>(AttributeName="SummoningSpellCostReduction",Attribute=/Script/DSAbilitySystem.DungeonSiegeMagicAttributeSet:SummoningSpellCostReduction,AttributeOwner=Class'"/Script/DSAbilitySystem.DungeonSiegeMagicAttributeSet"')</v>
      </c>
      <c r="H339" s="43">
        <v>15</v>
      </c>
      <c r="I339" s="43" t="str">
        <f t="shared" si="20"/>
        <v>GE_Suffix_of_Commanding</v>
      </c>
      <c r="J339" s="43" t="str">
        <f t="shared" si="21"/>
        <v>/Game/DungeonSiege/Blueprints/GameplayAbilities/Affixes/GE_Suffix_of_Commanding</v>
      </c>
    </row>
    <row r="340" spans="1:10" ht="33.75" x14ac:dyDescent="0.25">
      <c r="A340" s="43">
        <v>338</v>
      </c>
      <c r="B340" s="43">
        <f>VLOOKUP(C340,CHOOSE({2,1},Suffix!B$2:B$412,Suffix!C$2:C$412),2,FALSE)</f>
        <v>101712393</v>
      </c>
      <c r="C340" s="43" t="s">
        <v>118</v>
      </c>
      <c r="D340" s="43" t="s">
        <v>117</v>
      </c>
      <c r="E340" s="43" t="str">
        <f>VLOOKUP(F340,CHOOSE({2,1},Attributes!B$3:B$130,Attributes!C$3:C$129),2,FALSE)</f>
        <v>DungeonSiegeMagicAttributeSet</v>
      </c>
      <c r="F340" s="43" t="str">
        <f>Attributes!C99</f>
        <v>HealingSpellCostReduction</v>
      </c>
      <c r="G340" s="43" t="str">
        <f t="shared" si="19"/>
        <v>(AttributeName="HealingSpellCostReduction",Attribute=/Script/DSAbilitySystem.DungeonSiegeMagicAttributeSet:HealingSpellCostReduction,AttributeOwner=Class'"/Script/DSAbilitySystem.DungeonSiegeMagicAttributeSet"')</v>
      </c>
      <c r="H340" s="43">
        <v>15</v>
      </c>
      <c r="I340" s="43" t="str">
        <f t="shared" si="20"/>
        <v>GE_Suffix_of_Mercy</v>
      </c>
      <c r="J340" s="43" t="str">
        <f t="shared" si="21"/>
        <v>/Game/DungeonSiege/Blueprints/GameplayAbilities/Affixes/GE_Suffix_of_Mercy</v>
      </c>
    </row>
    <row r="341" spans="1:10" ht="33.75" x14ac:dyDescent="0.25">
      <c r="A341" s="43">
        <v>339</v>
      </c>
      <c r="B341" s="43">
        <f>VLOOKUP(C341,CHOOSE({2,1},Suffix!B$2:B$412,Suffix!C$2:C$412),2,FALSE)</f>
        <v>101712400</v>
      </c>
      <c r="C341" s="43" t="s">
        <v>1741</v>
      </c>
      <c r="D341" s="43" t="s">
        <v>1742</v>
      </c>
      <c r="E341" s="43" t="str">
        <f>VLOOKUP(F341,CHOOSE({2,1},Attributes!B$3:B$130,Attributes!C$3:C$129),2,FALSE)</f>
        <v>DungeonSiegeCastOnHitAttributeSet</v>
      </c>
      <c r="F341" s="43" t="str">
        <f>Attributes!C113</f>
        <v>ChanceToCastFireskullOnHit</v>
      </c>
      <c r="G341" s="43" t="str">
        <f t="shared" si="19"/>
        <v>(AttributeName="ChanceToCastFireskullOnHit",Attribute=/Script/DSAbilitySystem.DungeonSiegeCastOnHitAttributeSet:ChanceToCastFireskullOnHit,AttributeOwner=Class'"/Script/DSAbilitySystem.DungeonSiegeCastOnHitAttributeSet"')</v>
      </c>
      <c r="H341" s="43">
        <v>30</v>
      </c>
      <c r="I341" s="43" t="str">
        <f t="shared" si="20"/>
        <v>GE_Suffix_of_Greater_Fireskull</v>
      </c>
      <c r="J341" s="43" t="str">
        <f t="shared" si="21"/>
        <v>/Game/DungeonSiege/Blueprints/GameplayAbilities/Affixes/GE_Suffix_of_Greater_Fireskull</v>
      </c>
    </row>
    <row r="342" spans="1:10" s="23" customFormat="1" ht="33.75" x14ac:dyDescent="0.25">
      <c r="A342" s="43">
        <v>340</v>
      </c>
      <c r="B342" s="43">
        <f>VLOOKUP(C342,CHOOSE({2,1},Suffix!B$2:B$412,Suffix!C$2:C$412),2,FALSE)</f>
        <v>101712401</v>
      </c>
      <c r="C342" s="43" t="s">
        <v>1744</v>
      </c>
      <c r="D342" s="43" t="s">
        <v>227</v>
      </c>
      <c r="E342" s="43" t="str">
        <f>VLOOKUP(F342,CHOOSE({2,1},Attributes!B$3:B$130,Attributes!C$3:C$129),2,FALSE)</f>
        <v>DungeonSiegeExperienceAttributeSet</v>
      </c>
      <c r="F342" s="43" t="str">
        <f>Attributes!C3</f>
        <v>Strength</v>
      </c>
      <c r="G342" s="43" t="str">
        <f t="shared" si="19"/>
        <v>(AttributeName="Strength",Attribute=/Script/DSAbilitySystem.DungeonSiegeExperienceAttributeSet:Strength,AttributeOwner=Class'"/Script/DSAbilitySystem.DungeonSiegeExperienceAttributeSet"')</v>
      </c>
      <c r="H342" s="43">
        <v>1</v>
      </c>
      <c r="I342" s="43" t="str">
        <f t="shared" si="20"/>
        <v>GE_Suffix_of_Courage</v>
      </c>
      <c r="J342" s="43" t="str">
        <f t="shared" si="21"/>
        <v>/Game/DungeonSiege/Blueprints/GameplayAbilities/Affixes/GE_Suffix_of_Courage</v>
      </c>
    </row>
    <row r="343" spans="1:10" s="23" customFormat="1" ht="33.75" x14ac:dyDescent="0.25">
      <c r="A343" s="43">
        <v>341</v>
      </c>
      <c r="B343" s="43">
        <f>VLOOKUP(C343,CHOOSE({2,1},Suffix!B$2:B$412,Suffix!C$2:C$412),2,FALSE)</f>
        <v>101712401</v>
      </c>
      <c r="C343" s="43" t="s">
        <v>1744</v>
      </c>
      <c r="D343" s="43" t="s">
        <v>87</v>
      </c>
      <c r="E343" s="43" t="str">
        <f>VLOOKUP(F343,CHOOSE({2,1},Attributes!B$3:B$130,Attributes!C$3:C$129),2,FALSE)</f>
        <v>DungeonSiegeExperienceAttributeSet</v>
      </c>
      <c r="F343" s="43" t="str">
        <f>Attributes!C4</f>
        <v>Dexterity</v>
      </c>
      <c r="G343" s="43" t="str">
        <f t="shared" si="19"/>
        <v>(AttributeName="Dexterity",Attribute=/Script/DSAbilitySystem.DungeonSiegeExperienceAttributeSet:Dexterity,AttributeOwner=Class'"/Script/DSAbilitySystem.DungeonSiegeExperienceAttributeSet"')</v>
      </c>
      <c r="H343" s="43">
        <v>2</v>
      </c>
      <c r="I343" s="43" t="str">
        <f t="shared" si="20"/>
        <v>GE_Suffix_of_Courage</v>
      </c>
      <c r="J343" s="43" t="str">
        <f t="shared" si="21"/>
        <v>/Game/DungeonSiege/Blueprints/GameplayAbilities/Affixes/GE_Suffix_of_Courage</v>
      </c>
    </row>
    <row r="344" spans="1:10" ht="33.75" x14ac:dyDescent="0.25">
      <c r="A344" s="43">
        <v>342</v>
      </c>
      <c r="B344" s="43">
        <f>VLOOKUP(C344,CHOOSE({2,1},Suffix!B$2:B$412,Suffix!C$2:C$412),2,FALSE)</f>
        <v>101712401</v>
      </c>
      <c r="C344" s="43" t="s">
        <v>1744</v>
      </c>
      <c r="D344" s="43" t="s">
        <v>75</v>
      </c>
      <c r="E344" s="43" t="str">
        <f>VLOOKUP(F344,CHOOSE({2,1},Attributes!B$3:B$130,Attributes!C$3:C$129),2,FALSE)</f>
        <v>DungeonSiegeExperienceAttributeSet</v>
      </c>
      <c r="F344" s="43" t="str">
        <f>Attributes!C5</f>
        <v>Intelligence</v>
      </c>
      <c r="G344" s="43" t="str">
        <f t="shared" si="19"/>
        <v>(AttributeName="Intelligence",Attribute=/Script/DSAbilitySystem.DungeonSiegeExperienceAttributeSet:Intelligence,AttributeOwner=Class'"/Script/DSAbilitySystem.DungeonSiegeExperienceAttributeSet"')</v>
      </c>
      <c r="H344" s="43">
        <v>1</v>
      </c>
      <c r="I344" s="43" t="str">
        <f t="shared" si="20"/>
        <v>GE_Suffix_of_Courage</v>
      </c>
      <c r="J344" s="43" t="str">
        <f t="shared" si="21"/>
        <v>/Game/DungeonSiege/Blueprints/GameplayAbilities/Affixes/GE_Suffix_of_Courage</v>
      </c>
    </row>
    <row r="345" spans="1:10" ht="33.75" x14ac:dyDescent="0.25">
      <c r="A345" s="43">
        <v>343</v>
      </c>
      <c r="B345" s="43">
        <f>VLOOKUP(C345,CHOOSE({2,1},Suffix!B$2:B$412,Suffix!C$2:C$412),2,FALSE)</f>
        <v>101712402</v>
      </c>
      <c r="C345" s="43" t="s">
        <v>1746</v>
      </c>
      <c r="D345" s="43" t="s">
        <v>1747</v>
      </c>
      <c r="E345" s="43" t="str">
        <f>VLOOKUP(F345,CHOOSE({2,1},Attributes!B$3:B$130,Attributes!C$3:C$129),2,FALSE)</f>
        <v>DungeonSiegeCastOnHitAttributeSet</v>
      </c>
      <c r="F345" s="43" t="str">
        <f>Attributes!C108</f>
        <v>ChanceToCastLightrayOnHit</v>
      </c>
      <c r="G345" s="43" t="str">
        <f t="shared" si="19"/>
        <v>(AttributeName="ChanceToCastLightrayOnHit",Attribute=/Script/DSAbilitySystem.DungeonSiegeCastOnHitAttributeSet:ChanceToCastLightrayOnHit,AttributeOwner=Class'"/Script/DSAbilitySystem.DungeonSiegeCastOnHitAttributeSet"')</v>
      </c>
      <c r="H345" s="43">
        <v>15</v>
      </c>
      <c r="I345" s="43" t="str">
        <f t="shared" si="20"/>
        <v>GE_Suffix_of_Minor_Lightray</v>
      </c>
      <c r="J345" s="43" t="str">
        <f t="shared" si="21"/>
        <v>/Game/DungeonSiege/Blueprints/GameplayAbilities/Affixes/GE_Suffix_of_Minor_Lightray</v>
      </c>
    </row>
    <row r="346" spans="1:10" s="23" customFormat="1" ht="33.75" x14ac:dyDescent="0.25">
      <c r="A346" s="43">
        <v>344</v>
      </c>
      <c r="B346" s="43">
        <f>VLOOKUP(C346,CHOOSE({2,1},Suffix!B$2:B$412,Suffix!C$2:C$412),2,FALSE)</f>
        <v>101712403</v>
      </c>
      <c r="C346" s="43" t="s">
        <v>1749</v>
      </c>
      <c r="D346" s="43" t="s">
        <v>227</v>
      </c>
      <c r="E346" s="43" t="str">
        <f>VLOOKUP(F346,CHOOSE({2,1},Attributes!B$3:B$130,Attributes!C$3:C$129),2,FALSE)</f>
        <v>DungeonSiegeExperienceAttributeSet</v>
      </c>
      <c r="F346" s="43" t="str">
        <f>Attributes!C3</f>
        <v>Strength</v>
      </c>
      <c r="G346" s="43" t="str">
        <f t="shared" si="19"/>
        <v>(AttributeName="Strength",Attribute=/Script/DSAbilitySystem.DungeonSiegeExperienceAttributeSet:Strength,AttributeOwner=Class'"/Script/DSAbilitySystem.DungeonSiegeExperienceAttributeSet"')</v>
      </c>
      <c r="H346" s="43">
        <v>1</v>
      </c>
      <c r="I346" s="43" t="str">
        <f t="shared" si="20"/>
        <v>GE_Suffix_of_Valor</v>
      </c>
      <c r="J346" s="43" t="str">
        <f t="shared" si="21"/>
        <v>/Game/DungeonSiege/Blueprints/GameplayAbilities/Affixes/GE_Suffix_of_Valor</v>
      </c>
    </row>
    <row r="347" spans="1:10" s="23" customFormat="1" ht="33.75" x14ac:dyDescent="0.25">
      <c r="A347" s="43">
        <v>345</v>
      </c>
      <c r="B347" s="43">
        <f>VLOOKUP(C347,CHOOSE({2,1},Suffix!B$2:B$412,Suffix!C$2:C$412),2,FALSE)</f>
        <v>101712403</v>
      </c>
      <c r="C347" s="43" t="s">
        <v>1749</v>
      </c>
      <c r="D347" s="43" t="s">
        <v>3191</v>
      </c>
      <c r="E347" s="43" t="str">
        <f>VLOOKUP(F347,CHOOSE({2,1},Attributes!B$3:B$130,Attributes!C$3:C$129),2,FALSE)</f>
        <v>DungeonSiegeHealthAttributeSet</v>
      </c>
      <c r="F347" s="43" t="str">
        <f>Attributes!C82</f>
        <v>BaseHealthBonus</v>
      </c>
      <c r="G347" s="43" t="str">
        <f t="shared" si="19"/>
        <v>(AttributeName="BaseHealthBonus",Attribute=/Script/DSAbilitySystem.DungeonSiegeHealthAttributeSet:BaseHealthBonus,AttributeOwner=Class'"/Script/DSAbilitySystem.DungeonSiegeHealthAttributeSet"')</v>
      </c>
      <c r="H347" s="43">
        <v>29</v>
      </c>
      <c r="I347" s="43" t="str">
        <f t="shared" si="20"/>
        <v>GE_Suffix_of_Valor</v>
      </c>
      <c r="J347" s="43" t="str">
        <f t="shared" si="21"/>
        <v>/Game/DungeonSiege/Blueprints/GameplayAbilities/Affixes/GE_Suffix_of_Valor</v>
      </c>
    </row>
    <row r="348" spans="1:10" ht="33.75" x14ac:dyDescent="0.25">
      <c r="A348" s="43">
        <v>346</v>
      </c>
      <c r="B348" s="43">
        <f>VLOOKUP(C348,CHOOSE({2,1},Suffix!B$2:B$412,Suffix!C$2:C$412),2,FALSE)</f>
        <v>101712403</v>
      </c>
      <c r="C348" s="43" t="s">
        <v>1749</v>
      </c>
      <c r="D348" s="43" t="s">
        <v>93</v>
      </c>
      <c r="E348" s="43" t="str">
        <f>VLOOKUP(F348,CHOOSE({2,1},Attributes!B$3:B$130,Attributes!C$3:C$129),2,FALSE)</f>
        <v>DungeonSiegeExperienceAttributeSet</v>
      </c>
      <c r="F348" s="43" t="str">
        <f>Attributes!C5</f>
        <v>Intelligence</v>
      </c>
      <c r="G348" s="43" t="str">
        <f t="shared" si="19"/>
        <v>(AttributeName="Intelligence",Attribute=/Script/DSAbilitySystem.DungeonSiegeExperienceAttributeSet:Intelligence,AttributeOwner=Class'"/Script/DSAbilitySystem.DungeonSiegeExperienceAttributeSet"')</v>
      </c>
      <c r="H348" s="43">
        <v>2</v>
      </c>
      <c r="I348" s="43" t="str">
        <f t="shared" si="20"/>
        <v>GE_Suffix_of_Valor</v>
      </c>
      <c r="J348" s="43" t="str">
        <f t="shared" si="21"/>
        <v>/Game/DungeonSiege/Blueprints/GameplayAbilities/Affixes/GE_Suffix_of_Valor</v>
      </c>
    </row>
    <row r="349" spans="1:10" s="23" customFormat="1" ht="33.75" x14ac:dyDescent="0.25">
      <c r="A349" s="43">
        <v>347</v>
      </c>
      <c r="B349" s="43">
        <f>VLOOKUP(C349,CHOOSE({2,1},Suffix!B$2:B$412,Suffix!C$2:C$412),2,FALSE)</f>
        <v>101712404</v>
      </c>
      <c r="C349" s="43" t="s">
        <v>1751</v>
      </c>
      <c r="D349" s="43" t="s">
        <v>227</v>
      </c>
      <c r="E349" s="43" t="str">
        <f>VLOOKUP(F349,CHOOSE({2,1},Attributes!B$3:B$130,Attributes!C$3:C$129),2,FALSE)</f>
        <v>DungeonSiegeExperienceAttributeSet</v>
      </c>
      <c r="F349" s="43" t="str">
        <f>Attributes!C3</f>
        <v>Strength</v>
      </c>
      <c r="G349" s="43" t="str">
        <f t="shared" si="19"/>
        <v>(AttributeName="Strength",Attribute=/Script/DSAbilitySystem.DungeonSiegeExperienceAttributeSet:Strength,AttributeOwner=Class'"/Script/DSAbilitySystem.DungeonSiegeExperienceAttributeSet"')</v>
      </c>
      <c r="H349" s="43">
        <v>1</v>
      </c>
      <c r="I349" s="43" t="str">
        <f t="shared" si="20"/>
        <v>GE_Suffix_of_Retaliation</v>
      </c>
      <c r="J349" s="43" t="str">
        <f t="shared" si="21"/>
        <v>/Game/DungeonSiege/Blueprints/GameplayAbilities/Affixes/GE_Suffix_of_Retaliation</v>
      </c>
    </row>
    <row r="350" spans="1:10" s="23" customFormat="1" ht="33.75" x14ac:dyDescent="0.25">
      <c r="A350" s="43">
        <v>348</v>
      </c>
      <c r="B350" s="43">
        <f>VLOOKUP(C350,CHOOSE({2,1},Suffix!B$2:B$412,Suffix!C$2:C$412),2,FALSE)</f>
        <v>101712404</v>
      </c>
      <c r="C350" s="43" t="s">
        <v>1751</v>
      </c>
      <c r="D350" s="43" t="s">
        <v>84</v>
      </c>
      <c r="E350" s="43" t="str">
        <f>VLOOKUP(F350,CHOOSE({2,1},Attributes!B$3:B$130,Attributes!C$3:C$129),2,FALSE)</f>
        <v>DungeonSiegeHealthAttributeSet</v>
      </c>
      <c r="F350" s="43" t="str">
        <f>Attributes!C82</f>
        <v>BaseHealthBonus</v>
      </c>
      <c r="G350" s="43" t="str">
        <f t="shared" si="19"/>
        <v>(AttributeName="BaseHealthBonus",Attribute=/Script/DSAbilitySystem.DungeonSiegeHealthAttributeSet:BaseHealthBonus,AttributeOwner=Class'"/Script/DSAbilitySystem.DungeonSiegeHealthAttributeSet"')</v>
      </c>
      <c r="H350" s="43">
        <v>42</v>
      </c>
      <c r="I350" s="43" t="str">
        <f t="shared" si="20"/>
        <v>GE_Suffix_of_Retaliation</v>
      </c>
      <c r="J350" s="43" t="str">
        <f t="shared" si="21"/>
        <v>/Game/DungeonSiege/Blueprints/GameplayAbilities/Affixes/GE_Suffix_of_Retaliation</v>
      </c>
    </row>
    <row r="351" spans="1:10" s="23" customFormat="1" ht="33.75" x14ac:dyDescent="0.25">
      <c r="A351" s="43">
        <v>349</v>
      </c>
      <c r="B351" s="43">
        <f>VLOOKUP(C351,CHOOSE({2,1},Suffix!B$2:B$412,Suffix!C$2:C$412),2,FALSE)</f>
        <v>101712404</v>
      </c>
      <c r="C351" s="43" t="s">
        <v>1751</v>
      </c>
      <c r="D351" s="43" t="s">
        <v>3277</v>
      </c>
      <c r="E351" s="43" t="str">
        <f>VLOOKUP(F351,CHOOSE({2,1},Attributes!B$3:B$130,Attributes!C$3:C$129),2,FALSE)</f>
        <v>DungeonSiegeManaAttributeSet</v>
      </c>
      <c r="F351" s="43" t="str">
        <f>Attributes!C90</f>
        <v>BaseManaBonus</v>
      </c>
      <c r="G351" s="43" t="str">
        <f t="shared" si="19"/>
        <v>(AttributeName="BaseManaBonus",Attribute=/Script/DSAbilitySystem.DungeonSiegeManaAttributeSet:BaseManaBonus,AttributeOwner=Class'"/Script/DSAbilitySystem.DungeonSiegeManaAttributeSet"')</v>
      </c>
      <c r="H351" s="43">
        <v>45</v>
      </c>
      <c r="I351" s="43" t="str">
        <f t="shared" si="20"/>
        <v>GE_Suffix_of_Retaliation</v>
      </c>
      <c r="J351" s="43" t="str">
        <f t="shared" si="21"/>
        <v>/Game/DungeonSiege/Blueprints/GameplayAbilities/Affixes/GE_Suffix_of_Retaliation</v>
      </c>
    </row>
    <row r="352" spans="1:10" ht="33.75" x14ac:dyDescent="0.25">
      <c r="A352" s="43">
        <v>350</v>
      </c>
      <c r="B352" s="43">
        <f>VLOOKUP(C352,CHOOSE({2,1},Suffix!B$2:B$412,Suffix!C$2:C$412),2,FALSE)</f>
        <v>101712404</v>
      </c>
      <c r="C352" s="43" t="s">
        <v>1751</v>
      </c>
      <c r="D352" s="43" t="s">
        <v>54</v>
      </c>
      <c r="E352" s="43" t="str">
        <f>VLOOKUP(F352,CHOOSE({2,1},Attributes!B$3:B$130,Attributes!C$3:C$129),2,FALSE)</f>
        <v>DungeonSiegeExperienceAttributeSet</v>
      </c>
      <c r="F352" s="43" t="str">
        <f>Attributes!C4</f>
        <v>Dexterity</v>
      </c>
      <c r="G352" s="43" t="str">
        <f t="shared" si="19"/>
        <v>(AttributeName="Dexterity",Attribute=/Script/DSAbilitySystem.DungeonSiegeExperienceAttributeSet:Dexterity,AttributeOwner=Class'"/Script/DSAbilitySystem.DungeonSiegeExperienceAttributeSet"')</v>
      </c>
      <c r="H352" s="43">
        <v>1</v>
      </c>
      <c r="I352" s="43" t="str">
        <f t="shared" si="20"/>
        <v>GE_Suffix_of_Retaliation</v>
      </c>
      <c r="J352" s="43" t="str">
        <f t="shared" si="21"/>
        <v>/Game/DungeonSiege/Blueprints/GameplayAbilities/Affixes/GE_Suffix_of_Retaliation</v>
      </c>
    </row>
    <row r="353" spans="1:10" s="23" customFormat="1" ht="33.75" x14ac:dyDescent="0.25">
      <c r="A353" s="43">
        <v>351</v>
      </c>
      <c r="B353" s="43">
        <f>VLOOKUP(C353,CHOOSE({2,1},Suffix!B$2:B$412,Suffix!C$2:C$412),2,FALSE)</f>
        <v>101712405</v>
      </c>
      <c r="C353" s="43" t="s">
        <v>1753</v>
      </c>
      <c r="D353" s="43" t="s">
        <v>93</v>
      </c>
      <c r="E353" s="43" t="str">
        <f>VLOOKUP(F353,CHOOSE({2,1},Attributes!B$3:B$130,Attributes!C$3:C$129),2,FALSE)</f>
        <v>DungeonSiegeExperienceAttributeSet</v>
      </c>
      <c r="F353" s="43" t="str">
        <f>Attributes!C5</f>
        <v>Intelligence</v>
      </c>
      <c r="G353" s="43" t="str">
        <f t="shared" si="19"/>
        <v>(AttributeName="Intelligence",Attribute=/Script/DSAbilitySystem.DungeonSiegeExperienceAttributeSet:Intelligence,AttributeOwner=Class'"/Script/DSAbilitySystem.DungeonSiegeExperienceAttributeSet"')</v>
      </c>
      <c r="H353" s="43">
        <v>2</v>
      </c>
      <c r="I353" s="43" t="str">
        <f t="shared" si="20"/>
        <v>GE_Suffix_of_Secrecy</v>
      </c>
      <c r="J353" s="43" t="str">
        <f t="shared" si="21"/>
        <v>/Game/DungeonSiege/Blueprints/GameplayAbilities/Affixes/GE_Suffix_of_Secrecy</v>
      </c>
    </row>
    <row r="354" spans="1:10" s="23" customFormat="1" ht="33.75" x14ac:dyDescent="0.25">
      <c r="A354" s="43">
        <v>352</v>
      </c>
      <c r="B354" s="43">
        <f>VLOOKUP(C354,CHOOSE({2,1},Suffix!B$2:B$412,Suffix!C$2:C$412),2,FALSE)</f>
        <v>101712405</v>
      </c>
      <c r="C354" s="43" t="s">
        <v>1753</v>
      </c>
      <c r="D354" s="43" t="s">
        <v>3278</v>
      </c>
      <c r="E354" s="43" t="str">
        <f>VLOOKUP(F354,CHOOSE({2,1},Attributes!B$3:B$130,Attributes!C$3:C$129),2,FALSE)</f>
        <v>DungeonSiegeDamageAttributeSet</v>
      </c>
      <c r="F354" s="43" t="str">
        <f>Attributes!C33</f>
        <v>MeleeHitChance</v>
      </c>
      <c r="G354" s="43" t="str">
        <f t="shared" si="19"/>
        <v>(AttributeName="MeleeHitChance",Attribute=/Script/DSAbilitySystem.DungeonSiegeDamageAttributeSet:MeleeHitChance,AttributeOwner=Class'"/Script/DSAbilitySystem.DungeonSiegeDamageAttributeSet"')</v>
      </c>
      <c r="H354" s="43">
        <v>8</v>
      </c>
      <c r="I354" s="43" t="str">
        <f t="shared" si="20"/>
        <v>GE_Suffix_of_Secrecy</v>
      </c>
      <c r="J354" s="43" t="str">
        <f t="shared" si="21"/>
        <v>/Game/DungeonSiege/Blueprints/GameplayAbilities/Affixes/GE_Suffix_of_Secrecy</v>
      </c>
    </row>
    <row r="355" spans="1:10" ht="33.75" x14ac:dyDescent="0.25">
      <c r="A355" s="43">
        <v>353</v>
      </c>
      <c r="B355" s="43">
        <f>VLOOKUP(C355,CHOOSE({2,1},Suffix!B$2:B$412,Suffix!C$2:C$412),2,FALSE)</f>
        <v>101712405</v>
      </c>
      <c r="C355" s="43" t="s">
        <v>1753</v>
      </c>
      <c r="D355" s="43" t="s">
        <v>3279</v>
      </c>
      <c r="E355" s="43" t="str">
        <f>VLOOKUP(F355,CHOOSE({2,1},Attributes!B$3:B$130,Attributes!C$3:C$129),2,FALSE)</f>
        <v>DungeonSiegeHealthAttributeSet</v>
      </c>
      <c r="F355" s="43" t="str">
        <f>Attributes!C82</f>
        <v>BaseHealthBonus</v>
      </c>
      <c r="G355" s="43" t="str">
        <f t="shared" si="19"/>
        <v>(AttributeName="BaseHealthBonus",Attribute=/Script/DSAbilitySystem.DungeonSiegeHealthAttributeSet:BaseHealthBonus,AttributeOwner=Class'"/Script/DSAbilitySystem.DungeonSiegeHealthAttributeSet"')</v>
      </c>
      <c r="H355" s="43">
        <v>22</v>
      </c>
      <c r="I355" s="43" t="str">
        <f t="shared" si="20"/>
        <v>GE_Suffix_of_Secrecy</v>
      </c>
      <c r="J355" s="43" t="str">
        <f t="shared" si="21"/>
        <v>/Game/DungeonSiege/Blueprints/GameplayAbilities/Affixes/GE_Suffix_of_Secrecy</v>
      </c>
    </row>
    <row r="356" spans="1:10" ht="33.75" x14ac:dyDescent="0.25">
      <c r="A356" s="43">
        <v>354</v>
      </c>
      <c r="B356" s="43">
        <f>VLOOKUP(C356,CHOOSE({2,1},Suffix!B$2:B$412,Suffix!C$2:C$412),2,FALSE)</f>
        <v>101712406</v>
      </c>
      <c r="C356" s="43" t="s">
        <v>1755</v>
      </c>
      <c r="D356" s="43" t="s">
        <v>1756</v>
      </c>
      <c r="E356" s="43" t="str">
        <f>VLOOKUP(F356,CHOOSE({2,1},Attributes!B$3:B$130,Attributes!C$3:C$129),2,FALSE)</f>
        <v>DungeonSiegeCastOnHitAttributeSet</v>
      </c>
      <c r="F356" s="43" t="str">
        <f>Attributes!C111</f>
        <v>ChanceToCastFireballOnHit</v>
      </c>
      <c r="G356" s="43" t="str">
        <f t="shared" si="19"/>
        <v>(AttributeName="ChanceToCastFireballOnHit",Attribute=/Script/DSAbilitySystem.DungeonSiegeCastOnHitAttributeSet:ChanceToCastFireballOnHit,AttributeOwner=Class'"/Script/DSAbilitySystem.DungeonSiegeCastOnHitAttributeSet"')</v>
      </c>
      <c r="H356" s="43">
        <v>20</v>
      </c>
      <c r="I356" s="43" t="str">
        <f t="shared" si="20"/>
        <v>GE_Suffix_of_Fireball</v>
      </c>
      <c r="J356" s="43" t="str">
        <f t="shared" si="21"/>
        <v>/Game/DungeonSiege/Blueprints/GameplayAbilities/Affixes/GE_Suffix_of_Fireball</v>
      </c>
    </row>
    <row r="357" spans="1:10" ht="33.75" x14ac:dyDescent="0.25">
      <c r="A357" s="43">
        <v>355</v>
      </c>
      <c r="B357" s="43">
        <f>VLOOKUP(C357,CHOOSE({2,1},Suffix!B$2:B$412,Suffix!C$2:C$412),2,FALSE)</f>
        <v>101712407</v>
      </c>
      <c r="C357" s="43" t="s">
        <v>115</v>
      </c>
      <c r="D357" s="43" t="s">
        <v>114</v>
      </c>
      <c r="E357" s="43" t="str">
        <f>VLOOKUP(F357,CHOOSE({2,1},Attributes!B$3:B$130,Attributes!C$3:C$129),2,FALSE)</f>
        <v>DungeonSiegeExperienceAttributeSet</v>
      </c>
      <c r="F357" s="43" t="str">
        <f>Attributes!C4</f>
        <v>Dexterity</v>
      </c>
      <c r="G357" s="43" t="str">
        <f t="shared" si="19"/>
        <v>(AttributeName="Dexterity",Attribute=/Script/DSAbilitySystem.DungeonSiegeExperienceAttributeSet:Dexterity,AttributeOwner=Class'"/Script/DSAbilitySystem.DungeonSiegeExperienceAttributeSet"')</v>
      </c>
      <c r="H357" s="43">
        <v>3</v>
      </c>
      <c r="I357" s="43" t="str">
        <f t="shared" si="20"/>
        <v>GE_Suffix_of_the_Nimble</v>
      </c>
      <c r="J357" s="43" t="str">
        <f t="shared" si="21"/>
        <v>/Game/DungeonSiege/Blueprints/GameplayAbilities/Affixes/GE_Suffix_of_the_Nimble</v>
      </c>
    </row>
    <row r="358" spans="1:10" ht="33.75" x14ac:dyDescent="0.25">
      <c r="A358" s="43">
        <v>356</v>
      </c>
      <c r="B358" s="43">
        <f>VLOOKUP(C358,CHOOSE({2,1},Suffix!B$2:B$412,Suffix!C$2:C$412),2,FALSE)</f>
        <v>101712408</v>
      </c>
      <c r="C358" s="43" t="s">
        <v>1758</v>
      </c>
      <c r="D358" s="43" t="s">
        <v>1759</v>
      </c>
      <c r="E358" s="43" t="str">
        <f>VLOOKUP(F358,CHOOSE({2,1},Attributes!B$3:B$130,Attributes!C$3:C$129),2,FALSE)</f>
        <v>DungeonSiegePerHitAttributeSet</v>
      </c>
      <c r="F358" s="43" t="str">
        <f>Attributes!C11</f>
        <v>HealthPerHit</v>
      </c>
      <c r="G358" s="43" t="str">
        <f t="shared" si="19"/>
        <v>(AttributeName="HealthPerHit",Attribute=/Script/DSAbilitySystem.DungeonSiegePerHitAttributeSet:HealthPerHit,AttributeOwner=Class'"/Script/DSAbilitySystem.DungeonSiegePerHitAttributeSet"')</v>
      </c>
      <c r="H358" s="43">
        <v>5</v>
      </c>
      <c r="I358" s="43" t="str">
        <f t="shared" si="20"/>
        <v>GE_Suffix_of_Excess</v>
      </c>
      <c r="J358" s="43" t="str">
        <f t="shared" si="21"/>
        <v>/Game/DungeonSiege/Blueprints/GameplayAbilities/Affixes/GE_Suffix_of_Excess</v>
      </c>
    </row>
    <row r="359" spans="1:10" ht="33.75" x14ac:dyDescent="0.25">
      <c r="A359" s="43">
        <v>357</v>
      </c>
      <c r="B359" s="43">
        <f>VLOOKUP(C359,CHOOSE({2,1},Suffix!B$2:B$412,Suffix!C$2:C$412),2,FALSE)</f>
        <v>101712409</v>
      </c>
      <c r="C359" s="43" t="s">
        <v>1761</v>
      </c>
      <c r="D359" s="43" t="s">
        <v>1762</v>
      </c>
      <c r="E359" s="43" t="str">
        <f>VLOOKUP(F359,CHOOSE({2,1},Attributes!B$3:B$130,Attributes!C$3:C$129),2,FALSE)</f>
        <v>DungeonSiegeDamageAttributeSet</v>
      </c>
      <c r="F359" s="43" t="str">
        <f>Attributes!C29</f>
        <v>RangedHitChance</v>
      </c>
      <c r="G359" s="43" t="str">
        <f t="shared" si="19"/>
        <v>(AttributeName="RangedHitChance",Attribute=/Script/DSAbilitySystem.DungeonSiegeDamageAttributeSet:RangedHitChance,AttributeOwner=Class'"/Script/DSAbilitySystem.DungeonSiegeDamageAttributeSet"')</v>
      </c>
      <c r="H359" s="43">
        <v>10</v>
      </c>
      <c r="I359" s="43" t="str">
        <f t="shared" si="20"/>
        <v>GE_Suffix_of_Stride</v>
      </c>
      <c r="J359" s="43" t="str">
        <f t="shared" si="21"/>
        <v>/Game/DungeonSiege/Blueprints/GameplayAbilities/Affixes/GE_Suffix_of_Stride</v>
      </c>
    </row>
    <row r="360" spans="1:10" ht="33.75" x14ac:dyDescent="0.25">
      <c r="A360" s="43">
        <v>358</v>
      </c>
      <c r="B360" s="43">
        <f>VLOOKUP(C360,CHOOSE({2,1},Suffix!B$2:B$412,Suffix!C$2:C$412),2,FALSE)</f>
        <v>101712416</v>
      </c>
      <c r="C360" s="43" t="s">
        <v>1764</v>
      </c>
      <c r="D360" s="43" t="s">
        <v>1765</v>
      </c>
      <c r="E360" s="43" t="str">
        <f>VLOOKUP(F360,CHOOSE({2,1},Attributes!B$3:B$130,Attributes!C$3:C$129),2,FALSE)</f>
        <v>DungeonSiegeDamageAttributeSet</v>
      </c>
      <c r="F360" s="43" t="str">
        <f>Attributes!C20</f>
        <v>MaxDamageMod</v>
      </c>
      <c r="G360" s="43" t="str">
        <f t="shared" si="19"/>
        <v>(AttributeName="MaxDamageMod",Attribute=/Script/DSAbilitySystem.DungeonSiegeDamageAttributeSet:MaxDamageMod,AttributeOwner=Class'"/Script/DSAbilitySystem.DungeonSiegeDamageAttributeSet"')</v>
      </c>
      <c r="H360" s="43">
        <v>22</v>
      </c>
      <c r="I360" s="43" t="str">
        <f t="shared" si="20"/>
        <v>GE_Suffix_of_the_Wild</v>
      </c>
      <c r="J360" s="43" t="str">
        <f t="shared" si="21"/>
        <v>/Game/DungeonSiege/Blueprints/GameplayAbilities/Affixes/GE_Suffix_of_the_Wild</v>
      </c>
    </row>
    <row r="361" spans="1:10" s="23" customFormat="1" ht="33.75" x14ac:dyDescent="0.25">
      <c r="A361" s="43">
        <v>359</v>
      </c>
      <c r="B361" s="43">
        <f>VLOOKUP(C361,CHOOSE({2,1},Suffix!B$2:B$412,Suffix!C$2:C$412),2,FALSE)</f>
        <v>101712417</v>
      </c>
      <c r="C361" s="43" t="s">
        <v>1767</v>
      </c>
      <c r="D361" s="43" t="s">
        <v>730</v>
      </c>
      <c r="E361" s="43" t="str">
        <f>VLOOKUP(F361,CHOOSE({2,1},Attributes!B$3:B$130,Attributes!C$3:C$129),2,FALSE)</f>
        <v>DungeonSiegeDamageAttributeSet</v>
      </c>
      <c r="F361" s="43" t="str">
        <f>Attributes!C19</f>
        <v>MinDamageMod</v>
      </c>
      <c r="G361" s="43" t="str">
        <f t="shared" si="19"/>
        <v>(AttributeName="MinDamageMod",Attribute=/Script/DSAbilitySystem.DungeonSiegeDamageAttributeSet:MinDamageMod,AttributeOwner=Class'"/Script/DSAbilitySystem.DungeonSiegeDamageAttributeSet"')</v>
      </c>
      <c r="H361" s="43">
        <v>9</v>
      </c>
      <c r="I361" s="43" t="str">
        <f t="shared" si="20"/>
        <v>GE_Suffix_of_Stretch</v>
      </c>
      <c r="J361" s="43" t="str">
        <f t="shared" si="21"/>
        <v>/Game/DungeonSiege/Blueprints/GameplayAbilities/Affixes/GE_Suffix_of_Stretch</v>
      </c>
    </row>
    <row r="362" spans="1:10" ht="33.75" x14ac:dyDescent="0.25">
      <c r="A362" s="43">
        <v>360</v>
      </c>
      <c r="B362" s="43">
        <f>VLOOKUP(C362,CHOOSE({2,1},Suffix!B$2:B$412,Suffix!C$2:C$412),2,FALSE)</f>
        <v>101712417</v>
      </c>
      <c r="C362" s="43" t="s">
        <v>1767</v>
      </c>
      <c r="D362" s="43" t="s">
        <v>730</v>
      </c>
      <c r="E362" s="43" t="str">
        <f>VLOOKUP(F362,CHOOSE({2,1},Attributes!B$3:B$130,Attributes!C$3:C$129),2,FALSE)</f>
        <v>DungeonSiegeDamageAttributeSet</v>
      </c>
      <c r="F362" s="43" t="str">
        <f>Attributes!C20</f>
        <v>MaxDamageMod</v>
      </c>
      <c r="G362" s="43" t="str">
        <f t="shared" si="19"/>
        <v>(AttributeName="MaxDamageMod",Attribute=/Script/DSAbilitySystem.DungeonSiegeDamageAttributeSet:MaxDamageMod,AttributeOwner=Class'"/Script/DSAbilitySystem.DungeonSiegeDamageAttributeSet"')</v>
      </c>
      <c r="H362" s="43">
        <v>21</v>
      </c>
      <c r="I362" s="43" t="str">
        <f t="shared" si="20"/>
        <v>GE_Suffix_of_Stretch</v>
      </c>
      <c r="J362" s="43" t="str">
        <f t="shared" si="21"/>
        <v>/Game/DungeonSiege/Blueprints/GameplayAbilities/Affixes/GE_Suffix_of_Stretch</v>
      </c>
    </row>
    <row r="363" spans="1:10" s="23" customFormat="1" ht="33.75" x14ac:dyDescent="0.25">
      <c r="A363" s="43">
        <v>361</v>
      </c>
      <c r="B363" s="43">
        <f>VLOOKUP(C363,CHOOSE({2,1},Suffix!B$2:B$412,Suffix!C$2:C$412),2,FALSE)</f>
        <v>101712418</v>
      </c>
      <c r="C363" s="43" t="s">
        <v>1769</v>
      </c>
      <c r="D363" s="43" t="s">
        <v>3280</v>
      </c>
      <c r="E363" s="43" t="str">
        <f>VLOOKUP(F363,CHOOSE({2,1},Attributes!B$3:B$130,Attributes!C$3:C$129),2,FALSE)</f>
        <v>DungeonSiegeManaAttributeSet</v>
      </c>
      <c r="F363" s="43" t="str">
        <f>Attributes!C90</f>
        <v>BaseManaBonus</v>
      </c>
      <c r="G363" s="43" t="str">
        <f t="shared" si="19"/>
        <v>(AttributeName="BaseManaBonus",Attribute=/Script/DSAbilitySystem.DungeonSiegeManaAttributeSet:BaseManaBonus,AttributeOwner=Class'"/Script/DSAbilitySystem.DungeonSiegeManaAttributeSet"')</v>
      </c>
      <c r="H363" s="43">
        <v>52</v>
      </c>
      <c r="I363" s="43" t="str">
        <f t="shared" si="20"/>
        <v>GE_Suffix_of_Vigilance</v>
      </c>
      <c r="J363" s="43" t="str">
        <f t="shared" si="21"/>
        <v>/Game/DungeonSiege/Blueprints/GameplayAbilities/Affixes/GE_Suffix_of_Vigilance</v>
      </c>
    </row>
    <row r="364" spans="1:10" s="23" customFormat="1" ht="33.75" x14ac:dyDescent="0.25">
      <c r="A364" s="43">
        <v>362</v>
      </c>
      <c r="B364" s="43">
        <f>VLOOKUP(C364,CHOOSE({2,1},Suffix!B$2:B$412,Suffix!C$2:C$412),2,FALSE)</f>
        <v>101712418</v>
      </c>
      <c r="C364" s="43" t="s">
        <v>1769</v>
      </c>
      <c r="D364" s="43" t="s">
        <v>1053</v>
      </c>
      <c r="E364" s="43" t="str">
        <f>VLOOKUP(F364,CHOOSE({2,1},Attributes!B$3:B$130,Attributes!C$3:C$129),2,FALSE)</f>
        <v>DungeonSiegeDamageAttributeSet</v>
      </c>
      <c r="F364" s="43" t="str">
        <f>Attributes!C23</f>
        <v>ChanceToInflictPiercingHit</v>
      </c>
      <c r="G364" s="43" t="str">
        <f t="shared" si="19"/>
        <v>(AttributeName="ChanceToInflictPiercingHit",Attribute=/Script/DSAbilitySystem.DungeonSiegeDamageAttributeSet:ChanceToInflictPiercingHit,AttributeOwner=Class'"/Script/DSAbilitySystem.DungeonSiegeDamageAttributeSet"')</v>
      </c>
      <c r="H364" s="43">
        <v>3</v>
      </c>
      <c r="I364" s="43" t="str">
        <f t="shared" si="20"/>
        <v>GE_Suffix_of_Vigilance</v>
      </c>
      <c r="J364" s="43" t="str">
        <f t="shared" si="21"/>
        <v>/Game/DungeonSiege/Blueprints/GameplayAbilities/Affixes/GE_Suffix_of_Vigilance</v>
      </c>
    </row>
    <row r="365" spans="1:10" ht="33.75" x14ac:dyDescent="0.25">
      <c r="A365" s="43">
        <v>363</v>
      </c>
      <c r="B365" s="43">
        <f>VLOOKUP(C365,CHOOSE({2,1},Suffix!B$2:B$412,Suffix!C$2:C$412),2,FALSE)</f>
        <v>101712418</v>
      </c>
      <c r="C365" s="43" t="s">
        <v>1769</v>
      </c>
      <c r="D365" s="43" t="s">
        <v>715</v>
      </c>
      <c r="E365" s="43" t="str">
        <f>VLOOKUP(F365,CHOOSE({2,1},Attributes!B$3:B$130,Attributes!C$3:C$129),2,FALSE)</f>
        <v>DungeonSiegeDamageAttributeSet</v>
      </c>
      <c r="F365" s="43" t="str">
        <f>Attributes!C21</f>
        <v>PercentDamageReflectedToEnemy</v>
      </c>
      <c r="G365" s="43" t="str">
        <f t="shared" si="19"/>
        <v>(AttributeName="PercentDamageReflectedToEnemy",Attribute=/Script/DSAbilitySystem.DungeonSiegeDamageAttributeSet:PercentDamageReflectedToEnemy,AttributeOwner=Class'"/Script/DSAbilitySystem.DungeonSiegeDamageAttributeSet"')</v>
      </c>
      <c r="H365" s="43">
        <v>3</v>
      </c>
      <c r="I365" s="43" t="str">
        <f t="shared" si="20"/>
        <v>GE_Suffix_of_Vigilance</v>
      </c>
      <c r="J365" s="43" t="str">
        <f t="shared" si="21"/>
        <v>/Game/DungeonSiege/Blueprints/GameplayAbilities/Affixes/GE_Suffix_of_Vigilance</v>
      </c>
    </row>
    <row r="366" spans="1:10" s="23" customFormat="1" ht="33.75" x14ac:dyDescent="0.25">
      <c r="A366" s="43">
        <v>364</v>
      </c>
      <c r="B366" s="43">
        <f>VLOOKUP(C366,CHOOSE({2,1},Suffix!B$2:B$412,Suffix!C$2:C$412),2,FALSE)</f>
        <v>101712419</v>
      </c>
      <c r="C366" s="43" t="s">
        <v>1771</v>
      </c>
      <c r="D366" s="43" t="s">
        <v>93</v>
      </c>
      <c r="E366" s="43" t="str">
        <f>VLOOKUP(F366,CHOOSE({2,1},Attributes!B$3:B$130,Attributes!C$3:C$129),2,FALSE)</f>
        <v>DungeonSiegeExperienceAttributeSet</v>
      </c>
      <c r="F366" s="43" t="str">
        <f>Attributes!C5</f>
        <v>Intelligence</v>
      </c>
      <c r="G366" s="43" t="str">
        <f t="shared" si="19"/>
        <v>(AttributeName="Intelligence",Attribute=/Script/DSAbilitySystem.DungeonSiegeExperienceAttributeSet:Intelligence,AttributeOwner=Class'"/Script/DSAbilitySystem.DungeonSiegeExperienceAttributeSet"')</v>
      </c>
      <c r="H366" s="43">
        <v>2</v>
      </c>
      <c r="I366" s="43" t="str">
        <f t="shared" si="20"/>
        <v>GE_Suffix_of_Patience</v>
      </c>
      <c r="J366" s="43" t="str">
        <f t="shared" si="21"/>
        <v>/Game/DungeonSiege/Blueprints/GameplayAbilities/Affixes/GE_Suffix_of_Patience</v>
      </c>
    </row>
    <row r="367" spans="1:10" s="23" customFormat="1" ht="33.75" x14ac:dyDescent="0.25">
      <c r="A367" s="43">
        <v>365</v>
      </c>
      <c r="B367" s="43">
        <f>VLOOKUP(C367,CHOOSE({2,1},Suffix!B$2:B$412,Suffix!C$2:C$412),2,FALSE)</f>
        <v>101712419</v>
      </c>
      <c r="C367" s="43" t="s">
        <v>1771</v>
      </c>
      <c r="D367" s="43" t="s">
        <v>3281</v>
      </c>
      <c r="E367" s="43" t="str">
        <f>VLOOKUP(F367,CHOOSE({2,1},Attributes!B$3:B$130,Attributes!C$3:C$129),2,FALSE)</f>
        <v>DungeonSiegeManaAttributeSet</v>
      </c>
      <c r="F367" s="43" t="str">
        <f>Attributes!C90</f>
        <v>BaseManaBonus</v>
      </c>
      <c r="G367" s="43" t="str">
        <f t="shared" si="19"/>
        <v>(AttributeName="BaseManaBonus",Attribute=/Script/DSAbilitySystem.DungeonSiegeManaAttributeSet:BaseManaBonus,AttributeOwner=Class'"/Script/DSAbilitySystem.DungeonSiegeManaAttributeSet"')</v>
      </c>
      <c r="H367" s="43">
        <v>46</v>
      </c>
      <c r="I367" s="43" t="str">
        <f t="shared" si="20"/>
        <v>GE_Suffix_of_Patience</v>
      </c>
      <c r="J367" s="43" t="str">
        <f t="shared" si="21"/>
        <v>/Game/DungeonSiege/Blueprints/GameplayAbilities/Affixes/GE_Suffix_of_Patience</v>
      </c>
    </row>
    <row r="368" spans="1:10" ht="33.75" x14ac:dyDescent="0.25">
      <c r="A368" s="43">
        <v>366</v>
      </c>
      <c r="B368" s="43">
        <f>VLOOKUP(C368,CHOOSE({2,1},Suffix!B$2:B$412,Suffix!C$2:C$412),2,FALSE)</f>
        <v>101712419</v>
      </c>
      <c r="C368" s="43" t="s">
        <v>1771</v>
      </c>
      <c r="D368" s="43" t="s">
        <v>1680</v>
      </c>
      <c r="E368" s="43" t="str">
        <f>VLOOKUP(F368,CHOOSE({2,1},Attributes!B$3:B$130,Attributes!C$3:C$129),2,FALSE)</f>
        <v>DungeonSiegeMagicAttributeSet</v>
      </c>
      <c r="F368" s="43" t="str">
        <f>Attributes!C42</f>
        <v>CombatMagicMaxDamageMod</v>
      </c>
      <c r="G368" s="43" t="str">
        <f t="shared" si="19"/>
        <v>(AttributeName="CombatMagicMaxDamageMod",Attribute=/Script/DSAbilitySystem.DungeonSiegeMagicAttributeSet:CombatMagicMaxDamageMod,AttributeOwner=Class'"/Script/DSAbilitySystem.DungeonSiegeMagicAttributeSet"')</v>
      </c>
      <c r="H368" s="43">
        <v>1</v>
      </c>
      <c r="I368" s="43" t="str">
        <f t="shared" si="20"/>
        <v>GE_Suffix_of_Patience</v>
      </c>
      <c r="J368" s="43" t="str">
        <f t="shared" si="21"/>
        <v>/Game/DungeonSiege/Blueprints/GameplayAbilities/Affixes/GE_Suffix_of_Patience</v>
      </c>
    </row>
    <row r="369" spans="1:10" ht="33.75" x14ac:dyDescent="0.25">
      <c r="A369" s="43">
        <v>367</v>
      </c>
      <c r="B369" s="43">
        <f>VLOOKUP(C369,CHOOSE({2,1},Suffix!B$2:B$412,Suffix!C$2:C$412),2,FALSE)</f>
        <v>101712420</v>
      </c>
      <c r="C369" s="43" t="s">
        <v>1773</v>
      </c>
      <c r="D369" s="43" t="s">
        <v>1774</v>
      </c>
      <c r="E369" s="43" t="str">
        <f>VLOOKUP(F369,CHOOSE({2,1},Attributes!B$3:B$130,Attributes!C$3:C$129),2,FALSE)</f>
        <v>DungeonSiegeCastOnHitAttributeSet</v>
      </c>
      <c r="F369" s="43" t="str">
        <f>Attributes!C113</f>
        <v>ChanceToCastFireskullOnHit</v>
      </c>
      <c r="G369" s="43" t="str">
        <f t="shared" si="19"/>
        <v>(AttributeName="ChanceToCastFireskullOnHit",Attribute=/Script/DSAbilitySystem.DungeonSiegeCastOnHitAttributeSet:ChanceToCastFireskullOnHit,AttributeOwner=Class'"/Script/DSAbilitySystem.DungeonSiegeCastOnHitAttributeSet"')</v>
      </c>
      <c r="H369" s="43">
        <v>25</v>
      </c>
      <c r="I369" s="43" t="str">
        <f t="shared" si="20"/>
        <v>GE_Suffix_of_Major_Fireskull</v>
      </c>
      <c r="J369" s="43" t="str">
        <f t="shared" si="21"/>
        <v>/Game/DungeonSiege/Blueprints/GameplayAbilities/Affixes/GE_Suffix_of_Major_Fireskull</v>
      </c>
    </row>
    <row r="370" spans="1:10" ht="33.75" x14ac:dyDescent="0.25">
      <c r="A370" s="43">
        <v>368</v>
      </c>
      <c r="B370" s="43">
        <f>VLOOKUP(C370,CHOOSE({2,1},Suffix!B$2:B$412,Suffix!C$2:C$412),2,FALSE)</f>
        <v>101712421</v>
      </c>
      <c r="C370" s="43" t="s">
        <v>1776</v>
      </c>
      <c r="D370" s="43" t="s">
        <v>1777</v>
      </c>
      <c r="E370" s="43" t="str">
        <f>VLOOKUP(F370,CHOOSE({2,1},Attributes!B$3:B$130,Attributes!C$3:C$129),2,FALSE)</f>
        <v>DungeonSiegeCastOnHitAttributeSet</v>
      </c>
      <c r="F370" s="43" t="str">
        <f>Attributes!C109</f>
        <v>ChanceToCastLightningblastOnHit</v>
      </c>
      <c r="G370" s="43" t="str">
        <f t="shared" si="19"/>
        <v>(AttributeName="ChanceToCastLightningblastOnHit",Attribute=/Script/DSAbilitySystem.DungeonSiegeCastOnHitAttributeSet:ChanceToCastLightningblastOnHit,AttributeOwner=Class'"/Script/DSAbilitySystem.DungeonSiegeCastOnHitAttributeSet"')</v>
      </c>
      <c r="H370" s="43">
        <v>15</v>
      </c>
      <c r="I370" s="43" t="str">
        <f t="shared" si="20"/>
        <v>GE_Suffix_of_Minor_Lightning_Blast</v>
      </c>
      <c r="J370" s="43" t="str">
        <f t="shared" si="21"/>
        <v>/Game/DungeonSiege/Blueprints/GameplayAbilities/Affixes/GE_Suffix_of_Minor_Lightning_Blast</v>
      </c>
    </row>
    <row r="371" spans="1:10" ht="33.75" x14ac:dyDescent="0.25">
      <c r="A371" s="43">
        <v>369</v>
      </c>
      <c r="B371" s="43">
        <f>VLOOKUP(C371,CHOOSE({2,1},Suffix!B$2:B$412,Suffix!C$2:C$412),2,FALSE)</f>
        <v>101712422</v>
      </c>
      <c r="C371" s="43" t="s">
        <v>1779</v>
      </c>
      <c r="D371" s="43" t="s">
        <v>3248</v>
      </c>
      <c r="E371" s="43" t="str">
        <f>VLOOKUP(F371,CHOOSE({2,1},Attributes!B$3:B$130,Attributes!C$3:C$129),2,FALSE)</f>
        <v>DungeonSiegeDamageAttributeSet</v>
      </c>
      <c r="F371" s="43" t="str">
        <f>Attributes!C33</f>
        <v>MeleeHitChance</v>
      </c>
      <c r="G371" s="43" t="str">
        <f t="shared" si="19"/>
        <v>(AttributeName="MeleeHitChance",Attribute=/Script/DSAbilitySystem.DungeonSiegeDamageAttributeSet:MeleeHitChance,AttributeOwner=Class'"/Script/DSAbilitySystem.DungeonSiegeDamageAttributeSet"')</v>
      </c>
      <c r="H371" s="43"/>
      <c r="I371" s="43" t="str">
        <f t="shared" si="20"/>
        <v>GE_Suffix_of_Personal_Battle_Rally</v>
      </c>
      <c r="J371" s="43" t="str">
        <f t="shared" si="21"/>
        <v>/Game/DungeonSiege/Blueprints/GameplayAbilities/Affixes/GE_Suffix_of_Personal_Battle_Rally</v>
      </c>
    </row>
    <row r="372" spans="1:10" ht="33.75" x14ac:dyDescent="0.25">
      <c r="A372" s="43">
        <v>370</v>
      </c>
      <c r="B372" s="43">
        <f>VLOOKUP(C372,CHOOSE({2,1},Suffix!B$2:B$412,Suffix!C$2:C$412),2,FALSE)</f>
        <v>101712423</v>
      </c>
      <c r="C372" s="43" t="s">
        <v>1782</v>
      </c>
      <c r="D372" s="43" t="s">
        <v>1783</v>
      </c>
      <c r="E372" s="43" t="str">
        <f>VLOOKUP(F372,CHOOSE({2,1},Attributes!B$3:B$130,Attributes!C$3:C$129),2,FALSE)</f>
        <v>DungeonSiegeCastOnHitAttributeSet</v>
      </c>
      <c r="F372" s="43" t="str">
        <f>Attributes!C114</f>
        <v>ChanceToCastFirespraylOnHit</v>
      </c>
      <c r="G372" s="43" t="str">
        <f t="shared" si="19"/>
        <v>(AttributeName="ChanceToCastFirespraylOnHit",Attribute=/Script/DSAbilitySystem.DungeonSiegeCastOnHitAttributeSet:ChanceToCastFirespraylOnHit,AttributeOwner=Class'"/Script/DSAbilitySystem.DungeonSiegeCastOnHitAttributeSet"')</v>
      </c>
      <c r="H372" s="43">
        <v>30</v>
      </c>
      <c r="I372" s="43" t="str">
        <f t="shared" si="20"/>
        <v>GE_Suffix_of_Greater_Firespray</v>
      </c>
      <c r="J372" s="43" t="str">
        <f t="shared" si="21"/>
        <v>/Game/DungeonSiege/Blueprints/GameplayAbilities/Affixes/GE_Suffix_of_Greater_Firespray</v>
      </c>
    </row>
    <row r="373" spans="1:10" ht="33.75" x14ac:dyDescent="0.25">
      <c r="A373" s="43">
        <v>371</v>
      </c>
      <c r="B373" s="43">
        <f>VLOOKUP(C373,CHOOSE({2,1},Suffix!B$2:B$412,Suffix!C$2:C$412),2,FALSE)</f>
        <v>101712424</v>
      </c>
      <c r="C373" s="43" t="s">
        <v>3351</v>
      </c>
      <c r="D373" s="43" t="s">
        <v>1785</v>
      </c>
      <c r="E373" s="43" t="str">
        <f>VLOOKUP(F373,CHOOSE({2,1},Attributes!B$3:B$130,Attributes!C$3:C$129),2,FALSE)</f>
        <v>DungeonSiegeCastOnHitAttributeSet</v>
      </c>
      <c r="F373" s="43" t="str">
        <f>Attributes!C112</f>
        <v>ChanceToCastLightningOnHit</v>
      </c>
      <c r="G373" s="43" t="str">
        <f t="shared" si="19"/>
        <v>(AttributeName="ChanceToCastLightningOnHit",Attribute=/Script/DSAbilitySystem.DungeonSiegeCastOnHitAttributeSet:ChanceToCastLightningOnHit,AttributeOwner=Class'"/Script/DSAbilitySystem.DungeonSiegeCastOnHitAttributeSet"')</v>
      </c>
      <c r="H373" s="43">
        <v>20</v>
      </c>
      <c r="I373" s="43" t="str">
        <f t="shared" si="20"/>
        <v>GE_Suffix_of_Lightning_Defense</v>
      </c>
      <c r="J373" s="43" t="str">
        <f t="shared" si="21"/>
        <v>/Game/DungeonSiege/Blueprints/GameplayAbilities/Affixes/GE_Suffix_of_Lightning_Defense</v>
      </c>
    </row>
    <row r="374" spans="1:10" ht="33.75" x14ac:dyDescent="0.25">
      <c r="A374" s="43">
        <v>372</v>
      </c>
      <c r="B374" s="43">
        <f>VLOOKUP(C374,CHOOSE({2,1},Suffix!B$2:B$412,Suffix!C$2:C$412),2,FALSE)</f>
        <v>101712425</v>
      </c>
      <c r="C374" s="43" t="s">
        <v>1787</v>
      </c>
      <c r="D374" s="43" t="s">
        <v>1788</v>
      </c>
      <c r="E374" s="43" t="str">
        <f>VLOOKUP(F374,CHOOSE({2,1},Attributes!B$3:B$130,Attributes!C$3:C$129),2,FALSE)</f>
        <v>DungeonSiegeCastOnHitAttributeSet</v>
      </c>
      <c r="F374" s="43" t="str">
        <f>Attributes!C105</f>
        <v>ChanceToCastNovaStrikeOnHit</v>
      </c>
      <c r="G374" s="43" t="str">
        <f t="shared" si="19"/>
        <v>(AttributeName="ChanceToCastNovaStrikeOnHit",Attribute=/Script/DSAbilitySystem.DungeonSiegeCastOnHitAttributeSet:ChanceToCastNovaStrikeOnHit,AttributeOwner=Class'"/Script/DSAbilitySystem.DungeonSiegeCastOnHitAttributeSet"')</v>
      </c>
      <c r="H374" s="43">
        <v>10</v>
      </c>
      <c r="I374" s="43" t="str">
        <f t="shared" si="20"/>
        <v>GE_Suffix_of_Lesser_Nova_Strike</v>
      </c>
      <c r="J374" s="43" t="str">
        <f t="shared" si="21"/>
        <v>/Game/DungeonSiege/Blueprints/GameplayAbilities/Affixes/GE_Suffix_of_Lesser_Nova_Strike</v>
      </c>
    </row>
    <row r="375" spans="1:10" ht="33.75" x14ac:dyDescent="0.25">
      <c r="A375" s="43">
        <v>373</v>
      </c>
      <c r="B375" s="43">
        <f>VLOOKUP(C375,CHOOSE({2,1},Suffix!B$2:B$412,Suffix!C$2:C$412),2,FALSE)</f>
        <v>101712432</v>
      </c>
      <c r="C375" s="43" t="s">
        <v>112</v>
      </c>
      <c r="D375" s="43" t="s">
        <v>111</v>
      </c>
      <c r="E375" s="43" t="str">
        <f>VLOOKUP(F375,CHOOSE({2,1},Attributes!B$3:B$130,Attributes!C$3:C$129),2,FALSE)</f>
        <v>DungeonSiegeHealthAttributeSet</v>
      </c>
      <c r="F375" s="43" t="str">
        <f>Attributes!C82</f>
        <v>BaseHealthBonus</v>
      </c>
      <c r="G375" s="43" t="str">
        <f t="shared" si="19"/>
        <v>(AttributeName="BaseHealthBonus",Attribute=/Script/DSAbilitySystem.DungeonSiegeHealthAttributeSet:BaseHealthBonus,AttributeOwner=Class'"/Script/DSAbilitySystem.DungeonSiegeHealthAttributeSet"')</v>
      </c>
      <c r="H375" s="43">
        <v>89</v>
      </c>
      <c r="I375" s="43" t="str">
        <f t="shared" si="20"/>
        <v>GE_Suffix_of_the_Wolf</v>
      </c>
      <c r="J375" s="43" t="str">
        <f t="shared" si="21"/>
        <v>/Game/DungeonSiege/Blueprints/GameplayAbilities/Affixes/GE_Suffix_of_the_Wolf</v>
      </c>
    </row>
    <row r="376" spans="1:10" s="23" customFormat="1" ht="33.75" x14ac:dyDescent="0.25">
      <c r="A376" s="43">
        <v>374</v>
      </c>
      <c r="B376" s="43">
        <f>VLOOKUP(C376,CHOOSE({2,1},Suffix!B$2:B$412,Suffix!C$2:C$412),2,FALSE)</f>
        <v>101712433</v>
      </c>
      <c r="C376" s="43" t="s">
        <v>1790</v>
      </c>
      <c r="D376" s="43" t="s">
        <v>734</v>
      </c>
      <c r="E376" s="43" t="str">
        <f>VLOOKUP(F376,CHOOSE({2,1},Attributes!B$3:B$130,Attributes!C$3:C$129),2,FALSE)</f>
        <v>DungeonSiegeDamageAttributeSet</v>
      </c>
      <c r="F376" s="43" t="str">
        <f>Attributes!C25</f>
        <v>MinPiercingDamageMod</v>
      </c>
      <c r="G376" s="43" t="str">
        <f t="shared" si="19"/>
        <v>(AttributeName="MinPiercingDamageMod",Attribute=/Script/DSAbilitySystem.DungeonSiegeDamageAttributeSet:MinPiercingDamageMod,AttributeOwner=Class'"/Script/DSAbilitySystem.DungeonSiegeDamageAttributeSet"')</v>
      </c>
      <c r="H376" s="43">
        <v>7</v>
      </c>
      <c r="I376" s="43" t="str">
        <f t="shared" si="20"/>
        <v>GE_Suffix_of_Spikes</v>
      </c>
      <c r="J376" s="43" t="str">
        <f t="shared" si="21"/>
        <v>/Game/DungeonSiege/Blueprints/GameplayAbilities/Affixes/GE_Suffix_of_Spikes</v>
      </c>
    </row>
    <row r="377" spans="1:10" ht="33.75" x14ac:dyDescent="0.25">
      <c r="A377" s="43">
        <v>375</v>
      </c>
      <c r="B377" s="43">
        <f>VLOOKUP(C377,CHOOSE({2,1},Suffix!B$2:B$412,Suffix!C$2:C$412),2,FALSE)</f>
        <v>101712433</v>
      </c>
      <c r="C377" s="43" t="s">
        <v>1790</v>
      </c>
      <c r="D377" s="43" t="s">
        <v>734</v>
      </c>
      <c r="E377" s="43" t="str">
        <f>VLOOKUP(F377,CHOOSE({2,1},Attributes!B$3:B$130,Attributes!C$3:C$129),2,FALSE)</f>
        <v>DungeonSiegeDamageAttributeSet</v>
      </c>
      <c r="F377" s="43" t="str">
        <f>Attributes!C26</f>
        <v>MaxPiercingDamageMod</v>
      </c>
      <c r="G377" s="43" t="str">
        <f t="shared" si="19"/>
        <v>(AttributeName="MaxPiercingDamageMod",Attribute=/Script/DSAbilitySystem.DungeonSiegeDamageAttributeSet:MaxPiercingDamageMod,AttributeOwner=Class'"/Script/DSAbilitySystem.DungeonSiegeDamageAttributeSet"')</v>
      </c>
      <c r="H377" s="43">
        <v>16</v>
      </c>
      <c r="I377" s="43" t="str">
        <f t="shared" si="20"/>
        <v>GE_Suffix_of_Spikes</v>
      </c>
      <c r="J377" s="43" t="str">
        <f t="shared" si="21"/>
        <v>/Game/DungeonSiege/Blueprints/GameplayAbilities/Affixes/GE_Suffix_of_Spikes</v>
      </c>
    </row>
    <row r="378" spans="1:10" ht="33.75" x14ac:dyDescent="0.25">
      <c r="A378" s="43">
        <v>376</v>
      </c>
      <c r="B378" s="43">
        <f>VLOOKUP(C378,CHOOSE({2,1},Suffix!B$2:B$412,Suffix!C$2:C$412),2,FALSE)</f>
        <v>101712434</v>
      </c>
      <c r="C378" s="43" t="s">
        <v>1792</v>
      </c>
      <c r="D378" s="43" t="s">
        <v>1588</v>
      </c>
      <c r="E378" s="43" t="str">
        <f>VLOOKUP(F378,CHOOSE({2,1},Attributes!B$3:B$130,Attributes!C$3:C$129),2,FALSE)</f>
        <v>DungeonSiegeDamageAttributeSet</v>
      </c>
      <c r="F378" s="43" t="str">
        <f>Attributes!C23</f>
        <v>ChanceToInflictPiercingHit</v>
      </c>
      <c r="G378" s="43" t="str">
        <f t="shared" si="19"/>
        <v>(AttributeName="ChanceToInflictPiercingHit",Attribute=/Script/DSAbilitySystem.DungeonSiegeDamageAttributeSet:ChanceToInflictPiercingHit,AttributeOwner=Class'"/Script/DSAbilitySystem.DungeonSiegeDamageAttributeSet"')</v>
      </c>
      <c r="H378" s="43">
        <v>6</v>
      </c>
      <c r="I378" s="43" t="str">
        <f t="shared" si="20"/>
        <v>GE_Suffix_of_Strike</v>
      </c>
      <c r="J378" s="43" t="str">
        <f t="shared" si="21"/>
        <v>/Game/DungeonSiege/Blueprints/GameplayAbilities/Affixes/GE_Suffix_of_Strike</v>
      </c>
    </row>
    <row r="379" spans="1:10" ht="33.75" x14ac:dyDescent="0.25">
      <c r="A379" s="43">
        <v>377</v>
      </c>
      <c r="B379" s="43">
        <f>VLOOKUP(C379,CHOOSE({2,1},Suffix!B$2:B$412,Suffix!C$2:C$412),2,FALSE)</f>
        <v>101712435</v>
      </c>
      <c r="C379" s="43" t="s">
        <v>1794</v>
      </c>
      <c r="D379" s="43" t="s">
        <v>794</v>
      </c>
      <c r="E379" s="43" t="str">
        <f>VLOOKUP(F379,CHOOSE({2,1},Attributes!B$3:B$130,Attributes!C$3:C$129),2,FALSE)</f>
        <v>DungeonSiegeDamageAttributeSet</v>
      </c>
      <c r="F379" s="43" t="str">
        <f>Attributes!C23</f>
        <v>ChanceToInflictPiercingHit</v>
      </c>
      <c r="G379" s="43" t="str">
        <f t="shared" si="19"/>
        <v>(AttributeName="ChanceToInflictPiercingHit",Attribute=/Script/DSAbilitySystem.DungeonSiegeDamageAttributeSet:ChanceToInflictPiercingHit,AttributeOwner=Class'"/Script/DSAbilitySystem.DungeonSiegeDamageAttributeSet"')</v>
      </c>
      <c r="H379" s="43">
        <v>5</v>
      </c>
      <c r="I379" s="43" t="str">
        <f t="shared" si="20"/>
        <v>GE_Suffix_of_Resolve</v>
      </c>
      <c r="J379" s="43" t="str">
        <f t="shared" si="21"/>
        <v>/Game/DungeonSiege/Blueprints/GameplayAbilities/Affixes/GE_Suffix_of_Resolve</v>
      </c>
    </row>
    <row r="380" spans="1:10" ht="33.75" x14ac:dyDescent="0.25">
      <c r="A380" s="43">
        <v>378</v>
      </c>
      <c r="B380" s="43">
        <f>VLOOKUP(C380,CHOOSE({2,1},Suffix!B$2:B$412,Suffix!C$2:C$412),2,FALSE)</f>
        <v>101712436</v>
      </c>
      <c r="C380" s="43" t="s">
        <v>1796</v>
      </c>
      <c r="D380" s="43" t="s">
        <v>1797</v>
      </c>
      <c r="E380" s="43" t="str">
        <f>VLOOKUP(F380,CHOOSE({2,1},Attributes!B$3:B$130,Attributes!C$3:C$129),2,FALSE)</f>
        <v>DungeonSiegePerHitAttributeSet</v>
      </c>
      <c r="F380" s="43" t="str">
        <f>Attributes!C13</f>
        <v>HealthStealPerHit</v>
      </c>
      <c r="G380" s="43" t="str">
        <f t="shared" si="19"/>
        <v>(AttributeName="HealthStealPerHit",Attribute=/Script/DSAbilitySystem.DungeonSiegePerHitAttributeSet:HealthStealPerHit,AttributeOwner=Class'"/Script/DSAbilitySystem.DungeonSiegePerHitAttributeSet"')</v>
      </c>
      <c r="H380" s="43">
        <v>3</v>
      </c>
      <c r="I380" s="43" t="str">
        <f t="shared" si="20"/>
        <v>GE_Suffix_of_Greed</v>
      </c>
      <c r="J380" s="43" t="str">
        <f t="shared" si="21"/>
        <v>/Game/DungeonSiege/Blueprints/GameplayAbilities/Affixes/GE_Suffix_of_Greed</v>
      </c>
    </row>
    <row r="381" spans="1:10" ht="33.75" x14ac:dyDescent="0.25">
      <c r="A381" s="43">
        <v>379</v>
      </c>
      <c r="B381" s="43">
        <f>VLOOKUP(C381,CHOOSE({2,1},Suffix!B$2:B$412,Suffix!C$2:C$412),2,FALSE)</f>
        <v>101712437</v>
      </c>
      <c r="C381" s="43" t="s">
        <v>1799</v>
      </c>
      <c r="D381" s="43" t="s">
        <v>722</v>
      </c>
      <c r="E381" s="43" t="str">
        <f>VLOOKUP(F381,CHOOSE({2,1},Attributes!B$3:B$130,Attributes!C$3:C$129),2,FALSE)</f>
        <v>DungeonSiegePerHitAttributeSet</v>
      </c>
      <c r="F381" s="43" t="str">
        <f>Attributes!C14</f>
        <v>ManaStealPerHit</v>
      </c>
      <c r="G381" s="43" t="str">
        <f t="shared" si="19"/>
        <v>(AttributeName="ManaStealPerHit",Attribute=/Script/DSAbilitySystem.DungeonSiegePerHitAttributeSet:ManaStealPerHit,AttributeOwner=Class'"/Script/DSAbilitySystem.DungeonSiegePerHitAttributeSet"')</v>
      </c>
      <c r="H381" s="43">
        <v>6</v>
      </c>
      <c r="I381" s="43" t="str">
        <f t="shared" si="20"/>
        <v>GE_Suffix_of_the_Thief</v>
      </c>
      <c r="J381" s="43" t="str">
        <f t="shared" si="21"/>
        <v>/Game/DungeonSiege/Blueprints/GameplayAbilities/Affixes/GE_Suffix_of_the_Thief</v>
      </c>
    </row>
    <row r="382" spans="1:10" ht="33.75" x14ac:dyDescent="0.25">
      <c r="A382" s="43">
        <v>380</v>
      </c>
      <c r="B382" s="43">
        <f>VLOOKUP(C382,CHOOSE({2,1},Suffix!B$2:B$412,Suffix!C$2:C$412),2,FALSE)</f>
        <v>101712438</v>
      </c>
      <c r="C382" s="43" t="s">
        <v>1801</v>
      </c>
      <c r="D382" s="43" t="s">
        <v>1802</v>
      </c>
      <c r="E382" s="43" t="str">
        <f>VLOOKUP(F382,CHOOSE({2,1},Attributes!B$3:B$130,Attributes!C$3:C$129),2,FALSE)</f>
        <v>DungeonSiegeDamageAttributeSet</v>
      </c>
      <c r="F382" s="43" t="str">
        <f>Attributes!C20</f>
        <v>MaxDamageMod</v>
      </c>
      <c r="G382" s="43" t="str">
        <f t="shared" si="19"/>
        <v>(AttributeName="MaxDamageMod",Attribute=/Script/DSAbilitySystem.DungeonSiegeDamageAttributeSet:MaxDamageMod,AttributeOwner=Class'"/Script/DSAbilitySystem.DungeonSiegeDamageAttributeSet"')</v>
      </c>
      <c r="H382" s="43">
        <v>13</v>
      </c>
      <c r="I382" s="43" t="str">
        <f t="shared" si="20"/>
        <v>GE_Suffix_of_the_Gull</v>
      </c>
      <c r="J382" s="43" t="str">
        <f t="shared" si="21"/>
        <v>/Game/DungeonSiege/Blueprints/GameplayAbilities/Affixes/GE_Suffix_of_the_Gull</v>
      </c>
    </row>
    <row r="383" spans="1:10" s="23" customFormat="1" ht="33.75" x14ac:dyDescent="0.25">
      <c r="A383" s="43">
        <v>381</v>
      </c>
      <c r="B383" s="43">
        <f>VLOOKUP(C383,CHOOSE({2,1},Suffix!B$2:B$412,Suffix!C$2:C$412),2,FALSE)</f>
        <v>101712439</v>
      </c>
      <c r="C383" s="43" t="s">
        <v>1804</v>
      </c>
      <c r="D383" s="43" t="s">
        <v>1805</v>
      </c>
      <c r="E383" s="43" t="str">
        <f>VLOOKUP(F383,CHOOSE({2,1},Attributes!B$3:B$130,Attributes!C$3:C$129),2,FALSE)</f>
        <v>DungeonSiegeElementalAttributeSet</v>
      </c>
      <c r="F383" s="43" t="str">
        <f>Attributes!C78</f>
        <v>LightningMinDamageMod</v>
      </c>
      <c r="G383" s="43" t="str">
        <f t="shared" si="19"/>
        <v>(AttributeName="LightningMinDamageMod",Attribute=/Script/DSAbilitySystem.DungeonSiegeElementalAttributeSet:LightningMinDamageMod,AttributeOwner=Class'"/Script/DSAbilitySystem.DungeonSiegeElementalAttributeSet"')</v>
      </c>
      <c r="H383" s="43">
        <v>16</v>
      </c>
      <c r="I383" s="43" t="str">
        <f t="shared" si="20"/>
        <v>GE_Suffix_of_the_Startled</v>
      </c>
      <c r="J383" s="43" t="str">
        <f t="shared" si="21"/>
        <v>/Game/DungeonSiege/Blueprints/GameplayAbilities/Affixes/GE_Suffix_of_the_Startled</v>
      </c>
    </row>
    <row r="384" spans="1:10" ht="33.75" x14ac:dyDescent="0.25">
      <c r="A384" s="43">
        <v>382</v>
      </c>
      <c r="B384" s="43">
        <f>VLOOKUP(C384,CHOOSE({2,1},Suffix!B$2:B$412,Suffix!C$2:C$412),2,FALSE)</f>
        <v>101712439</v>
      </c>
      <c r="C384" s="43" t="s">
        <v>1804</v>
      </c>
      <c r="D384" s="43" t="s">
        <v>1805</v>
      </c>
      <c r="E384" s="43" t="str">
        <f>VLOOKUP(F384,CHOOSE({2,1},Attributes!B$3:B$130,Attributes!C$3:C$129),2,FALSE)</f>
        <v>DungeonSiegeElementalAttributeSet</v>
      </c>
      <c r="F384" s="43" t="str">
        <f>Attributes!C79</f>
        <v>LightningMaxDamageMod</v>
      </c>
      <c r="G384" s="43" t="str">
        <f t="shared" si="19"/>
        <v>(AttributeName="LightningMaxDamageMod",Attribute=/Script/DSAbilitySystem.DungeonSiegeElementalAttributeSet:LightningMaxDamageMod,AttributeOwner=Class'"/Script/DSAbilitySystem.DungeonSiegeElementalAttributeSet"')</v>
      </c>
      <c r="H384" s="43">
        <v>20</v>
      </c>
      <c r="I384" s="43" t="str">
        <f t="shared" si="20"/>
        <v>GE_Suffix_of_the_Startled</v>
      </c>
      <c r="J384" s="43" t="str">
        <f t="shared" si="21"/>
        <v>/Game/DungeonSiege/Blueprints/GameplayAbilities/Affixes/GE_Suffix_of_the_Startled</v>
      </c>
    </row>
    <row r="385" spans="1:10" s="23" customFormat="1" ht="33.75" x14ac:dyDescent="0.25">
      <c r="A385" s="43">
        <v>383</v>
      </c>
      <c r="B385" s="43">
        <f>VLOOKUP(C385,CHOOSE({2,1},Suffix!B$2:B$412,Suffix!C$2:C$412),2,FALSE)</f>
        <v>101712440</v>
      </c>
      <c r="C385" s="43" t="s">
        <v>1807</v>
      </c>
      <c r="D385" s="43" t="s">
        <v>1808</v>
      </c>
      <c r="E385" s="43" t="str">
        <f>VLOOKUP(F385,CHOOSE({2,1},Attributes!B$3:B$130,Attributes!C$3:C$129),2,FALSE)</f>
        <v>DungeonSiegeElementalAttributeSet</v>
      </c>
      <c r="F385" s="43" t="str">
        <f>Attributes!C78</f>
        <v>LightningMinDamageMod</v>
      </c>
      <c r="G385" s="43" t="str">
        <f t="shared" si="19"/>
        <v>(AttributeName="LightningMinDamageMod",Attribute=/Script/DSAbilitySystem.DungeonSiegeElementalAttributeSet:LightningMinDamageMod,AttributeOwner=Class'"/Script/DSAbilitySystem.DungeonSiegeElementalAttributeSet"')</v>
      </c>
      <c r="H385" s="43">
        <v>11</v>
      </c>
      <c r="I385" s="43" t="str">
        <f t="shared" si="20"/>
        <v>GE_Suffix_of_Hurricanes</v>
      </c>
      <c r="J385" s="43" t="str">
        <f t="shared" si="21"/>
        <v>/Game/DungeonSiege/Blueprints/GameplayAbilities/Affixes/GE_Suffix_of_Hurricanes</v>
      </c>
    </row>
    <row r="386" spans="1:10" ht="33.75" x14ac:dyDescent="0.25">
      <c r="A386" s="43">
        <v>384</v>
      </c>
      <c r="B386" s="43">
        <f>VLOOKUP(C386,CHOOSE({2,1},Suffix!B$2:B$412,Suffix!C$2:C$412),2,FALSE)</f>
        <v>101712440</v>
      </c>
      <c r="C386" s="43" t="s">
        <v>1807</v>
      </c>
      <c r="D386" s="43" t="s">
        <v>1808</v>
      </c>
      <c r="E386" s="43" t="str">
        <f>VLOOKUP(F386,CHOOSE({2,1},Attributes!B$3:B$130,Attributes!C$3:C$129),2,FALSE)</f>
        <v>DungeonSiegeElementalAttributeSet</v>
      </c>
      <c r="F386" s="43" t="str">
        <f>Attributes!C79</f>
        <v>LightningMaxDamageMod</v>
      </c>
      <c r="G386" s="43" t="str">
        <f t="shared" si="19"/>
        <v>(AttributeName="LightningMaxDamageMod",Attribute=/Script/DSAbilitySystem.DungeonSiegeElementalAttributeSet:LightningMaxDamageMod,AttributeOwner=Class'"/Script/DSAbilitySystem.DungeonSiegeElementalAttributeSet"')</v>
      </c>
      <c r="H386" s="43">
        <v>14</v>
      </c>
      <c r="I386" s="43" t="str">
        <f t="shared" si="20"/>
        <v>GE_Suffix_of_Hurricanes</v>
      </c>
      <c r="J386" s="43" t="str">
        <f t="shared" si="21"/>
        <v>/Game/DungeonSiege/Blueprints/GameplayAbilities/Affixes/GE_Suffix_of_Hurricanes</v>
      </c>
    </row>
    <row r="387" spans="1:10" s="23" customFormat="1" ht="33.75" x14ac:dyDescent="0.25">
      <c r="A387" s="43">
        <v>385</v>
      </c>
      <c r="B387" s="43">
        <f>VLOOKUP(C387,CHOOSE({2,1},Suffix!B$2:B$412,Suffix!C$2:C$412),2,FALSE)</f>
        <v>101712441</v>
      </c>
      <c r="C387" s="43" t="s">
        <v>1810</v>
      </c>
      <c r="D387" s="43" t="s">
        <v>54</v>
      </c>
      <c r="E387" s="43" t="str">
        <f>VLOOKUP(F387,CHOOSE({2,1},Attributes!B$3:B$130,Attributes!C$3:C$129),2,FALSE)</f>
        <v>DungeonSiegeExperienceAttributeSet</v>
      </c>
      <c r="F387" s="43" t="str">
        <f>Attributes!C4</f>
        <v>Dexterity</v>
      </c>
      <c r="G387" s="43" t="str">
        <f t="shared" ref="G387:G450" si="22">CONCATENATE("(AttributeName=""",F387,""",Attribute=/Script/DSAbilitySystem."&amp; E387 &amp;":",F387,",AttributeOwner=Class'""/Script/DSAbilitySystem." &amp; E387 &amp; """')")</f>
        <v>(AttributeName="Dexterity",Attribute=/Script/DSAbilitySystem.DungeonSiegeExperienceAttributeSet:Dexterity,AttributeOwner=Class'"/Script/DSAbilitySystem.DungeonSiegeExperienceAttributeSet"')</v>
      </c>
      <c r="H387" s="43">
        <v>1</v>
      </c>
      <c r="I387" s="43" t="str">
        <f t="shared" si="20"/>
        <v>GE_Suffix_of_the_Redeemed</v>
      </c>
      <c r="J387" s="43" t="str">
        <f t="shared" si="21"/>
        <v>/Game/DungeonSiege/Blueprints/GameplayAbilities/Affixes/GE_Suffix_of_the_Redeemed</v>
      </c>
    </row>
    <row r="388" spans="1:10" s="23" customFormat="1" ht="33.75" x14ac:dyDescent="0.25">
      <c r="A388" s="43">
        <v>386</v>
      </c>
      <c r="B388" s="43">
        <f>VLOOKUP(C388,CHOOSE({2,1},Suffix!B$2:B$412,Suffix!C$2:C$412),2,FALSE)</f>
        <v>101712441</v>
      </c>
      <c r="C388" s="43" t="s">
        <v>1810</v>
      </c>
      <c r="D388" s="43" t="s">
        <v>943</v>
      </c>
      <c r="E388" s="43" t="str">
        <f>VLOOKUP(F388,CHOOSE({2,1},Attributes!B$3:B$130,Attributes!C$3:C$129),2,FALSE)</f>
        <v>DungeonSiegeDamageAttributeSet</v>
      </c>
      <c r="F388" s="43" t="str">
        <f>Attributes!C25</f>
        <v>MinPiercingDamageMod</v>
      </c>
      <c r="G388" s="43" t="str">
        <f t="shared" si="22"/>
        <v>(AttributeName="MinPiercingDamageMod",Attribute=/Script/DSAbilitySystem.DungeonSiegeDamageAttributeSet:MinPiercingDamageMod,AttributeOwner=Class'"/Script/DSAbilitySystem.DungeonSiegeDamageAttributeSet"')</v>
      </c>
      <c r="H388" s="43">
        <v>1</v>
      </c>
      <c r="I388" s="43" t="str">
        <f t="shared" si="20"/>
        <v>GE_Suffix_of_the_Redeemed</v>
      </c>
      <c r="J388" s="43" t="str">
        <f t="shared" si="21"/>
        <v>/Game/DungeonSiege/Blueprints/GameplayAbilities/Affixes/GE_Suffix_of_the_Redeemed</v>
      </c>
    </row>
    <row r="389" spans="1:10" s="23" customFormat="1" ht="33.75" x14ac:dyDescent="0.25">
      <c r="A389" s="43">
        <v>387</v>
      </c>
      <c r="B389" s="43">
        <f>VLOOKUP(C389,CHOOSE({2,1},Suffix!B$2:B$412,Suffix!C$2:C$412),2,FALSE)</f>
        <v>101712441</v>
      </c>
      <c r="C389" s="43" t="s">
        <v>1810</v>
      </c>
      <c r="D389" s="43" t="s">
        <v>943</v>
      </c>
      <c r="E389" s="43" t="str">
        <f>VLOOKUP(F389,CHOOSE({2,1},Attributes!B$3:B$130,Attributes!C$3:C$129),2,FALSE)</f>
        <v>DungeonSiegeDamageAttributeSet</v>
      </c>
      <c r="F389" s="43" t="str">
        <f>Attributes!C26</f>
        <v>MaxPiercingDamageMod</v>
      </c>
      <c r="G389" s="43" t="str">
        <f t="shared" si="22"/>
        <v>(AttributeName="MaxPiercingDamageMod",Attribute=/Script/DSAbilitySystem.DungeonSiegeDamageAttributeSet:MaxPiercingDamageMod,AttributeOwner=Class'"/Script/DSAbilitySystem.DungeonSiegeDamageAttributeSet"')</v>
      </c>
      <c r="H389" s="43">
        <v>4</v>
      </c>
      <c r="I389" s="43" t="str">
        <f t="shared" si="20"/>
        <v>GE_Suffix_of_the_Redeemed</v>
      </c>
      <c r="J389" s="43" t="str">
        <f t="shared" si="21"/>
        <v>/Game/DungeonSiege/Blueprints/GameplayAbilities/Affixes/GE_Suffix_of_the_Redeemed</v>
      </c>
    </row>
    <row r="390" spans="1:10" ht="33.75" x14ac:dyDescent="0.25">
      <c r="A390" s="43">
        <v>388</v>
      </c>
      <c r="B390" s="43">
        <f>VLOOKUP(C390,CHOOSE({2,1},Suffix!B$2:B$412,Suffix!C$2:C$412),2,FALSE)</f>
        <v>101712441</v>
      </c>
      <c r="C390" s="43" t="s">
        <v>1810</v>
      </c>
      <c r="D390" s="43" t="s">
        <v>3282</v>
      </c>
      <c r="E390" s="43" t="str">
        <f>VLOOKUP(F390,CHOOSE({2,1},Attributes!B$3:B$130,Attributes!C$3:C$129),2,FALSE)</f>
        <v>DungeonSiegeDamageAttributeSet</v>
      </c>
      <c r="F390" s="43" t="str">
        <f>Attributes!C29</f>
        <v>RangedHitChance</v>
      </c>
      <c r="G390" s="43" t="str">
        <f t="shared" si="22"/>
        <v>(AttributeName="RangedHitChance",Attribute=/Script/DSAbilitySystem.DungeonSiegeDamageAttributeSet:RangedHitChance,AttributeOwner=Class'"/Script/DSAbilitySystem.DungeonSiegeDamageAttributeSet"')</v>
      </c>
      <c r="H390" s="43">
        <v>6</v>
      </c>
      <c r="I390" s="43" t="str">
        <f t="shared" si="20"/>
        <v>GE_Suffix_of_the_Redeemed</v>
      </c>
      <c r="J390" s="43" t="str">
        <f t="shared" si="21"/>
        <v>/Game/DungeonSiege/Blueprints/GameplayAbilities/Affixes/GE_Suffix_of_the_Redeemed</v>
      </c>
    </row>
    <row r="391" spans="1:10" s="23" customFormat="1" ht="33.75" x14ac:dyDescent="0.25">
      <c r="A391" s="43">
        <v>389</v>
      </c>
      <c r="B391" s="43">
        <f>VLOOKUP(C391,CHOOSE({2,1},Suffix!B$2:B$412,Suffix!C$2:C$412),2,FALSE)</f>
        <v>101712448</v>
      </c>
      <c r="C391" s="43" t="s">
        <v>1812</v>
      </c>
      <c r="D391" s="43" t="s">
        <v>54</v>
      </c>
      <c r="E391" s="43" t="str">
        <f>VLOOKUP(F391,CHOOSE({2,1},Attributes!B$3:B$130,Attributes!C$3:C$129),2,FALSE)</f>
        <v>DungeonSiegeExperienceAttributeSet</v>
      </c>
      <c r="F391" s="43" t="str">
        <f>Attributes!C4</f>
        <v>Dexterity</v>
      </c>
      <c r="G391" s="43" t="str">
        <f t="shared" si="22"/>
        <v>(AttributeName="Dexterity",Attribute=/Script/DSAbilitySystem.DungeonSiegeExperienceAttributeSet:Dexterity,AttributeOwner=Class'"/Script/DSAbilitySystem.DungeonSiegeExperienceAttributeSet"')</v>
      </c>
      <c r="H391" s="43">
        <v>1</v>
      </c>
      <c r="I391" s="43" t="str">
        <f t="shared" si="20"/>
        <v>GE_Suffix_of_Diligence</v>
      </c>
      <c r="J391" s="43" t="str">
        <f t="shared" si="21"/>
        <v>/Game/DungeonSiege/Blueprints/GameplayAbilities/Affixes/GE_Suffix_of_Diligence</v>
      </c>
    </row>
    <row r="392" spans="1:10" s="23" customFormat="1" ht="33.75" x14ac:dyDescent="0.25">
      <c r="A392" s="43">
        <v>390</v>
      </c>
      <c r="B392" s="43">
        <f>VLOOKUP(C392,CHOOSE({2,1},Suffix!B$2:B$412,Suffix!C$2:C$412),2,FALSE)</f>
        <v>101712448</v>
      </c>
      <c r="C392" s="43" t="s">
        <v>1812</v>
      </c>
      <c r="D392" s="43" t="s">
        <v>943</v>
      </c>
      <c r="E392" s="43" t="str">
        <f>VLOOKUP(F392,CHOOSE({2,1},Attributes!B$3:B$130,Attributes!C$3:C$129),2,FALSE)</f>
        <v>DungeonSiegeDamageAttributeSet</v>
      </c>
      <c r="F392" s="43" t="str">
        <f>Attributes!C25</f>
        <v>MinPiercingDamageMod</v>
      </c>
      <c r="G392" s="43" t="str">
        <f t="shared" si="22"/>
        <v>(AttributeName="MinPiercingDamageMod",Attribute=/Script/DSAbilitySystem.DungeonSiegeDamageAttributeSet:MinPiercingDamageMod,AttributeOwner=Class'"/Script/DSAbilitySystem.DungeonSiegeDamageAttributeSet"')</v>
      </c>
      <c r="H392" s="43">
        <v>1</v>
      </c>
      <c r="I392" s="43" t="str">
        <f t="shared" ref="I392:I455" si="23">CONCATENATE("GE_Suffix_", SUBSTITUTE(C392," ","_"))</f>
        <v>GE_Suffix_of_Diligence</v>
      </c>
      <c r="J392" s="43" t="str">
        <f t="shared" ref="J392:J455" si="24">"/Game/DungeonSiege/Blueprints/GameplayAbilities/Affixes/" &amp;I392</f>
        <v>/Game/DungeonSiege/Blueprints/GameplayAbilities/Affixes/GE_Suffix_of_Diligence</v>
      </c>
    </row>
    <row r="393" spans="1:10" s="23" customFormat="1" ht="33.75" x14ac:dyDescent="0.25">
      <c r="A393" s="43">
        <v>391</v>
      </c>
      <c r="B393" s="43">
        <f>VLOOKUP(C393,CHOOSE({2,1},Suffix!B$2:B$412,Suffix!C$2:C$412),2,FALSE)</f>
        <v>101712448</v>
      </c>
      <c r="C393" s="43" t="s">
        <v>1812</v>
      </c>
      <c r="D393" s="43" t="s">
        <v>943</v>
      </c>
      <c r="E393" s="43" t="str">
        <f>VLOOKUP(F393,CHOOSE({2,1},Attributes!B$3:B$130,Attributes!C$3:C$129),2,FALSE)</f>
        <v>DungeonSiegeDamageAttributeSet</v>
      </c>
      <c r="F393" s="43" t="str">
        <f>Attributes!C26</f>
        <v>MaxPiercingDamageMod</v>
      </c>
      <c r="G393" s="43" t="str">
        <f t="shared" si="22"/>
        <v>(AttributeName="MaxPiercingDamageMod",Attribute=/Script/DSAbilitySystem.DungeonSiegeDamageAttributeSet:MaxPiercingDamageMod,AttributeOwner=Class'"/Script/DSAbilitySystem.DungeonSiegeDamageAttributeSet"')</v>
      </c>
      <c r="H393" s="43">
        <v>4</v>
      </c>
      <c r="I393" s="43" t="str">
        <f t="shared" si="23"/>
        <v>GE_Suffix_of_Diligence</v>
      </c>
      <c r="J393" s="43" t="str">
        <f t="shared" si="24"/>
        <v>/Game/DungeonSiege/Blueprints/GameplayAbilities/Affixes/GE_Suffix_of_Diligence</v>
      </c>
    </row>
    <row r="394" spans="1:10" ht="33.75" x14ac:dyDescent="0.25">
      <c r="A394" s="43">
        <v>392</v>
      </c>
      <c r="B394" s="43">
        <f>VLOOKUP(C394,CHOOSE({2,1},Suffix!B$2:B$412,Suffix!C$2:C$412),2,FALSE)</f>
        <v>101712448</v>
      </c>
      <c r="C394" s="43" t="s">
        <v>1812</v>
      </c>
      <c r="D394" s="43" t="s">
        <v>3154</v>
      </c>
      <c r="E394" s="43" t="str">
        <f>VLOOKUP(F394,CHOOSE({2,1},Attributes!B$3:B$130,Attributes!C$3:C$129),2,FALSE)</f>
        <v>DungeonSiegeDamageAttributeSet</v>
      </c>
      <c r="F394" s="43" t="str">
        <f>Attributes!C29</f>
        <v>RangedHitChance</v>
      </c>
      <c r="G394" s="43" t="str">
        <f t="shared" si="22"/>
        <v>(AttributeName="RangedHitChance",Attribute=/Script/DSAbilitySystem.DungeonSiegeDamageAttributeSet:RangedHitChance,AttributeOwner=Class'"/Script/DSAbilitySystem.DungeonSiegeDamageAttributeSet"')</v>
      </c>
      <c r="H394" s="43">
        <v>9</v>
      </c>
      <c r="I394" s="43" t="str">
        <f t="shared" si="23"/>
        <v>GE_Suffix_of_Diligence</v>
      </c>
      <c r="J394" s="43" t="str">
        <f t="shared" si="24"/>
        <v>/Game/DungeonSiege/Blueprints/GameplayAbilities/Affixes/GE_Suffix_of_Diligence</v>
      </c>
    </row>
    <row r="395" spans="1:10" ht="33.75" x14ac:dyDescent="0.25">
      <c r="A395" s="43">
        <v>393</v>
      </c>
      <c r="B395" s="43">
        <f>VLOOKUP(C395,CHOOSE({2,1},Suffix!B$2:B$412,Suffix!C$2:C$412),2,FALSE)</f>
        <v>101712449</v>
      </c>
      <c r="C395" s="43" t="s">
        <v>1814</v>
      </c>
      <c r="D395" s="43" t="s">
        <v>1815</v>
      </c>
      <c r="E395" s="43" t="str">
        <f>VLOOKUP(F395,CHOOSE({2,1},Attributes!B$3:B$130,Attributes!C$3:C$129),2,FALSE)</f>
        <v>DungeonSiegeCastOnHitAttributeSet</v>
      </c>
      <c r="F395" s="43" t="str">
        <f>Attributes!C110</f>
        <v>ChanceToCastMultisparkOnHit</v>
      </c>
      <c r="G395" s="43" t="str">
        <f t="shared" si="22"/>
        <v>(AttributeName="ChanceToCastMultisparkOnHit",Attribute=/Script/DSAbilitySystem.DungeonSiegeCastOnHitAttributeSet:ChanceToCastMultisparkOnHit,AttributeOwner=Class'"/Script/DSAbilitySystem.DungeonSiegeCastOnHitAttributeSet"')</v>
      </c>
      <c r="H395" s="43">
        <v>15</v>
      </c>
      <c r="I395" s="43" t="str">
        <f t="shared" si="23"/>
        <v>GE_Suffix_of_Minor_Multispark</v>
      </c>
      <c r="J395" s="43" t="str">
        <f t="shared" si="24"/>
        <v>/Game/DungeonSiege/Blueprints/GameplayAbilities/Affixes/GE_Suffix_of_Minor_Multispark</v>
      </c>
    </row>
    <row r="396" spans="1:10" ht="33.75" x14ac:dyDescent="0.25">
      <c r="A396" s="43">
        <v>394</v>
      </c>
      <c r="B396" s="43">
        <f>VLOOKUP(C396,CHOOSE({2,1},Suffix!B$2:B$412,Suffix!C$2:C$412),2,FALSE)</f>
        <v>101712450</v>
      </c>
      <c r="C396" s="43" t="s">
        <v>1817</v>
      </c>
      <c r="D396" s="43" t="s">
        <v>1818</v>
      </c>
      <c r="E396" s="43" t="str">
        <f>VLOOKUP(F396,CHOOSE({2,1},Attributes!B$3:B$130,Attributes!C$3:C$129),2,FALSE)</f>
        <v>DungeonSiegeCastOnHitAttributeSet</v>
      </c>
      <c r="F396" s="43" t="str">
        <f>Attributes!C106</f>
        <v>ChanceToCastFirebombOnHit</v>
      </c>
      <c r="G396" s="43" t="str">
        <f t="shared" si="22"/>
        <v>(AttributeName="ChanceToCastFirebombOnHit",Attribute=/Script/DSAbilitySystem.DungeonSiegeCastOnHitAttributeSet:ChanceToCastFirebombOnHit,AttributeOwner=Class'"/Script/DSAbilitySystem.DungeonSiegeCastOnHitAttributeSet"')</v>
      </c>
      <c r="H396" s="43">
        <v>10</v>
      </c>
      <c r="I396" s="43" t="str">
        <f t="shared" si="23"/>
        <v>GE_Suffix_of_Lesser_Firebomb</v>
      </c>
      <c r="J396" s="43" t="str">
        <f t="shared" si="24"/>
        <v>/Game/DungeonSiege/Blueprints/GameplayAbilities/Affixes/GE_Suffix_of_Lesser_Firebomb</v>
      </c>
    </row>
    <row r="397" spans="1:10" s="23" customFormat="1" ht="33.75" x14ac:dyDescent="0.25">
      <c r="A397" s="43">
        <v>395</v>
      </c>
      <c r="B397" s="43">
        <f>VLOOKUP(C397,CHOOSE({2,1},Suffix!B$2:B$412,Suffix!C$2:C$412),2,FALSE)</f>
        <v>101712451</v>
      </c>
      <c r="C397" s="43" t="s">
        <v>1820</v>
      </c>
      <c r="D397" s="43" t="s">
        <v>1821</v>
      </c>
      <c r="E397" s="43" t="str">
        <f>VLOOKUP(F397,CHOOSE({2,1},Attributes!B$3:B$130,Attributes!C$3:C$129),2,FALSE)</f>
        <v>DungeonSiegeDamageAttributeSet</v>
      </c>
      <c r="F397" s="43" t="str">
        <f>Attributes!C19</f>
        <v>MinDamageMod</v>
      </c>
      <c r="G397" s="43" t="str">
        <f t="shared" si="22"/>
        <v>(AttributeName="MinDamageMod",Attribute=/Script/DSAbilitySystem.DungeonSiegeDamageAttributeSet:MinDamageMod,AttributeOwner=Class'"/Script/DSAbilitySystem.DungeonSiegeDamageAttributeSet"')</v>
      </c>
      <c r="H397" s="43">
        <v>1</v>
      </c>
      <c r="I397" s="43" t="str">
        <f t="shared" si="23"/>
        <v>GE_Suffix_of_Craft</v>
      </c>
      <c r="J397" s="43" t="str">
        <f t="shared" si="24"/>
        <v>/Game/DungeonSiege/Blueprints/GameplayAbilities/Affixes/GE_Suffix_of_Craft</v>
      </c>
    </row>
    <row r="398" spans="1:10" ht="33.75" x14ac:dyDescent="0.25">
      <c r="A398" s="43">
        <v>396</v>
      </c>
      <c r="B398" s="43">
        <f>VLOOKUP(C398,CHOOSE({2,1},Suffix!B$2:B$412,Suffix!C$2:C$412),2,FALSE)</f>
        <v>101712451</v>
      </c>
      <c r="C398" s="43" t="s">
        <v>1820</v>
      </c>
      <c r="D398" s="43" t="s">
        <v>1821</v>
      </c>
      <c r="E398" s="43" t="str">
        <f>VLOOKUP(F398,CHOOSE({2,1},Attributes!B$3:B$130,Attributes!C$3:C$129),2,FALSE)</f>
        <v>DungeonSiegeDamageAttributeSet</v>
      </c>
      <c r="F398" s="43" t="str">
        <f>Attributes!C20</f>
        <v>MaxDamageMod</v>
      </c>
      <c r="G398" s="43" t="str">
        <f t="shared" si="22"/>
        <v>(AttributeName="MaxDamageMod",Attribute=/Script/DSAbilitySystem.DungeonSiegeDamageAttributeSet:MaxDamageMod,AttributeOwner=Class'"/Script/DSAbilitySystem.DungeonSiegeDamageAttributeSet"')</v>
      </c>
      <c r="H398" s="43">
        <v>19</v>
      </c>
      <c r="I398" s="43" t="str">
        <f t="shared" si="23"/>
        <v>GE_Suffix_of_Craft</v>
      </c>
      <c r="J398" s="43" t="str">
        <f t="shared" si="24"/>
        <v>/Game/DungeonSiege/Blueprints/GameplayAbilities/Affixes/GE_Suffix_of_Craft</v>
      </c>
    </row>
    <row r="399" spans="1:10" s="23" customFormat="1" ht="33.75" x14ac:dyDescent="0.25">
      <c r="A399" s="43">
        <v>397</v>
      </c>
      <c r="B399" s="43">
        <f>VLOOKUP(C399,CHOOSE({2,1},Suffix!B$2:B$412,Suffix!C$2:C$412),2,FALSE)</f>
        <v>101712452</v>
      </c>
      <c r="C399" s="43" t="s">
        <v>1823</v>
      </c>
      <c r="D399" s="43" t="s">
        <v>93</v>
      </c>
      <c r="E399" s="43" t="str">
        <f>VLOOKUP(F399,CHOOSE({2,1},Attributes!B$3:B$130,Attributes!C$3:C$129),2,FALSE)</f>
        <v>DungeonSiegeExperienceAttributeSet</v>
      </c>
      <c r="F399" s="43" t="str">
        <f>Attributes!C5</f>
        <v>Intelligence</v>
      </c>
      <c r="G399" s="43" t="str">
        <f t="shared" si="22"/>
        <v>(AttributeName="Intelligence",Attribute=/Script/DSAbilitySystem.DungeonSiegeExperienceAttributeSet:Intelligence,AttributeOwner=Class'"/Script/DSAbilitySystem.DungeonSiegeExperienceAttributeSet"')</v>
      </c>
      <c r="H399" s="43">
        <v>2</v>
      </c>
      <c r="I399" s="43" t="str">
        <f t="shared" si="23"/>
        <v>GE_Suffix_of_the_Banished</v>
      </c>
      <c r="J399" s="43" t="str">
        <f t="shared" si="24"/>
        <v>/Game/DungeonSiege/Blueprints/GameplayAbilities/Affixes/GE_Suffix_of_the_Banished</v>
      </c>
    </row>
    <row r="400" spans="1:10" s="23" customFormat="1" ht="33.75" x14ac:dyDescent="0.25">
      <c r="A400" s="43">
        <v>398</v>
      </c>
      <c r="B400" s="43">
        <f>VLOOKUP(C400,CHOOSE({2,1},Suffix!B$2:B$412,Suffix!C$2:C$412),2,FALSE)</f>
        <v>101712452</v>
      </c>
      <c r="C400" s="43" t="s">
        <v>1823</v>
      </c>
      <c r="D400" s="43" t="s">
        <v>3283</v>
      </c>
      <c r="E400" s="43" t="str">
        <f>VLOOKUP(F400,CHOOSE({2,1},Attributes!B$3:B$130,Attributes!C$3:C$129),2,FALSE)</f>
        <v>DungeonSiegeManaAttributeSet</v>
      </c>
      <c r="F400" s="43" t="str">
        <f>Attributes!C90</f>
        <v>BaseManaBonus</v>
      </c>
      <c r="G400" s="43" t="str">
        <f t="shared" si="22"/>
        <v>(AttributeName="BaseManaBonus",Attribute=/Script/DSAbilitySystem.DungeonSiegeManaAttributeSet:BaseManaBonus,AttributeOwner=Class'"/Script/DSAbilitySystem.DungeonSiegeManaAttributeSet"')</v>
      </c>
      <c r="H400" s="43">
        <v>17</v>
      </c>
      <c r="I400" s="43" t="str">
        <f t="shared" si="23"/>
        <v>GE_Suffix_of_the_Banished</v>
      </c>
      <c r="J400" s="43" t="str">
        <f t="shared" si="24"/>
        <v>/Game/DungeonSiege/Blueprints/GameplayAbilities/Affixes/GE_Suffix_of_the_Banished</v>
      </c>
    </row>
    <row r="401" spans="1:10" ht="33.75" x14ac:dyDescent="0.25">
      <c r="A401" s="43">
        <v>399</v>
      </c>
      <c r="B401" s="43">
        <f>VLOOKUP(C401,CHOOSE({2,1},Suffix!B$2:B$412,Suffix!C$2:C$412),2,FALSE)</f>
        <v>101712452</v>
      </c>
      <c r="C401" s="43" t="s">
        <v>1823</v>
      </c>
      <c r="D401" s="43" t="s">
        <v>3279</v>
      </c>
      <c r="E401" s="43" t="str">
        <f>VLOOKUP(F401,CHOOSE({2,1},Attributes!B$3:B$130,Attributes!C$3:C$129),2,FALSE)</f>
        <v>DungeonSiegeHealthAttributeSet</v>
      </c>
      <c r="F401" s="43" t="str">
        <f>Attributes!C82</f>
        <v>BaseHealthBonus</v>
      </c>
      <c r="G401" s="43" t="str">
        <f t="shared" si="22"/>
        <v>(AttributeName="BaseHealthBonus",Attribute=/Script/DSAbilitySystem.DungeonSiegeHealthAttributeSet:BaseHealthBonus,AttributeOwner=Class'"/Script/DSAbilitySystem.DungeonSiegeHealthAttributeSet"')</v>
      </c>
      <c r="H401" s="43">
        <v>22</v>
      </c>
      <c r="I401" s="43" t="str">
        <f t="shared" si="23"/>
        <v>GE_Suffix_of_the_Banished</v>
      </c>
      <c r="J401" s="43" t="str">
        <f t="shared" si="24"/>
        <v>/Game/DungeonSiege/Blueprints/GameplayAbilities/Affixes/GE_Suffix_of_the_Banished</v>
      </c>
    </row>
    <row r="402" spans="1:10" s="23" customFormat="1" ht="33.75" x14ac:dyDescent="0.25">
      <c r="A402" s="43">
        <v>400</v>
      </c>
      <c r="B402" s="43">
        <f>VLOOKUP(C402,CHOOSE({2,1},Suffix!B$2:B$412,Suffix!C$2:C$412),2,FALSE)</f>
        <v>101712453</v>
      </c>
      <c r="C402" s="43" t="s">
        <v>1825</v>
      </c>
      <c r="D402" s="43" t="s">
        <v>93</v>
      </c>
      <c r="E402" s="43" t="str">
        <f>VLOOKUP(F402,CHOOSE({2,1},Attributes!B$3:B$130,Attributes!C$3:C$129),2,FALSE)</f>
        <v>DungeonSiegeExperienceAttributeSet</v>
      </c>
      <c r="F402" s="43" t="str">
        <f>Attributes!C5</f>
        <v>Intelligence</v>
      </c>
      <c r="G402" s="43" t="str">
        <f t="shared" si="22"/>
        <v>(AttributeName="Intelligence",Attribute=/Script/DSAbilitySystem.DungeonSiegeExperienceAttributeSet:Intelligence,AttributeOwner=Class'"/Script/DSAbilitySystem.DungeonSiegeExperienceAttributeSet"')</v>
      </c>
      <c r="H402" s="43">
        <v>2</v>
      </c>
      <c r="I402" s="43" t="str">
        <f t="shared" si="23"/>
        <v>GE_Suffix_of_Contempt</v>
      </c>
      <c r="J402" s="43" t="str">
        <f t="shared" si="24"/>
        <v>/Game/DungeonSiege/Blueprints/GameplayAbilities/Affixes/GE_Suffix_of_Contempt</v>
      </c>
    </row>
    <row r="403" spans="1:10" s="23" customFormat="1" ht="33.75" x14ac:dyDescent="0.25">
      <c r="A403" s="43">
        <v>401</v>
      </c>
      <c r="B403" s="43">
        <f>VLOOKUP(C403,CHOOSE({2,1},Suffix!B$2:B$412,Suffix!C$2:C$412),2,FALSE)</f>
        <v>101712453</v>
      </c>
      <c r="C403" s="43" t="s">
        <v>1825</v>
      </c>
      <c r="D403" s="43" t="s">
        <v>881</v>
      </c>
      <c r="E403" s="43" t="str">
        <f>VLOOKUP(F403,CHOOSE({2,1},Attributes!B$3:B$130,Attributes!C$3:C$129),2,FALSE)</f>
        <v>DungeonSiegePerHitAttributeSet</v>
      </c>
      <c r="F403" s="43" t="str">
        <f>Attributes!C14</f>
        <v>ManaStealPerHit</v>
      </c>
      <c r="G403" s="43" t="str">
        <f t="shared" si="22"/>
        <v>(AttributeName="ManaStealPerHit",Attribute=/Script/DSAbilitySystem.DungeonSiegePerHitAttributeSet:ManaStealPerHit,AttributeOwner=Class'"/Script/DSAbilitySystem.DungeonSiegePerHitAttributeSet"')</v>
      </c>
      <c r="H403" s="43">
        <v>1</v>
      </c>
      <c r="I403" s="43" t="str">
        <f t="shared" si="23"/>
        <v>GE_Suffix_of_Contempt</v>
      </c>
      <c r="J403" s="43" t="str">
        <f t="shared" si="24"/>
        <v>/Game/DungeonSiege/Blueprints/GameplayAbilities/Affixes/GE_Suffix_of_Contempt</v>
      </c>
    </row>
    <row r="404" spans="1:10" ht="33.75" x14ac:dyDescent="0.25">
      <c r="A404" s="43">
        <v>402</v>
      </c>
      <c r="B404" s="43">
        <f>VLOOKUP(C404,CHOOSE({2,1},Suffix!B$2:B$412,Suffix!C$2:C$412),2,FALSE)</f>
        <v>101712453</v>
      </c>
      <c r="C404" s="43" t="s">
        <v>1825</v>
      </c>
      <c r="D404" s="43" t="s">
        <v>861</v>
      </c>
      <c r="E404" s="43" t="str">
        <f>VLOOKUP(F404,CHOOSE({2,1},Attributes!B$3:B$130,Attributes!C$3:C$129),2,FALSE)</f>
        <v>DungeonSiegePerHitAttributeSet</v>
      </c>
      <c r="F404" s="43" t="str">
        <f>Attributes!C13</f>
        <v>HealthStealPerHit</v>
      </c>
      <c r="G404" s="43" t="str">
        <f t="shared" si="22"/>
        <v>(AttributeName="HealthStealPerHit",Attribute=/Script/DSAbilitySystem.DungeonSiegePerHitAttributeSet:HealthStealPerHit,AttributeOwner=Class'"/Script/DSAbilitySystem.DungeonSiegePerHitAttributeSet"')</v>
      </c>
      <c r="H404" s="43">
        <v>1</v>
      </c>
      <c r="I404" s="43" t="str">
        <f t="shared" si="23"/>
        <v>GE_Suffix_of_Contempt</v>
      </c>
      <c r="J404" s="43" t="str">
        <f t="shared" si="24"/>
        <v>/Game/DungeonSiege/Blueprints/GameplayAbilities/Affixes/GE_Suffix_of_Contempt</v>
      </c>
    </row>
    <row r="405" spans="1:10" s="23" customFormat="1" ht="33.75" x14ac:dyDescent="0.25">
      <c r="A405" s="43">
        <v>403</v>
      </c>
      <c r="B405" s="43">
        <f>VLOOKUP(C405,CHOOSE({2,1},Suffix!B$2:B$412,Suffix!C$2:C$412),2,FALSE)</f>
        <v>101712454</v>
      </c>
      <c r="C405" s="43" t="s">
        <v>1827</v>
      </c>
      <c r="D405" s="43" t="s">
        <v>911</v>
      </c>
      <c r="E405" s="43" t="str">
        <f>VLOOKUP(F405,CHOOSE({2,1},Attributes!B$3:B$130,Attributes!C$3:C$129),2,FALSE)</f>
        <v>DungeonSiegePerHitAttributeSet</v>
      </c>
      <c r="F405" s="43" t="str">
        <f>Attributes!C11</f>
        <v>HealthPerHit</v>
      </c>
      <c r="G405" s="43" t="str">
        <f t="shared" si="22"/>
        <v>(AttributeName="HealthPerHit",Attribute=/Script/DSAbilitySystem.DungeonSiegePerHitAttributeSet:HealthPerHit,AttributeOwner=Class'"/Script/DSAbilitySystem.DungeonSiegePerHitAttributeSet"')</v>
      </c>
      <c r="H405" s="43">
        <v>2</v>
      </c>
      <c r="I405" s="43" t="str">
        <f t="shared" si="23"/>
        <v>GE_Suffix_of_Mortality</v>
      </c>
      <c r="J405" s="43" t="str">
        <f t="shared" si="24"/>
        <v>/Game/DungeonSiege/Blueprints/GameplayAbilities/Affixes/GE_Suffix_of_Mortality</v>
      </c>
    </row>
    <row r="406" spans="1:10" s="23" customFormat="1" ht="33.75" x14ac:dyDescent="0.25">
      <c r="A406" s="43">
        <v>404</v>
      </c>
      <c r="B406" s="43">
        <f>VLOOKUP(C406,CHOOSE({2,1},Suffix!B$2:B$412,Suffix!C$2:C$412),2,FALSE)</f>
        <v>101712454</v>
      </c>
      <c r="C406" s="43" t="s">
        <v>1827</v>
      </c>
      <c r="D406" s="43" t="s">
        <v>943</v>
      </c>
      <c r="E406" s="43" t="str">
        <f>VLOOKUP(F406,CHOOSE({2,1},Attributes!B$3:B$130,Attributes!C$3:C$129),2,FALSE)</f>
        <v>DungeonSiegeDamageAttributeSet</v>
      </c>
      <c r="F406" s="43" t="str">
        <f>Attributes!C25</f>
        <v>MinPiercingDamageMod</v>
      </c>
      <c r="G406" s="43" t="str">
        <f t="shared" si="22"/>
        <v>(AttributeName="MinPiercingDamageMod",Attribute=/Script/DSAbilitySystem.DungeonSiegeDamageAttributeSet:MinPiercingDamageMod,AttributeOwner=Class'"/Script/DSAbilitySystem.DungeonSiegeDamageAttributeSet"')</v>
      </c>
      <c r="H406" s="43">
        <v>1</v>
      </c>
      <c r="I406" s="43" t="str">
        <f t="shared" si="23"/>
        <v>GE_Suffix_of_Mortality</v>
      </c>
      <c r="J406" s="43" t="str">
        <f t="shared" si="24"/>
        <v>/Game/DungeonSiege/Blueprints/GameplayAbilities/Affixes/GE_Suffix_of_Mortality</v>
      </c>
    </row>
    <row r="407" spans="1:10" s="23" customFormat="1" ht="33.75" x14ac:dyDescent="0.25">
      <c r="A407" s="43">
        <v>405</v>
      </c>
      <c r="B407" s="43">
        <f>VLOOKUP(C407,CHOOSE({2,1},Suffix!B$2:B$412,Suffix!C$2:C$412),2,FALSE)</f>
        <v>101712454</v>
      </c>
      <c r="C407" s="43" t="s">
        <v>1827</v>
      </c>
      <c r="D407" s="43" t="s">
        <v>943</v>
      </c>
      <c r="E407" s="43" t="str">
        <f>VLOOKUP(F407,CHOOSE({2,1},Attributes!B$3:B$130,Attributes!C$3:C$129),2,FALSE)</f>
        <v>DungeonSiegeDamageAttributeSet</v>
      </c>
      <c r="F407" s="43" t="str">
        <f>Attributes!C26</f>
        <v>MaxPiercingDamageMod</v>
      </c>
      <c r="G407" s="43" t="str">
        <f t="shared" si="22"/>
        <v>(AttributeName="MaxPiercingDamageMod",Attribute=/Script/DSAbilitySystem.DungeonSiegeDamageAttributeSet:MaxPiercingDamageMod,AttributeOwner=Class'"/Script/DSAbilitySystem.DungeonSiegeDamageAttributeSet"')</v>
      </c>
      <c r="H407" s="43">
        <v>1</v>
      </c>
      <c r="I407" s="43" t="str">
        <f t="shared" si="23"/>
        <v>GE_Suffix_of_Mortality</v>
      </c>
      <c r="J407" s="43" t="str">
        <f t="shared" si="24"/>
        <v>/Game/DungeonSiege/Blueprints/GameplayAbilities/Affixes/GE_Suffix_of_Mortality</v>
      </c>
    </row>
    <row r="408" spans="1:10" s="23" customFormat="1" ht="33.75" x14ac:dyDescent="0.25">
      <c r="A408" s="43">
        <v>406</v>
      </c>
      <c r="B408" s="43">
        <f>VLOOKUP(C408,CHOOSE({2,1},Suffix!B$2:B$412,Suffix!C$2:C$412),2,FALSE)</f>
        <v>101712454</v>
      </c>
      <c r="C408" s="43" t="s">
        <v>1827</v>
      </c>
      <c r="D408" s="43" t="s">
        <v>3284</v>
      </c>
      <c r="E408" s="43" t="str">
        <f>VLOOKUP(F408,CHOOSE({2,1},Attributes!B$3:B$130,Attributes!C$3:C$129),2,FALSE)</f>
        <v>DungeonSiegeDamageAttributeSet</v>
      </c>
      <c r="F408" s="43" t="str">
        <f>Attributes!C33</f>
        <v>MeleeHitChance</v>
      </c>
      <c r="G408" s="43" t="str">
        <f t="shared" si="22"/>
        <v>(AttributeName="MeleeHitChance",Attribute=/Script/DSAbilitySystem.DungeonSiegeDamageAttributeSet:MeleeHitChance,AttributeOwner=Class'"/Script/DSAbilitySystem.DungeonSiegeDamageAttributeSet"')</v>
      </c>
      <c r="H408" s="43">
        <v>4</v>
      </c>
      <c r="I408" s="43" t="str">
        <f t="shared" si="23"/>
        <v>GE_Suffix_of_Mortality</v>
      </c>
      <c r="J408" s="43" t="str">
        <f t="shared" si="24"/>
        <v>/Game/DungeonSiege/Blueprints/GameplayAbilities/Affixes/GE_Suffix_of_Mortality</v>
      </c>
    </row>
    <row r="409" spans="1:10" ht="33.75" x14ac:dyDescent="0.25">
      <c r="A409" s="43">
        <v>407</v>
      </c>
      <c r="B409" s="43">
        <f>VLOOKUP(C409,CHOOSE({2,1},Suffix!B$2:B$412,Suffix!C$2:C$412),2,FALSE)</f>
        <v>101712454</v>
      </c>
      <c r="C409" s="43" t="s">
        <v>1827</v>
      </c>
      <c r="D409" s="43" t="s">
        <v>950</v>
      </c>
      <c r="E409" s="43" t="str">
        <f>VLOOKUP(F409,CHOOSE({2,1},Attributes!B$3:B$130,Attributes!C$3:C$129),2,FALSE)</f>
        <v>DungeonSiegeDamageAttributeSet</v>
      </c>
      <c r="F409" s="43" t="str">
        <f>Attributes!C19</f>
        <v>MinDamageMod</v>
      </c>
      <c r="G409" s="43" t="str">
        <f t="shared" si="22"/>
        <v>(AttributeName="MinDamageMod",Attribute=/Script/DSAbilitySystem.DungeonSiegeDamageAttributeSet:MinDamageMod,AttributeOwner=Class'"/Script/DSAbilitySystem.DungeonSiegeDamageAttributeSet"')</v>
      </c>
      <c r="H409" s="43">
        <v>7</v>
      </c>
      <c r="I409" s="43" t="str">
        <f t="shared" si="23"/>
        <v>GE_Suffix_of_Mortality</v>
      </c>
      <c r="J409" s="43" t="str">
        <f t="shared" si="24"/>
        <v>/Game/DungeonSiege/Blueprints/GameplayAbilities/Affixes/GE_Suffix_of_Mortality</v>
      </c>
    </row>
    <row r="410" spans="1:10" ht="33.75" x14ac:dyDescent="0.25">
      <c r="A410" s="43">
        <v>408</v>
      </c>
      <c r="B410" s="43">
        <f>VLOOKUP(C410,CHOOSE({2,1},Suffix!B$2:B$412,Suffix!C$2:C$412),2,FALSE)</f>
        <v>101712455</v>
      </c>
      <c r="C410" s="43" t="s">
        <v>1829</v>
      </c>
      <c r="D410" s="43" t="s">
        <v>3249</v>
      </c>
      <c r="E410" s="43" t="str">
        <f>VLOOKUP(F410,CHOOSE({2,1},Attributes!B$3:B$130,Attributes!C$3:C$129),2,FALSE)</f>
        <v>DungeonSiegeExperienceAttributeSet</v>
      </c>
      <c r="F410" s="43" t="str">
        <f>Attributes!C8</f>
        <v>Ranged</v>
      </c>
      <c r="G410" s="43" t="str">
        <f t="shared" si="22"/>
        <v>(AttributeName="Ranged",Attribute=/Script/DSAbilitySystem.DungeonSiegeExperienceAttributeSet:Ranged,AttributeOwner=Class'"/Script/DSAbilitySystem.DungeonSiegeExperienceAttributeSet"')</v>
      </c>
      <c r="H410" s="43">
        <v>1</v>
      </c>
      <c r="I410" s="43" t="str">
        <f t="shared" si="23"/>
        <v>GE_Suffix_of_Eagle_Eye</v>
      </c>
      <c r="J410" s="43" t="str">
        <f t="shared" si="24"/>
        <v>/Game/DungeonSiege/Blueprints/GameplayAbilities/Affixes/GE_Suffix_of_Eagle_Eye</v>
      </c>
    </row>
    <row r="411" spans="1:10" s="23" customFormat="1" ht="33.75" x14ac:dyDescent="0.25">
      <c r="A411" s="43">
        <v>409</v>
      </c>
      <c r="B411" s="43">
        <f>VLOOKUP(C411,CHOOSE({2,1},Suffix!B$2:B$412,Suffix!C$2:C$412),2,FALSE)</f>
        <v>101712456</v>
      </c>
      <c r="C411" s="43" t="s">
        <v>1833</v>
      </c>
      <c r="D411" s="43" t="s">
        <v>3285</v>
      </c>
      <c r="E411" s="43" t="str">
        <f>VLOOKUP(F411,CHOOSE({2,1},Attributes!B$3:B$130,Attributes!C$3:C$129),2,FALSE)</f>
        <v>DungeonSiegeExperienceAttributeSet</v>
      </c>
      <c r="F411" s="43" t="str">
        <f>Attributes!C3</f>
        <v>Strength</v>
      </c>
      <c r="G411" s="43" t="str">
        <f t="shared" si="22"/>
        <v>(AttributeName="Strength",Attribute=/Script/DSAbilitySystem.DungeonSiegeExperienceAttributeSet:Strength,AttributeOwner=Class'"/Script/DSAbilitySystem.DungeonSiegeExperienceAttributeSet"')</v>
      </c>
      <c r="H411" s="43">
        <v>2</v>
      </c>
      <c r="I411" s="43" t="str">
        <f t="shared" si="23"/>
        <v>GE_Suffix_of_Stability</v>
      </c>
      <c r="J411" s="43" t="str">
        <f t="shared" si="24"/>
        <v>/Game/DungeonSiege/Blueprints/GameplayAbilities/Affixes/GE_Suffix_of_Stability</v>
      </c>
    </row>
    <row r="412" spans="1:10" s="23" customFormat="1" ht="33.75" x14ac:dyDescent="0.25">
      <c r="A412" s="43">
        <v>410</v>
      </c>
      <c r="B412" s="43">
        <f>VLOOKUP(C412,CHOOSE({2,1},Suffix!B$2:B$412,Suffix!C$2:C$412),2,FALSE)</f>
        <v>101712456</v>
      </c>
      <c r="C412" s="43" t="s">
        <v>1833</v>
      </c>
      <c r="D412" s="43" t="s">
        <v>943</v>
      </c>
      <c r="E412" s="43" t="str">
        <f>VLOOKUP(F412,CHOOSE({2,1},Attributes!B$3:B$130,Attributes!C$3:C$129),2,FALSE)</f>
        <v>DungeonSiegeDamageAttributeSet</v>
      </c>
      <c r="F412" s="43" t="str">
        <f>Attributes!C25</f>
        <v>MinPiercingDamageMod</v>
      </c>
      <c r="G412" s="43" t="str">
        <f t="shared" si="22"/>
        <v>(AttributeName="MinPiercingDamageMod",Attribute=/Script/DSAbilitySystem.DungeonSiegeDamageAttributeSet:MinPiercingDamageMod,AttributeOwner=Class'"/Script/DSAbilitySystem.DungeonSiegeDamageAttributeSet"')</v>
      </c>
      <c r="H412" s="43">
        <v>1</v>
      </c>
      <c r="I412" s="43" t="str">
        <f t="shared" si="23"/>
        <v>GE_Suffix_of_Stability</v>
      </c>
      <c r="J412" s="43" t="str">
        <f t="shared" si="24"/>
        <v>/Game/DungeonSiege/Blueprints/GameplayAbilities/Affixes/GE_Suffix_of_Stability</v>
      </c>
    </row>
    <row r="413" spans="1:10" ht="33.75" x14ac:dyDescent="0.25">
      <c r="A413" s="43">
        <v>411</v>
      </c>
      <c r="B413" s="43">
        <f>VLOOKUP(C413,CHOOSE({2,1},Suffix!B$2:B$412,Suffix!C$2:C$412),2,FALSE)</f>
        <v>101712456</v>
      </c>
      <c r="C413" s="43" t="s">
        <v>1833</v>
      </c>
      <c r="D413" s="43" t="s">
        <v>943</v>
      </c>
      <c r="E413" s="43" t="str">
        <f>VLOOKUP(F413,CHOOSE({2,1},Attributes!B$3:B$130,Attributes!C$3:C$129),2,FALSE)</f>
        <v>DungeonSiegeDamageAttributeSet</v>
      </c>
      <c r="F413" s="43" t="str">
        <f>Attributes!C26</f>
        <v>MaxPiercingDamageMod</v>
      </c>
      <c r="G413" s="43" t="str">
        <f t="shared" si="22"/>
        <v>(AttributeName="MaxPiercingDamageMod",Attribute=/Script/DSAbilitySystem.DungeonSiegeDamageAttributeSet:MaxPiercingDamageMod,AttributeOwner=Class'"/Script/DSAbilitySystem.DungeonSiegeDamageAttributeSet"')</v>
      </c>
      <c r="H413" s="43">
        <v>4</v>
      </c>
      <c r="I413" s="43" t="str">
        <f t="shared" si="23"/>
        <v>GE_Suffix_of_Stability</v>
      </c>
      <c r="J413" s="43" t="str">
        <f t="shared" si="24"/>
        <v>/Game/DungeonSiege/Blueprints/GameplayAbilities/Affixes/GE_Suffix_of_Stability</v>
      </c>
    </row>
    <row r="414" spans="1:10" s="23" customFormat="1" ht="33.75" x14ac:dyDescent="0.25">
      <c r="A414" s="43">
        <v>412</v>
      </c>
      <c r="B414" s="43">
        <f>VLOOKUP(C414,CHOOSE({2,1},Suffix!B$2:B$412,Suffix!C$2:C$412),2,FALSE)</f>
        <v>101712457</v>
      </c>
      <c r="C414" s="43" t="s">
        <v>1835</v>
      </c>
      <c r="D414" s="43" t="s">
        <v>227</v>
      </c>
      <c r="E414" s="43" t="str">
        <f>VLOOKUP(F414,CHOOSE({2,1},Attributes!B$3:B$130,Attributes!C$3:C$129),2,FALSE)</f>
        <v>DungeonSiegeExperienceAttributeSet</v>
      </c>
      <c r="F414" s="43" t="str">
        <f>Attributes!C3</f>
        <v>Strength</v>
      </c>
      <c r="G414" s="43" t="str">
        <f t="shared" si="22"/>
        <v>(AttributeName="Strength",Attribute=/Script/DSAbilitySystem.DungeonSiegeExperienceAttributeSet:Strength,AttributeOwner=Class'"/Script/DSAbilitySystem.DungeonSiegeExperienceAttributeSet"')</v>
      </c>
      <c r="H414" s="43">
        <v>1</v>
      </c>
      <c r="I414" s="43" t="str">
        <f t="shared" si="23"/>
        <v>GE_Suffix_of_Old</v>
      </c>
      <c r="J414" s="43" t="str">
        <f t="shared" si="24"/>
        <v>/Game/DungeonSiege/Blueprints/GameplayAbilities/Affixes/GE_Suffix_of_Old</v>
      </c>
    </row>
    <row r="415" spans="1:10" s="23" customFormat="1" ht="33.75" x14ac:dyDescent="0.25">
      <c r="A415" s="43">
        <v>413</v>
      </c>
      <c r="B415" s="43">
        <f>VLOOKUP(C415,CHOOSE({2,1},Suffix!B$2:B$412,Suffix!C$2:C$412),2,FALSE)</f>
        <v>101712457</v>
      </c>
      <c r="C415" s="43" t="s">
        <v>1835</v>
      </c>
      <c r="D415" s="43" t="s">
        <v>54</v>
      </c>
      <c r="E415" s="43" t="str">
        <f>VLOOKUP(F415,CHOOSE({2,1},Attributes!B$3:B$130,Attributes!C$3:C$129),2,FALSE)</f>
        <v>DungeonSiegeExperienceAttributeSet</v>
      </c>
      <c r="F415" s="43" t="str">
        <f>Attributes!C4</f>
        <v>Dexterity</v>
      </c>
      <c r="G415" s="43" t="str">
        <f t="shared" si="22"/>
        <v>(AttributeName="Dexterity",Attribute=/Script/DSAbilitySystem.DungeonSiegeExperienceAttributeSet:Dexterity,AttributeOwner=Class'"/Script/DSAbilitySystem.DungeonSiegeExperienceAttributeSet"')</v>
      </c>
      <c r="H415" s="43">
        <v>1</v>
      </c>
      <c r="I415" s="43" t="str">
        <f t="shared" si="23"/>
        <v>GE_Suffix_of_Old</v>
      </c>
      <c r="J415" s="43" t="str">
        <f t="shared" si="24"/>
        <v>/Game/DungeonSiege/Blueprints/GameplayAbilities/Affixes/GE_Suffix_of_Old</v>
      </c>
    </row>
    <row r="416" spans="1:10" s="23" customFormat="1" ht="33.75" x14ac:dyDescent="0.25">
      <c r="A416" s="43">
        <v>414</v>
      </c>
      <c r="B416" s="43">
        <f>VLOOKUP(C416,CHOOSE({2,1},Suffix!B$2:B$412,Suffix!C$2:C$412),2,FALSE)</f>
        <v>101712457</v>
      </c>
      <c r="C416" s="43" t="s">
        <v>1835</v>
      </c>
      <c r="D416" s="43" t="s">
        <v>75</v>
      </c>
      <c r="E416" s="43" t="str">
        <f>VLOOKUP(F416,CHOOSE({2,1},Attributes!B$3:B$130,Attributes!C$3:C$129),2,FALSE)</f>
        <v>DungeonSiegeExperienceAttributeSet</v>
      </c>
      <c r="F416" s="43" t="str">
        <f>Attributes!C5</f>
        <v>Intelligence</v>
      </c>
      <c r="G416" s="43" t="str">
        <f t="shared" si="22"/>
        <v>(AttributeName="Intelligence",Attribute=/Script/DSAbilitySystem.DungeonSiegeExperienceAttributeSet:Intelligence,AttributeOwner=Class'"/Script/DSAbilitySystem.DungeonSiegeExperienceAttributeSet"')</v>
      </c>
      <c r="H416" s="43">
        <v>1</v>
      </c>
      <c r="I416" s="43" t="str">
        <f t="shared" si="23"/>
        <v>GE_Suffix_of_Old</v>
      </c>
      <c r="J416" s="43" t="str">
        <f t="shared" si="24"/>
        <v>/Game/DungeonSiege/Blueprints/GameplayAbilities/Affixes/GE_Suffix_of_Old</v>
      </c>
    </row>
    <row r="417" spans="1:10" ht="33.75" x14ac:dyDescent="0.25">
      <c r="A417" s="43">
        <v>415</v>
      </c>
      <c r="B417" s="43">
        <f>VLOOKUP(C417,CHOOSE({2,1},Suffix!B$2:B$412,Suffix!C$2:C$412),2,FALSE)</f>
        <v>101712457</v>
      </c>
      <c r="C417" s="43" t="s">
        <v>1835</v>
      </c>
      <c r="D417" s="43" t="s">
        <v>881</v>
      </c>
      <c r="E417" s="43" t="str">
        <f>VLOOKUP(F417,CHOOSE({2,1},Attributes!B$3:B$130,Attributes!C$3:C$129),2,FALSE)</f>
        <v>DungeonSiegePerHitAttributeSet</v>
      </c>
      <c r="F417" s="43" t="str">
        <f>Attributes!C14</f>
        <v>ManaStealPerHit</v>
      </c>
      <c r="G417" s="43" t="str">
        <f t="shared" si="22"/>
        <v>(AttributeName="ManaStealPerHit",Attribute=/Script/DSAbilitySystem.DungeonSiegePerHitAttributeSet:ManaStealPerHit,AttributeOwner=Class'"/Script/DSAbilitySystem.DungeonSiegePerHitAttributeSet"')</v>
      </c>
      <c r="H417" s="43">
        <v>1</v>
      </c>
      <c r="I417" s="43" t="str">
        <f t="shared" si="23"/>
        <v>GE_Suffix_of_Old</v>
      </c>
      <c r="J417" s="43" t="str">
        <f t="shared" si="24"/>
        <v>/Game/DungeonSiege/Blueprints/GameplayAbilities/Affixes/GE_Suffix_of_Old</v>
      </c>
    </row>
    <row r="418" spans="1:10" s="23" customFormat="1" ht="33.75" x14ac:dyDescent="0.25">
      <c r="A418" s="43">
        <v>416</v>
      </c>
      <c r="B418" s="43">
        <f>VLOOKUP(C418,CHOOSE({2,1},Suffix!B$2:B$412,Suffix!C$2:C$412),2,FALSE)</f>
        <v>101712464</v>
      </c>
      <c r="C418" s="43" t="s">
        <v>1837</v>
      </c>
      <c r="D418" s="43" t="s">
        <v>227</v>
      </c>
      <c r="E418" s="43" t="str">
        <f>VLOOKUP(F418,CHOOSE({2,1},Attributes!B$3:B$130,Attributes!C$3:C$129),2,FALSE)</f>
        <v>DungeonSiegeExperienceAttributeSet</v>
      </c>
      <c r="F418" s="43" t="str">
        <f>Attributes!C3</f>
        <v>Strength</v>
      </c>
      <c r="G418" s="43" t="str">
        <f t="shared" si="22"/>
        <v>(AttributeName="Strength",Attribute=/Script/DSAbilitySystem.DungeonSiegeExperienceAttributeSet:Strength,AttributeOwner=Class'"/Script/DSAbilitySystem.DungeonSiegeExperienceAttributeSet"')</v>
      </c>
      <c r="H418" s="43">
        <v>1</v>
      </c>
      <c r="I418" s="43" t="str">
        <f t="shared" si="23"/>
        <v>GE_Suffix_of_the_Haughty</v>
      </c>
      <c r="J418" s="43" t="str">
        <f t="shared" si="24"/>
        <v>/Game/DungeonSiege/Blueprints/GameplayAbilities/Affixes/GE_Suffix_of_the_Haughty</v>
      </c>
    </row>
    <row r="419" spans="1:10" s="23" customFormat="1" ht="33.75" x14ac:dyDescent="0.25">
      <c r="A419" s="43">
        <v>417</v>
      </c>
      <c r="B419" s="43">
        <f>VLOOKUP(C419,CHOOSE({2,1},Suffix!B$2:B$412,Suffix!C$2:C$412),2,FALSE)</f>
        <v>101712464</v>
      </c>
      <c r="C419" s="43" t="s">
        <v>1837</v>
      </c>
      <c r="D419" s="43" t="s">
        <v>3286</v>
      </c>
      <c r="E419" s="43" t="str">
        <f>VLOOKUP(F419,CHOOSE({2,1},Attributes!B$3:B$130,Attributes!C$3:C$129),2,FALSE)</f>
        <v>DungeonSiegeManaAttributeSet</v>
      </c>
      <c r="F419" s="43" t="str">
        <f>Attributes!C90</f>
        <v>BaseManaBonus</v>
      </c>
      <c r="G419" s="43" t="str">
        <f t="shared" si="22"/>
        <v>(AttributeName="BaseManaBonus",Attribute=/Script/DSAbilitySystem.DungeonSiegeManaAttributeSet:BaseManaBonus,AttributeOwner=Class'"/Script/DSAbilitySystem.DungeonSiegeManaAttributeSet"')</v>
      </c>
      <c r="H419" s="43">
        <v>22</v>
      </c>
      <c r="I419" s="43" t="str">
        <f t="shared" si="23"/>
        <v>GE_Suffix_of_the_Haughty</v>
      </c>
      <c r="J419" s="43" t="str">
        <f t="shared" si="24"/>
        <v>/Game/DungeonSiege/Blueprints/GameplayAbilities/Affixes/GE_Suffix_of_the_Haughty</v>
      </c>
    </row>
    <row r="420" spans="1:10" s="23" customFormat="1" ht="33.75" x14ac:dyDescent="0.25">
      <c r="A420" s="43">
        <v>418</v>
      </c>
      <c r="B420" s="43">
        <f>VLOOKUP(C420,CHOOSE({2,1},Suffix!B$2:B$412,Suffix!C$2:C$412),2,FALSE)</f>
        <v>101712464</v>
      </c>
      <c r="C420" s="43" t="s">
        <v>1837</v>
      </c>
      <c r="D420" s="43" t="s">
        <v>715</v>
      </c>
      <c r="E420" s="43" t="str">
        <f>VLOOKUP(F420,CHOOSE({2,1},Attributes!B$3:B$130,Attributes!C$3:C$129),2,FALSE)</f>
        <v>DungeonSiegeDamageAttributeSet</v>
      </c>
      <c r="F420" s="43" t="str">
        <f>Attributes!C21</f>
        <v>PercentDamageReflectedToEnemy</v>
      </c>
      <c r="G420" s="43" t="str">
        <f t="shared" si="22"/>
        <v>(AttributeName="PercentDamageReflectedToEnemy",Attribute=/Script/DSAbilitySystem.DungeonSiegeDamageAttributeSet:PercentDamageReflectedToEnemy,AttributeOwner=Class'"/Script/DSAbilitySystem.DungeonSiegeDamageAttributeSet"')</v>
      </c>
      <c r="H420" s="43">
        <v>3</v>
      </c>
      <c r="I420" s="43" t="str">
        <f t="shared" si="23"/>
        <v>GE_Suffix_of_the_Haughty</v>
      </c>
      <c r="J420" s="43" t="str">
        <f t="shared" si="24"/>
        <v>/Game/DungeonSiege/Blueprints/GameplayAbilities/Affixes/GE_Suffix_of_the_Haughty</v>
      </c>
    </row>
    <row r="421" spans="1:10" ht="33.75" x14ac:dyDescent="0.25">
      <c r="A421" s="43">
        <v>419</v>
      </c>
      <c r="B421" s="43">
        <f>VLOOKUP(C421,CHOOSE({2,1},Suffix!B$2:B$412,Suffix!C$2:C$412),2,FALSE)</f>
        <v>101712464</v>
      </c>
      <c r="C421" s="43" t="s">
        <v>1837</v>
      </c>
      <c r="D421" s="43" t="s">
        <v>54</v>
      </c>
      <c r="E421" s="43" t="str">
        <f>VLOOKUP(F421,CHOOSE({2,1},Attributes!B$3:B$130,Attributes!C$3:C$129),2,FALSE)</f>
        <v>DungeonSiegeExperienceAttributeSet</v>
      </c>
      <c r="F421" s="43" t="str">
        <f>Attributes!C4</f>
        <v>Dexterity</v>
      </c>
      <c r="G421" s="43" t="str">
        <f t="shared" si="22"/>
        <v>(AttributeName="Dexterity",Attribute=/Script/DSAbilitySystem.DungeonSiegeExperienceAttributeSet:Dexterity,AttributeOwner=Class'"/Script/DSAbilitySystem.DungeonSiegeExperienceAttributeSet"')</v>
      </c>
      <c r="H421" s="43">
        <v>1</v>
      </c>
      <c r="I421" s="43" t="str">
        <f t="shared" si="23"/>
        <v>GE_Suffix_of_the_Haughty</v>
      </c>
      <c r="J421" s="43" t="str">
        <f t="shared" si="24"/>
        <v>/Game/DungeonSiege/Blueprints/GameplayAbilities/Affixes/GE_Suffix_of_the_Haughty</v>
      </c>
    </row>
    <row r="422" spans="1:10" s="23" customFormat="1" ht="33.75" x14ac:dyDescent="0.25">
      <c r="A422" s="43">
        <v>420</v>
      </c>
      <c r="B422" s="43">
        <f>VLOOKUP(C422,CHOOSE({2,1},Suffix!B$2:B$412,Suffix!C$2:C$412),2,FALSE)</f>
        <v>101712465</v>
      </c>
      <c r="C422" s="43" t="s">
        <v>1839</v>
      </c>
      <c r="D422" s="43" t="s">
        <v>3287</v>
      </c>
      <c r="E422" s="43" t="str">
        <f>VLOOKUP(F422,CHOOSE({2,1},Attributes!B$3:B$130,Attributes!C$3:C$129),2,FALSE)</f>
        <v>DungeonSiegeHealthAttributeSet</v>
      </c>
      <c r="F422" s="43" t="str">
        <f>Attributes!C82</f>
        <v>BaseHealthBonus</v>
      </c>
      <c r="G422" s="43" t="str">
        <f t="shared" si="22"/>
        <v>(AttributeName="BaseHealthBonus",Attribute=/Script/DSAbilitySystem.DungeonSiegeHealthAttributeSet:BaseHealthBonus,AttributeOwner=Class'"/Script/DSAbilitySystem.DungeonSiegeHealthAttributeSet"')</v>
      </c>
      <c r="H422" s="43">
        <v>13</v>
      </c>
      <c r="I422" s="43" t="str">
        <f t="shared" si="23"/>
        <v>GE_Suffix_of_Pretense</v>
      </c>
      <c r="J422" s="43" t="str">
        <f t="shared" si="24"/>
        <v>/Game/DungeonSiege/Blueprints/GameplayAbilities/Affixes/GE_Suffix_of_Pretense</v>
      </c>
    </row>
    <row r="423" spans="1:10" s="23" customFormat="1" ht="33.75" x14ac:dyDescent="0.25">
      <c r="A423" s="43">
        <v>421</v>
      </c>
      <c r="B423" s="43">
        <f>VLOOKUP(C423,CHOOSE({2,1},Suffix!B$2:B$412,Suffix!C$2:C$412),2,FALSE)</f>
        <v>101712465</v>
      </c>
      <c r="C423" s="43" t="s">
        <v>1839</v>
      </c>
      <c r="D423" s="43" t="s">
        <v>881</v>
      </c>
      <c r="E423" s="43" t="str">
        <f>VLOOKUP(F423,CHOOSE({2,1},Attributes!B$3:B$130,Attributes!C$3:C$129),2,FALSE)</f>
        <v>DungeonSiegePerHitAttributeSet</v>
      </c>
      <c r="F423" s="43" t="str">
        <f>Attributes!C14</f>
        <v>ManaStealPerHit</v>
      </c>
      <c r="G423" s="43" t="str">
        <f t="shared" si="22"/>
        <v>(AttributeName="ManaStealPerHit",Attribute=/Script/DSAbilitySystem.DungeonSiegePerHitAttributeSet:ManaStealPerHit,AttributeOwner=Class'"/Script/DSAbilitySystem.DungeonSiegePerHitAttributeSet"')</v>
      </c>
      <c r="H423" s="43">
        <v>1</v>
      </c>
      <c r="I423" s="43" t="str">
        <f t="shared" si="23"/>
        <v>GE_Suffix_of_Pretense</v>
      </c>
      <c r="J423" s="43" t="str">
        <f t="shared" si="24"/>
        <v>/Game/DungeonSiege/Blueprints/GameplayAbilities/Affixes/GE_Suffix_of_Pretense</v>
      </c>
    </row>
    <row r="424" spans="1:10" ht="33.75" x14ac:dyDescent="0.25">
      <c r="A424" s="43">
        <v>422</v>
      </c>
      <c r="B424" s="43">
        <f>VLOOKUP(C424,CHOOSE({2,1},Suffix!B$2:B$412,Suffix!C$2:C$412),2,FALSE)</f>
        <v>101712465</v>
      </c>
      <c r="C424" s="43" t="s">
        <v>1839</v>
      </c>
      <c r="D424" s="43" t="s">
        <v>804</v>
      </c>
      <c r="E424" s="43" t="str">
        <f>VLOOKUP(F424,CHOOSE({2,1},Attributes!B$3:B$130,Attributes!C$3:C$129),2,FALSE)</f>
        <v>DungeonSiegeDamageAttributeSet</v>
      </c>
      <c r="F424" s="43" t="str">
        <f>Attributes!C21</f>
        <v>PercentDamageReflectedToEnemy</v>
      </c>
      <c r="G424" s="43" t="str">
        <f t="shared" si="22"/>
        <v>(AttributeName="PercentDamageReflectedToEnemy",Attribute=/Script/DSAbilitySystem.DungeonSiegeDamageAttributeSet:PercentDamageReflectedToEnemy,AttributeOwner=Class'"/Script/DSAbilitySystem.DungeonSiegeDamageAttributeSet"')</v>
      </c>
      <c r="H424" s="43">
        <v>4</v>
      </c>
      <c r="I424" s="43" t="str">
        <f t="shared" si="23"/>
        <v>GE_Suffix_of_Pretense</v>
      </c>
      <c r="J424" s="43" t="str">
        <f t="shared" si="24"/>
        <v>/Game/DungeonSiege/Blueprints/GameplayAbilities/Affixes/GE_Suffix_of_Pretense</v>
      </c>
    </row>
    <row r="425" spans="1:10" ht="33.75" x14ac:dyDescent="0.25">
      <c r="A425" s="43">
        <v>423</v>
      </c>
      <c r="B425" s="43">
        <f>VLOOKUP(C425,CHOOSE({2,1},Suffix!B$2:B$412,Suffix!C$2:C$412),2,FALSE)</f>
        <v>101712466</v>
      </c>
      <c r="C425" s="43" t="s">
        <v>1841</v>
      </c>
      <c r="D425" s="43" t="s">
        <v>1842</v>
      </c>
      <c r="E425" s="43" t="str">
        <f>VLOOKUP(F425,CHOOSE({2,1},Attributes!B$3:B$130,Attributes!C$3:C$129),2,FALSE)</f>
        <v>DungeonSiegeCastOnHitAttributeSet</v>
      </c>
      <c r="F425" s="43" t="str">
        <f>Attributes!C114</f>
        <v>ChanceToCastFirespraylOnHit</v>
      </c>
      <c r="G425" s="43" t="str">
        <f t="shared" si="22"/>
        <v>(AttributeName="ChanceToCastFirespraylOnHit",Attribute=/Script/DSAbilitySystem.DungeonSiegeCastOnHitAttributeSet:ChanceToCastFirespraylOnHit,AttributeOwner=Class'"/Script/DSAbilitySystem.DungeonSiegeCastOnHitAttributeSet"')</v>
      </c>
      <c r="H425" s="43">
        <v>25</v>
      </c>
      <c r="I425" s="43" t="str">
        <f t="shared" si="23"/>
        <v>GE_Suffix_of_Major_Firespray</v>
      </c>
      <c r="J425" s="43" t="str">
        <f t="shared" si="24"/>
        <v>/Game/DungeonSiege/Blueprints/GameplayAbilities/Affixes/GE_Suffix_of_Major_Firespray</v>
      </c>
    </row>
    <row r="426" spans="1:10" ht="33.75" x14ac:dyDescent="0.25">
      <c r="A426" s="43">
        <v>424</v>
      </c>
      <c r="B426" s="43">
        <f>VLOOKUP(C426,CHOOSE({2,1},Suffix!B$2:B$412,Suffix!C$2:C$412),2,FALSE)</f>
        <v>101712467</v>
      </c>
      <c r="C426" s="43" t="s">
        <v>1844</v>
      </c>
      <c r="D426" s="43" t="s">
        <v>1845</v>
      </c>
      <c r="E426" s="43" t="str">
        <f>VLOOKUP(F426,CHOOSE({2,1},Attributes!B$3:B$130,Attributes!C$3:C$129),2,FALSE)</f>
        <v>DungeonSiegeCastOnHitAttributeSet</v>
      </c>
      <c r="F426" s="43" t="str">
        <f>Attributes!C113</f>
        <v>ChanceToCastFireskullOnHit</v>
      </c>
      <c r="G426" s="43" t="str">
        <f t="shared" si="22"/>
        <v>(AttributeName="ChanceToCastFireskullOnHit",Attribute=/Script/DSAbilitySystem.DungeonSiegeCastOnHitAttributeSet:ChanceToCastFireskullOnHit,AttributeOwner=Class'"/Script/DSAbilitySystem.DungeonSiegeCastOnHitAttributeSet"')</v>
      </c>
      <c r="H426" s="43">
        <v>20</v>
      </c>
      <c r="I426" s="43" t="str">
        <f t="shared" si="23"/>
        <v>GE_Suffix_of_Fireskull</v>
      </c>
      <c r="J426" s="43" t="str">
        <f t="shared" si="24"/>
        <v>/Game/DungeonSiege/Blueprints/GameplayAbilities/Affixes/GE_Suffix_of_Fireskull</v>
      </c>
    </row>
    <row r="427" spans="1:10" ht="33.75" x14ac:dyDescent="0.25">
      <c r="A427" s="43">
        <v>425</v>
      </c>
      <c r="B427" s="43">
        <f>VLOOKUP(C427,CHOOSE({2,1},Suffix!B$2:B$412,Suffix!C$2:C$412),2,FALSE)</f>
        <v>101712468</v>
      </c>
      <c r="C427" s="43" t="s">
        <v>1847</v>
      </c>
      <c r="D427" s="43" t="s">
        <v>1848</v>
      </c>
      <c r="E427" s="43" t="str">
        <f>VLOOKUP(F427,CHOOSE({2,1},Attributes!B$3:B$130,Attributes!C$3:C$129),2,FALSE)</f>
        <v>DungeonSiegeCastOnHitAttributeSet</v>
      </c>
      <c r="F427" s="43" t="str">
        <f>Attributes!C111</f>
        <v>ChanceToCastFireballOnHit</v>
      </c>
      <c r="G427" s="43" t="str">
        <f t="shared" si="22"/>
        <v>(AttributeName="ChanceToCastFireballOnHit",Attribute=/Script/DSAbilitySystem.DungeonSiegeCastOnHitAttributeSet:ChanceToCastFireballOnHit,AttributeOwner=Class'"/Script/DSAbilitySystem.DungeonSiegeCastOnHitAttributeSet"')</v>
      </c>
      <c r="H427" s="43">
        <v>15</v>
      </c>
      <c r="I427" s="43" t="str">
        <f t="shared" si="23"/>
        <v>GE_Suffix_of_Minor_Fireball</v>
      </c>
      <c r="J427" s="43" t="str">
        <f t="shared" si="24"/>
        <v>/Game/DungeonSiege/Blueprints/GameplayAbilities/Affixes/GE_Suffix_of_Minor_Fireball</v>
      </c>
    </row>
    <row r="428" spans="1:10" ht="33.75" x14ac:dyDescent="0.25">
      <c r="A428" s="43">
        <v>426</v>
      </c>
      <c r="B428" s="43">
        <f>VLOOKUP(C428,CHOOSE({2,1},Suffix!B$2:B$412,Suffix!C$2:C$412),2,FALSE)</f>
        <v>101712469</v>
      </c>
      <c r="C428" s="43" t="s">
        <v>1850</v>
      </c>
      <c r="D428" s="43" t="s">
        <v>1851</v>
      </c>
      <c r="E428" s="43" t="str">
        <f>VLOOKUP(F428,CHOOSE({2,1},Attributes!B$3:B$130,Attributes!C$3:C$129),2,FALSE)</f>
        <v>DungeonSiegeCastOnHitAttributeSet</v>
      </c>
      <c r="F428" s="43" t="str">
        <f>Attributes!C107</f>
        <v>ChanceToCastStarburstOnHit</v>
      </c>
      <c r="G428" s="43" t="str">
        <f t="shared" si="22"/>
        <v>(AttributeName="ChanceToCastStarburstOnHit",Attribute=/Script/DSAbilitySystem.DungeonSiegeCastOnHitAttributeSet:ChanceToCastStarburstOnHit,AttributeOwner=Class'"/Script/DSAbilitySystem.DungeonSiegeCastOnHitAttributeSet"')</v>
      </c>
      <c r="H428" s="43">
        <v>10</v>
      </c>
      <c r="I428" s="43" t="str">
        <f t="shared" si="23"/>
        <v>GE_Suffix_of_Lesser_Starburst</v>
      </c>
      <c r="J428" s="43" t="str">
        <f t="shared" si="24"/>
        <v>/Game/DungeonSiege/Blueprints/GameplayAbilities/Affixes/GE_Suffix_of_Lesser_Starburst</v>
      </c>
    </row>
    <row r="429" spans="1:10" s="23" customFormat="1" ht="33.75" x14ac:dyDescent="0.25">
      <c r="A429" s="43">
        <v>427</v>
      </c>
      <c r="B429" s="43">
        <f>VLOOKUP(C429,CHOOSE({2,1},Suffix!B$2:B$412,Suffix!C$2:C$412),2,FALSE)</f>
        <v>101712470</v>
      </c>
      <c r="C429" s="43" t="s">
        <v>1853</v>
      </c>
      <c r="D429" s="43" t="s">
        <v>1705</v>
      </c>
      <c r="E429" s="43" t="str">
        <f>VLOOKUP(F429,CHOOSE({2,1},Attributes!B$3:B$130,Attributes!C$3:C$129),2,FALSE)</f>
        <v>DungeonSiegeDamageAttributeSet</v>
      </c>
      <c r="F429" s="43" t="str">
        <f>Attributes!C25</f>
        <v>MinPiercingDamageMod</v>
      </c>
      <c r="G429" s="43" t="str">
        <f t="shared" si="22"/>
        <v>(AttributeName="MinPiercingDamageMod",Attribute=/Script/DSAbilitySystem.DungeonSiegeDamageAttributeSet:MinPiercingDamageMod,AttributeOwner=Class'"/Script/DSAbilitySystem.DungeonSiegeDamageAttributeSet"')</v>
      </c>
      <c r="H429" s="43">
        <v>6</v>
      </c>
      <c r="I429" s="43" t="str">
        <f t="shared" si="23"/>
        <v>GE_Suffix_of_Urgency</v>
      </c>
      <c r="J429" s="43" t="str">
        <f t="shared" si="24"/>
        <v>/Game/DungeonSiege/Blueprints/GameplayAbilities/Affixes/GE_Suffix_of_Urgency</v>
      </c>
    </row>
    <row r="430" spans="1:10" ht="33.75" x14ac:dyDescent="0.25">
      <c r="A430" s="43">
        <v>428</v>
      </c>
      <c r="B430" s="43">
        <f>VLOOKUP(C430,CHOOSE({2,1},Suffix!B$2:B$412,Suffix!C$2:C$412),2,FALSE)</f>
        <v>101712470</v>
      </c>
      <c r="C430" s="43" t="s">
        <v>1853</v>
      </c>
      <c r="D430" s="43" t="s">
        <v>1705</v>
      </c>
      <c r="E430" s="43" t="str">
        <f>VLOOKUP(F430,CHOOSE({2,1},Attributes!B$3:B$130,Attributes!C$3:C$129),2,FALSE)</f>
        <v>DungeonSiegeDamageAttributeSet</v>
      </c>
      <c r="F430" s="43" t="str">
        <f>Attributes!C26</f>
        <v>MaxPiercingDamageMod</v>
      </c>
      <c r="G430" s="43" t="str">
        <f t="shared" si="22"/>
        <v>(AttributeName="MaxPiercingDamageMod",Attribute=/Script/DSAbilitySystem.DungeonSiegeDamageAttributeSet:MaxPiercingDamageMod,AttributeOwner=Class'"/Script/DSAbilitySystem.DungeonSiegeDamageAttributeSet"')</v>
      </c>
      <c r="H430" s="43">
        <v>13</v>
      </c>
      <c r="I430" s="43" t="str">
        <f t="shared" si="23"/>
        <v>GE_Suffix_of_Urgency</v>
      </c>
      <c r="J430" s="43" t="str">
        <f t="shared" si="24"/>
        <v>/Game/DungeonSiege/Blueprints/GameplayAbilities/Affixes/GE_Suffix_of_Urgency</v>
      </c>
    </row>
    <row r="431" spans="1:10" ht="33.75" x14ac:dyDescent="0.25">
      <c r="A431" s="43">
        <v>429</v>
      </c>
      <c r="B431" s="43">
        <f>VLOOKUP(C431,CHOOSE({2,1},Suffix!B$2:B$412,Suffix!C$2:C$412),2,FALSE)</f>
        <v>101712471</v>
      </c>
      <c r="C431" s="43" t="s">
        <v>1855</v>
      </c>
      <c r="D431" s="43" t="s">
        <v>744</v>
      </c>
      <c r="E431" s="43" t="str">
        <f>VLOOKUP(F431,CHOOSE({2,1},Attributes!B$3:B$130,Attributes!C$3:C$129),2,FALSE)</f>
        <v>DungeonSiegePerHitAttributeSet</v>
      </c>
      <c r="F431" s="43" t="str">
        <f>Attributes!C12</f>
        <v>ManaPerHit</v>
      </c>
      <c r="G431" s="43" t="str">
        <f t="shared" si="22"/>
        <v>(AttributeName="ManaPerHit",Attribute=/Script/DSAbilitySystem.DungeonSiegePerHitAttributeSet:ManaPerHit,AttributeOwner=Class'"/Script/DSAbilitySystem.DungeonSiegePerHitAttributeSet"')</v>
      </c>
      <c r="H431" s="43">
        <v>6</v>
      </c>
      <c r="I431" s="43" t="str">
        <f t="shared" si="23"/>
        <v>GE_Suffix_of_Dusk</v>
      </c>
      <c r="J431" s="43" t="str">
        <f t="shared" si="24"/>
        <v>/Game/DungeonSiege/Blueprints/GameplayAbilities/Affixes/GE_Suffix_of_Dusk</v>
      </c>
    </row>
    <row r="432" spans="1:10" ht="33.75" x14ac:dyDescent="0.25">
      <c r="A432" s="43">
        <v>430</v>
      </c>
      <c r="B432" s="43">
        <f>VLOOKUP(C432,CHOOSE({2,1},Suffix!B$2:B$412,Suffix!C$2:C$412),2,FALSE)</f>
        <v>101712472</v>
      </c>
      <c r="C432" s="43" t="s">
        <v>1857</v>
      </c>
      <c r="D432" s="43" t="s">
        <v>1858</v>
      </c>
      <c r="E432" s="43" t="str">
        <f>VLOOKUP(F432,CHOOSE({2,1},Attributes!B$3:B$130,Attributes!C$3:C$129),2,FALSE)</f>
        <v>DungeonSiegeDamageAttributeSet</v>
      </c>
      <c r="F432" s="43" t="str">
        <f>Attributes!C33</f>
        <v>MeleeHitChance</v>
      </c>
      <c r="G432" s="43" t="str">
        <f t="shared" si="22"/>
        <v>(AttributeName="MeleeHitChance",Attribute=/Script/DSAbilitySystem.DungeonSiegeDamageAttributeSet:MeleeHitChance,AttributeOwner=Class'"/Script/DSAbilitySystem.DungeonSiegeDamageAttributeSet"')</v>
      </c>
      <c r="H432" s="43">
        <v>10</v>
      </c>
      <c r="I432" s="43" t="str">
        <f t="shared" si="23"/>
        <v>GE_Suffix_of_Exactness</v>
      </c>
      <c r="J432" s="43" t="str">
        <f t="shared" si="24"/>
        <v>/Game/DungeonSiege/Blueprints/GameplayAbilities/Affixes/GE_Suffix_of_Exactness</v>
      </c>
    </row>
    <row r="433" spans="1:10" s="23" customFormat="1" ht="33.75" x14ac:dyDescent="0.25">
      <c r="A433" s="43">
        <v>431</v>
      </c>
      <c r="B433" s="43">
        <f>VLOOKUP(C433,CHOOSE({2,1},Suffix!B$2:B$412,Suffix!C$2:C$412),2,FALSE)</f>
        <v>101712473</v>
      </c>
      <c r="C433" s="43" t="s">
        <v>1860</v>
      </c>
      <c r="D433" s="43" t="s">
        <v>1861</v>
      </c>
      <c r="E433" s="43" t="str">
        <f>VLOOKUP(F433,CHOOSE({2,1},Attributes!B$3:B$130,Attributes!C$3:C$129),2,FALSE)</f>
        <v>DungeonSiegeDamageAttributeSet</v>
      </c>
      <c r="F433" s="43" t="str">
        <f>Attributes!C19</f>
        <v>MinDamageMod</v>
      </c>
      <c r="G433" s="43" t="str">
        <f t="shared" si="22"/>
        <v>(AttributeName="MinDamageMod",Attribute=/Script/DSAbilitySystem.DungeonSiegeDamageAttributeSet:MinDamageMod,AttributeOwner=Class'"/Script/DSAbilitySystem.DungeonSiegeDamageAttributeSet"')</v>
      </c>
      <c r="H433" s="43">
        <v>12</v>
      </c>
      <c r="I433" s="43" t="str">
        <f t="shared" si="23"/>
        <v>GE_Suffix_of_Stabbing</v>
      </c>
      <c r="J433" s="43" t="str">
        <f t="shared" si="24"/>
        <v>/Game/DungeonSiege/Blueprints/GameplayAbilities/Affixes/GE_Suffix_of_Stabbing</v>
      </c>
    </row>
    <row r="434" spans="1:10" ht="33.75" x14ac:dyDescent="0.25">
      <c r="A434" s="43">
        <v>432</v>
      </c>
      <c r="B434" s="43">
        <f>VLOOKUP(C434,CHOOSE({2,1},Suffix!B$2:B$412,Suffix!C$2:C$412),2,FALSE)</f>
        <v>101712473</v>
      </c>
      <c r="C434" s="43" t="s">
        <v>1860</v>
      </c>
      <c r="D434" s="43" t="s">
        <v>1861</v>
      </c>
      <c r="E434" s="43" t="str">
        <f>VLOOKUP(F434,CHOOSE({2,1},Attributes!B$3:B$130,Attributes!C$3:C$129),2,FALSE)</f>
        <v>DungeonSiegeDamageAttributeSet</v>
      </c>
      <c r="F434" s="43" t="str">
        <f>Attributes!C20</f>
        <v>MaxDamageMod</v>
      </c>
      <c r="G434" s="43" t="str">
        <f t="shared" si="22"/>
        <v>(AttributeName="MaxDamageMod",Attribute=/Script/DSAbilitySystem.DungeonSiegeDamageAttributeSet:MaxDamageMod,AttributeOwner=Class'"/Script/DSAbilitySystem.DungeonSiegeDamageAttributeSet"')</v>
      </c>
      <c r="H434" s="43">
        <v>20</v>
      </c>
      <c r="I434" s="43" t="str">
        <f t="shared" si="23"/>
        <v>GE_Suffix_of_Stabbing</v>
      </c>
      <c r="J434" s="43" t="str">
        <f t="shared" si="24"/>
        <v>/Game/DungeonSiege/Blueprints/GameplayAbilities/Affixes/GE_Suffix_of_Stabbing</v>
      </c>
    </row>
    <row r="435" spans="1:10" ht="33.75" x14ac:dyDescent="0.25">
      <c r="A435" s="43">
        <v>433</v>
      </c>
      <c r="B435" s="43">
        <f>VLOOKUP(C435,CHOOSE({2,1},Suffix!B$2:B$412,Suffix!C$2:C$412),2,FALSE)</f>
        <v>101712480</v>
      </c>
      <c r="C435" s="43" t="s">
        <v>1863</v>
      </c>
      <c r="D435" s="43" t="s">
        <v>1864</v>
      </c>
      <c r="E435" s="43" t="str">
        <f>VLOOKUP(F435,CHOOSE({2,1},Attributes!B$3:B$130,Attributes!C$3:C$129),2,FALSE)</f>
        <v>DungeonSiegeDamageAttributeSet</v>
      </c>
      <c r="F435" s="43" t="str">
        <f>Attributes!C20</f>
        <v>MaxDamageMod</v>
      </c>
      <c r="G435" s="43" t="str">
        <f t="shared" si="22"/>
        <v>(AttributeName="MaxDamageMod",Attribute=/Script/DSAbilitySystem.DungeonSiegeDamageAttributeSet:MaxDamageMod,AttributeOwner=Class'"/Script/DSAbilitySystem.DungeonSiegeDamageAttributeSet"')</v>
      </c>
      <c r="H435" s="43">
        <v>16</v>
      </c>
      <c r="I435" s="43" t="str">
        <f t="shared" si="23"/>
        <v>GE_Suffix_of_Infection</v>
      </c>
      <c r="J435" s="43" t="str">
        <f t="shared" si="24"/>
        <v>/Game/DungeonSiege/Blueprints/GameplayAbilities/Affixes/GE_Suffix_of_Infection</v>
      </c>
    </row>
    <row r="436" spans="1:10" ht="33.75" x14ac:dyDescent="0.25">
      <c r="A436" s="43">
        <v>434</v>
      </c>
      <c r="B436" s="43">
        <f>VLOOKUP(C436,CHOOSE({2,1},Suffix!B$2:B$412,Suffix!C$2:C$412),2,FALSE)</f>
        <v>101712481</v>
      </c>
      <c r="C436" s="43" t="s">
        <v>1866</v>
      </c>
      <c r="D436" s="43" t="s">
        <v>1867</v>
      </c>
      <c r="E436" s="43" t="str">
        <f>VLOOKUP(F436,CHOOSE({2,1},Attributes!B$3:B$130,Attributes!C$3:C$129),2,FALSE)</f>
        <v>DungeonSiegeDamageAttributeSet</v>
      </c>
      <c r="F436" s="43" t="str">
        <f>Attributes!C20</f>
        <v>MaxDamageMod</v>
      </c>
      <c r="G436" s="43" t="str">
        <f t="shared" si="22"/>
        <v>(AttributeName="MaxDamageMod",Attribute=/Script/DSAbilitySystem.DungeonSiegeDamageAttributeSet:MaxDamageMod,AttributeOwner=Class'"/Script/DSAbilitySystem.DungeonSiegeDamageAttributeSet"')</v>
      </c>
      <c r="H436" s="43">
        <v>11</v>
      </c>
      <c r="I436" s="43" t="str">
        <f t="shared" si="23"/>
        <v>GE_Suffix_of_Ailment</v>
      </c>
      <c r="J436" s="43" t="str">
        <f t="shared" si="24"/>
        <v>/Game/DungeonSiege/Blueprints/GameplayAbilities/Affixes/GE_Suffix_of_Ailment</v>
      </c>
    </row>
    <row r="437" spans="1:10" ht="33.75" x14ac:dyDescent="0.25">
      <c r="A437" s="43">
        <v>435</v>
      </c>
      <c r="B437" s="43">
        <f>VLOOKUP(C437,CHOOSE({2,1},Suffix!B$2:B$412,Suffix!C$2:C$412),2,FALSE)</f>
        <v>101712482</v>
      </c>
      <c r="C437" s="43" t="s">
        <v>1869</v>
      </c>
      <c r="D437" s="43" t="s">
        <v>1870</v>
      </c>
      <c r="E437" s="43" t="str">
        <f>VLOOKUP(F437,CHOOSE({2,1},Attributes!B$3:B$130,Attributes!C$3:C$129),2,FALSE)</f>
        <v>DungeonSiegeCastOnHitAttributeSet</v>
      </c>
      <c r="F437" s="43" t="str">
        <f>Attributes!C115</f>
        <v>ChanceToCastSparkOnHit</v>
      </c>
      <c r="G437" s="43" t="str">
        <f t="shared" si="22"/>
        <v>(AttributeName="ChanceToCastSparkOnHit",Attribute=/Script/DSAbilitySystem.DungeonSiegeCastOnHitAttributeSet:ChanceToCastSparkOnHit,AttributeOwner=Class'"/Script/DSAbilitySystem.DungeonSiegeCastOnHitAttributeSet"')</v>
      </c>
      <c r="H437" s="43">
        <v>30</v>
      </c>
      <c r="I437" s="43" t="str">
        <f t="shared" si="23"/>
        <v>GE_Suffix_of_Greater_Spark</v>
      </c>
      <c r="J437" s="43" t="str">
        <f t="shared" si="24"/>
        <v>/Game/DungeonSiege/Blueprints/GameplayAbilities/Affixes/GE_Suffix_of_Greater_Spark</v>
      </c>
    </row>
    <row r="438" spans="1:10" ht="33.75" x14ac:dyDescent="0.25">
      <c r="A438" s="43">
        <v>436</v>
      </c>
      <c r="B438" s="43">
        <f>VLOOKUP(C438,CHOOSE({2,1},Suffix!B$2:B$412,Suffix!C$2:C$412),2,FALSE)</f>
        <v>101712483</v>
      </c>
      <c r="C438" s="43" t="s">
        <v>1872</v>
      </c>
      <c r="D438" s="43" t="s">
        <v>1873</v>
      </c>
      <c r="E438" s="43" t="str">
        <f>VLOOKUP(F438,CHOOSE({2,1},Attributes!B$3:B$130,Attributes!C$3:C$129),2,FALSE)</f>
        <v>DungeonSiegeCastOnHitAttributeSet</v>
      </c>
      <c r="F438" s="43" t="str">
        <f>Attributes!C108</f>
        <v>ChanceToCastLightrayOnHit</v>
      </c>
      <c r="G438" s="43" t="str">
        <f t="shared" si="22"/>
        <v>(AttributeName="ChanceToCastLightrayOnHit",Attribute=/Script/DSAbilitySystem.DungeonSiegeCastOnHitAttributeSet:ChanceToCastLightrayOnHit,AttributeOwner=Class'"/Script/DSAbilitySystem.DungeonSiegeCastOnHitAttributeSet"')</v>
      </c>
      <c r="H438" s="43">
        <v>10</v>
      </c>
      <c r="I438" s="43" t="str">
        <f t="shared" si="23"/>
        <v>GE_Suffix_of_Lesser_Lightray</v>
      </c>
      <c r="J438" s="43" t="str">
        <f t="shared" si="24"/>
        <v>/Game/DungeonSiege/Blueprints/GameplayAbilities/Affixes/GE_Suffix_of_Lesser_Lightray</v>
      </c>
    </row>
    <row r="439" spans="1:10" ht="33.75" x14ac:dyDescent="0.25">
      <c r="A439" s="43">
        <v>437</v>
      </c>
      <c r="B439" s="43">
        <f>VLOOKUP(C439,CHOOSE({2,1},Suffix!B$2:B$412,Suffix!C$2:C$412),2,FALSE)</f>
        <v>101712484</v>
      </c>
      <c r="C439" s="43" t="s">
        <v>1875</v>
      </c>
      <c r="D439" s="43" t="s">
        <v>108</v>
      </c>
      <c r="E439" s="43" t="str">
        <f>VLOOKUP(F439,CHOOSE({2,1},Attributes!B$3:B$130,Attributes!C$3:C$129),2,FALSE)</f>
        <v>DungeonSiegeMagicAttributeSet</v>
      </c>
      <c r="F439" s="43" t="str">
        <f>Attributes!C46</f>
        <v>ColdSpellCostReduction</v>
      </c>
      <c r="G439" s="43" t="str">
        <f t="shared" si="22"/>
        <v>(AttributeName="ColdSpellCostReduction",Attribute=/Script/DSAbilitySystem.DungeonSiegeMagicAttributeSet:ColdSpellCostReduction,AttributeOwner=Class'"/Script/DSAbilitySystem.DungeonSiegeMagicAttributeSet"')</v>
      </c>
      <c r="H439" s="43">
        <v>10</v>
      </c>
      <c r="I439" s="43" t="str">
        <f t="shared" si="23"/>
        <v>GE_Suffix_of_The_Frost</v>
      </c>
      <c r="J439" s="43" t="str">
        <f t="shared" si="24"/>
        <v>/Game/DungeonSiege/Blueprints/GameplayAbilities/Affixes/GE_Suffix_of_The_Frost</v>
      </c>
    </row>
    <row r="440" spans="1:10" ht="33.75" x14ac:dyDescent="0.25">
      <c r="A440" s="43">
        <v>438</v>
      </c>
      <c r="B440" s="43">
        <f>VLOOKUP(C440,CHOOSE({2,1},Suffix!B$2:B$412,Suffix!C$2:C$412),2,FALSE)</f>
        <v>101712485</v>
      </c>
      <c r="C440" s="43" t="s">
        <v>1876</v>
      </c>
      <c r="D440" s="43" t="s">
        <v>105</v>
      </c>
      <c r="E440" s="43" t="str">
        <f>VLOOKUP(F440,CHOOSE({2,1},Attributes!B$3:B$130,Attributes!C$3:C$129),2,FALSE)</f>
        <v>DungeonSiegeMagicAttributeSet</v>
      </c>
      <c r="F440" s="43" t="str">
        <f>Attributes!C49</f>
        <v>FireSpellCostReduction</v>
      </c>
      <c r="G440" s="43" t="str">
        <f t="shared" si="22"/>
        <v>(AttributeName="FireSpellCostReduction",Attribute=/Script/DSAbilitySystem.DungeonSiegeMagicAttributeSet:FireSpellCostReduction,AttributeOwner=Class'"/Script/DSAbilitySystem.DungeonSiegeMagicAttributeSet"')</v>
      </c>
      <c r="H440" s="43">
        <v>10</v>
      </c>
      <c r="I440" s="43" t="str">
        <f t="shared" si="23"/>
        <v>GE_Suffix_of_The_Blaze</v>
      </c>
      <c r="J440" s="43" t="str">
        <f t="shared" si="24"/>
        <v>/Game/DungeonSiege/Blueprints/GameplayAbilities/Affixes/GE_Suffix_of_The_Blaze</v>
      </c>
    </row>
    <row r="441" spans="1:10" ht="33.75" x14ac:dyDescent="0.25">
      <c r="A441" s="43">
        <v>439</v>
      </c>
      <c r="B441" s="43">
        <f>VLOOKUP(C441,CHOOSE({2,1},Suffix!B$2:B$412,Suffix!C$2:C$412),2,FALSE)</f>
        <v>101712486</v>
      </c>
      <c r="C441" s="43" t="s">
        <v>1877</v>
      </c>
      <c r="D441" s="43" t="s">
        <v>102</v>
      </c>
      <c r="E441" s="43" t="str">
        <f>VLOOKUP(F441,CHOOSE({2,1},Attributes!B$3:B$130,Attributes!C$3:C$129),2,FALSE)</f>
        <v>DungeonSiegeMagicAttributeSet</v>
      </c>
      <c r="F441" s="43" t="str">
        <f>Attributes!C97</f>
        <v>LightningSpellCostReduction</v>
      </c>
      <c r="G441" s="43" t="str">
        <f t="shared" si="22"/>
        <v>(AttributeName="LightningSpellCostReduction",Attribute=/Script/DSAbilitySystem.DungeonSiegeMagicAttributeSet:LightningSpellCostReduction,AttributeOwner=Class'"/Script/DSAbilitySystem.DungeonSiegeMagicAttributeSet"')</v>
      </c>
      <c r="H441" s="43">
        <v>10</v>
      </c>
      <c r="I441" s="43" t="str">
        <f t="shared" si="23"/>
        <v>GE_Suffix_of_The_Charge</v>
      </c>
      <c r="J441" s="43" t="str">
        <f t="shared" si="24"/>
        <v>/Game/DungeonSiege/Blueprints/GameplayAbilities/Affixes/GE_Suffix_of_The_Charge</v>
      </c>
    </row>
    <row r="442" spans="1:10" ht="33.75" x14ac:dyDescent="0.25">
      <c r="A442" s="43">
        <v>440</v>
      </c>
      <c r="B442" s="43">
        <f>VLOOKUP(C442,CHOOSE({2,1},Suffix!B$2:B$412,Suffix!C$2:C$412),2,FALSE)</f>
        <v>101712487</v>
      </c>
      <c r="C442" s="43" t="s">
        <v>100</v>
      </c>
      <c r="D442" s="43" t="s">
        <v>99</v>
      </c>
      <c r="E442" s="43" t="str">
        <f>VLOOKUP(F442,CHOOSE({2,1},Attributes!B$3:B$130,Attributes!C$3:C$129),2,FALSE)</f>
        <v>DungeonSiegeMagicAttributeSet</v>
      </c>
      <c r="F442" s="43" t="str">
        <f>Attributes!C98</f>
        <v>SummoningSpellCostReduction</v>
      </c>
      <c r="G442" s="43" t="str">
        <f t="shared" si="22"/>
        <v>(AttributeName="SummoningSpellCostReduction",Attribute=/Script/DSAbilitySystem.DungeonSiegeMagicAttributeSet:SummoningSpellCostReduction,AttributeOwner=Class'"/Script/DSAbilitySystem.DungeonSiegeMagicAttributeSet"')</v>
      </c>
      <c r="H442" s="43">
        <v>10</v>
      </c>
      <c r="I442" s="43" t="str">
        <f t="shared" si="23"/>
        <v>GE_Suffix_of_Convening</v>
      </c>
      <c r="J442" s="43" t="str">
        <f t="shared" si="24"/>
        <v>/Game/DungeonSiege/Blueprints/GameplayAbilities/Affixes/GE_Suffix_of_Convening</v>
      </c>
    </row>
    <row r="443" spans="1:10" ht="33.75" x14ac:dyDescent="0.25">
      <c r="A443" s="43">
        <v>441</v>
      </c>
      <c r="B443" s="43">
        <f>VLOOKUP(C443,CHOOSE({2,1},Suffix!B$2:B$412,Suffix!C$2:C$412),2,FALSE)</f>
        <v>101712488</v>
      </c>
      <c r="C443" s="43" t="s">
        <v>97</v>
      </c>
      <c r="D443" s="43" t="s">
        <v>96</v>
      </c>
      <c r="E443" s="43" t="str">
        <f>VLOOKUP(F443,CHOOSE({2,1},Attributes!B$3:B$130,Attributes!C$3:C$129),2,FALSE)</f>
        <v>DungeonSiegeMagicAttributeSet</v>
      </c>
      <c r="F443" s="43" t="str">
        <f>Attributes!C99</f>
        <v>HealingSpellCostReduction</v>
      </c>
      <c r="G443" s="43" t="str">
        <f t="shared" si="22"/>
        <v>(AttributeName="HealingSpellCostReduction",Attribute=/Script/DSAbilitySystem.DungeonSiegeMagicAttributeSet:HealingSpellCostReduction,AttributeOwner=Class'"/Script/DSAbilitySystem.DungeonSiegeMagicAttributeSet"')</v>
      </c>
      <c r="H443" s="43">
        <v>10</v>
      </c>
      <c r="I443" s="43" t="str">
        <f t="shared" si="23"/>
        <v>GE_Suffix_of_Clemency</v>
      </c>
      <c r="J443" s="43" t="str">
        <f t="shared" si="24"/>
        <v>/Game/DungeonSiege/Blueprints/GameplayAbilities/Affixes/GE_Suffix_of_Clemency</v>
      </c>
    </row>
    <row r="444" spans="1:10" ht="33.75" x14ac:dyDescent="0.25">
      <c r="A444" s="43">
        <v>442</v>
      </c>
      <c r="B444" s="43">
        <f>VLOOKUP(C444,CHOOSE({2,1},Suffix!B$2:B$412,Suffix!C$2:C$412),2,FALSE)</f>
        <v>101712489</v>
      </c>
      <c r="C444" s="43" t="s">
        <v>1878</v>
      </c>
      <c r="D444" s="43" t="s">
        <v>1879</v>
      </c>
      <c r="E444" s="43" t="str">
        <f>VLOOKUP(F444,CHOOSE({2,1},Attributes!B$3:B$130,Attributes!C$3:C$129),2,FALSE)</f>
        <v>DungeonSiegeCastOnHitAttributeSet</v>
      </c>
      <c r="F444" s="43" t="str">
        <f>Attributes!C112</f>
        <v>ChanceToCastLightningOnHit</v>
      </c>
      <c r="G444" s="43" t="str">
        <f t="shared" si="22"/>
        <v>(AttributeName="ChanceToCastLightningOnHit",Attribute=/Script/DSAbilitySystem.DungeonSiegeCastOnHitAttributeSet:ChanceToCastLightningOnHit,AttributeOwner=Class'"/Script/DSAbilitySystem.DungeonSiegeCastOnHitAttributeSet"')</v>
      </c>
      <c r="H444" s="43">
        <v>15</v>
      </c>
      <c r="I444" s="43" t="str">
        <f t="shared" si="23"/>
        <v>GE_Suffix_of_Minor_Lightning</v>
      </c>
      <c r="J444" s="43" t="str">
        <f t="shared" si="24"/>
        <v>/Game/DungeonSiege/Blueprints/GameplayAbilities/Affixes/GE_Suffix_of_Minor_Lightning</v>
      </c>
    </row>
    <row r="445" spans="1:10" s="23" customFormat="1" ht="33.75" x14ac:dyDescent="0.25">
      <c r="A445" s="43">
        <v>443</v>
      </c>
      <c r="B445" s="43">
        <f>VLOOKUP(C445,CHOOSE({2,1},Suffix!B$2:B$412,Suffix!C$2:C$412),2,FALSE)</f>
        <v>101712496</v>
      </c>
      <c r="C445" s="43" t="s">
        <v>1881</v>
      </c>
      <c r="D445" s="43" t="s">
        <v>54</v>
      </c>
      <c r="E445" s="43" t="str">
        <f>VLOOKUP(F445,CHOOSE({2,1},Attributes!B$3:B$130,Attributes!C$3:C$129),2,FALSE)</f>
        <v>DungeonSiegeExperienceAttributeSet</v>
      </c>
      <c r="F445" s="43" t="str">
        <f>Attributes!C4</f>
        <v>Dexterity</v>
      </c>
      <c r="G445" s="43" t="str">
        <f t="shared" si="22"/>
        <v>(AttributeName="Dexterity",Attribute=/Script/DSAbilitySystem.DungeonSiegeExperienceAttributeSet:Dexterity,AttributeOwner=Class'"/Script/DSAbilitySystem.DungeonSiegeExperienceAttributeSet"')</v>
      </c>
      <c r="H445" s="43">
        <v>1</v>
      </c>
      <c r="I445" s="43" t="str">
        <f t="shared" si="23"/>
        <v>GE_Suffix_of_Honor</v>
      </c>
      <c r="J445" s="43" t="str">
        <f t="shared" si="24"/>
        <v>/Game/DungeonSiege/Blueprints/GameplayAbilities/Affixes/GE_Suffix_of_Honor</v>
      </c>
    </row>
    <row r="446" spans="1:10" s="23" customFormat="1" ht="33.75" x14ac:dyDescent="0.25">
      <c r="A446" s="43">
        <v>444</v>
      </c>
      <c r="B446" s="43">
        <f>VLOOKUP(C446,CHOOSE({2,1},Suffix!B$2:B$412,Suffix!C$2:C$412),2,FALSE)</f>
        <v>101712496</v>
      </c>
      <c r="C446" s="43" t="s">
        <v>1881</v>
      </c>
      <c r="D446" s="43" t="s">
        <v>3288</v>
      </c>
      <c r="E446" s="43" t="str">
        <f>VLOOKUP(F446,CHOOSE({2,1},Attributes!B$3:B$130,Attributes!C$3:C$129),2,FALSE)</f>
        <v>DungeonSiegeHealthAttributeSet</v>
      </c>
      <c r="F446" s="43" t="str">
        <f>Attributes!C82</f>
        <v>BaseHealthBonus</v>
      </c>
      <c r="G446" s="43" t="str">
        <f t="shared" si="22"/>
        <v>(AttributeName="BaseHealthBonus",Attribute=/Script/DSAbilitySystem.DungeonSiegeHealthAttributeSet:BaseHealthBonus,AttributeOwner=Class'"/Script/DSAbilitySystem.DungeonSiegeHealthAttributeSet"')</v>
      </c>
      <c r="H446" s="43">
        <v>26</v>
      </c>
      <c r="I446" s="43" t="str">
        <f t="shared" si="23"/>
        <v>GE_Suffix_of_Honor</v>
      </c>
      <c r="J446" s="43" t="str">
        <f t="shared" si="24"/>
        <v>/Game/DungeonSiege/Blueprints/GameplayAbilities/Affixes/GE_Suffix_of_Honor</v>
      </c>
    </row>
    <row r="447" spans="1:10" s="23" customFormat="1" ht="33.75" x14ac:dyDescent="0.25">
      <c r="A447" s="43">
        <v>445</v>
      </c>
      <c r="B447" s="43">
        <f>VLOOKUP(C447,CHOOSE({2,1},Suffix!B$2:B$412,Suffix!C$2:C$412),2,FALSE)</f>
        <v>101712496</v>
      </c>
      <c r="C447" s="43" t="s">
        <v>1881</v>
      </c>
      <c r="D447" s="43" t="s">
        <v>1092</v>
      </c>
      <c r="E447" s="43" t="str">
        <f>VLOOKUP(F447,CHOOSE({2,1},Attributes!B$3:B$130,Attributes!C$3:C$129),2,FALSE)</f>
        <v>DungeonSiegeDamageAttributeSet</v>
      </c>
      <c r="F447" s="43" t="str">
        <f>Attributes!C23</f>
        <v>ChanceToInflictPiercingHit</v>
      </c>
      <c r="G447" s="43" t="str">
        <f t="shared" si="22"/>
        <v>(AttributeName="ChanceToInflictPiercingHit",Attribute=/Script/DSAbilitySystem.DungeonSiegeDamageAttributeSet:ChanceToInflictPiercingHit,AttributeOwner=Class'"/Script/DSAbilitySystem.DungeonSiegeDamageAttributeSet"')</v>
      </c>
      <c r="H447" s="43">
        <v>2</v>
      </c>
      <c r="I447" s="43" t="str">
        <f t="shared" si="23"/>
        <v>GE_Suffix_of_Honor</v>
      </c>
      <c r="J447" s="43" t="str">
        <f t="shared" si="24"/>
        <v>/Game/DungeonSiege/Blueprints/GameplayAbilities/Affixes/GE_Suffix_of_Honor</v>
      </c>
    </row>
    <row r="448" spans="1:10" ht="33.75" x14ac:dyDescent="0.25">
      <c r="A448" s="43">
        <v>446</v>
      </c>
      <c r="B448" s="43">
        <f>VLOOKUP(C448,CHOOSE({2,1},Suffix!B$2:B$412,Suffix!C$2:C$412),2,FALSE)</f>
        <v>101712496</v>
      </c>
      <c r="C448" s="43" t="s">
        <v>1881</v>
      </c>
      <c r="D448" s="43" t="s">
        <v>1882</v>
      </c>
      <c r="E448" s="43" t="str">
        <f>VLOOKUP(F448,CHOOSE({2,1},Attributes!B$3:B$130,Attributes!C$3:C$129),2,FALSE)</f>
        <v>DungeonSiegeDamageAttributeSet</v>
      </c>
      <c r="F448" s="43" t="str">
        <f>Attributes!C20</f>
        <v>MaxDamageMod</v>
      </c>
      <c r="G448" s="43" t="str">
        <f t="shared" si="22"/>
        <v>(AttributeName="MaxDamageMod",Attribute=/Script/DSAbilitySystem.DungeonSiegeDamageAttributeSet:MaxDamageMod,AttributeOwner=Class'"/Script/DSAbilitySystem.DungeonSiegeDamageAttributeSet"')</v>
      </c>
      <c r="H448" s="43">
        <v>3</v>
      </c>
      <c r="I448" s="43" t="str">
        <f t="shared" si="23"/>
        <v>GE_Suffix_of_Honor</v>
      </c>
      <c r="J448" s="43" t="str">
        <f t="shared" si="24"/>
        <v>/Game/DungeonSiege/Blueprints/GameplayAbilities/Affixes/GE_Suffix_of_Honor</v>
      </c>
    </row>
    <row r="449" spans="1:10" ht="33.75" x14ac:dyDescent="0.25">
      <c r="A449" s="43">
        <v>447</v>
      </c>
      <c r="B449" s="43">
        <f>VLOOKUP(C449,CHOOSE({2,1},Suffix!B$2:B$412,Suffix!C$2:C$412),2,FALSE)</f>
        <v>101712497</v>
      </c>
      <c r="C449" s="43" t="s">
        <v>1884</v>
      </c>
      <c r="D449" s="43" t="s">
        <v>1885</v>
      </c>
      <c r="E449" s="43" t="str">
        <f>VLOOKUP(F449,CHOOSE({2,1},Attributes!B$3:B$130,Attributes!C$3:C$129),2,FALSE)</f>
        <v>DungeonSiegeCastOnHitAttributeSet</v>
      </c>
      <c r="F449" s="43" t="str">
        <f>Attributes!C114</f>
        <v>ChanceToCastFirespraylOnHit</v>
      </c>
      <c r="G449" s="43" t="str">
        <f t="shared" si="22"/>
        <v>(AttributeName="ChanceToCastFirespraylOnHit",Attribute=/Script/DSAbilitySystem.DungeonSiegeCastOnHitAttributeSet:ChanceToCastFirespraylOnHit,AttributeOwner=Class'"/Script/DSAbilitySystem.DungeonSiegeCastOnHitAttributeSet"')</v>
      </c>
      <c r="H449" s="43">
        <v>20</v>
      </c>
      <c r="I449" s="43" t="str">
        <f t="shared" si="23"/>
        <v>GE_Suffix_of_Firespray</v>
      </c>
      <c r="J449" s="43" t="str">
        <f t="shared" si="24"/>
        <v>/Game/DungeonSiege/Blueprints/GameplayAbilities/Affixes/GE_Suffix_of_Firespray</v>
      </c>
    </row>
    <row r="450" spans="1:10" ht="33.75" x14ac:dyDescent="0.25">
      <c r="A450" s="43">
        <v>448</v>
      </c>
      <c r="B450" s="43">
        <f>VLOOKUP(C450,CHOOSE({2,1},Suffix!B$2:B$412,Suffix!C$2:C$412),2,FALSE)</f>
        <v>101712498</v>
      </c>
      <c r="C450" s="43" t="s">
        <v>1887</v>
      </c>
      <c r="D450" s="43" t="s">
        <v>1888</v>
      </c>
      <c r="E450" s="43" t="str">
        <f>VLOOKUP(F450,CHOOSE({2,1},Attributes!B$3:B$130,Attributes!C$3:C$129),2,FALSE)</f>
        <v>DungeonSiegeCastOnHitAttributeSet</v>
      </c>
      <c r="F450" s="43" t="str">
        <f>Attributes!C112</f>
        <v>ChanceToCastLightningOnHit</v>
      </c>
      <c r="G450" s="43" t="str">
        <f t="shared" si="22"/>
        <v>(AttributeName="ChanceToCastLightningOnHit",Attribute=/Script/DSAbilitySystem.DungeonSiegeCastOnHitAttributeSet:ChanceToCastLightningOnHit,AttributeOwner=Class'"/Script/DSAbilitySystem.DungeonSiegeCastOnHitAttributeSet"')</v>
      </c>
      <c r="H450" s="43">
        <v>25</v>
      </c>
      <c r="I450" s="43" t="str">
        <f t="shared" si="23"/>
        <v>GE_Suffix_of_Major_Lightning</v>
      </c>
      <c r="J450" s="43" t="str">
        <f t="shared" si="24"/>
        <v>/Game/DungeonSiege/Blueprints/GameplayAbilities/Affixes/GE_Suffix_of_Major_Lightning</v>
      </c>
    </row>
    <row r="451" spans="1:10" ht="33.75" x14ac:dyDescent="0.25">
      <c r="A451" s="43">
        <v>449</v>
      </c>
      <c r="B451" s="43">
        <f>VLOOKUP(C451,CHOOSE({2,1},Suffix!B$2:B$412,Suffix!C$2:C$412),2,FALSE)</f>
        <v>101712499</v>
      </c>
      <c r="C451" s="43" t="s">
        <v>1890</v>
      </c>
      <c r="D451" s="43" t="s">
        <v>1891</v>
      </c>
      <c r="E451" s="43" t="str">
        <f>VLOOKUP(F451,CHOOSE({2,1},Attributes!B$3:B$130,Attributes!C$3:C$129),2,FALSE)</f>
        <v>DungeonSiegeCastOnHitAttributeSet</v>
      </c>
      <c r="F451" s="43" t="str">
        <f>Attributes!C109</f>
        <v>ChanceToCastLightningblastOnHit</v>
      </c>
      <c r="G451" s="43" t="str">
        <f t="shared" ref="G451:G514" si="25">CONCATENATE("(AttributeName=""",F451,""",Attribute=/Script/DSAbilitySystem."&amp; E451 &amp;":",F451,",AttributeOwner=Class'""/Script/DSAbilitySystem." &amp; E451 &amp; """')")</f>
        <v>(AttributeName="ChanceToCastLightningblastOnHit",Attribute=/Script/DSAbilitySystem.DungeonSiegeCastOnHitAttributeSet:ChanceToCastLightningblastOnHit,AttributeOwner=Class'"/Script/DSAbilitySystem.DungeonSiegeCastOnHitAttributeSet"')</v>
      </c>
      <c r="H451" s="43">
        <v>10</v>
      </c>
      <c r="I451" s="43" t="str">
        <f t="shared" si="23"/>
        <v>GE_Suffix_of_Lesser_Lightning_Blast</v>
      </c>
      <c r="J451" s="43" t="str">
        <f t="shared" si="24"/>
        <v>/Game/DungeonSiege/Blueprints/GameplayAbilities/Affixes/GE_Suffix_of_Lesser_Lightning_Blast</v>
      </c>
    </row>
    <row r="452" spans="1:10" ht="33.75" x14ac:dyDescent="0.25">
      <c r="A452" s="43">
        <v>450</v>
      </c>
      <c r="B452" s="43">
        <f>VLOOKUP(C452,CHOOSE({2,1},Suffix!B$2:B$412,Suffix!C$2:C$412),2,FALSE)</f>
        <v>101712500</v>
      </c>
      <c r="C452" s="43" t="s">
        <v>1893</v>
      </c>
      <c r="D452" s="43" t="s">
        <v>242</v>
      </c>
      <c r="E452" s="43" t="str">
        <f>VLOOKUP(F452,CHOOSE({2,1},Attributes!B$3:B$130,Attributes!C$3:C$129),2,FALSE)</f>
        <v>DungeonSiegeExperienceAttributeSet</v>
      </c>
      <c r="F452" s="43" t="str">
        <f>Attributes!C3</f>
        <v>Strength</v>
      </c>
      <c r="G452" s="43" t="str">
        <f t="shared" si="25"/>
        <v>(AttributeName="Strength",Attribute=/Script/DSAbilitySystem.DungeonSiegeExperienceAttributeSet:Strength,AttributeOwner=Class'"/Script/DSAbilitySystem.DungeonSiegeExperienceAttributeSet"')</v>
      </c>
      <c r="H452" s="43">
        <v>2</v>
      </c>
      <c r="I452" s="43" t="str">
        <f t="shared" si="23"/>
        <v>GE_Suffix_of_Sturdiness</v>
      </c>
      <c r="J452" s="43" t="str">
        <f t="shared" si="24"/>
        <v>/Game/DungeonSiege/Blueprints/GameplayAbilities/Affixes/GE_Suffix_of_Sturdiness</v>
      </c>
    </row>
    <row r="453" spans="1:10" ht="33.75" x14ac:dyDescent="0.25">
      <c r="A453" s="43">
        <v>451</v>
      </c>
      <c r="B453" s="43">
        <f>VLOOKUP(C453,CHOOSE({2,1},Suffix!B$2:B$412,Suffix!C$2:C$412),2,FALSE)</f>
        <v>101712501</v>
      </c>
      <c r="C453" s="43" t="s">
        <v>94</v>
      </c>
      <c r="D453" s="43" t="s">
        <v>93</v>
      </c>
      <c r="E453" s="43" t="str">
        <f>VLOOKUP(F453,CHOOSE({2,1},Attributes!B$3:B$130,Attributes!C$3:C$129),2,FALSE)</f>
        <v>DungeonSiegeExperienceAttributeSet</v>
      </c>
      <c r="F453" s="43" t="str">
        <f>Attributes!C5</f>
        <v>Intelligence</v>
      </c>
      <c r="G453" s="43" t="str">
        <f t="shared" si="25"/>
        <v>(AttributeName="Intelligence",Attribute=/Script/DSAbilitySystem.DungeonSiegeExperienceAttributeSet:Intelligence,AttributeOwner=Class'"/Script/DSAbilitySystem.DungeonSiegeExperienceAttributeSet"')</v>
      </c>
      <c r="H453" s="43">
        <v>2</v>
      </c>
      <c r="I453" s="43" t="str">
        <f t="shared" si="23"/>
        <v>GE_Suffix_of_Insight</v>
      </c>
      <c r="J453" s="43" t="str">
        <f t="shared" si="24"/>
        <v>/Game/DungeonSiege/Blueprints/GameplayAbilities/Affixes/GE_Suffix_of_Insight</v>
      </c>
    </row>
    <row r="454" spans="1:10" ht="33.75" x14ac:dyDescent="0.25">
      <c r="A454" s="43">
        <v>452</v>
      </c>
      <c r="B454" s="43">
        <f>VLOOKUP(C454,CHOOSE({2,1},Suffix!B$2:B$412,Suffix!C$2:C$412),2,FALSE)</f>
        <v>101712502</v>
      </c>
      <c r="C454" s="43" t="s">
        <v>91</v>
      </c>
      <c r="D454" s="43" t="s">
        <v>90</v>
      </c>
      <c r="E454" s="43" t="str">
        <f>VLOOKUP(F454,CHOOSE({2,1},Attributes!B$3:B$130,Attributes!C$3:C$129),2,FALSE)</f>
        <v>DungeonSiegeManaAttributeSet</v>
      </c>
      <c r="F454" s="43" t="str">
        <f>Attributes!C90</f>
        <v>BaseManaBonus</v>
      </c>
      <c r="G454" s="43" t="str">
        <f t="shared" si="25"/>
        <v>(AttributeName="BaseManaBonus",Attribute=/Script/DSAbilitySystem.DungeonSiegeManaAttributeSet:BaseManaBonus,AttributeOwner=Class'"/Script/DSAbilitySystem.DungeonSiegeManaAttributeSet"')</v>
      </c>
      <c r="H454" s="43">
        <v>101</v>
      </c>
      <c r="I454" s="43" t="str">
        <f t="shared" si="23"/>
        <v>GE_Suffix_of_Recuperation</v>
      </c>
      <c r="J454" s="43" t="str">
        <f t="shared" si="24"/>
        <v>/Game/DungeonSiege/Blueprints/GameplayAbilities/Affixes/GE_Suffix_of_Recuperation</v>
      </c>
    </row>
    <row r="455" spans="1:10" s="23" customFormat="1" ht="33.75" x14ac:dyDescent="0.25">
      <c r="A455" s="43">
        <v>453</v>
      </c>
      <c r="B455" s="43">
        <f>VLOOKUP(C455,CHOOSE({2,1},Suffix!B$2:B$412,Suffix!C$2:C$412),2,FALSE)</f>
        <v>101712503</v>
      </c>
      <c r="C455" s="43" t="s">
        <v>1895</v>
      </c>
      <c r="D455" s="43" t="s">
        <v>1681</v>
      </c>
      <c r="E455" s="43" t="str">
        <f>VLOOKUP(F455,CHOOSE({2,1},Attributes!B$3:B$130,Attributes!C$3:C$129),2,FALSE)</f>
        <v>DungeonSiegeMagicAttributeSet</v>
      </c>
      <c r="F455" s="43" t="str">
        <f>Attributes!C38</f>
        <v>NatureMagicMinDamageMod</v>
      </c>
      <c r="G455" s="43" t="str">
        <f t="shared" si="25"/>
        <v>(AttributeName="NatureMagicMinDamageMod",Attribute=/Script/DSAbilitySystem.DungeonSiegeMagicAttributeSet:NatureMagicMinDamageMod,AttributeOwner=Class'"/Script/DSAbilitySystem.DungeonSiegeMagicAttributeSet"')</v>
      </c>
      <c r="H455" s="43">
        <v>3</v>
      </c>
      <c r="I455" s="43" t="str">
        <f t="shared" si="23"/>
        <v>GE_Suffix_of_Liveliness</v>
      </c>
      <c r="J455" s="43" t="str">
        <f t="shared" si="24"/>
        <v>/Game/DungeonSiege/Blueprints/GameplayAbilities/Affixes/GE_Suffix_of_Liveliness</v>
      </c>
    </row>
    <row r="456" spans="1:10" ht="33.75" x14ac:dyDescent="0.25">
      <c r="A456" s="43">
        <v>454</v>
      </c>
      <c r="B456" s="43">
        <f>VLOOKUP(C456,CHOOSE({2,1},Suffix!B$2:B$412,Suffix!C$2:C$412),2,FALSE)</f>
        <v>101712503</v>
      </c>
      <c r="C456" s="43" t="s">
        <v>1895</v>
      </c>
      <c r="D456" s="43" t="s">
        <v>1681</v>
      </c>
      <c r="E456" s="43" t="str">
        <f>VLOOKUP(F456,CHOOSE({2,1},Attributes!B$3:B$130,Attributes!C$3:C$129),2,FALSE)</f>
        <v>DungeonSiegeMagicAttributeSet</v>
      </c>
      <c r="F456" s="43" t="str">
        <f>Attributes!C39</f>
        <v>NatureMagicMaxDamageMod</v>
      </c>
      <c r="G456" s="43" t="str">
        <f t="shared" si="25"/>
        <v>(AttributeName="NatureMagicMaxDamageMod",Attribute=/Script/DSAbilitySystem.DungeonSiegeMagicAttributeSet:NatureMagicMaxDamageMod,AttributeOwner=Class'"/Script/DSAbilitySystem.DungeonSiegeMagicAttributeSet"')</v>
      </c>
      <c r="H456" s="43">
        <v>8</v>
      </c>
      <c r="I456" s="43" t="str">
        <f t="shared" ref="I456:I519" si="26">CONCATENATE("GE_Suffix_", SUBSTITUTE(C456," ","_"))</f>
        <v>GE_Suffix_of_Liveliness</v>
      </c>
      <c r="J456" s="43" t="str">
        <f t="shared" ref="J456:J519" si="27">"/Game/DungeonSiege/Blueprints/GameplayAbilities/Affixes/" &amp;I456</f>
        <v>/Game/DungeonSiege/Blueprints/GameplayAbilities/Affixes/GE_Suffix_of_Liveliness</v>
      </c>
    </row>
    <row r="457" spans="1:10" s="23" customFormat="1" ht="33.75" x14ac:dyDescent="0.25">
      <c r="A457" s="43">
        <v>455</v>
      </c>
      <c r="B457" s="43">
        <f>VLOOKUP(C457,CHOOSE({2,1},Suffix!B$2:B$412,Suffix!C$2:C$412),2,FALSE)</f>
        <v>101712504</v>
      </c>
      <c r="C457" s="43" t="s">
        <v>1897</v>
      </c>
      <c r="D457" s="43" t="s">
        <v>1898</v>
      </c>
      <c r="E457" s="43" t="str">
        <f>VLOOKUP(F457,CHOOSE({2,1},Attributes!B$3:B$130,Attributes!C$3:C$129),2,FALSE)</f>
        <v>DungeonSiegeMagicAttributeSet</v>
      </c>
      <c r="F457" s="43" t="str">
        <f>Attributes!C41</f>
        <v>CombatMagicMinDamageMod</v>
      </c>
      <c r="G457" s="43" t="str">
        <f t="shared" si="25"/>
        <v>(AttributeName="CombatMagicMinDamageMod",Attribute=/Script/DSAbilitySystem.DungeonSiegeMagicAttributeSet:CombatMagicMinDamageMod,AttributeOwner=Class'"/Script/DSAbilitySystem.DungeonSiegeMagicAttributeSet"')</v>
      </c>
      <c r="H457" s="43">
        <v>3</v>
      </c>
      <c r="I457" s="43" t="str">
        <f t="shared" si="26"/>
        <v>GE_Suffix_of_Protest</v>
      </c>
      <c r="J457" s="43" t="str">
        <f t="shared" si="27"/>
        <v>/Game/DungeonSiege/Blueprints/GameplayAbilities/Affixes/GE_Suffix_of_Protest</v>
      </c>
    </row>
    <row r="458" spans="1:10" ht="33.75" x14ac:dyDescent="0.25">
      <c r="A458" s="43">
        <v>456</v>
      </c>
      <c r="B458" s="43">
        <f>VLOOKUP(C458,CHOOSE({2,1},Suffix!B$2:B$412,Suffix!C$2:C$412),2,FALSE)</f>
        <v>101712504</v>
      </c>
      <c r="C458" s="43" t="s">
        <v>1897</v>
      </c>
      <c r="D458" s="43" t="s">
        <v>1898</v>
      </c>
      <c r="E458" s="43" t="str">
        <f>VLOOKUP(F458,CHOOSE({2,1},Attributes!B$3:B$130,Attributes!C$3:C$129),2,FALSE)</f>
        <v>DungeonSiegeMagicAttributeSet</v>
      </c>
      <c r="F458" s="43" t="str">
        <f>Attributes!C42</f>
        <v>CombatMagicMaxDamageMod</v>
      </c>
      <c r="G458" s="43" t="str">
        <f t="shared" si="25"/>
        <v>(AttributeName="CombatMagicMaxDamageMod",Attribute=/Script/DSAbilitySystem.DungeonSiegeMagicAttributeSet:CombatMagicMaxDamageMod,AttributeOwner=Class'"/Script/DSAbilitySystem.DungeonSiegeMagicAttributeSet"')</v>
      </c>
      <c r="H458" s="43">
        <v>8</v>
      </c>
      <c r="I458" s="43" t="str">
        <f t="shared" si="26"/>
        <v>GE_Suffix_of_Protest</v>
      </c>
      <c r="J458" s="43" t="str">
        <f t="shared" si="27"/>
        <v>/Game/DungeonSiege/Blueprints/GameplayAbilities/Affixes/GE_Suffix_of_Protest</v>
      </c>
    </row>
    <row r="459" spans="1:10" s="23" customFormat="1" ht="33.75" x14ac:dyDescent="0.25">
      <c r="A459" s="43">
        <v>457</v>
      </c>
      <c r="B459" s="43">
        <f>VLOOKUP(C459,CHOOSE({2,1},Suffix!B$2:B$412,Suffix!C$2:C$412),2,FALSE)</f>
        <v>101712505</v>
      </c>
      <c r="C459" s="43" t="s">
        <v>1900</v>
      </c>
      <c r="D459" s="43" t="s">
        <v>1431</v>
      </c>
      <c r="E459" s="43" t="str">
        <f>VLOOKUP(F459,CHOOSE({2,1},Attributes!B$3:B$130,Attributes!C$3:C$129),2,FALSE)</f>
        <v>DungeonSiegeElementalAttributeSet</v>
      </c>
      <c r="F459" s="43" t="str">
        <f>Attributes!C100</f>
        <v>ChanceToFreeze</v>
      </c>
      <c r="G459" s="43" t="str">
        <f t="shared" si="25"/>
        <v>(AttributeName="ChanceToFreeze",Attribute=/Script/DSAbilitySystem.DungeonSiegeElementalAttributeSet:ChanceToFreeze,AttributeOwner=Class'"/Script/DSAbilitySystem.DungeonSiegeElementalAttributeSet"')</v>
      </c>
      <c r="H459" s="43">
        <v>15</v>
      </c>
      <c r="I459" s="43" t="str">
        <f t="shared" si="26"/>
        <v>GE_Suffix_of_Chilling</v>
      </c>
      <c r="J459" s="43" t="str">
        <f t="shared" si="27"/>
        <v>/Game/DungeonSiege/Blueprints/GameplayAbilities/Affixes/GE_Suffix_of_Chilling</v>
      </c>
    </row>
    <row r="460" spans="1:10" s="23" customFormat="1" ht="33.75" x14ac:dyDescent="0.25">
      <c r="A460" s="43">
        <v>458</v>
      </c>
      <c r="B460" s="43">
        <f>VLOOKUP(C460,CHOOSE({2,1},Suffix!B$2:B$412,Suffix!C$2:C$412),2,FALSE)</f>
        <v>101712505</v>
      </c>
      <c r="C460" s="43" t="s">
        <v>1900</v>
      </c>
      <c r="D460" s="43" t="s">
        <v>3289</v>
      </c>
      <c r="E460" s="43" t="str">
        <f>VLOOKUP(F460,CHOOSE({2,1},Attributes!B$3:B$130,Attributes!C$3:C$129),2,FALSE)</f>
        <v>DungeonSiegeElementalAttributeSet</v>
      </c>
      <c r="F460" s="43" t="str">
        <f>Attributes!C101</f>
        <v>ColdDamageMinDamageMod</v>
      </c>
      <c r="G460" s="43" t="str">
        <f t="shared" si="25"/>
        <v>(AttributeName="ColdDamageMinDamageMod",Attribute=/Script/DSAbilitySystem.DungeonSiegeElementalAttributeSet:ColdDamageMinDamageMod,AttributeOwner=Class'"/Script/DSAbilitySystem.DungeonSiegeElementalAttributeSet"')</v>
      </c>
      <c r="H460" s="43">
        <v>6</v>
      </c>
      <c r="I460" s="43" t="str">
        <f t="shared" si="26"/>
        <v>GE_Suffix_of_Chilling</v>
      </c>
      <c r="J460" s="43" t="str">
        <f t="shared" si="27"/>
        <v>/Game/DungeonSiege/Blueprints/GameplayAbilities/Affixes/GE_Suffix_of_Chilling</v>
      </c>
    </row>
    <row r="461" spans="1:10" ht="33.75" x14ac:dyDescent="0.25">
      <c r="A461" s="43">
        <v>459</v>
      </c>
      <c r="B461" s="43">
        <f>VLOOKUP(C461,CHOOSE({2,1},Suffix!B$2:B$412,Suffix!C$2:C$412),2,FALSE)</f>
        <v>101712505</v>
      </c>
      <c r="C461" s="43" t="s">
        <v>1900</v>
      </c>
      <c r="D461" s="43" t="s">
        <v>3289</v>
      </c>
      <c r="E461" s="43" t="str">
        <f>VLOOKUP(F461,CHOOSE({2,1},Attributes!B$3:B$130,Attributes!C$3:C$129),2,FALSE)</f>
        <v>DungeonSiegeElementalAttributeSet</v>
      </c>
      <c r="F461" s="43" t="str">
        <f>Attributes!C102</f>
        <v>ColdDamageMaxDamageMod</v>
      </c>
      <c r="G461" s="43" t="str">
        <f t="shared" si="25"/>
        <v>(AttributeName="ColdDamageMaxDamageMod",Attribute=/Script/DSAbilitySystem.DungeonSiegeElementalAttributeSet:ColdDamageMaxDamageMod,AttributeOwner=Class'"/Script/DSAbilitySystem.DungeonSiegeElementalAttributeSet"')</v>
      </c>
      <c r="H461" s="43">
        <v>11</v>
      </c>
      <c r="I461" s="43" t="str">
        <f t="shared" si="26"/>
        <v>GE_Suffix_of_Chilling</v>
      </c>
      <c r="J461" s="43" t="str">
        <f t="shared" si="27"/>
        <v>/Game/DungeonSiege/Blueprints/GameplayAbilities/Affixes/GE_Suffix_of_Chilling</v>
      </c>
    </row>
    <row r="462" spans="1:10" s="23" customFormat="1" ht="33.75" x14ac:dyDescent="0.25">
      <c r="A462" s="43">
        <v>460</v>
      </c>
      <c r="B462" s="43">
        <f>VLOOKUP(C462,CHOOSE({2,1},Suffix!B$2:B$412,Suffix!C$2:C$412),2,FALSE)</f>
        <v>101712512</v>
      </c>
      <c r="C462" s="43" t="s">
        <v>1902</v>
      </c>
      <c r="D462" s="43" t="s">
        <v>3259</v>
      </c>
      <c r="E462" s="43" t="str">
        <f>VLOOKUP(F462,CHOOSE({2,1},Attributes!B$3:B$130,Attributes!C$3:C$129),2,FALSE)</f>
        <v>DungeonSiegeElementalAttributeSet</v>
      </c>
      <c r="F462" s="43" t="str">
        <f>Attributes!C100</f>
        <v>ChanceToFreeze</v>
      </c>
      <c r="G462" s="43" t="str">
        <f t="shared" si="25"/>
        <v>(AttributeName="ChanceToFreeze",Attribute=/Script/DSAbilitySystem.DungeonSiegeElementalAttributeSet:ChanceToFreeze,AttributeOwner=Class'"/Script/DSAbilitySystem.DungeonSiegeElementalAttributeSet"')</v>
      </c>
      <c r="H462" s="43">
        <v>3</v>
      </c>
      <c r="I462" s="43" t="str">
        <f t="shared" si="26"/>
        <v>GE_Suffix_of_Slush</v>
      </c>
      <c r="J462" s="43" t="str">
        <f t="shared" si="27"/>
        <v>/Game/DungeonSiege/Blueprints/GameplayAbilities/Affixes/GE_Suffix_of_Slush</v>
      </c>
    </row>
    <row r="463" spans="1:10" s="23" customFormat="1" ht="33.75" x14ac:dyDescent="0.25">
      <c r="A463" s="43">
        <v>461</v>
      </c>
      <c r="B463" s="43">
        <f>VLOOKUP(C463,CHOOSE({2,1},Suffix!B$2:B$412,Suffix!C$2:C$412),2,FALSE)</f>
        <v>101712512</v>
      </c>
      <c r="C463" s="43" t="s">
        <v>1902</v>
      </c>
      <c r="D463" s="43" t="s">
        <v>3290</v>
      </c>
      <c r="E463" s="43" t="str">
        <f>VLOOKUP(F463,CHOOSE({2,1},Attributes!B$3:B$130,Attributes!C$3:C$129),2,FALSE)</f>
        <v>DungeonSiegeElementalAttributeSet</v>
      </c>
      <c r="F463" s="43" t="str">
        <f>Attributes!C101</f>
        <v>ColdDamageMinDamageMod</v>
      </c>
      <c r="G463" s="43" t="str">
        <f t="shared" si="25"/>
        <v>(AttributeName="ColdDamageMinDamageMod",Attribute=/Script/DSAbilitySystem.DungeonSiegeElementalAttributeSet:ColdDamageMinDamageMod,AttributeOwner=Class'"/Script/DSAbilitySystem.DungeonSiegeElementalAttributeSet"')</v>
      </c>
      <c r="H463" s="43">
        <v>6</v>
      </c>
      <c r="I463" s="43" t="str">
        <f t="shared" si="26"/>
        <v>GE_Suffix_of_Slush</v>
      </c>
      <c r="J463" s="43" t="str">
        <f t="shared" si="27"/>
        <v>/Game/DungeonSiege/Blueprints/GameplayAbilities/Affixes/GE_Suffix_of_Slush</v>
      </c>
    </row>
    <row r="464" spans="1:10" ht="33.75" x14ac:dyDescent="0.25">
      <c r="A464" s="43">
        <v>462</v>
      </c>
      <c r="B464" s="43">
        <f>VLOOKUP(C464,CHOOSE({2,1},Suffix!B$2:B$412,Suffix!C$2:C$412),2,FALSE)</f>
        <v>101712512</v>
      </c>
      <c r="C464" s="43" t="s">
        <v>1902</v>
      </c>
      <c r="D464" s="43" t="s">
        <v>3290</v>
      </c>
      <c r="E464" s="43" t="str">
        <f>VLOOKUP(F464,CHOOSE({2,1},Attributes!B$3:B$130,Attributes!C$3:C$129),2,FALSE)</f>
        <v>DungeonSiegeElementalAttributeSet</v>
      </c>
      <c r="F464" s="43" t="str">
        <f>Attributes!C102</f>
        <v>ColdDamageMaxDamageMod</v>
      </c>
      <c r="G464" s="43" t="str">
        <f t="shared" si="25"/>
        <v>(AttributeName="ColdDamageMaxDamageMod",Attribute=/Script/DSAbilitySystem.DungeonSiegeElementalAttributeSet:ColdDamageMaxDamageMod,AttributeOwner=Class'"/Script/DSAbilitySystem.DungeonSiegeElementalAttributeSet"')</v>
      </c>
      <c r="H464" s="43">
        <v>9</v>
      </c>
      <c r="I464" s="43" t="str">
        <f t="shared" si="26"/>
        <v>GE_Suffix_of_Slush</v>
      </c>
      <c r="J464" s="43" t="str">
        <f t="shared" si="27"/>
        <v>/Game/DungeonSiege/Blueprints/GameplayAbilities/Affixes/GE_Suffix_of_Slush</v>
      </c>
    </row>
    <row r="465" spans="1:10" s="23" customFormat="1" ht="33.75" x14ac:dyDescent="0.25">
      <c r="A465" s="43">
        <v>463</v>
      </c>
      <c r="B465" s="43">
        <f>VLOOKUP(C465,CHOOSE({2,1},Suffix!B$2:B$412,Suffix!C$2:C$412),2,FALSE)</f>
        <v>101712513</v>
      </c>
      <c r="C465" s="43" t="s">
        <v>1904</v>
      </c>
      <c r="D465" s="43" t="s">
        <v>242</v>
      </c>
      <c r="E465" s="43" t="str">
        <f>VLOOKUP(F465,CHOOSE({2,1},Attributes!B$3:B$130,Attributes!C$3:C$129),2,FALSE)</f>
        <v>DungeonSiegeExperienceAttributeSet</v>
      </c>
      <c r="F465" s="43" t="str">
        <f>Attributes!C3</f>
        <v>Strength</v>
      </c>
      <c r="G465" s="43" t="str">
        <f t="shared" si="25"/>
        <v>(AttributeName="Strength",Attribute=/Script/DSAbilitySystem.DungeonSiegeExperienceAttributeSet:Strength,AttributeOwner=Class'"/Script/DSAbilitySystem.DungeonSiegeExperienceAttributeSet"')</v>
      </c>
      <c r="H465" s="43">
        <v>2</v>
      </c>
      <c r="I465" s="43" t="str">
        <f t="shared" si="26"/>
        <v>GE_Suffix_of_Privilege</v>
      </c>
      <c r="J465" s="43" t="str">
        <f t="shared" si="27"/>
        <v>/Game/DungeonSiege/Blueprints/GameplayAbilities/Affixes/GE_Suffix_of_Privilege</v>
      </c>
    </row>
    <row r="466" spans="1:10" ht="33.75" x14ac:dyDescent="0.25">
      <c r="A466" s="43">
        <v>464</v>
      </c>
      <c r="B466" s="43">
        <f>VLOOKUP(C466,CHOOSE({2,1},Suffix!B$2:B$412,Suffix!C$2:C$412),2,FALSE)</f>
        <v>101712513</v>
      </c>
      <c r="C466" s="43" t="s">
        <v>1904</v>
      </c>
      <c r="D466" s="43" t="s">
        <v>861</v>
      </c>
      <c r="E466" s="43" t="str">
        <f>VLOOKUP(F466,CHOOSE({2,1},Attributes!B$3:B$130,Attributes!C$3:C$129),2,FALSE)</f>
        <v>DungeonSiegePerHitAttributeSet</v>
      </c>
      <c r="F466" s="43" t="str">
        <f>Attributes!C13</f>
        <v>HealthStealPerHit</v>
      </c>
      <c r="G466" s="43" t="str">
        <f t="shared" si="25"/>
        <v>(AttributeName="HealthStealPerHit",Attribute=/Script/DSAbilitySystem.DungeonSiegePerHitAttributeSet:HealthStealPerHit,AttributeOwner=Class'"/Script/DSAbilitySystem.DungeonSiegePerHitAttributeSet"')</v>
      </c>
      <c r="H466" s="43">
        <v>1</v>
      </c>
      <c r="I466" s="43" t="str">
        <f t="shared" si="26"/>
        <v>GE_Suffix_of_Privilege</v>
      </c>
      <c r="J466" s="43" t="str">
        <f t="shared" si="27"/>
        <v>/Game/DungeonSiege/Blueprints/GameplayAbilities/Affixes/GE_Suffix_of_Privilege</v>
      </c>
    </row>
    <row r="467" spans="1:10" s="23" customFormat="1" ht="33.75" x14ac:dyDescent="0.25">
      <c r="A467" s="43">
        <v>465</v>
      </c>
      <c r="B467" s="43">
        <f>VLOOKUP(C467,CHOOSE({2,1},Suffix!B$2:B$412,Suffix!C$2:C$412),2,FALSE)</f>
        <v>101712514</v>
      </c>
      <c r="C467" s="43" t="s">
        <v>1906</v>
      </c>
      <c r="D467" s="43" t="s">
        <v>3291</v>
      </c>
      <c r="E467" s="43" t="str">
        <f>VLOOKUP(F467,CHOOSE({2,1},Attributes!B$3:B$130,Attributes!C$3:C$129),2,FALSE)</f>
        <v>DungeonSiegeManaAttributeSet</v>
      </c>
      <c r="F467" s="43" t="str">
        <f>Attributes!C90</f>
        <v>BaseManaBonus</v>
      </c>
      <c r="G467" s="43" t="str">
        <f t="shared" si="25"/>
        <v>(AttributeName="BaseManaBonus",Attribute=/Script/DSAbilitySystem.DungeonSiegeManaAttributeSet:BaseManaBonus,AttributeOwner=Class'"/Script/DSAbilitySystem.DungeonSiegeManaAttributeSet"')</v>
      </c>
      <c r="H467" s="43">
        <v>24</v>
      </c>
      <c r="I467" s="43" t="str">
        <f t="shared" si="26"/>
        <v>GE_Suffix_of_Faith</v>
      </c>
      <c r="J467" s="43" t="str">
        <f t="shared" si="27"/>
        <v>/Game/DungeonSiege/Blueprints/GameplayAbilities/Affixes/GE_Suffix_of_Faith</v>
      </c>
    </row>
    <row r="468" spans="1:10" s="23" customFormat="1" ht="33.75" x14ac:dyDescent="0.25">
      <c r="A468" s="43">
        <v>466</v>
      </c>
      <c r="B468" s="43">
        <f>VLOOKUP(C468,CHOOSE({2,1},Suffix!B$2:B$412,Suffix!C$2:C$412),2,FALSE)</f>
        <v>101712514</v>
      </c>
      <c r="C468" s="43" t="s">
        <v>1906</v>
      </c>
      <c r="D468" s="43" t="s">
        <v>3292</v>
      </c>
      <c r="E468" s="43" t="str">
        <f>VLOOKUP(F468,CHOOSE({2,1},Attributes!B$3:B$130,Attributes!C$3:C$129),2,FALSE)</f>
        <v>DungeonSiegePerHitAttributeSet</v>
      </c>
      <c r="F468" s="43" t="str">
        <f>Attributes!C14</f>
        <v>ManaStealPerHit</v>
      </c>
      <c r="G468" s="43" t="str">
        <f t="shared" si="25"/>
        <v>(AttributeName="ManaStealPerHit",Attribute=/Script/DSAbilitySystem.DungeonSiegePerHitAttributeSet:ManaStealPerHit,AttributeOwner=Class'"/Script/DSAbilitySystem.DungeonSiegePerHitAttributeSet"')</v>
      </c>
      <c r="H468" s="43">
        <v>3</v>
      </c>
      <c r="I468" s="43" t="str">
        <f t="shared" si="26"/>
        <v>GE_Suffix_of_Faith</v>
      </c>
      <c r="J468" s="43" t="str">
        <f t="shared" si="27"/>
        <v>/Game/DungeonSiege/Blueprints/GameplayAbilities/Affixes/GE_Suffix_of_Faith</v>
      </c>
    </row>
    <row r="469" spans="1:10" ht="33.75" x14ac:dyDescent="0.25">
      <c r="A469" s="43">
        <v>467</v>
      </c>
      <c r="B469" s="43">
        <f>VLOOKUP(C469,CHOOSE({2,1},Suffix!B$2:B$412,Suffix!C$2:C$412),2,FALSE)</f>
        <v>101712514</v>
      </c>
      <c r="C469" s="43" t="s">
        <v>1906</v>
      </c>
      <c r="D469" s="43" t="s">
        <v>1907</v>
      </c>
      <c r="E469" s="43" t="str">
        <f>VLOOKUP(F469,CHOOSE({2,1},Attributes!B$3:B$130,Attributes!C$3:C$129),2,FALSE)</f>
        <v>DungeonSiegeMagicAttributeSet</v>
      </c>
      <c r="F469" s="43" t="str">
        <f>Attributes!C39</f>
        <v>NatureMagicMaxDamageMod</v>
      </c>
      <c r="G469" s="43" t="str">
        <f t="shared" si="25"/>
        <v>(AttributeName="NatureMagicMaxDamageMod",Attribute=/Script/DSAbilitySystem.DungeonSiegeMagicAttributeSet:NatureMagicMaxDamageMod,AttributeOwner=Class'"/Script/DSAbilitySystem.DungeonSiegeMagicAttributeSet"')</v>
      </c>
      <c r="H469" s="43">
        <v>1</v>
      </c>
      <c r="I469" s="43" t="str">
        <f t="shared" si="26"/>
        <v>GE_Suffix_of_Faith</v>
      </c>
      <c r="J469" s="43" t="str">
        <f t="shared" si="27"/>
        <v>/Game/DungeonSiege/Blueprints/GameplayAbilities/Affixes/GE_Suffix_of_Faith</v>
      </c>
    </row>
    <row r="470" spans="1:10" ht="33.75" x14ac:dyDescent="0.25">
      <c r="A470" s="43">
        <v>468</v>
      </c>
      <c r="B470" s="43">
        <f>VLOOKUP(C470,CHOOSE({2,1},Suffix!B$2:B$412,Suffix!C$2:C$412),2,FALSE)</f>
        <v>101712515</v>
      </c>
      <c r="C470" s="43" t="s">
        <v>1909</v>
      </c>
      <c r="D470" s="43" t="s">
        <v>3248</v>
      </c>
      <c r="E470" s="43" t="str">
        <f>VLOOKUP(F470,CHOOSE({2,1},Attributes!B$3:B$130,Attributes!C$3:C$129),2,FALSE)</f>
        <v>DungeonSiegeDamageAttributeSet</v>
      </c>
      <c r="F470" s="43" t="str">
        <f>Attributes!C33</f>
        <v>MeleeHitChance</v>
      </c>
      <c r="G470" s="43" t="str">
        <f t="shared" si="25"/>
        <v>(AttributeName="MeleeHitChance",Attribute=/Script/DSAbilitySystem.DungeonSiegeDamageAttributeSet:MeleeHitChance,AttributeOwner=Class'"/Script/DSAbilitySystem.DungeonSiegeDamageAttributeSet"')</v>
      </c>
      <c r="H470" s="43"/>
      <c r="I470" s="43" t="str">
        <f t="shared" si="26"/>
        <v>GE_Suffix_of_Clean_Strike</v>
      </c>
      <c r="J470" s="43" t="str">
        <f t="shared" si="27"/>
        <v>/Game/DungeonSiege/Blueprints/GameplayAbilities/Affixes/GE_Suffix_of_Clean_Strike</v>
      </c>
    </row>
    <row r="471" spans="1:10" ht="33.75" x14ac:dyDescent="0.25">
      <c r="A471" s="43">
        <v>469</v>
      </c>
      <c r="B471" s="43">
        <f>VLOOKUP(C471,CHOOSE({2,1},Suffix!B$2:B$412,Suffix!C$2:C$412),2,FALSE)</f>
        <v>101712516</v>
      </c>
      <c r="C471" s="43" t="s">
        <v>1911</v>
      </c>
      <c r="D471" s="43" t="s">
        <v>1912</v>
      </c>
      <c r="E471" s="43" t="str">
        <f>VLOOKUP(F471,CHOOSE({2,1},Attributes!B$3:B$130,Attributes!C$3:C$129),2,FALSE)</f>
        <v>DungeonSiegeCastOnHitAttributeSet</v>
      </c>
      <c r="F471" s="43" t="str">
        <f>Attributes!C115</f>
        <v>ChanceToCastSparkOnHit</v>
      </c>
      <c r="G471" s="43" t="str">
        <f t="shared" si="25"/>
        <v>(AttributeName="ChanceToCastSparkOnHit",Attribute=/Script/DSAbilitySystem.DungeonSiegeCastOnHitAttributeSet:ChanceToCastSparkOnHit,AttributeOwner=Class'"/Script/DSAbilitySystem.DungeonSiegeCastOnHitAttributeSet"')</v>
      </c>
      <c r="H471" s="43">
        <v>25</v>
      </c>
      <c r="I471" s="43" t="str">
        <f t="shared" si="26"/>
        <v>GE_Suffix_of_Major_Spark</v>
      </c>
      <c r="J471" s="43" t="str">
        <f t="shared" si="27"/>
        <v>/Game/DungeonSiege/Blueprints/GameplayAbilities/Affixes/GE_Suffix_of_Major_Spark</v>
      </c>
    </row>
    <row r="472" spans="1:10" ht="33.75" x14ac:dyDescent="0.25">
      <c r="A472" s="43">
        <v>470</v>
      </c>
      <c r="B472" s="43">
        <f>VLOOKUP(C472,CHOOSE({2,1},Suffix!B$2:B$412,Suffix!C$2:C$412),2,FALSE)</f>
        <v>101712517</v>
      </c>
      <c r="C472" s="43" t="s">
        <v>1914</v>
      </c>
      <c r="D472" s="43" t="s">
        <v>1915</v>
      </c>
      <c r="E472" s="43" t="str">
        <f>VLOOKUP(F472,CHOOSE({2,1},Attributes!B$3:B$130,Attributes!C$3:C$129),2,FALSE)</f>
        <v>DungeonSiegeCastOnHitAttributeSet</v>
      </c>
      <c r="F472" s="43" t="str">
        <f>Attributes!C110</f>
        <v>ChanceToCastMultisparkOnHit</v>
      </c>
      <c r="G472" s="43" t="str">
        <f t="shared" si="25"/>
        <v>(AttributeName="ChanceToCastMultisparkOnHit",Attribute=/Script/DSAbilitySystem.DungeonSiegeCastOnHitAttributeSet:ChanceToCastMultisparkOnHit,AttributeOwner=Class'"/Script/DSAbilitySystem.DungeonSiegeCastOnHitAttributeSet"')</v>
      </c>
      <c r="H472" s="43">
        <v>10</v>
      </c>
      <c r="I472" s="43" t="str">
        <f t="shared" si="26"/>
        <v>GE_Suffix_of_Lesser_Multispark</v>
      </c>
      <c r="J472" s="43" t="str">
        <f t="shared" si="27"/>
        <v>/Game/DungeonSiege/Blueprints/GameplayAbilities/Affixes/GE_Suffix_of_Lesser_Multispark</v>
      </c>
    </row>
    <row r="473" spans="1:10" ht="33.75" x14ac:dyDescent="0.25">
      <c r="A473" s="43">
        <v>471</v>
      </c>
      <c r="B473" s="43">
        <f>VLOOKUP(C473,CHOOSE({2,1},Suffix!B$2:B$412,Suffix!C$2:C$412),2,FALSE)</f>
        <v>101712518</v>
      </c>
      <c r="C473" s="43" t="s">
        <v>88</v>
      </c>
      <c r="D473" s="43" t="s">
        <v>87</v>
      </c>
      <c r="E473" s="43" t="str">
        <f>VLOOKUP(F473,CHOOSE({2,1},Attributes!B$3:B$130,Attributes!C$3:C$129),2,FALSE)</f>
        <v>DungeonSiegeExperienceAttributeSet</v>
      </c>
      <c r="F473" s="43" t="str">
        <f>Attributes!C4</f>
        <v>Dexterity</v>
      </c>
      <c r="G473" s="43" t="str">
        <f t="shared" si="25"/>
        <v>(AttributeName="Dexterity",Attribute=/Script/DSAbilitySystem.DungeonSiegeExperienceAttributeSet:Dexterity,AttributeOwner=Class'"/Script/DSAbilitySystem.DungeonSiegeExperienceAttributeSet"')</v>
      </c>
      <c r="H473" s="43">
        <v>2</v>
      </c>
      <c r="I473" s="43" t="str">
        <f t="shared" si="26"/>
        <v>GE_Suffix_of_the_Spry</v>
      </c>
      <c r="J473" s="43" t="str">
        <f t="shared" si="27"/>
        <v>/Game/DungeonSiege/Blueprints/GameplayAbilities/Affixes/GE_Suffix_of_the_Spry</v>
      </c>
    </row>
    <row r="474" spans="1:10" s="23" customFormat="1" ht="33.75" x14ac:dyDescent="0.25">
      <c r="A474" s="43">
        <v>472</v>
      </c>
      <c r="B474" s="43">
        <f>VLOOKUP(C474,CHOOSE({2,1},Suffix!B$2:B$412,Suffix!C$2:C$412),2,FALSE)</f>
        <v>101712519</v>
      </c>
      <c r="C474" s="43" t="s">
        <v>1917</v>
      </c>
      <c r="D474" s="43" t="s">
        <v>912</v>
      </c>
      <c r="E474" s="43" t="str">
        <f>VLOOKUP(F474,CHOOSE({2,1},Attributes!B$3:B$130,Attributes!C$3:C$129),2,FALSE)</f>
        <v>DungeonSiegeDamageAttributeSet</v>
      </c>
      <c r="F474" s="43" t="str">
        <f>Attributes!C25</f>
        <v>MinPiercingDamageMod</v>
      </c>
      <c r="G474" s="43" t="str">
        <f t="shared" si="25"/>
        <v>(AttributeName="MinPiercingDamageMod",Attribute=/Script/DSAbilitySystem.DungeonSiegeDamageAttributeSet:MinPiercingDamageMod,AttributeOwner=Class'"/Script/DSAbilitySystem.DungeonSiegeDamageAttributeSet"')</v>
      </c>
      <c r="H474" s="43">
        <v>4</v>
      </c>
      <c r="I474" s="43" t="str">
        <f t="shared" si="26"/>
        <v>GE_Suffix_of_Briars</v>
      </c>
      <c r="J474" s="43" t="str">
        <f t="shared" si="27"/>
        <v>/Game/DungeonSiege/Blueprints/GameplayAbilities/Affixes/GE_Suffix_of_Briars</v>
      </c>
    </row>
    <row r="475" spans="1:10" ht="33.75" x14ac:dyDescent="0.25">
      <c r="A475" s="43">
        <v>473</v>
      </c>
      <c r="B475" s="43">
        <f>VLOOKUP(C475,CHOOSE({2,1},Suffix!B$2:B$412,Suffix!C$2:C$412),2,FALSE)</f>
        <v>101712519</v>
      </c>
      <c r="C475" s="43" t="s">
        <v>1917</v>
      </c>
      <c r="D475" s="43" t="s">
        <v>912</v>
      </c>
      <c r="E475" s="43" t="str">
        <f>VLOOKUP(F475,CHOOSE({2,1},Attributes!B$3:B$130,Attributes!C$3:C$129),2,FALSE)</f>
        <v>DungeonSiegeDamageAttributeSet</v>
      </c>
      <c r="F475" s="43" t="str">
        <f>Attributes!C26</f>
        <v>MaxPiercingDamageMod</v>
      </c>
      <c r="G475" s="43" t="str">
        <f t="shared" si="25"/>
        <v>(AttributeName="MaxPiercingDamageMod",Attribute=/Script/DSAbilitySystem.DungeonSiegeDamageAttributeSet:MaxPiercingDamageMod,AttributeOwner=Class'"/Script/DSAbilitySystem.DungeonSiegeDamageAttributeSet"')</v>
      </c>
      <c r="H475" s="43">
        <v>10</v>
      </c>
      <c r="I475" s="43" t="str">
        <f t="shared" si="26"/>
        <v>GE_Suffix_of_Briars</v>
      </c>
      <c r="J475" s="43" t="str">
        <f t="shared" si="27"/>
        <v>/Game/DungeonSiege/Blueprints/GameplayAbilities/Affixes/GE_Suffix_of_Briars</v>
      </c>
    </row>
    <row r="476" spans="1:10" ht="33.75" x14ac:dyDescent="0.25">
      <c r="A476" s="43">
        <v>474</v>
      </c>
      <c r="B476" s="43">
        <f>VLOOKUP(C476,CHOOSE({2,1},Suffix!B$2:B$412,Suffix!C$2:C$412),2,FALSE)</f>
        <v>101712520</v>
      </c>
      <c r="C476" s="43" t="s">
        <v>1919</v>
      </c>
      <c r="D476" s="43" t="s">
        <v>804</v>
      </c>
      <c r="E476" s="43" t="str">
        <f>VLOOKUP(F476,CHOOSE({2,1},Attributes!B$3:B$130,Attributes!C$3:C$129),2,FALSE)</f>
        <v>DungeonSiegeDamageAttributeSet</v>
      </c>
      <c r="F476" s="43" t="str">
        <f>Attributes!C23</f>
        <v>ChanceToInflictPiercingHit</v>
      </c>
      <c r="G476" s="43" t="str">
        <f t="shared" si="25"/>
        <v>(AttributeName="ChanceToInflictPiercingHit",Attribute=/Script/DSAbilitySystem.DungeonSiegeDamageAttributeSet:ChanceToInflictPiercingHit,AttributeOwner=Class'"/Script/DSAbilitySystem.DungeonSiegeDamageAttributeSet"')</v>
      </c>
      <c r="H476" s="43">
        <v>4</v>
      </c>
      <c r="I476" s="43" t="str">
        <f t="shared" si="26"/>
        <v>GE_Suffix_of_Precision</v>
      </c>
      <c r="J476" s="43" t="str">
        <f t="shared" si="27"/>
        <v>/Game/DungeonSiege/Blueprints/GameplayAbilities/Affixes/GE_Suffix_of_Precision</v>
      </c>
    </row>
    <row r="477" spans="1:10" ht="33.75" x14ac:dyDescent="0.25">
      <c r="A477" s="43">
        <v>475</v>
      </c>
      <c r="B477" s="43">
        <f>VLOOKUP(C477,CHOOSE({2,1},Suffix!B$2:B$412,Suffix!C$2:C$412),2,FALSE)</f>
        <v>101712521</v>
      </c>
      <c r="C477" s="43" t="s">
        <v>1921</v>
      </c>
      <c r="D477" s="43" t="s">
        <v>1922</v>
      </c>
      <c r="E477" s="43" t="str">
        <f>VLOOKUP(F477,CHOOSE({2,1},Attributes!B$3:B$130,Attributes!C$3:C$129),2,FALSE)</f>
        <v>DungeonSiegePerHitAttributeSet</v>
      </c>
      <c r="F477" s="43" t="str">
        <f>Attributes!C12</f>
        <v>ManaPerHit</v>
      </c>
      <c r="G477" s="43" t="str">
        <f t="shared" si="25"/>
        <v>(AttributeName="ManaPerHit",Attribute=/Script/DSAbilitySystem.DungeonSiegePerHitAttributeSet:ManaPerHit,AttributeOwner=Class'"/Script/DSAbilitySystem.DungeonSiegePerHitAttributeSet"')</v>
      </c>
      <c r="H477" s="43">
        <v>4</v>
      </c>
      <c r="I477" s="43" t="str">
        <f t="shared" si="26"/>
        <v>GE_Suffix_of_Twilight</v>
      </c>
      <c r="J477" s="43" t="str">
        <f t="shared" si="27"/>
        <v>/Game/DungeonSiege/Blueprints/GameplayAbilities/Affixes/GE_Suffix_of_Twilight</v>
      </c>
    </row>
    <row r="478" spans="1:10" ht="33.75" x14ac:dyDescent="0.25">
      <c r="A478" s="43">
        <v>476</v>
      </c>
      <c r="B478" s="43">
        <f>VLOOKUP(C478,CHOOSE({2,1},Suffix!B$2:B$412,Suffix!C$2:C$412),2,FALSE)</f>
        <v>101712528</v>
      </c>
      <c r="C478" s="43" t="s">
        <v>1924</v>
      </c>
      <c r="D478" s="43" t="s">
        <v>797</v>
      </c>
      <c r="E478" s="43" t="str">
        <f>VLOOKUP(F478,CHOOSE({2,1},Attributes!B$3:B$130,Attributes!C$3:C$129),2,FALSE)</f>
        <v>DungeonSiegeDamageAttributeSet</v>
      </c>
      <c r="F478" s="43" t="str">
        <f>Attributes!C21</f>
        <v>PercentDamageReflectedToEnemy</v>
      </c>
      <c r="G478" s="43" t="str">
        <f t="shared" si="25"/>
        <v>(AttributeName="PercentDamageReflectedToEnemy",Attribute=/Script/DSAbilitySystem.DungeonSiegeDamageAttributeSet:PercentDamageReflectedToEnemy,AttributeOwner=Class'"/Script/DSAbilitySystem.DungeonSiegeDamageAttributeSet"')</v>
      </c>
      <c r="H478" s="43">
        <v>5</v>
      </c>
      <c r="I478" s="43" t="str">
        <f t="shared" si="26"/>
        <v>GE_Suffix_of_Exchange</v>
      </c>
      <c r="J478" s="43" t="str">
        <f t="shared" si="27"/>
        <v>/Game/DungeonSiege/Blueprints/GameplayAbilities/Affixes/GE_Suffix_of_Exchange</v>
      </c>
    </row>
    <row r="479" spans="1:10" ht="33.75" x14ac:dyDescent="0.25">
      <c r="A479" s="43">
        <v>477</v>
      </c>
      <c r="B479" s="43">
        <f>VLOOKUP(C479,CHOOSE({2,1},Suffix!B$2:B$412,Suffix!C$2:C$412),2,FALSE)</f>
        <v>101712529</v>
      </c>
      <c r="C479" s="43" t="s">
        <v>1926</v>
      </c>
      <c r="D479" s="43" t="s">
        <v>1927</v>
      </c>
      <c r="E479" s="43" t="str">
        <f>VLOOKUP(F479,CHOOSE({2,1},Attributes!B$3:B$130,Attributes!C$3:C$129),2,FALSE)</f>
        <v>DungeonSiegeDamageAttributeSet</v>
      </c>
      <c r="F479" s="43" t="str">
        <f>Attributes!C20</f>
        <v>MaxDamageMod</v>
      </c>
      <c r="G479" s="43" t="str">
        <f t="shared" si="25"/>
        <v>(AttributeName="MaxDamageMod",Attribute=/Script/DSAbilitySystem.DungeonSiegeDamageAttributeSet:MaxDamageMod,AttributeOwner=Class'"/Script/DSAbilitySystem.DungeonSiegeDamageAttributeSet"')</v>
      </c>
      <c r="H479" s="43">
        <v>12</v>
      </c>
      <c r="I479" s="43" t="str">
        <f t="shared" si="26"/>
        <v>GE_Suffix_of_the_Provoked</v>
      </c>
      <c r="J479" s="43" t="str">
        <f t="shared" si="27"/>
        <v>/Game/DungeonSiege/Blueprints/GameplayAbilities/Affixes/GE_Suffix_of_the_Provoked</v>
      </c>
    </row>
    <row r="480" spans="1:10" s="23" customFormat="1" ht="33.75" x14ac:dyDescent="0.25">
      <c r="A480" s="43">
        <v>478</v>
      </c>
      <c r="B480" s="43">
        <f>VLOOKUP(C480,CHOOSE({2,1},Suffix!B$2:B$412,Suffix!C$2:C$412),2,FALSE)</f>
        <v>101712530</v>
      </c>
      <c r="C480" s="43" t="s">
        <v>1929</v>
      </c>
      <c r="D480" s="43" t="s">
        <v>858</v>
      </c>
      <c r="E480" s="43" t="str">
        <f>VLOOKUP(F480,CHOOSE({2,1},Attributes!B$3:B$130,Attributes!C$3:C$129),2,FALSE)</f>
        <v>DungeonSiegeDamageAttributeSet</v>
      </c>
      <c r="F480" s="43" t="str">
        <f>Attributes!C19</f>
        <v>MinDamageMod</v>
      </c>
      <c r="G480" s="43" t="str">
        <f t="shared" si="25"/>
        <v>(AttributeName="MinDamageMod",Attribute=/Script/DSAbilitySystem.DungeonSiegeDamageAttributeSet:MinDamageMod,AttributeOwner=Class'"/Script/DSAbilitySystem.DungeonSiegeDamageAttributeSet"')</v>
      </c>
      <c r="H480" s="43">
        <v>5</v>
      </c>
      <c r="I480" s="43" t="str">
        <f t="shared" si="26"/>
        <v>GE_Suffix_of_Horizon</v>
      </c>
      <c r="J480" s="43" t="str">
        <f t="shared" si="27"/>
        <v>/Game/DungeonSiege/Blueprints/GameplayAbilities/Affixes/GE_Suffix_of_Horizon</v>
      </c>
    </row>
    <row r="481" spans="1:10" ht="33.75" x14ac:dyDescent="0.25">
      <c r="A481" s="43">
        <v>479</v>
      </c>
      <c r="B481" s="43">
        <f>VLOOKUP(C481,CHOOSE({2,1},Suffix!B$2:B$412,Suffix!C$2:C$412),2,FALSE)</f>
        <v>101712530</v>
      </c>
      <c r="C481" s="43" t="s">
        <v>1929</v>
      </c>
      <c r="D481" s="43" t="s">
        <v>858</v>
      </c>
      <c r="E481" s="43" t="str">
        <f>VLOOKUP(F481,CHOOSE({2,1},Attributes!B$3:B$130,Attributes!C$3:C$129),2,FALSE)</f>
        <v>DungeonSiegeDamageAttributeSet</v>
      </c>
      <c r="F481" s="43" t="str">
        <f>Attributes!C20</f>
        <v>MaxDamageMod</v>
      </c>
      <c r="G481" s="43" t="str">
        <f t="shared" si="25"/>
        <v>(AttributeName="MaxDamageMod",Attribute=/Script/DSAbilitySystem.DungeonSiegeDamageAttributeSet:MaxDamageMod,AttributeOwner=Class'"/Script/DSAbilitySystem.DungeonSiegeDamageAttributeSet"')</v>
      </c>
      <c r="H481" s="43">
        <v>11</v>
      </c>
      <c r="I481" s="43" t="str">
        <f t="shared" si="26"/>
        <v>GE_Suffix_of_Horizon</v>
      </c>
      <c r="J481" s="43" t="str">
        <f t="shared" si="27"/>
        <v>/Game/DungeonSiege/Blueprints/GameplayAbilities/Affixes/GE_Suffix_of_Horizon</v>
      </c>
    </row>
    <row r="482" spans="1:10" s="23" customFormat="1" ht="33.75" x14ac:dyDescent="0.25">
      <c r="A482" s="43">
        <v>480</v>
      </c>
      <c r="B482" s="43">
        <f>VLOOKUP(C482,CHOOSE({2,1},Suffix!B$2:B$412,Suffix!C$2:C$412),2,FALSE)</f>
        <v>101712531</v>
      </c>
      <c r="C482" s="43" t="s">
        <v>1931</v>
      </c>
      <c r="D482" s="43" t="s">
        <v>1932</v>
      </c>
      <c r="E482" s="43" t="str">
        <f>VLOOKUP(F482,CHOOSE({2,1},Attributes!B$3:B$130,Attributes!C$3:C$129),2,FALSE)</f>
        <v>DungeonSiegeElementalAttributeSet</v>
      </c>
      <c r="F482" s="43" t="str">
        <f>Attributes!C103</f>
        <v>FireDamageMinDamageMod</v>
      </c>
      <c r="G482" s="43" t="str">
        <f t="shared" si="25"/>
        <v>(AttributeName="FireDamageMinDamageMod",Attribute=/Script/DSAbilitySystem.DungeonSiegeElementalAttributeSet:FireDamageMinDamageMod,AttributeOwner=Class'"/Script/DSAbilitySystem.DungeonSiegeElementalAttributeSet"')</v>
      </c>
      <c r="H482" s="43">
        <v>8</v>
      </c>
      <c r="I482" s="43" t="str">
        <f t="shared" si="26"/>
        <v>GE_Suffix_of_Searing</v>
      </c>
      <c r="J482" s="43" t="str">
        <f t="shared" si="27"/>
        <v>/Game/DungeonSiege/Blueprints/GameplayAbilities/Affixes/GE_Suffix_of_Searing</v>
      </c>
    </row>
    <row r="483" spans="1:10" ht="33.75" x14ac:dyDescent="0.25">
      <c r="A483" s="43">
        <v>481</v>
      </c>
      <c r="B483" s="43">
        <f>VLOOKUP(C483,CHOOSE({2,1},Suffix!B$2:B$412,Suffix!C$2:C$412),2,FALSE)</f>
        <v>101712531</v>
      </c>
      <c r="C483" s="43" t="s">
        <v>1931</v>
      </c>
      <c r="D483" s="43" t="s">
        <v>1932</v>
      </c>
      <c r="E483" s="43" t="str">
        <f>VLOOKUP(F483,CHOOSE({2,1},Attributes!B$3:B$130,Attributes!C$3:C$129),2,FALSE)</f>
        <v>DungeonSiegeElementalAttributeSet</v>
      </c>
      <c r="F483" s="43" t="str">
        <f>Attributes!C104</f>
        <v>FireDamageMaxDamageMod</v>
      </c>
      <c r="G483" s="43" t="str">
        <f t="shared" si="25"/>
        <v>(AttributeName="FireDamageMaxDamageMod",Attribute=/Script/DSAbilitySystem.DungeonSiegeElementalAttributeSet:FireDamageMaxDamageMod,AttributeOwner=Class'"/Script/DSAbilitySystem.DungeonSiegeElementalAttributeSet"')</v>
      </c>
      <c r="H483" s="43">
        <v>15</v>
      </c>
      <c r="I483" s="43" t="str">
        <f t="shared" si="26"/>
        <v>GE_Suffix_of_Searing</v>
      </c>
      <c r="J483" s="43" t="str">
        <f t="shared" si="27"/>
        <v>/Game/DungeonSiege/Blueprints/GameplayAbilities/Affixes/GE_Suffix_of_Searing</v>
      </c>
    </row>
    <row r="484" spans="1:10" s="23" customFormat="1" ht="33.75" x14ac:dyDescent="0.25">
      <c r="A484" s="43">
        <v>482</v>
      </c>
      <c r="B484" s="43">
        <f>VLOOKUP(C484,CHOOSE({2,1},Suffix!B$2:B$412,Suffix!C$2:C$412),2,FALSE)</f>
        <v>101712532</v>
      </c>
      <c r="C484" s="43" t="s">
        <v>1347</v>
      </c>
      <c r="D484" s="43" t="s">
        <v>1934</v>
      </c>
      <c r="E484" s="43" t="str">
        <f>VLOOKUP(F484,CHOOSE({2,1},Attributes!B$3:B$130,Attributes!C$3:C$129),2,FALSE)</f>
        <v>DungeonSiegeElementalAttributeSet</v>
      </c>
      <c r="F484" s="43" t="str">
        <f>Attributes!C103</f>
        <v>FireDamageMinDamageMod</v>
      </c>
      <c r="G484" s="43" t="str">
        <f t="shared" si="25"/>
        <v>(AttributeName="FireDamageMinDamageMod",Attribute=/Script/DSAbilitySystem.DungeonSiegeElementalAttributeSet:FireDamageMinDamageMod,AttributeOwner=Class'"/Script/DSAbilitySystem.DungeonSiegeElementalAttributeSet"')</v>
      </c>
      <c r="H484" s="43">
        <v>6</v>
      </c>
      <c r="I484" s="43" t="str">
        <f t="shared" si="26"/>
        <v>GE_Suffix_of_Cinders</v>
      </c>
      <c r="J484" s="43" t="str">
        <f t="shared" si="27"/>
        <v>/Game/DungeonSiege/Blueprints/GameplayAbilities/Affixes/GE_Suffix_of_Cinders</v>
      </c>
    </row>
    <row r="485" spans="1:10" ht="33.75" x14ac:dyDescent="0.25">
      <c r="A485" s="43">
        <v>483</v>
      </c>
      <c r="B485" s="43">
        <f>VLOOKUP(C485,CHOOSE({2,1},Suffix!B$2:B$412,Suffix!C$2:C$412),2,FALSE)</f>
        <v>101712532</v>
      </c>
      <c r="C485" s="43" t="s">
        <v>1347</v>
      </c>
      <c r="D485" s="43" t="s">
        <v>1934</v>
      </c>
      <c r="E485" s="43" t="str">
        <f>VLOOKUP(F485,CHOOSE({2,1},Attributes!B$3:B$130,Attributes!C$3:C$129),2,FALSE)</f>
        <v>DungeonSiegeElementalAttributeSet</v>
      </c>
      <c r="F485" s="43" t="str">
        <f>Attributes!C104</f>
        <v>FireDamageMaxDamageMod</v>
      </c>
      <c r="G485" s="43" t="str">
        <f t="shared" si="25"/>
        <v>(AttributeName="FireDamageMaxDamageMod",Attribute=/Script/DSAbilitySystem.DungeonSiegeElementalAttributeSet:FireDamageMaxDamageMod,AttributeOwner=Class'"/Script/DSAbilitySystem.DungeonSiegeElementalAttributeSet"')</v>
      </c>
      <c r="H485" s="43">
        <v>11</v>
      </c>
      <c r="I485" s="43" t="str">
        <f t="shared" si="26"/>
        <v>GE_Suffix_of_Cinders</v>
      </c>
      <c r="J485" s="43" t="str">
        <f t="shared" si="27"/>
        <v>/Game/DungeonSiege/Blueprints/GameplayAbilities/Affixes/GE_Suffix_of_Cinders</v>
      </c>
    </row>
    <row r="486" spans="1:10" s="23" customFormat="1" ht="33.75" x14ac:dyDescent="0.25">
      <c r="A486" s="43">
        <v>484</v>
      </c>
      <c r="B486" s="43">
        <f>VLOOKUP(C486,CHOOSE({2,1},Suffix!B$2:B$412,Suffix!C$2:C$412),2,FALSE)</f>
        <v>101712533</v>
      </c>
      <c r="C486" s="43" t="s">
        <v>1936</v>
      </c>
      <c r="D486" s="43" t="s">
        <v>913</v>
      </c>
      <c r="E486" s="43" t="str">
        <f>VLOOKUP(F486,CHOOSE({2,1},Attributes!B$3:B$130,Attributes!C$3:C$129),2,FALSE)</f>
        <v>DungeonSiegeDamageAttributeSet</v>
      </c>
      <c r="F486" s="43" t="str">
        <f>Attributes!C19</f>
        <v>MinDamageMod</v>
      </c>
      <c r="G486" s="43" t="str">
        <f t="shared" si="25"/>
        <v>(AttributeName="MinDamageMod",Attribute=/Script/DSAbilitySystem.DungeonSiegeDamageAttributeSet:MinDamageMod,AttributeOwner=Class'"/Script/DSAbilitySystem.DungeonSiegeDamageAttributeSet"')</v>
      </c>
      <c r="H486" s="43">
        <v>8</v>
      </c>
      <c r="I486" s="43" t="str">
        <f t="shared" si="26"/>
        <v>GE_Suffix_of_Youth</v>
      </c>
      <c r="J486" s="43" t="str">
        <f t="shared" si="27"/>
        <v>/Game/DungeonSiege/Blueprints/GameplayAbilities/Affixes/GE_Suffix_of_Youth</v>
      </c>
    </row>
    <row r="487" spans="1:10" ht="33.75" x14ac:dyDescent="0.25">
      <c r="A487" s="43">
        <v>485</v>
      </c>
      <c r="B487" s="43">
        <f>VLOOKUP(C487,CHOOSE({2,1},Suffix!B$2:B$412,Suffix!C$2:C$412),2,FALSE)</f>
        <v>101712533</v>
      </c>
      <c r="C487" s="43" t="s">
        <v>1936</v>
      </c>
      <c r="D487" s="43" t="s">
        <v>913</v>
      </c>
      <c r="E487" s="43" t="str">
        <f>VLOOKUP(F487,CHOOSE({2,1},Attributes!B$3:B$130,Attributes!C$3:C$129),2,FALSE)</f>
        <v>DungeonSiegeDamageAttributeSet</v>
      </c>
      <c r="F487" s="43" t="str">
        <f>Attributes!C20</f>
        <v>MaxDamageMod</v>
      </c>
      <c r="G487" s="43" t="str">
        <f t="shared" si="25"/>
        <v>(AttributeName="MaxDamageMod",Attribute=/Script/DSAbilitySystem.DungeonSiegeDamageAttributeSet:MaxDamageMod,AttributeOwner=Class'"/Script/DSAbilitySystem.DungeonSiegeDamageAttributeSet"')</v>
      </c>
      <c r="H487" s="43">
        <v>13</v>
      </c>
      <c r="I487" s="43" t="str">
        <f t="shared" si="26"/>
        <v>GE_Suffix_of_Youth</v>
      </c>
      <c r="J487" s="43" t="str">
        <f t="shared" si="27"/>
        <v>/Game/DungeonSiege/Blueprints/GameplayAbilities/Affixes/GE_Suffix_of_Youth</v>
      </c>
    </row>
    <row r="488" spans="1:10" s="23" customFormat="1" ht="33.75" x14ac:dyDescent="0.25">
      <c r="A488" s="43">
        <v>486</v>
      </c>
      <c r="B488" s="43">
        <f>VLOOKUP(C488,CHOOSE({2,1},Suffix!B$2:B$412,Suffix!C$2:C$412),2,FALSE)</f>
        <v>101712534</v>
      </c>
      <c r="C488" s="43" t="s">
        <v>1938</v>
      </c>
      <c r="D488" s="43" t="s">
        <v>934</v>
      </c>
      <c r="E488" s="43" t="str">
        <f>VLOOKUP(F488,CHOOSE({2,1},Attributes!B$3:B$130,Attributes!C$3:C$129),2,FALSE)</f>
        <v>DungeonSiegePerHitAttributeSet</v>
      </c>
      <c r="F488" s="43" t="str">
        <f>Attributes!C11</f>
        <v>HealthPerHit</v>
      </c>
      <c r="G488" s="43" t="str">
        <f t="shared" si="25"/>
        <v>(AttributeName="HealthPerHit",Attribute=/Script/DSAbilitySystem.DungeonSiegePerHitAttributeSet:HealthPerHit,AttributeOwner=Class'"/Script/DSAbilitySystem.DungeonSiegePerHitAttributeSet"')</v>
      </c>
      <c r="H488" s="43">
        <v>1</v>
      </c>
      <c r="I488" s="43" t="str">
        <f t="shared" si="26"/>
        <v>GE_Suffix_of_Truth</v>
      </c>
      <c r="J488" s="43" t="str">
        <f t="shared" si="27"/>
        <v>/Game/DungeonSiege/Blueprints/GameplayAbilities/Affixes/GE_Suffix_of_Truth</v>
      </c>
    </row>
    <row r="489" spans="1:10" s="23" customFormat="1" ht="33.75" x14ac:dyDescent="0.25">
      <c r="A489" s="43">
        <v>487</v>
      </c>
      <c r="B489" s="43">
        <f>VLOOKUP(C489,CHOOSE({2,1},Suffix!B$2:B$412,Suffix!C$2:C$412),2,FALSE)</f>
        <v>101712534</v>
      </c>
      <c r="C489" s="43" t="s">
        <v>1938</v>
      </c>
      <c r="D489" s="43" t="s">
        <v>943</v>
      </c>
      <c r="E489" s="43" t="str">
        <f>VLOOKUP(F489,CHOOSE({2,1},Attributes!B$3:B$130,Attributes!C$3:C$129),2,FALSE)</f>
        <v>DungeonSiegeDamageAttributeSet</v>
      </c>
      <c r="F489" s="43" t="str">
        <f>Attributes!C25</f>
        <v>MinPiercingDamageMod</v>
      </c>
      <c r="G489" s="43" t="str">
        <f t="shared" si="25"/>
        <v>(AttributeName="MinPiercingDamageMod",Attribute=/Script/DSAbilitySystem.DungeonSiegeDamageAttributeSet:MinPiercingDamageMod,AttributeOwner=Class'"/Script/DSAbilitySystem.DungeonSiegeDamageAttributeSet"')</v>
      </c>
      <c r="H489" s="43">
        <v>1</v>
      </c>
      <c r="I489" s="43" t="str">
        <f t="shared" si="26"/>
        <v>GE_Suffix_of_Truth</v>
      </c>
      <c r="J489" s="43" t="str">
        <f t="shared" si="27"/>
        <v>/Game/DungeonSiege/Blueprints/GameplayAbilities/Affixes/GE_Suffix_of_Truth</v>
      </c>
    </row>
    <row r="490" spans="1:10" s="23" customFormat="1" ht="33.75" x14ac:dyDescent="0.25">
      <c r="A490" s="43">
        <v>488</v>
      </c>
      <c r="B490" s="43">
        <f>VLOOKUP(C490,CHOOSE({2,1},Suffix!B$2:B$412,Suffix!C$2:C$412),2,FALSE)</f>
        <v>101712534</v>
      </c>
      <c r="C490" s="43" t="s">
        <v>1938</v>
      </c>
      <c r="D490" s="43" t="s">
        <v>943</v>
      </c>
      <c r="E490" s="43" t="str">
        <f>VLOOKUP(F490,CHOOSE({2,1},Attributes!B$3:B$130,Attributes!C$3:C$129),2,FALSE)</f>
        <v>DungeonSiegeDamageAttributeSet</v>
      </c>
      <c r="F490" s="43" t="str">
        <f>Attributes!C26</f>
        <v>MaxPiercingDamageMod</v>
      </c>
      <c r="G490" s="43" t="str">
        <f t="shared" si="25"/>
        <v>(AttributeName="MaxPiercingDamageMod",Attribute=/Script/DSAbilitySystem.DungeonSiegeDamageAttributeSet:MaxPiercingDamageMod,AttributeOwner=Class'"/Script/DSAbilitySystem.DungeonSiegeDamageAttributeSet"')</v>
      </c>
      <c r="H490" s="43">
        <v>4</v>
      </c>
      <c r="I490" s="43" t="str">
        <f t="shared" si="26"/>
        <v>GE_Suffix_of_Truth</v>
      </c>
      <c r="J490" s="43" t="str">
        <f t="shared" si="27"/>
        <v>/Game/DungeonSiege/Blueprints/GameplayAbilities/Affixes/GE_Suffix_of_Truth</v>
      </c>
    </row>
    <row r="491" spans="1:10" ht="33.75" x14ac:dyDescent="0.25">
      <c r="A491" s="43">
        <v>489</v>
      </c>
      <c r="B491" s="43">
        <f>VLOOKUP(C491,CHOOSE({2,1},Suffix!B$2:B$412,Suffix!C$2:C$412),2,FALSE)</f>
        <v>101712534</v>
      </c>
      <c r="C491" s="43" t="s">
        <v>1938</v>
      </c>
      <c r="D491" s="43" t="s">
        <v>715</v>
      </c>
      <c r="E491" s="43" t="str">
        <f>VLOOKUP(F491,CHOOSE({2,1},Attributes!B$3:B$130,Attributes!C$3:C$129),2,FALSE)</f>
        <v>DungeonSiegeDamageAttributeSet</v>
      </c>
      <c r="F491" s="43" t="str">
        <f>Attributes!C21</f>
        <v>PercentDamageReflectedToEnemy</v>
      </c>
      <c r="G491" s="43" t="str">
        <f t="shared" si="25"/>
        <v>(AttributeName="PercentDamageReflectedToEnemy",Attribute=/Script/DSAbilitySystem.DungeonSiegeDamageAttributeSet:PercentDamageReflectedToEnemy,AttributeOwner=Class'"/Script/DSAbilitySystem.DungeonSiegeDamageAttributeSet"')</v>
      </c>
      <c r="H491" s="43">
        <v>3</v>
      </c>
      <c r="I491" s="43" t="str">
        <f t="shared" si="26"/>
        <v>GE_Suffix_of_Truth</v>
      </c>
      <c r="J491" s="43" t="str">
        <f t="shared" si="27"/>
        <v>/Game/DungeonSiege/Blueprints/GameplayAbilities/Affixes/GE_Suffix_of_Truth</v>
      </c>
    </row>
    <row r="492" spans="1:10" s="23" customFormat="1" ht="33.75" x14ac:dyDescent="0.25">
      <c r="A492" s="43">
        <v>490</v>
      </c>
      <c r="B492" s="43">
        <f>VLOOKUP(C492,CHOOSE({2,1},Suffix!B$2:B$412,Suffix!C$2:C$412),2,FALSE)</f>
        <v>101712535</v>
      </c>
      <c r="C492" s="43" t="s">
        <v>1940</v>
      </c>
      <c r="D492" s="43" t="s">
        <v>3250</v>
      </c>
      <c r="E492" s="43" t="str">
        <f>VLOOKUP(F492,CHOOSE({2,1},Attributes!B$3:B$130,Attributes!C$3:C$129),2,FALSE)</f>
        <v>DungeonSiegeDefenseAttributeSet</v>
      </c>
      <c r="F492" s="43" t="str">
        <f>Attributes!C10</f>
        <v>ArmorRating</v>
      </c>
      <c r="G492" s="43" t="str">
        <f t="shared" si="25"/>
        <v>(AttributeName="ArmorRating",Attribute=/Script/DSAbilitySystem.DungeonSiegeDefenseAttributeSet:ArmorRating,AttributeOwner=Class'"/Script/DSAbilitySystem.DungeonSiegeDefenseAttributeSet"')</v>
      </c>
      <c r="H492" s="43"/>
      <c r="I492" s="43" t="str">
        <f t="shared" si="26"/>
        <v>GE_Suffix_of_Personal_Stone_Skin</v>
      </c>
      <c r="J492" s="43" t="str">
        <f t="shared" si="27"/>
        <v>/Game/DungeonSiege/Blueprints/GameplayAbilities/Affixes/GE_Suffix_of_Personal_Stone_Skin</v>
      </c>
    </row>
    <row r="493" spans="1:10" ht="33.75" x14ac:dyDescent="0.25">
      <c r="A493" s="43">
        <v>491</v>
      </c>
      <c r="B493" s="43">
        <f>VLOOKUP(C493,CHOOSE({2,1},Suffix!B$2:B$412,Suffix!C$2:C$412),2,FALSE)</f>
        <v>101712536</v>
      </c>
      <c r="C493" s="43" t="s">
        <v>1943</v>
      </c>
      <c r="D493" s="43" t="s">
        <v>1944</v>
      </c>
      <c r="E493" s="43" t="str">
        <f>VLOOKUP(F493,CHOOSE({2,1},Attributes!B$3:B$130,Attributes!C$3:C$129),2,FALSE)</f>
        <v>DungeonSiegeCastOnHitAttributeSet</v>
      </c>
      <c r="F493" s="43" t="str">
        <f>Attributes!C113</f>
        <v>ChanceToCastFireskullOnHit</v>
      </c>
      <c r="G493" s="43" t="str">
        <f t="shared" si="25"/>
        <v>(AttributeName="ChanceToCastFireskullOnHit",Attribute=/Script/DSAbilitySystem.DungeonSiegeCastOnHitAttributeSet:ChanceToCastFireskullOnHit,AttributeOwner=Class'"/Script/DSAbilitySystem.DungeonSiegeCastOnHitAttributeSet"')</v>
      </c>
      <c r="H493" s="43">
        <v>15</v>
      </c>
      <c r="I493" s="43" t="str">
        <f t="shared" si="26"/>
        <v>GE_Suffix_of_Minor_Fireskull</v>
      </c>
      <c r="J493" s="43" t="str">
        <f t="shared" si="27"/>
        <v>/Game/DungeonSiege/Blueprints/GameplayAbilities/Affixes/GE_Suffix_of_Minor_Fireskull</v>
      </c>
    </row>
    <row r="494" spans="1:10" ht="33.75" x14ac:dyDescent="0.25">
      <c r="A494" s="43">
        <v>492</v>
      </c>
      <c r="B494" s="43">
        <f>VLOOKUP(C494,CHOOSE({2,1},Suffix!B$2:B$412,Suffix!C$2:C$412),2,FALSE)</f>
        <v>101712537</v>
      </c>
      <c r="C494" s="43" t="s">
        <v>1946</v>
      </c>
      <c r="D494" s="43" t="s">
        <v>1053</v>
      </c>
      <c r="E494" s="43" t="str">
        <f>VLOOKUP(F494,CHOOSE({2,1},Attributes!B$3:B$130,Attributes!C$3:C$129),2,FALSE)</f>
        <v>DungeonSiegeDamageAttributeSet</v>
      </c>
      <c r="F494" s="43" t="str">
        <f>Attributes!C23</f>
        <v>ChanceToInflictPiercingHit</v>
      </c>
      <c r="G494" s="43" t="str">
        <f t="shared" si="25"/>
        <v>(AttributeName="ChanceToInflictPiercingHit",Attribute=/Script/DSAbilitySystem.DungeonSiegeDamageAttributeSet:ChanceToInflictPiercingHit,AttributeOwner=Class'"/Script/DSAbilitySystem.DungeonSiegeDamageAttributeSet"')</v>
      </c>
      <c r="H494" s="43">
        <v>3</v>
      </c>
      <c r="I494" s="43" t="str">
        <f t="shared" si="26"/>
        <v>GE_Suffix_of_Purpose</v>
      </c>
      <c r="J494" s="43" t="str">
        <f t="shared" si="27"/>
        <v>/Game/DungeonSiege/Blueprints/GameplayAbilities/Affixes/GE_Suffix_of_Purpose</v>
      </c>
    </row>
    <row r="495" spans="1:10" ht="33.75" x14ac:dyDescent="0.25">
      <c r="A495" s="43">
        <v>493</v>
      </c>
      <c r="B495" s="43">
        <f>VLOOKUP(C495,CHOOSE({2,1},Suffix!B$2:B$412,Suffix!C$2:C$412),2,FALSE)</f>
        <v>101712640</v>
      </c>
      <c r="C495" s="43" t="s">
        <v>1948</v>
      </c>
      <c r="D495" s="43" t="s">
        <v>737</v>
      </c>
      <c r="E495" s="43" t="str">
        <f>VLOOKUP(F495,CHOOSE({2,1},Attributes!B$3:B$130,Attributes!C$3:C$129),2,FALSE)</f>
        <v>DungeonSiegePerHitAttributeSet</v>
      </c>
      <c r="F495" s="43" t="str">
        <f>Attributes!C13</f>
        <v>HealthStealPerHit</v>
      </c>
      <c r="G495" s="43" t="str">
        <f t="shared" si="25"/>
        <v>(AttributeName="HealthStealPerHit",Attribute=/Script/DSAbilitySystem.DungeonSiegePerHitAttributeSet:HealthStealPerHit,AttributeOwner=Class'"/Script/DSAbilitySystem.DungeonSiegePerHitAttributeSet"')</v>
      </c>
      <c r="H495" s="43">
        <v>2</v>
      </c>
      <c r="I495" s="43" t="str">
        <f t="shared" si="26"/>
        <v>GE_Suffix_of_Lechery</v>
      </c>
      <c r="J495" s="43" t="str">
        <f t="shared" si="27"/>
        <v>/Game/DungeonSiege/Blueprints/GameplayAbilities/Affixes/GE_Suffix_of_Lechery</v>
      </c>
    </row>
    <row r="496" spans="1:10" ht="33.75" x14ac:dyDescent="0.25">
      <c r="A496" s="43">
        <v>494</v>
      </c>
      <c r="B496" s="43">
        <f>VLOOKUP(C496,CHOOSE({2,1},Suffix!B$2:B$412,Suffix!C$2:C$412),2,FALSE)</f>
        <v>101712641</v>
      </c>
      <c r="C496" s="43" t="s">
        <v>1950</v>
      </c>
      <c r="D496" s="43" t="s">
        <v>701</v>
      </c>
      <c r="E496" s="43" t="str">
        <f>VLOOKUP(F496,CHOOSE({2,1},Attributes!B$3:B$130,Attributes!C$3:C$129),2,FALSE)</f>
        <v>DungeonSiegePerHitAttributeSet</v>
      </c>
      <c r="F496" s="43" t="str">
        <f>Attributes!C14</f>
        <v>ManaStealPerHit</v>
      </c>
      <c r="G496" s="43" t="str">
        <f t="shared" si="25"/>
        <v>(AttributeName="ManaStealPerHit",Attribute=/Script/DSAbilitySystem.DungeonSiegePerHitAttributeSet:ManaStealPerHit,AttributeOwner=Class'"/Script/DSAbilitySystem.DungeonSiegePerHitAttributeSet"')</v>
      </c>
      <c r="H496" s="43">
        <v>4</v>
      </c>
      <c r="I496" s="43" t="str">
        <f t="shared" si="26"/>
        <v>GE_Suffix_of_the_Looter</v>
      </c>
      <c r="J496" s="43" t="str">
        <f t="shared" si="27"/>
        <v>/Game/DungeonSiege/Blueprints/GameplayAbilities/Affixes/GE_Suffix_of_the_Looter</v>
      </c>
    </row>
    <row r="497" spans="1:10" ht="33.75" x14ac:dyDescent="0.25">
      <c r="A497" s="43">
        <v>495</v>
      </c>
      <c r="B497" s="43">
        <f>VLOOKUP(C497,CHOOSE({2,1},Suffix!B$2:B$412,Suffix!C$2:C$412),2,FALSE)</f>
        <v>101712642</v>
      </c>
      <c r="C497" s="43" t="s">
        <v>1952</v>
      </c>
      <c r="D497" s="43" t="s">
        <v>1953</v>
      </c>
      <c r="E497" s="43" t="str">
        <f>VLOOKUP(F497,CHOOSE({2,1},Attributes!B$3:B$130,Attributes!C$3:C$129),2,FALSE)</f>
        <v>DungeonSiegeDamageAttributeSet</v>
      </c>
      <c r="F497" s="43" t="str">
        <f>Attributes!C20</f>
        <v>MaxDamageMod</v>
      </c>
      <c r="G497" s="43" t="str">
        <f t="shared" si="25"/>
        <v>(AttributeName="MaxDamageMod",Attribute=/Script/DSAbilitySystem.DungeonSiegeDamageAttributeSet:MaxDamageMod,AttributeOwner=Class'"/Script/DSAbilitySystem.DungeonSiegeDamageAttributeSet"')</v>
      </c>
      <c r="H497" s="43">
        <v>8</v>
      </c>
      <c r="I497" s="43" t="str">
        <f t="shared" si="26"/>
        <v>GE_Suffix_of_the_Dove</v>
      </c>
      <c r="J497" s="43" t="str">
        <f t="shared" si="27"/>
        <v>/Game/DungeonSiege/Blueprints/GameplayAbilities/Affixes/GE_Suffix_of_the_Dove</v>
      </c>
    </row>
    <row r="498" spans="1:10" ht="33.75" x14ac:dyDescent="0.25">
      <c r="A498" s="43">
        <v>496</v>
      </c>
      <c r="B498" s="43">
        <f>VLOOKUP(C498,CHOOSE({2,1},Suffix!B$2:B$412,Suffix!C$2:C$412),2,FALSE)</f>
        <v>101712643</v>
      </c>
      <c r="C498" s="43" t="s">
        <v>1955</v>
      </c>
      <c r="D498" s="43" t="s">
        <v>1956</v>
      </c>
      <c r="E498" s="43" t="str">
        <f>VLOOKUP(F498,CHOOSE({2,1},Attributes!B$3:B$130,Attributes!C$3:C$129),2,FALSE)</f>
        <v>DungeonSiegeMagicAttributeSet</v>
      </c>
      <c r="F498" s="43" t="str">
        <f>Attributes!C39</f>
        <v>NatureMagicMaxDamageMod</v>
      </c>
      <c r="G498" s="43" t="str">
        <f t="shared" si="25"/>
        <v>(AttributeName="NatureMagicMaxDamageMod",Attribute=/Script/DSAbilitySystem.DungeonSiegeMagicAttributeSet:NatureMagicMaxDamageMod,AttributeOwner=Class'"/Script/DSAbilitySystem.DungeonSiegeMagicAttributeSet"')</v>
      </c>
      <c r="H498" s="43">
        <v>4</v>
      </c>
      <c r="I498" s="43" t="str">
        <f t="shared" si="26"/>
        <v>GE_Suffix_of_Expanse</v>
      </c>
      <c r="J498" s="43" t="str">
        <f t="shared" si="27"/>
        <v>/Game/DungeonSiege/Blueprints/GameplayAbilities/Affixes/GE_Suffix_of_Expanse</v>
      </c>
    </row>
    <row r="499" spans="1:10" ht="33.75" x14ac:dyDescent="0.25">
      <c r="A499" s="43">
        <v>497</v>
      </c>
      <c r="B499" s="43">
        <f>VLOOKUP(C499,CHOOSE({2,1},Suffix!B$2:B$412,Suffix!C$2:C$412),2,FALSE)</f>
        <v>101712644</v>
      </c>
      <c r="C499" s="43" t="s">
        <v>1958</v>
      </c>
      <c r="D499" s="43" t="s">
        <v>1959</v>
      </c>
      <c r="E499" s="43" t="str">
        <f>VLOOKUP(F499,CHOOSE({2,1},Attributes!B$3:B$130,Attributes!C$3:C$129),2,FALSE)</f>
        <v>DungeonSiegeMagicAttributeSet</v>
      </c>
      <c r="F499" s="43" t="str">
        <f>Attributes!C42</f>
        <v>CombatMagicMaxDamageMod</v>
      </c>
      <c r="G499" s="43" t="str">
        <f t="shared" si="25"/>
        <v>(AttributeName="CombatMagicMaxDamageMod",Attribute=/Script/DSAbilitySystem.DungeonSiegeMagicAttributeSet:CombatMagicMaxDamageMod,AttributeOwner=Class'"/Script/DSAbilitySystem.DungeonSiegeMagicAttributeSet"')</v>
      </c>
      <c r="H499" s="43">
        <v>4</v>
      </c>
      <c r="I499" s="43" t="str">
        <f t="shared" si="26"/>
        <v>GE_Suffix_of_Discord</v>
      </c>
      <c r="J499" s="43" t="str">
        <f t="shared" si="27"/>
        <v>/Game/DungeonSiege/Blueprints/GameplayAbilities/Affixes/GE_Suffix_of_Discord</v>
      </c>
    </row>
    <row r="500" spans="1:10" s="23" customFormat="1" ht="33.75" x14ac:dyDescent="0.25">
      <c r="A500" s="43">
        <v>498</v>
      </c>
      <c r="B500" s="43">
        <f>VLOOKUP(C500,CHOOSE({2,1},Suffix!B$2:B$412,Suffix!C$2:C$412),2,FALSE)</f>
        <v>101712645</v>
      </c>
      <c r="C500" s="43" t="s">
        <v>1961</v>
      </c>
      <c r="D500" s="43" t="s">
        <v>913</v>
      </c>
      <c r="E500" s="43" t="str">
        <f>VLOOKUP(F500,CHOOSE({2,1},Attributes!B$3:B$130,Attributes!C$3:C$129),2,FALSE)</f>
        <v>DungeonSiegeDamageAttributeSet</v>
      </c>
      <c r="F500" s="43" t="str">
        <f>Attributes!C19</f>
        <v>MinDamageMod</v>
      </c>
      <c r="G500" s="43" t="str">
        <f t="shared" si="25"/>
        <v>(AttributeName="MinDamageMod",Attribute=/Script/DSAbilitySystem.DungeonSiegeDamageAttributeSet:MinDamageMod,AttributeOwner=Class'"/Script/DSAbilitySystem.DungeonSiegeDamageAttributeSet"')</v>
      </c>
      <c r="H500" s="43">
        <v>8</v>
      </c>
      <c r="I500" s="43" t="str">
        <f t="shared" si="26"/>
        <v>GE_Suffix_of_Carving</v>
      </c>
      <c r="J500" s="43" t="str">
        <f t="shared" si="27"/>
        <v>/Game/DungeonSiege/Blueprints/GameplayAbilities/Affixes/GE_Suffix_of_Carving</v>
      </c>
    </row>
    <row r="501" spans="1:10" ht="33.75" x14ac:dyDescent="0.25">
      <c r="A501" s="43">
        <v>499</v>
      </c>
      <c r="B501" s="43">
        <f>VLOOKUP(C501,CHOOSE({2,1},Suffix!B$2:B$412,Suffix!C$2:C$412),2,FALSE)</f>
        <v>101712645</v>
      </c>
      <c r="C501" s="43" t="s">
        <v>1961</v>
      </c>
      <c r="D501" s="43" t="s">
        <v>913</v>
      </c>
      <c r="E501" s="43" t="str">
        <f>VLOOKUP(F501,CHOOSE({2,1},Attributes!B$3:B$130,Attributes!C$3:C$129),2,FALSE)</f>
        <v>DungeonSiegeDamageAttributeSet</v>
      </c>
      <c r="F501" s="43" t="str">
        <f>Attributes!C20</f>
        <v>MaxDamageMod</v>
      </c>
      <c r="G501" s="43" t="str">
        <f t="shared" si="25"/>
        <v>(AttributeName="MaxDamageMod",Attribute=/Script/DSAbilitySystem.DungeonSiegeDamageAttributeSet:MaxDamageMod,AttributeOwner=Class'"/Script/DSAbilitySystem.DungeonSiegeDamageAttributeSet"')</v>
      </c>
      <c r="H501" s="43">
        <v>13</v>
      </c>
      <c r="I501" s="43" t="str">
        <f t="shared" si="26"/>
        <v>GE_Suffix_of_Carving</v>
      </c>
      <c r="J501" s="43" t="str">
        <f t="shared" si="27"/>
        <v>/Game/DungeonSiege/Blueprints/GameplayAbilities/Affixes/GE_Suffix_of_Carving</v>
      </c>
    </row>
    <row r="502" spans="1:10" s="23" customFormat="1" ht="33.75" x14ac:dyDescent="0.25">
      <c r="A502" s="43">
        <v>500</v>
      </c>
      <c r="B502" s="43">
        <f>VLOOKUP(C502,CHOOSE({2,1},Suffix!B$2:B$412,Suffix!C$2:C$412),2,FALSE)</f>
        <v>101712646</v>
      </c>
      <c r="C502" s="43" t="s">
        <v>1963</v>
      </c>
      <c r="D502" s="43" t="s">
        <v>227</v>
      </c>
      <c r="E502" s="43" t="str">
        <f>VLOOKUP(F502,CHOOSE({2,1},Attributes!B$3:B$130,Attributes!C$3:C$129),2,FALSE)</f>
        <v>DungeonSiegeExperienceAttributeSet</v>
      </c>
      <c r="F502" s="43" t="str">
        <f>Attributes!C3</f>
        <v>Strength</v>
      </c>
      <c r="G502" s="43" t="str">
        <f t="shared" si="25"/>
        <v>(AttributeName="Strength",Attribute=/Script/DSAbilitySystem.DungeonSiegeExperienceAttributeSet:Strength,AttributeOwner=Class'"/Script/DSAbilitySystem.DungeonSiegeExperienceAttributeSet"')</v>
      </c>
      <c r="H502" s="43">
        <v>1</v>
      </c>
      <c r="I502" s="43" t="str">
        <f t="shared" si="26"/>
        <v>GE_Suffix_of_Dread</v>
      </c>
      <c r="J502" s="43" t="str">
        <f t="shared" si="27"/>
        <v>/Game/DungeonSiege/Blueprints/GameplayAbilities/Affixes/GE_Suffix_of_Dread</v>
      </c>
    </row>
    <row r="503" spans="1:10" s="23" customFormat="1" ht="33.75" x14ac:dyDescent="0.25">
      <c r="A503" s="43">
        <v>501</v>
      </c>
      <c r="B503" s="43">
        <f>VLOOKUP(C503,CHOOSE({2,1},Suffix!B$2:B$412,Suffix!C$2:C$412),2,FALSE)</f>
        <v>101712646</v>
      </c>
      <c r="C503" s="43" t="s">
        <v>1963</v>
      </c>
      <c r="D503" s="43" t="s">
        <v>884</v>
      </c>
      <c r="E503" s="43" t="str">
        <f>VLOOKUP(F503,CHOOSE({2,1},Attributes!B$3:B$130,Attributes!C$3:C$129),2,FALSE)</f>
        <v>DungeonSiegePerHitAttributeSet</v>
      </c>
      <c r="F503" s="43" t="str">
        <f>Attributes!C12</f>
        <v>ManaPerHit</v>
      </c>
      <c r="G503" s="43" t="str">
        <f t="shared" si="25"/>
        <v>(AttributeName="ManaPerHit",Attribute=/Script/DSAbilitySystem.DungeonSiegePerHitAttributeSet:ManaPerHit,AttributeOwner=Class'"/Script/DSAbilitySystem.DungeonSiegePerHitAttributeSet"')</v>
      </c>
      <c r="H503" s="43">
        <v>1</v>
      </c>
      <c r="I503" s="43" t="str">
        <f t="shared" si="26"/>
        <v>GE_Suffix_of_Dread</v>
      </c>
      <c r="J503" s="43" t="str">
        <f t="shared" si="27"/>
        <v>/Game/DungeonSiege/Blueprints/GameplayAbilities/Affixes/GE_Suffix_of_Dread</v>
      </c>
    </row>
    <row r="504" spans="1:10" ht="33.75" x14ac:dyDescent="0.25">
      <c r="A504" s="43">
        <v>502</v>
      </c>
      <c r="B504" s="43">
        <f>VLOOKUP(C504,CHOOSE({2,1},Suffix!B$2:B$412,Suffix!C$2:C$412),2,FALSE)</f>
        <v>101712646</v>
      </c>
      <c r="C504" s="43" t="s">
        <v>1963</v>
      </c>
      <c r="D504" s="43" t="s">
        <v>861</v>
      </c>
      <c r="E504" s="43" t="str">
        <f>VLOOKUP(F504,CHOOSE({2,1},Attributes!B$3:B$130,Attributes!C$3:C$129),2,FALSE)</f>
        <v>DungeonSiegePerHitAttributeSet</v>
      </c>
      <c r="F504" s="43" t="str">
        <f>Attributes!C13</f>
        <v>HealthStealPerHit</v>
      </c>
      <c r="G504" s="43" t="str">
        <f t="shared" si="25"/>
        <v>(AttributeName="HealthStealPerHit",Attribute=/Script/DSAbilitySystem.DungeonSiegePerHitAttributeSet:HealthStealPerHit,AttributeOwner=Class'"/Script/DSAbilitySystem.DungeonSiegePerHitAttributeSet"')</v>
      </c>
      <c r="H504" s="43">
        <v>1</v>
      </c>
      <c r="I504" s="43" t="str">
        <f t="shared" si="26"/>
        <v>GE_Suffix_of_Dread</v>
      </c>
      <c r="J504" s="43" t="str">
        <f t="shared" si="27"/>
        <v>/Game/DungeonSiege/Blueprints/GameplayAbilities/Affixes/GE_Suffix_of_Dread</v>
      </c>
    </row>
    <row r="505" spans="1:10" s="23" customFormat="1" ht="33.75" x14ac:dyDescent="0.25">
      <c r="A505" s="43">
        <v>503</v>
      </c>
      <c r="B505" s="43">
        <f>VLOOKUP(C505,CHOOSE({2,1},Suffix!B$2:B$412,Suffix!C$2:C$412),2,FALSE)</f>
        <v>101712647</v>
      </c>
      <c r="C505" s="43" t="s">
        <v>1965</v>
      </c>
      <c r="D505" s="43" t="s">
        <v>54</v>
      </c>
      <c r="E505" s="43" t="str">
        <f>VLOOKUP(F505,CHOOSE({2,1},Attributes!B$3:B$130,Attributes!C$3:C$129),2,FALSE)</f>
        <v>DungeonSiegeExperienceAttributeSet</v>
      </c>
      <c r="F505" s="43" t="str">
        <f>Attributes!C4</f>
        <v>Dexterity</v>
      </c>
      <c r="G505" s="43" t="str">
        <f t="shared" si="25"/>
        <v>(AttributeName="Dexterity",Attribute=/Script/DSAbilitySystem.DungeonSiegeExperienceAttributeSet:Dexterity,AttributeOwner=Class'"/Script/DSAbilitySystem.DungeonSiegeExperienceAttributeSet"')</v>
      </c>
      <c r="H505" s="43">
        <v>1</v>
      </c>
      <c r="I505" s="43" t="str">
        <f t="shared" si="26"/>
        <v>GE_Suffix_of_Prosperity</v>
      </c>
      <c r="J505" s="43" t="str">
        <f t="shared" si="27"/>
        <v>/Game/DungeonSiege/Blueprints/GameplayAbilities/Affixes/GE_Suffix_of_Prosperity</v>
      </c>
    </row>
    <row r="506" spans="1:10" s="23" customFormat="1" ht="33.75" x14ac:dyDescent="0.25">
      <c r="A506" s="43">
        <v>504</v>
      </c>
      <c r="B506" s="43">
        <f>VLOOKUP(C506,CHOOSE({2,1},Suffix!B$2:B$412,Suffix!C$2:C$412),2,FALSE)</f>
        <v>101712647</v>
      </c>
      <c r="C506" s="43" t="s">
        <v>1965</v>
      </c>
      <c r="D506" s="43" t="s">
        <v>881</v>
      </c>
      <c r="E506" s="43" t="str">
        <f>VLOOKUP(F506,CHOOSE({2,1},Attributes!B$3:B$130,Attributes!C$3:C$129),2,FALSE)</f>
        <v>DungeonSiegePerHitAttributeSet</v>
      </c>
      <c r="F506" s="43" t="str">
        <f>Attributes!C14</f>
        <v>ManaStealPerHit</v>
      </c>
      <c r="G506" s="43" t="str">
        <f t="shared" si="25"/>
        <v>(AttributeName="ManaStealPerHit",Attribute=/Script/DSAbilitySystem.DungeonSiegePerHitAttributeSet:ManaStealPerHit,AttributeOwner=Class'"/Script/DSAbilitySystem.DungeonSiegePerHitAttributeSet"')</v>
      </c>
      <c r="H506" s="43">
        <v>1</v>
      </c>
      <c r="I506" s="43" t="str">
        <f t="shared" si="26"/>
        <v>GE_Suffix_of_Prosperity</v>
      </c>
      <c r="J506" s="43" t="str">
        <f t="shared" si="27"/>
        <v>/Game/DungeonSiege/Blueprints/GameplayAbilities/Affixes/GE_Suffix_of_Prosperity</v>
      </c>
    </row>
    <row r="507" spans="1:10" ht="33.75" x14ac:dyDescent="0.25">
      <c r="A507" s="43">
        <v>505</v>
      </c>
      <c r="B507" s="43">
        <f>VLOOKUP(C507,CHOOSE({2,1},Suffix!B$2:B$412,Suffix!C$2:C$412),2,FALSE)</f>
        <v>101712647</v>
      </c>
      <c r="C507" s="43" t="s">
        <v>1965</v>
      </c>
      <c r="D507" s="43" t="s">
        <v>715</v>
      </c>
      <c r="E507" s="43" t="str">
        <f>VLOOKUP(F507,CHOOSE({2,1},Attributes!B$3:B$130,Attributes!C$3:C$129),2,FALSE)</f>
        <v>DungeonSiegeDamageAttributeSet</v>
      </c>
      <c r="F507" s="43" t="str">
        <f>Attributes!C21</f>
        <v>PercentDamageReflectedToEnemy</v>
      </c>
      <c r="G507" s="43" t="str">
        <f t="shared" si="25"/>
        <v>(AttributeName="PercentDamageReflectedToEnemy",Attribute=/Script/DSAbilitySystem.DungeonSiegeDamageAttributeSet:PercentDamageReflectedToEnemy,AttributeOwner=Class'"/Script/DSAbilitySystem.DungeonSiegeDamageAttributeSet"')</v>
      </c>
      <c r="H507" s="43">
        <v>3</v>
      </c>
      <c r="I507" s="43" t="str">
        <f t="shared" si="26"/>
        <v>GE_Suffix_of_Prosperity</v>
      </c>
      <c r="J507" s="43" t="str">
        <f t="shared" si="27"/>
        <v>/Game/DungeonSiege/Blueprints/GameplayAbilities/Affixes/GE_Suffix_of_Prosperity</v>
      </c>
    </row>
    <row r="508" spans="1:10" ht="33.75" x14ac:dyDescent="0.25">
      <c r="A508" s="43">
        <v>506</v>
      </c>
      <c r="B508" s="43">
        <f>VLOOKUP(C508,CHOOSE({2,1},Suffix!B$2:B$412,Suffix!C$2:C$412),2,FALSE)</f>
        <v>101712648</v>
      </c>
      <c r="C508" s="43" t="s">
        <v>1967</v>
      </c>
      <c r="D508" s="43" t="s">
        <v>1968</v>
      </c>
      <c r="E508" s="43" t="str">
        <f>VLOOKUP(F508,CHOOSE({2,1},Attributes!B$3:B$130,Attributes!C$3:C$129),2,FALSE)</f>
        <v>DungeonSiegeCastOnHitAttributeSet</v>
      </c>
      <c r="F508" s="43" t="str">
        <f>Attributes!C116</f>
        <v>ChanceToCastFireshotOnHit</v>
      </c>
      <c r="G508" s="43" t="str">
        <f t="shared" si="25"/>
        <v>(AttributeName="ChanceToCastFireshotOnHit",Attribute=/Script/DSAbilitySystem.DungeonSiegeCastOnHitAttributeSet:ChanceToCastFireshotOnHit,AttributeOwner=Class'"/Script/DSAbilitySystem.DungeonSiegeCastOnHitAttributeSet"')</v>
      </c>
      <c r="H508" s="43">
        <v>30</v>
      </c>
      <c r="I508" s="43" t="str">
        <f t="shared" si="26"/>
        <v>GE_Suffix_of_Greater_Fireshot</v>
      </c>
      <c r="J508" s="43" t="str">
        <f t="shared" si="27"/>
        <v>/Game/DungeonSiege/Blueprints/GameplayAbilities/Affixes/GE_Suffix_of_Greater_Fireshot</v>
      </c>
    </row>
    <row r="509" spans="1:10" ht="33.75" x14ac:dyDescent="0.25">
      <c r="A509" s="43">
        <v>507</v>
      </c>
      <c r="B509" s="43">
        <f>VLOOKUP(C509,CHOOSE({2,1},Suffix!B$2:B$412,Suffix!C$2:C$412),2,FALSE)</f>
        <v>101712649</v>
      </c>
      <c r="C509" s="43" t="s">
        <v>1970</v>
      </c>
      <c r="D509" s="43" t="s">
        <v>1971</v>
      </c>
      <c r="E509" s="43" t="str">
        <f>VLOOKUP(F509,CHOOSE({2,1},Attributes!B$3:B$130,Attributes!C$3:C$129),2,FALSE)</f>
        <v>DungeonSiegeCastOnHitAttributeSet</v>
      </c>
      <c r="F509" s="43" t="str">
        <f>Attributes!C115</f>
        <v>ChanceToCastSparkOnHit</v>
      </c>
      <c r="G509" s="43" t="str">
        <f t="shared" si="25"/>
        <v>(AttributeName="ChanceToCastSparkOnHit",Attribute=/Script/DSAbilitySystem.DungeonSiegeCastOnHitAttributeSet:ChanceToCastSparkOnHit,AttributeOwner=Class'"/Script/DSAbilitySystem.DungeonSiegeCastOnHitAttributeSet"')</v>
      </c>
      <c r="H509" s="43">
        <v>20</v>
      </c>
      <c r="I509" s="43" t="str">
        <f t="shared" si="26"/>
        <v>GE_Suffix_of_Spark</v>
      </c>
      <c r="J509" s="43" t="str">
        <f t="shared" si="27"/>
        <v>/Game/DungeonSiege/Blueprints/GameplayAbilities/Affixes/GE_Suffix_of_Spark</v>
      </c>
    </row>
    <row r="510" spans="1:10" ht="33.75" x14ac:dyDescent="0.25">
      <c r="A510" s="43">
        <v>508</v>
      </c>
      <c r="B510" s="43">
        <f>VLOOKUP(C510,CHOOSE({2,1},Suffix!B$2:B$412,Suffix!C$2:C$412),2,FALSE)</f>
        <v>101712656</v>
      </c>
      <c r="C510" s="43" t="s">
        <v>1973</v>
      </c>
      <c r="D510" s="43" t="s">
        <v>1974</v>
      </c>
      <c r="E510" s="43" t="str">
        <f>VLOOKUP(F510,CHOOSE({2,1},Attributes!B$3:B$130,Attributes!C$3:C$129),2,FALSE)</f>
        <v>DungeonSiegeCastOnHitAttributeSet</v>
      </c>
      <c r="F510" s="43" t="str">
        <f>Attributes!C111</f>
        <v>ChanceToCastFireballOnHit</v>
      </c>
      <c r="G510" s="43" t="str">
        <f t="shared" si="25"/>
        <v>(AttributeName="ChanceToCastFireballOnHit",Attribute=/Script/DSAbilitySystem.DungeonSiegeCastOnHitAttributeSet:ChanceToCastFireballOnHit,AttributeOwner=Class'"/Script/DSAbilitySystem.DungeonSiegeCastOnHitAttributeSet"')</v>
      </c>
      <c r="H510" s="43">
        <v>10</v>
      </c>
      <c r="I510" s="43" t="str">
        <f t="shared" si="26"/>
        <v>GE_Suffix_of_Lesser_Fireball</v>
      </c>
      <c r="J510" s="43" t="str">
        <f t="shared" si="27"/>
        <v>/Game/DungeonSiege/Blueprints/GameplayAbilities/Affixes/GE_Suffix_of_Lesser_Fireball</v>
      </c>
    </row>
    <row r="511" spans="1:10" s="23" customFormat="1" ht="33.75" x14ac:dyDescent="0.25">
      <c r="A511" s="43">
        <v>509</v>
      </c>
      <c r="B511" s="43">
        <f>VLOOKUP(C511,CHOOSE({2,1},Suffix!B$2:B$412,Suffix!C$2:C$412),2,FALSE)</f>
        <v>101712657</v>
      </c>
      <c r="C511" s="43" t="s">
        <v>1976</v>
      </c>
      <c r="D511" s="43" t="s">
        <v>227</v>
      </c>
      <c r="E511" s="43" t="str">
        <f>VLOOKUP(F511,CHOOSE({2,1},Attributes!B$3:B$130,Attributes!C$3:C$129),2,FALSE)</f>
        <v>DungeonSiegeExperienceAttributeSet</v>
      </c>
      <c r="F511" s="43" t="str">
        <f>Attributes!C3</f>
        <v>Strength</v>
      </c>
      <c r="G511" s="43" t="str">
        <f t="shared" si="25"/>
        <v>(AttributeName="Strength",Attribute=/Script/DSAbilitySystem.DungeonSiegeExperienceAttributeSet:Strength,AttributeOwner=Class'"/Script/DSAbilitySystem.DungeonSiegeExperienceAttributeSet"')</v>
      </c>
      <c r="H511" s="43">
        <v>1</v>
      </c>
      <c r="I511" s="43" t="str">
        <f t="shared" si="26"/>
        <v>GE_Suffix_of_Monstrosity</v>
      </c>
      <c r="J511" s="43" t="str">
        <f t="shared" si="27"/>
        <v>/Game/DungeonSiege/Blueprints/GameplayAbilities/Affixes/GE_Suffix_of_Monstrosity</v>
      </c>
    </row>
    <row r="512" spans="1:10" ht="33.75" x14ac:dyDescent="0.25">
      <c r="A512" s="43">
        <v>510</v>
      </c>
      <c r="B512" s="43">
        <f>VLOOKUP(C512,CHOOSE({2,1},Suffix!B$2:B$412,Suffix!C$2:C$412),2,FALSE)</f>
        <v>101712657</v>
      </c>
      <c r="C512" s="43" t="s">
        <v>1976</v>
      </c>
      <c r="D512" s="43" t="s">
        <v>3293</v>
      </c>
      <c r="E512" s="43" t="str">
        <f>VLOOKUP(F512,CHOOSE({2,1},Attributes!B$3:B$130,Attributes!C$3:C$129),2,FALSE)</f>
        <v>DungeonSiegeExperienceAttributeSet</v>
      </c>
      <c r="F512" s="43" t="str">
        <f>Attributes!C4</f>
        <v>Dexterity</v>
      </c>
      <c r="G512" s="43" t="str">
        <f t="shared" si="25"/>
        <v>(AttributeName="Dexterity",Attribute=/Script/DSAbilitySystem.DungeonSiegeExperienceAttributeSet:Dexterity,AttributeOwner=Class'"/Script/DSAbilitySystem.DungeonSiegeExperienceAttributeSet"')</v>
      </c>
      <c r="H512" s="43">
        <v>1</v>
      </c>
      <c r="I512" s="43" t="str">
        <f t="shared" si="26"/>
        <v>GE_Suffix_of_Monstrosity</v>
      </c>
      <c r="J512" s="43" t="str">
        <f t="shared" si="27"/>
        <v>/Game/DungeonSiege/Blueprints/GameplayAbilities/Affixes/GE_Suffix_of_Monstrosity</v>
      </c>
    </row>
    <row r="513" spans="1:10" s="23" customFormat="1" ht="33.75" x14ac:dyDescent="0.25">
      <c r="A513" s="43">
        <v>511</v>
      </c>
      <c r="B513" s="43">
        <f>VLOOKUP(C513,CHOOSE({2,1},Suffix!B$2:B$412,Suffix!C$2:C$412),2,FALSE)</f>
        <v>101712658</v>
      </c>
      <c r="C513" s="43" t="s">
        <v>1978</v>
      </c>
      <c r="D513" s="43" t="s">
        <v>3170</v>
      </c>
      <c r="E513" s="43" t="str">
        <f>VLOOKUP(F513,CHOOSE({2,1},Attributes!B$3:B$130,Attributes!C$3:C$129),2,FALSE)</f>
        <v>DungeonSiegeElementalAttributeSet</v>
      </c>
      <c r="F513" s="43" t="str">
        <f>Attributes!C78</f>
        <v>LightningMinDamageMod</v>
      </c>
      <c r="G513" s="43" t="str">
        <f t="shared" si="25"/>
        <v>(AttributeName="LightningMinDamageMod",Attribute=/Script/DSAbilitySystem.DungeonSiegeElementalAttributeSet:LightningMinDamageMod,AttributeOwner=Class'"/Script/DSAbilitySystem.DungeonSiegeElementalAttributeSet"')</v>
      </c>
      <c r="H513" s="43">
        <v>3</v>
      </c>
      <c r="I513" s="43" t="str">
        <f t="shared" si="26"/>
        <v>GE_Suffix_of_Currents</v>
      </c>
      <c r="J513" s="43" t="str">
        <f t="shared" si="27"/>
        <v>/Game/DungeonSiege/Blueprints/GameplayAbilities/Affixes/GE_Suffix_of_Currents</v>
      </c>
    </row>
    <row r="514" spans="1:10" s="23" customFormat="1" ht="33.75" x14ac:dyDescent="0.25">
      <c r="A514" s="43">
        <v>512</v>
      </c>
      <c r="B514" s="43">
        <f>VLOOKUP(C514,CHOOSE({2,1},Suffix!B$2:B$412,Suffix!C$2:C$412),2,FALSE)</f>
        <v>101712658</v>
      </c>
      <c r="C514" s="43" t="s">
        <v>1978</v>
      </c>
      <c r="D514" s="43" t="s">
        <v>3170</v>
      </c>
      <c r="E514" s="43" t="str">
        <f>VLOOKUP(F514,CHOOSE({2,1},Attributes!B$3:B$130,Attributes!C$3:C$129),2,FALSE)</f>
        <v>DungeonSiegeElementalAttributeSet</v>
      </c>
      <c r="F514" s="43" t="str">
        <f>Attributes!C79</f>
        <v>LightningMaxDamageMod</v>
      </c>
      <c r="G514" s="43" t="str">
        <f t="shared" si="25"/>
        <v>(AttributeName="LightningMaxDamageMod",Attribute=/Script/DSAbilitySystem.DungeonSiegeElementalAttributeSet:LightningMaxDamageMod,AttributeOwner=Class'"/Script/DSAbilitySystem.DungeonSiegeElementalAttributeSet"')</v>
      </c>
      <c r="H514" s="43">
        <v>5</v>
      </c>
      <c r="I514" s="43" t="str">
        <f t="shared" si="26"/>
        <v>GE_Suffix_of_Currents</v>
      </c>
      <c r="J514" s="43" t="str">
        <f t="shared" si="27"/>
        <v>/Game/DungeonSiege/Blueprints/GameplayAbilities/Affixes/GE_Suffix_of_Currents</v>
      </c>
    </row>
    <row r="515" spans="1:10" s="23" customFormat="1" ht="33.75" x14ac:dyDescent="0.25">
      <c r="A515" s="43">
        <v>513</v>
      </c>
      <c r="B515" s="43">
        <f>VLOOKUP(C515,CHOOSE({2,1},Suffix!B$2:B$412,Suffix!C$2:C$412),2,FALSE)</f>
        <v>101712658</v>
      </c>
      <c r="C515" s="43" t="s">
        <v>1978</v>
      </c>
      <c r="D515" s="43" t="s">
        <v>54</v>
      </c>
      <c r="E515" s="43" t="str">
        <f>VLOOKUP(F515,CHOOSE({2,1},Attributes!B$3:B$130,Attributes!C$3:C$129),2,FALSE)</f>
        <v>DungeonSiegeExperienceAttributeSet</v>
      </c>
      <c r="F515" s="43" t="str">
        <f>Attributes!C4</f>
        <v>Dexterity</v>
      </c>
      <c r="G515" s="43" t="str">
        <f t="shared" ref="G515:G578" si="28">CONCATENATE("(AttributeName=""",F515,""",Attribute=/Script/DSAbilitySystem."&amp; E515 &amp;":",F515,",AttributeOwner=Class'""/Script/DSAbilitySystem." &amp; E515 &amp; """')")</f>
        <v>(AttributeName="Dexterity",Attribute=/Script/DSAbilitySystem.DungeonSiegeExperienceAttributeSet:Dexterity,AttributeOwner=Class'"/Script/DSAbilitySystem.DungeonSiegeExperienceAttributeSet"')</v>
      </c>
      <c r="H515" s="43">
        <v>1</v>
      </c>
      <c r="I515" s="43" t="str">
        <f t="shared" si="26"/>
        <v>GE_Suffix_of_Currents</v>
      </c>
      <c r="J515" s="43" t="str">
        <f t="shared" si="27"/>
        <v>/Game/DungeonSiege/Blueprints/GameplayAbilities/Affixes/GE_Suffix_of_Currents</v>
      </c>
    </row>
    <row r="516" spans="1:10" ht="33.75" x14ac:dyDescent="0.25">
      <c r="A516" s="43">
        <v>514</v>
      </c>
      <c r="B516" s="43">
        <f>VLOOKUP(C516,CHOOSE({2,1},Suffix!B$2:B$412,Suffix!C$2:C$412),2,FALSE)</f>
        <v>101712658</v>
      </c>
      <c r="C516" s="43" t="s">
        <v>1978</v>
      </c>
      <c r="D516" s="43" t="s">
        <v>861</v>
      </c>
      <c r="E516" s="43" t="str">
        <f>VLOOKUP(F516,CHOOSE({2,1},Attributes!B$3:B$130,Attributes!C$3:C$129),2,FALSE)</f>
        <v>DungeonSiegePerHitAttributeSet</v>
      </c>
      <c r="F516" s="43" t="str">
        <f>Attributes!C13</f>
        <v>HealthStealPerHit</v>
      </c>
      <c r="G516" s="43" t="str">
        <f t="shared" si="28"/>
        <v>(AttributeName="HealthStealPerHit",Attribute=/Script/DSAbilitySystem.DungeonSiegePerHitAttributeSet:HealthStealPerHit,AttributeOwner=Class'"/Script/DSAbilitySystem.DungeonSiegePerHitAttributeSet"')</v>
      </c>
      <c r="H516" s="43">
        <v>1</v>
      </c>
      <c r="I516" s="43" t="str">
        <f t="shared" si="26"/>
        <v>GE_Suffix_of_Currents</v>
      </c>
      <c r="J516" s="43" t="str">
        <f t="shared" si="27"/>
        <v>/Game/DungeonSiege/Blueprints/GameplayAbilities/Affixes/GE_Suffix_of_Currents</v>
      </c>
    </row>
    <row r="517" spans="1:10" ht="33.75" x14ac:dyDescent="0.25">
      <c r="A517" s="43">
        <v>515</v>
      </c>
      <c r="B517" s="43">
        <f>VLOOKUP(C517,CHOOSE({2,1},Suffix!B$2:B$412,Suffix!C$2:C$412),2,FALSE)</f>
        <v>101712659</v>
      </c>
      <c r="C517" s="43" t="s">
        <v>1980</v>
      </c>
      <c r="D517" s="43" t="s">
        <v>1981</v>
      </c>
      <c r="E517" s="43" t="str">
        <f>VLOOKUP(F517,CHOOSE({2,1},Attributes!B$3:B$130,Attributes!C$3:C$129),2,FALSE)</f>
        <v>DungeonSiegeCastOnHitAttributeSet</v>
      </c>
      <c r="F517" s="43" t="str">
        <f>Attributes!C114</f>
        <v>ChanceToCastFirespraylOnHit</v>
      </c>
      <c r="G517" s="43" t="str">
        <f t="shared" si="28"/>
        <v>(AttributeName="ChanceToCastFirespraylOnHit",Attribute=/Script/DSAbilitySystem.DungeonSiegeCastOnHitAttributeSet:ChanceToCastFirespraylOnHit,AttributeOwner=Class'"/Script/DSAbilitySystem.DungeonSiegeCastOnHitAttributeSet"')</v>
      </c>
      <c r="H517" s="43">
        <v>15</v>
      </c>
      <c r="I517" s="43" t="str">
        <f t="shared" si="26"/>
        <v>GE_Suffix_of_Minor_Firespray</v>
      </c>
      <c r="J517" s="43" t="str">
        <f t="shared" si="27"/>
        <v>/Game/DungeonSiege/Blueprints/GameplayAbilities/Affixes/GE_Suffix_of_Minor_Firespray</v>
      </c>
    </row>
    <row r="518" spans="1:10" ht="33.75" x14ac:dyDescent="0.25">
      <c r="A518" s="43">
        <v>516</v>
      </c>
      <c r="B518" s="43">
        <f>VLOOKUP(C518,CHOOSE({2,1},Suffix!B$2:B$412,Suffix!C$2:C$412),2,FALSE)</f>
        <v>101712660</v>
      </c>
      <c r="C518" s="43" t="s">
        <v>1983</v>
      </c>
      <c r="D518" s="43" t="s">
        <v>1984</v>
      </c>
      <c r="E518" s="43" t="str">
        <f>VLOOKUP(F518,CHOOSE({2,1},Attributes!B$3:B$130,Attributes!C$3:C$129),2,FALSE)</f>
        <v>DungeonSiegeCastOnHitAttributeSet</v>
      </c>
      <c r="F518" s="43" t="str">
        <f>Attributes!C112</f>
        <v>ChanceToCastLightningOnHit</v>
      </c>
      <c r="G518" s="43" t="str">
        <f t="shared" si="28"/>
        <v>(AttributeName="ChanceToCastLightningOnHit",Attribute=/Script/DSAbilitySystem.DungeonSiegeCastOnHitAttributeSet:ChanceToCastLightningOnHit,AttributeOwner=Class'"/Script/DSAbilitySystem.DungeonSiegeCastOnHitAttributeSet"')</v>
      </c>
      <c r="H518" s="43">
        <v>10</v>
      </c>
      <c r="I518" s="43" t="str">
        <f t="shared" si="26"/>
        <v>GE_Suffix_of_Lesser_Lightning</v>
      </c>
      <c r="J518" s="43" t="str">
        <f t="shared" si="27"/>
        <v>/Game/DungeonSiege/Blueprints/GameplayAbilities/Affixes/GE_Suffix_of_Lesser_Lightning</v>
      </c>
    </row>
    <row r="519" spans="1:10" ht="33.75" x14ac:dyDescent="0.25">
      <c r="A519" s="43">
        <v>517</v>
      </c>
      <c r="B519" s="43">
        <f>VLOOKUP(C519,CHOOSE({2,1},Suffix!B$2:B$412,Suffix!C$2:C$412),2,FALSE)</f>
        <v>101712661</v>
      </c>
      <c r="C519" s="43" t="s">
        <v>85</v>
      </c>
      <c r="D519" s="43" t="s">
        <v>84</v>
      </c>
      <c r="E519" s="43" t="str">
        <f>VLOOKUP(F519,CHOOSE({2,1},Attributes!B$3:B$130,Attributes!C$3:C$129),2,FALSE)</f>
        <v>DungeonSiegeHealthAttributeSet</v>
      </c>
      <c r="F519" s="43" t="str">
        <f>Attributes!C82</f>
        <v>BaseHealthBonus</v>
      </c>
      <c r="G519" s="43" t="str">
        <f t="shared" si="28"/>
        <v>(AttributeName="BaseHealthBonus",Attribute=/Script/DSAbilitySystem.DungeonSiegeHealthAttributeSet:BaseHealthBonus,AttributeOwner=Class'"/Script/DSAbilitySystem.DungeonSiegeHealthAttributeSet"')</v>
      </c>
      <c r="H519" s="43">
        <v>42</v>
      </c>
      <c r="I519" s="43" t="str">
        <f t="shared" si="26"/>
        <v>GE_Suffix_of_the_Boar</v>
      </c>
      <c r="J519" s="43" t="str">
        <f t="shared" si="27"/>
        <v>/Game/DungeonSiege/Blueprints/GameplayAbilities/Affixes/GE_Suffix_of_the_Boar</v>
      </c>
    </row>
    <row r="520" spans="1:10" ht="33.75" x14ac:dyDescent="0.25">
      <c r="A520" s="43">
        <v>518</v>
      </c>
      <c r="B520" s="43">
        <f>VLOOKUP(C520,CHOOSE({2,1},Suffix!B$2:B$412,Suffix!C$2:C$412),2,FALSE)</f>
        <v>101712662</v>
      </c>
      <c r="C520" s="43" t="s">
        <v>82</v>
      </c>
      <c r="D520" s="43" t="s">
        <v>81</v>
      </c>
      <c r="E520" s="43" t="str">
        <f>VLOOKUP(F520,CHOOSE({2,1},Attributes!B$3:B$130,Attributes!C$3:C$129),2,FALSE)</f>
        <v>DungeonSiegeManaAttributeSet</v>
      </c>
      <c r="F520" s="43" t="str">
        <f>Attributes!C90</f>
        <v>BaseManaBonus</v>
      </c>
      <c r="G520" s="43" t="str">
        <f t="shared" si="28"/>
        <v>(AttributeName="BaseManaBonus",Attribute=/Script/DSAbilitySystem.DungeonSiegeManaAttributeSet:BaseManaBonus,AttributeOwner=Class'"/Script/DSAbilitySystem.DungeonSiegeManaAttributeSet"')</v>
      </c>
      <c r="H520" s="43">
        <v>71</v>
      </c>
      <c r="I520" s="43" t="str">
        <f t="shared" ref="I520:I583" si="29">CONCATENATE("GE_Suffix_", SUBSTITUTE(C520," ","_"))</f>
        <v>GE_Suffix_of_Rejuvenation</v>
      </c>
      <c r="J520" s="43" t="str">
        <f t="shared" ref="J520:J583" si="30">"/Game/DungeonSiege/Blueprints/GameplayAbilities/Affixes/" &amp;I520</f>
        <v>/Game/DungeonSiege/Blueprints/GameplayAbilities/Affixes/GE_Suffix_of_Rejuvenation</v>
      </c>
    </row>
    <row r="521" spans="1:10" ht="33.75" x14ac:dyDescent="0.25">
      <c r="A521" s="43">
        <v>519</v>
      </c>
      <c r="B521" s="43">
        <f>VLOOKUP(C521,CHOOSE({2,1},Suffix!B$2:B$412,Suffix!C$2:C$412),2,FALSE)</f>
        <v>101712663</v>
      </c>
      <c r="C521" s="43" t="s">
        <v>1986</v>
      </c>
      <c r="D521" s="43" t="s">
        <v>700</v>
      </c>
      <c r="E521" s="43" t="str">
        <f>VLOOKUP(F521,CHOOSE({2,1},Attributes!B$3:B$130,Attributes!C$3:C$129),2,FALSE)</f>
        <v>DungeonSiegePerHitAttributeSet</v>
      </c>
      <c r="F521" s="43" t="str">
        <f>Attributes!C11</f>
        <v>HealthPerHit</v>
      </c>
      <c r="G521" s="43" t="str">
        <f t="shared" si="28"/>
        <v>(AttributeName="HealthPerHit",Attribute=/Script/DSAbilitySystem.DungeonSiegePerHitAttributeSet:HealthPerHit,AttributeOwner=Class'"/Script/DSAbilitySystem.DungeonSiegePerHitAttributeSet"')</v>
      </c>
      <c r="H521" s="43">
        <v>3</v>
      </c>
      <c r="I521" s="43" t="str">
        <f t="shared" si="29"/>
        <v>GE_Suffix_of_Affluence</v>
      </c>
      <c r="J521" s="43" t="str">
        <f t="shared" si="30"/>
        <v>/Game/DungeonSiege/Blueprints/GameplayAbilities/Affixes/GE_Suffix_of_Affluence</v>
      </c>
    </row>
    <row r="522" spans="1:10" ht="33.75" x14ac:dyDescent="0.25">
      <c r="A522" s="43">
        <v>520</v>
      </c>
      <c r="B522" s="43">
        <f>VLOOKUP(C522,CHOOSE({2,1},Suffix!B$2:B$412,Suffix!C$2:C$412),2,FALSE)</f>
        <v>101712664</v>
      </c>
      <c r="C522" s="43" t="s">
        <v>1988</v>
      </c>
      <c r="D522" s="43" t="s">
        <v>935</v>
      </c>
      <c r="E522" s="43" t="str">
        <f>VLOOKUP(F522,CHOOSE({2,1},Attributes!B$3:B$130,Attributes!C$3:C$129),2,FALSE)</f>
        <v>DungeonSiegeDamageAttributeSet</v>
      </c>
      <c r="F522" s="43" t="str">
        <f>Attributes!C29</f>
        <v>RangedHitChance</v>
      </c>
      <c r="G522" s="43" t="str">
        <f t="shared" si="28"/>
        <v>(AttributeName="RangedHitChance",Attribute=/Script/DSAbilitySystem.DungeonSiegeDamageAttributeSet:RangedHitChance,AttributeOwner=Class'"/Script/DSAbilitySystem.DungeonSiegeDamageAttributeSet"')</v>
      </c>
      <c r="H522" s="43">
        <v>5</v>
      </c>
      <c r="I522" s="43" t="str">
        <f t="shared" si="29"/>
        <v>GE_Suffix_of_Distance</v>
      </c>
      <c r="J522" s="43" t="str">
        <f t="shared" si="30"/>
        <v>/Game/DungeonSiege/Blueprints/GameplayAbilities/Affixes/GE_Suffix_of_Distance</v>
      </c>
    </row>
    <row r="523" spans="1:10" s="23" customFormat="1" ht="33.75" x14ac:dyDescent="0.25">
      <c r="A523" s="43">
        <v>521</v>
      </c>
      <c r="B523" s="43">
        <f>VLOOKUP(C523,CHOOSE({2,1},Suffix!B$2:B$412,Suffix!C$2:C$412),2,FALSE)</f>
        <v>101712665</v>
      </c>
      <c r="C523" s="43" t="s">
        <v>1990</v>
      </c>
      <c r="D523" s="43" t="s">
        <v>1991</v>
      </c>
      <c r="E523" s="43" t="str">
        <f>VLOOKUP(F523,CHOOSE({2,1},Attributes!B$3:B$130,Attributes!C$3:C$129),2,FALSE)</f>
        <v>DungeonSiegeMagicAttributeSet</v>
      </c>
      <c r="F523" s="43" t="str">
        <f>Attributes!C38</f>
        <v>NatureMagicMinDamageMod</v>
      </c>
      <c r="G523" s="43" t="str">
        <f t="shared" si="28"/>
        <v>(AttributeName="NatureMagicMinDamageMod",Attribute=/Script/DSAbilitySystem.DungeonSiegeMagicAttributeSet:NatureMagicMinDamageMod,AttributeOwner=Class'"/Script/DSAbilitySystem.DungeonSiegeMagicAttributeSet"')</v>
      </c>
      <c r="H523" s="43">
        <v>2</v>
      </c>
      <c r="I523" s="43" t="str">
        <f t="shared" si="29"/>
        <v>GE_Suffix_of_Energy</v>
      </c>
      <c r="J523" s="43" t="str">
        <f t="shared" si="30"/>
        <v>/Game/DungeonSiege/Blueprints/GameplayAbilities/Affixes/GE_Suffix_of_Energy</v>
      </c>
    </row>
    <row r="524" spans="1:10" ht="33.75" x14ac:dyDescent="0.25">
      <c r="A524" s="43">
        <v>522</v>
      </c>
      <c r="B524" s="43">
        <f>VLOOKUP(C524,CHOOSE({2,1},Suffix!B$2:B$412,Suffix!C$2:C$412),2,FALSE)</f>
        <v>101712665</v>
      </c>
      <c r="C524" s="43" t="s">
        <v>1990</v>
      </c>
      <c r="D524" s="43" t="s">
        <v>1991</v>
      </c>
      <c r="E524" s="43" t="str">
        <f>VLOOKUP(F524,CHOOSE({2,1},Attributes!B$3:B$130,Attributes!C$3:C$129),2,FALSE)</f>
        <v>DungeonSiegeMagicAttributeSet</v>
      </c>
      <c r="F524" s="43" t="str">
        <f>Attributes!C39</f>
        <v>NatureMagicMaxDamageMod</v>
      </c>
      <c r="G524" s="43" t="str">
        <f t="shared" si="28"/>
        <v>(AttributeName="NatureMagicMaxDamageMod",Attribute=/Script/DSAbilitySystem.DungeonSiegeMagicAttributeSet:NatureMagicMaxDamageMod,AttributeOwner=Class'"/Script/DSAbilitySystem.DungeonSiegeMagicAttributeSet"')</v>
      </c>
      <c r="H524" s="43">
        <v>6</v>
      </c>
      <c r="I524" s="43" t="str">
        <f t="shared" si="29"/>
        <v>GE_Suffix_of_Energy</v>
      </c>
      <c r="J524" s="43" t="str">
        <f t="shared" si="30"/>
        <v>/Game/DungeonSiege/Blueprints/GameplayAbilities/Affixes/GE_Suffix_of_Energy</v>
      </c>
    </row>
    <row r="525" spans="1:10" s="23" customFormat="1" ht="33.75" x14ac:dyDescent="0.25">
      <c r="A525" s="43">
        <v>523</v>
      </c>
      <c r="B525" s="43">
        <f>VLOOKUP(C525,CHOOSE({2,1},Suffix!B$2:B$412,Suffix!C$2:C$412),2,FALSE)</f>
        <v>101712672</v>
      </c>
      <c r="C525" s="43" t="s">
        <v>1993</v>
      </c>
      <c r="D525" s="43" t="s">
        <v>801</v>
      </c>
      <c r="E525" s="43" t="str">
        <f>VLOOKUP(F525,CHOOSE({2,1},Attributes!B$3:B$130,Attributes!C$3:C$129),2,FALSE)</f>
        <v>DungeonSiegeMagicAttributeSet</v>
      </c>
      <c r="F525" s="43" t="str">
        <f>Attributes!C41</f>
        <v>CombatMagicMinDamageMod</v>
      </c>
      <c r="G525" s="43" t="str">
        <f t="shared" si="28"/>
        <v>(AttributeName="CombatMagicMinDamageMod",Attribute=/Script/DSAbilitySystem.DungeonSiegeMagicAttributeSet:CombatMagicMinDamageMod,AttributeOwner=Class'"/Script/DSAbilitySystem.DungeonSiegeMagicAttributeSet"')</v>
      </c>
      <c r="H525" s="43">
        <v>2</v>
      </c>
      <c r="I525" s="43" t="str">
        <f t="shared" si="29"/>
        <v>GE_Suffix_of_Objection</v>
      </c>
      <c r="J525" s="43" t="str">
        <f t="shared" si="30"/>
        <v>/Game/DungeonSiege/Blueprints/GameplayAbilities/Affixes/GE_Suffix_of_Objection</v>
      </c>
    </row>
    <row r="526" spans="1:10" ht="33.75" x14ac:dyDescent="0.25">
      <c r="A526" s="43">
        <v>524</v>
      </c>
      <c r="B526" s="43">
        <f>VLOOKUP(C526,CHOOSE({2,1},Suffix!B$2:B$412,Suffix!C$2:C$412),2,FALSE)</f>
        <v>101712672</v>
      </c>
      <c r="C526" s="43" t="s">
        <v>1993</v>
      </c>
      <c r="D526" s="43" t="s">
        <v>801</v>
      </c>
      <c r="E526" s="43" t="str">
        <f>VLOOKUP(F526,CHOOSE({2,1},Attributes!B$3:B$130,Attributes!C$3:C$129),2,FALSE)</f>
        <v>DungeonSiegeMagicAttributeSet</v>
      </c>
      <c r="F526" s="43" t="str">
        <f>Attributes!C42</f>
        <v>CombatMagicMaxDamageMod</v>
      </c>
      <c r="G526" s="43" t="str">
        <f t="shared" si="28"/>
        <v>(AttributeName="CombatMagicMaxDamageMod",Attribute=/Script/DSAbilitySystem.DungeonSiegeMagicAttributeSet:CombatMagicMaxDamageMod,AttributeOwner=Class'"/Script/DSAbilitySystem.DungeonSiegeMagicAttributeSet"')</v>
      </c>
      <c r="H526" s="43">
        <v>6</v>
      </c>
      <c r="I526" s="43" t="str">
        <f t="shared" si="29"/>
        <v>GE_Suffix_of_Objection</v>
      </c>
      <c r="J526" s="43" t="str">
        <f t="shared" si="30"/>
        <v>/Game/DungeonSiege/Blueprints/GameplayAbilities/Affixes/GE_Suffix_of_Objection</v>
      </c>
    </row>
    <row r="527" spans="1:10" s="23" customFormat="1" ht="33.75" x14ac:dyDescent="0.25">
      <c r="A527" s="43">
        <v>525</v>
      </c>
      <c r="B527" s="43">
        <f>VLOOKUP(C527,CHOOSE({2,1},Suffix!B$2:B$412,Suffix!C$2:C$412),2,FALSE)</f>
        <v>101712673</v>
      </c>
      <c r="C527" s="43" t="s">
        <v>1995</v>
      </c>
      <c r="D527" s="43" t="s">
        <v>934</v>
      </c>
      <c r="E527" s="43" t="str">
        <f>VLOOKUP(F527,CHOOSE({2,1},Attributes!B$3:B$130,Attributes!C$3:C$129),2,FALSE)</f>
        <v>DungeonSiegePerHitAttributeSet</v>
      </c>
      <c r="F527" s="43" t="str">
        <f>Attributes!C11</f>
        <v>HealthPerHit</v>
      </c>
      <c r="G527" s="43" t="str">
        <f t="shared" si="28"/>
        <v>(AttributeName="HealthPerHit",Attribute=/Script/DSAbilitySystem.DungeonSiegePerHitAttributeSet:HealthPerHit,AttributeOwner=Class'"/Script/DSAbilitySystem.DungeonSiegePerHitAttributeSet"')</v>
      </c>
      <c r="H527" s="43">
        <v>1</v>
      </c>
      <c r="I527" s="43" t="str">
        <f t="shared" si="29"/>
        <v>GE_Suffix_of_Hope</v>
      </c>
      <c r="J527" s="43" t="str">
        <f t="shared" si="30"/>
        <v>/Game/DungeonSiege/Blueprints/GameplayAbilities/Affixes/GE_Suffix_of_Hope</v>
      </c>
    </row>
    <row r="528" spans="1:10" s="23" customFormat="1" ht="33.75" x14ac:dyDescent="0.25">
      <c r="A528" s="43">
        <v>526</v>
      </c>
      <c r="B528" s="43">
        <f>VLOOKUP(C528,CHOOSE({2,1},Suffix!B$2:B$412,Suffix!C$2:C$412),2,FALSE)</f>
        <v>101712673</v>
      </c>
      <c r="C528" s="43" t="s">
        <v>1995</v>
      </c>
      <c r="D528" s="43" t="s">
        <v>3294</v>
      </c>
      <c r="E528" s="43" t="str">
        <f>VLOOKUP(F528,CHOOSE({2,1},Attributes!B$3:B$130,Attributes!C$3:C$129),2,FALSE)</f>
        <v>DungeonSiegeManaAttributeSet</v>
      </c>
      <c r="F528" s="43" t="str">
        <f>Attributes!C90</f>
        <v>BaseManaBonus</v>
      </c>
      <c r="G528" s="43" t="str">
        <f t="shared" si="28"/>
        <v>(AttributeName="BaseManaBonus",Attribute=/Script/DSAbilitySystem.DungeonSiegeManaAttributeSet:BaseManaBonus,AttributeOwner=Class'"/Script/DSAbilitySystem.DungeonSiegeManaAttributeSet"')</v>
      </c>
      <c r="H528" s="43">
        <v>14</v>
      </c>
      <c r="I528" s="43" t="str">
        <f t="shared" si="29"/>
        <v>GE_Suffix_of_Hope</v>
      </c>
      <c r="J528" s="43" t="str">
        <f t="shared" si="30"/>
        <v>/Game/DungeonSiege/Blueprints/GameplayAbilities/Affixes/GE_Suffix_of_Hope</v>
      </c>
    </row>
    <row r="529" spans="1:10" ht="33.75" x14ac:dyDescent="0.25">
      <c r="A529" s="43">
        <v>527</v>
      </c>
      <c r="B529" s="43">
        <f>VLOOKUP(C529,CHOOSE({2,1},Suffix!B$2:B$412,Suffix!C$2:C$412),2,FALSE)</f>
        <v>101712673</v>
      </c>
      <c r="C529" s="43" t="s">
        <v>1995</v>
      </c>
      <c r="D529" s="43" t="s">
        <v>1053</v>
      </c>
      <c r="E529" s="43" t="str">
        <f>VLOOKUP(F529,CHOOSE({2,1},Attributes!B$3:B$130,Attributes!C$3:C$129),2,FALSE)</f>
        <v>DungeonSiegeDamageAttributeSet</v>
      </c>
      <c r="F529" s="43" t="str">
        <f>Attributes!C23</f>
        <v>ChanceToInflictPiercingHit</v>
      </c>
      <c r="G529" s="43" t="str">
        <f t="shared" si="28"/>
        <v>(AttributeName="ChanceToInflictPiercingHit",Attribute=/Script/DSAbilitySystem.DungeonSiegeDamageAttributeSet:ChanceToInflictPiercingHit,AttributeOwner=Class'"/Script/DSAbilitySystem.DungeonSiegeDamageAttributeSet"')</v>
      </c>
      <c r="H529" s="43">
        <v>3</v>
      </c>
      <c r="I529" s="43" t="str">
        <f t="shared" si="29"/>
        <v>GE_Suffix_of_Hope</v>
      </c>
      <c r="J529" s="43" t="str">
        <f t="shared" si="30"/>
        <v>/Game/DungeonSiege/Blueprints/GameplayAbilities/Affixes/GE_Suffix_of_Hope</v>
      </c>
    </row>
    <row r="530" spans="1:10" ht="33.75" x14ac:dyDescent="0.25">
      <c r="A530" s="43">
        <v>528</v>
      </c>
      <c r="B530" s="43">
        <f>VLOOKUP(C530,CHOOSE({2,1},Suffix!B$2:B$412,Suffix!C$2:C$412),2,FALSE)</f>
        <v>101712674</v>
      </c>
      <c r="C530" s="43" t="s">
        <v>1997</v>
      </c>
      <c r="D530" s="43" t="s">
        <v>1998</v>
      </c>
      <c r="E530" s="43" t="str">
        <f>VLOOKUP(F530,CHOOSE({2,1},Attributes!B$3:B$130,Attributes!C$3:C$129),2,FALSE)</f>
        <v>DungeonSiegeCastOnHitAttributeSet</v>
      </c>
      <c r="F530" s="43" t="str">
        <f>Attributes!C116</f>
        <v>ChanceToCastFireshotOnHit</v>
      </c>
      <c r="G530" s="43" t="str">
        <f t="shared" si="28"/>
        <v>(AttributeName="ChanceToCastFireshotOnHit",Attribute=/Script/DSAbilitySystem.DungeonSiegeCastOnHitAttributeSet:ChanceToCastFireshotOnHit,AttributeOwner=Class'"/Script/DSAbilitySystem.DungeonSiegeCastOnHitAttributeSet"')</v>
      </c>
      <c r="H530" s="43">
        <v>25</v>
      </c>
      <c r="I530" s="43" t="str">
        <f t="shared" si="29"/>
        <v>GE_Suffix_of_Major_Fireshot</v>
      </c>
      <c r="J530" s="43" t="str">
        <f t="shared" si="30"/>
        <v>/Game/DungeonSiege/Blueprints/GameplayAbilities/Affixes/GE_Suffix_of_Major_Fireshot</v>
      </c>
    </row>
    <row r="531" spans="1:10" ht="33.75" x14ac:dyDescent="0.25">
      <c r="A531" s="43">
        <v>529</v>
      </c>
      <c r="B531" s="43">
        <f>VLOOKUP(C531,CHOOSE({2,1},Suffix!B$2:B$412,Suffix!C$2:C$412),2,FALSE)</f>
        <v>101712675</v>
      </c>
      <c r="C531" s="43" t="s">
        <v>2000</v>
      </c>
      <c r="D531" s="43" t="s">
        <v>3251</v>
      </c>
      <c r="E531" s="43" t="str">
        <f>VLOOKUP(F531,CHOOSE({2,1},Attributes!B$3:B$130,Attributes!C$3:C$129),2,FALSE)</f>
        <v>DungeonSiegeMiscellaneousAttributeSet</v>
      </c>
      <c r="F531" s="43" t="str">
        <f>Attributes!C118</f>
        <v>WeaponRangeBoostMod</v>
      </c>
      <c r="G531" s="43" t="str">
        <f t="shared" si="28"/>
        <v>(AttributeName="WeaponRangeBoostMod",Attribute=/Script/DSAbilitySystem.DungeonSiegeMiscellaneousAttributeSet:WeaponRangeBoostMod,AttributeOwner=Class'"/Script/DSAbilitySystem.DungeonSiegeMiscellaneousAttributeSet"')</v>
      </c>
      <c r="H531" s="43"/>
      <c r="I531" s="43" t="str">
        <f t="shared" si="29"/>
        <v>GE_Suffix_of_Range_Boost</v>
      </c>
      <c r="J531" s="43" t="str">
        <f t="shared" si="30"/>
        <v>/Game/DungeonSiege/Blueprints/GameplayAbilities/Affixes/GE_Suffix_of_Range_Boost</v>
      </c>
    </row>
    <row r="532" spans="1:10" ht="33.75" x14ac:dyDescent="0.25">
      <c r="A532" s="43">
        <v>530</v>
      </c>
      <c r="B532" s="43">
        <f>VLOOKUP(C532,CHOOSE({2,1},Suffix!B$2:B$412,Suffix!C$2:C$412),2,FALSE)</f>
        <v>101712676</v>
      </c>
      <c r="C532" s="43" t="s">
        <v>2003</v>
      </c>
      <c r="D532" s="43" t="s">
        <v>2004</v>
      </c>
      <c r="E532" s="43" t="str">
        <f>VLOOKUP(F532,CHOOSE({2,1},Attributes!B$3:B$130,Attributes!C$3:C$129),2,FALSE)</f>
        <v>DungeonSiegeCastOnHitAttributeSet</v>
      </c>
      <c r="F532" s="43" t="str">
        <f>Attributes!C116</f>
        <v>ChanceToCastFireshotOnHit</v>
      </c>
      <c r="G532" s="43" t="str">
        <f t="shared" si="28"/>
        <v>(AttributeName="ChanceToCastFireshotOnHit",Attribute=/Script/DSAbilitySystem.DungeonSiegeCastOnHitAttributeSet:ChanceToCastFireshotOnHit,AttributeOwner=Class'"/Script/DSAbilitySystem.DungeonSiegeCastOnHitAttributeSet"')</v>
      </c>
      <c r="H532" s="43">
        <v>20</v>
      </c>
      <c r="I532" s="43" t="str">
        <f t="shared" si="29"/>
        <v>GE_Suffix_of_Fireshot</v>
      </c>
      <c r="J532" s="43" t="str">
        <f t="shared" si="30"/>
        <v>/Game/DungeonSiege/Blueprints/GameplayAbilities/Affixes/GE_Suffix_of_Fireshot</v>
      </c>
    </row>
    <row r="533" spans="1:10" ht="33.75" x14ac:dyDescent="0.25">
      <c r="A533" s="43">
        <v>531</v>
      </c>
      <c r="B533" s="43">
        <f>VLOOKUP(C533,CHOOSE({2,1},Suffix!B$2:B$412,Suffix!C$2:C$412),2,FALSE)</f>
        <v>101712677</v>
      </c>
      <c r="C533" s="43" t="s">
        <v>2006</v>
      </c>
      <c r="D533" s="43" t="s">
        <v>2007</v>
      </c>
      <c r="E533" s="43" t="str">
        <f>VLOOKUP(F533,CHOOSE({2,1},Attributes!B$3:B$130,Attributes!C$3:C$129),2,FALSE)</f>
        <v>DungeonSiegeCastOnHitAttributeSet</v>
      </c>
      <c r="F533" s="43" t="str">
        <f>Attributes!C115</f>
        <v>ChanceToCastSparkOnHit</v>
      </c>
      <c r="G533" s="43" t="str">
        <f t="shared" si="28"/>
        <v>(AttributeName="ChanceToCastSparkOnHit",Attribute=/Script/DSAbilitySystem.DungeonSiegeCastOnHitAttributeSet:ChanceToCastSparkOnHit,AttributeOwner=Class'"/Script/DSAbilitySystem.DungeonSiegeCastOnHitAttributeSet"')</v>
      </c>
      <c r="H533" s="43">
        <v>15</v>
      </c>
      <c r="I533" s="43" t="str">
        <f t="shared" si="29"/>
        <v>GE_Suffix_of_Minor_Spark</v>
      </c>
      <c r="J533" s="43" t="str">
        <f t="shared" si="30"/>
        <v>/Game/DungeonSiege/Blueprints/GameplayAbilities/Affixes/GE_Suffix_of_Minor_Spark</v>
      </c>
    </row>
    <row r="534" spans="1:10" ht="33.75" x14ac:dyDescent="0.25">
      <c r="A534" s="43">
        <v>532</v>
      </c>
      <c r="B534" s="43">
        <f>VLOOKUP(C534,CHOOSE({2,1},Suffix!B$2:B$412,Suffix!C$2:C$412),2,FALSE)</f>
        <v>101712678</v>
      </c>
      <c r="C534" s="43" t="s">
        <v>2009</v>
      </c>
      <c r="D534" s="43" t="s">
        <v>2010</v>
      </c>
      <c r="E534" s="43" t="str">
        <f>VLOOKUP(F534,CHOOSE({2,1},Attributes!B$3:B$130,Attributes!C$3:C$129),2,FALSE)</f>
        <v>DungeonSiegeCastOnHitAttributeSet</v>
      </c>
      <c r="F534" s="43" t="str">
        <f>Attributes!C113</f>
        <v>ChanceToCastFireskullOnHit</v>
      </c>
      <c r="G534" s="43" t="str">
        <f t="shared" si="28"/>
        <v>(AttributeName="ChanceToCastFireskullOnHit",Attribute=/Script/DSAbilitySystem.DungeonSiegeCastOnHitAttributeSet:ChanceToCastFireskullOnHit,AttributeOwner=Class'"/Script/DSAbilitySystem.DungeonSiegeCastOnHitAttributeSet"')</v>
      </c>
      <c r="H534" s="43">
        <v>10</v>
      </c>
      <c r="I534" s="43" t="str">
        <f t="shared" si="29"/>
        <v>GE_Suffix_of_Lesser_Fireskull</v>
      </c>
      <c r="J534" s="43" t="str">
        <f t="shared" si="30"/>
        <v>/Game/DungeonSiege/Blueprints/GameplayAbilities/Affixes/GE_Suffix_of_Lesser_Fireskull</v>
      </c>
    </row>
    <row r="535" spans="1:10" ht="33.75" x14ac:dyDescent="0.25">
      <c r="A535" s="43">
        <v>533</v>
      </c>
      <c r="B535" s="43">
        <f>VLOOKUP(C535,CHOOSE({2,1},Suffix!B$2:B$412,Suffix!C$2:C$412),2,FALSE)</f>
        <v>101712679</v>
      </c>
      <c r="C535" s="43" t="s">
        <v>79</v>
      </c>
      <c r="D535" s="43" t="s">
        <v>78</v>
      </c>
      <c r="E535" s="43" t="str">
        <f>VLOOKUP(F535,CHOOSE({2,1},Attributes!B$3:B$130,Attributes!C$3:C$129),2,FALSE)</f>
        <v>DungeonSiegeManaAttributeSet</v>
      </c>
      <c r="F535" s="43" t="str">
        <f>Attributes!C90</f>
        <v>BaseManaBonus</v>
      </c>
      <c r="G535" s="43" t="str">
        <f t="shared" si="28"/>
        <v>(AttributeName="BaseManaBonus",Attribute=/Script/DSAbilitySystem.DungeonSiegeManaAttributeSet:BaseManaBonus,AttributeOwner=Class'"/Script/DSAbilitySystem.DungeonSiegeManaAttributeSet"')</v>
      </c>
      <c r="H535" s="43">
        <v>53</v>
      </c>
      <c r="I535" s="43" t="str">
        <f t="shared" si="29"/>
        <v>GE_Suffix_of_Revendication</v>
      </c>
      <c r="J535" s="43" t="str">
        <f t="shared" si="30"/>
        <v>/Game/DungeonSiege/Blueprints/GameplayAbilities/Affixes/GE_Suffix_of_Revendication</v>
      </c>
    </row>
    <row r="536" spans="1:10" s="23" customFormat="1" ht="33.75" x14ac:dyDescent="0.25">
      <c r="A536" s="43">
        <v>534</v>
      </c>
      <c r="B536" s="43">
        <f>VLOOKUP(C536,CHOOSE({2,1},Suffix!B$2:B$412,Suffix!C$2:C$412),2,FALSE)</f>
        <v>101712680</v>
      </c>
      <c r="C536" s="43" t="s">
        <v>2012</v>
      </c>
      <c r="D536" s="43" t="s">
        <v>39</v>
      </c>
      <c r="E536" s="43" t="str">
        <f>VLOOKUP(F536,CHOOSE({2,1},Attributes!B$3:B$130,Attributes!C$3:C$129),2,FALSE)</f>
        <v>DungeonSiegeHealthAttributeSet</v>
      </c>
      <c r="F536" s="43" t="str">
        <f>Attributes!C82</f>
        <v>BaseHealthBonus</v>
      </c>
      <c r="G536" s="43" t="str">
        <f t="shared" si="28"/>
        <v>(AttributeName="BaseHealthBonus",Attribute=/Script/DSAbilitySystem.DungeonSiegeHealthAttributeSet:BaseHealthBonus,AttributeOwner=Class'"/Script/DSAbilitySystem.DungeonSiegeHealthAttributeSet"')</v>
      </c>
      <c r="H536" s="43">
        <v>12</v>
      </c>
      <c r="I536" s="43" t="str">
        <f t="shared" si="29"/>
        <v>GE_Suffix_of_Sorrows</v>
      </c>
      <c r="J536" s="43" t="str">
        <f t="shared" si="30"/>
        <v>/Game/DungeonSiege/Blueprints/GameplayAbilities/Affixes/GE_Suffix_of_Sorrows</v>
      </c>
    </row>
    <row r="537" spans="1:10" s="23" customFormat="1" ht="33.75" x14ac:dyDescent="0.25">
      <c r="A537" s="43">
        <v>535</v>
      </c>
      <c r="B537" s="43">
        <f>VLOOKUP(C537,CHOOSE({2,1},Suffix!B$2:B$412,Suffix!C$2:C$412),2,FALSE)</f>
        <v>101712680</v>
      </c>
      <c r="C537" s="43" t="s">
        <v>2012</v>
      </c>
      <c r="D537" s="43" t="s">
        <v>934</v>
      </c>
      <c r="E537" s="43" t="str">
        <f>VLOOKUP(F537,CHOOSE({2,1},Attributes!B$3:B$130,Attributes!C$3:C$129),2,FALSE)</f>
        <v>DungeonSiegePerHitAttributeSet</v>
      </c>
      <c r="F537" s="43" t="str">
        <f>Attributes!C11</f>
        <v>HealthPerHit</v>
      </c>
      <c r="G537" s="43" t="str">
        <f t="shared" si="28"/>
        <v>(AttributeName="HealthPerHit",Attribute=/Script/DSAbilitySystem.DungeonSiegePerHitAttributeSet:HealthPerHit,AttributeOwner=Class'"/Script/DSAbilitySystem.DungeonSiegePerHitAttributeSet"')</v>
      </c>
      <c r="H537" s="43">
        <v>1</v>
      </c>
      <c r="I537" s="43" t="str">
        <f t="shared" si="29"/>
        <v>GE_Suffix_of_Sorrows</v>
      </c>
      <c r="J537" s="43" t="str">
        <f t="shared" si="30"/>
        <v>/Game/DungeonSiege/Blueprints/GameplayAbilities/Affixes/GE_Suffix_of_Sorrows</v>
      </c>
    </row>
    <row r="538" spans="1:10" ht="33.75" x14ac:dyDescent="0.25">
      <c r="A538" s="43">
        <v>536</v>
      </c>
      <c r="B538" s="43">
        <f>VLOOKUP(C538,CHOOSE({2,1},Suffix!B$2:B$412,Suffix!C$2:C$412),2,FALSE)</f>
        <v>101712680</v>
      </c>
      <c r="C538" s="43" t="s">
        <v>2012</v>
      </c>
      <c r="D538" s="43" t="s">
        <v>3295</v>
      </c>
      <c r="E538" s="43" t="str">
        <f>VLOOKUP(F538,CHOOSE({2,1},Attributes!B$3:B$130,Attributes!C$3:C$129),2,FALSE)</f>
        <v>DungeonSiegePerHitAttributeSet</v>
      </c>
      <c r="F538" s="43" t="str">
        <f>Attributes!C14</f>
        <v>ManaStealPerHit</v>
      </c>
      <c r="G538" s="43" t="str">
        <f t="shared" si="28"/>
        <v>(AttributeName="ManaStealPerHit",Attribute=/Script/DSAbilitySystem.DungeonSiegePerHitAttributeSet:ManaStealPerHit,AttributeOwner=Class'"/Script/DSAbilitySystem.DungeonSiegePerHitAttributeSet"')</v>
      </c>
      <c r="H538" s="43">
        <v>2</v>
      </c>
      <c r="I538" s="43" t="str">
        <f t="shared" si="29"/>
        <v>GE_Suffix_of_Sorrows</v>
      </c>
      <c r="J538" s="43" t="str">
        <f t="shared" si="30"/>
        <v>/Game/DungeonSiege/Blueprints/GameplayAbilities/Affixes/GE_Suffix_of_Sorrows</v>
      </c>
    </row>
    <row r="539" spans="1:10" ht="33.75" x14ac:dyDescent="0.25">
      <c r="A539" s="43">
        <v>537</v>
      </c>
      <c r="B539" s="43">
        <f>VLOOKUP(C539,CHOOSE({2,1},Suffix!B$2:B$412,Suffix!C$2:C$412),2,FALSE)</f>
        <v>101712681</v>
      </c>
      <c r="C539" s="43" t="s">
        <v>2014</v>
      </c>
      <c r="D539" s="43" t="s">
        <v>2015</v>
      </c>
      <c r="E539" s="43" t="str">
        <f>VLOOKUP(F539,CHOOSE({2,1},Attributes!B$3:B$130,Attributes!C$3:C$129),2,FALSE)</f>
        <v>DungeonSiegeCastOnHitAttributeSet</v>
      </c>
      <c r="F539" s="43" t="str">
        <f>Attributes!C117</f>
        <v>ChanceToCastZapOnHit</v>
      </c>
      <c r="G539" s="43" t="str">
        <f t="shared" si="28"/>
        <v>(AttributeName="ChanceToCastZapOnHit",Attribute=/Script/DSAbilitySystem.DungeonSiegeCastOnHitAttributeSet:ChanceToCastZapOnHit,AttributeOwner=Class'"/Script/DSAbilitySystem.DungeonSiegeCastOnHitAttributeSet"')</v>
      </c>
      <c r="H539" s="43">
        <v>30</v>
      </c>
      <c r="I539" s="43" t="str">
        <f t="shared" si="29"/>
        <v>GE_Suffix_of_Greater_Zap</v>
      </c>
      <c r="J539" s="43" t="str">
        <f t="shared" si="30"/>
        <v>/Game/DungeonSiege/Blueprints/GameplayAbilities/Affixes/GE_Suffix_of_Greater_Zap</v>
      </c>
    </row>
    <row r="540" spans="1:10" ht="33.75" x14ac:dyDescent="0.25">
      <c r="A540" s="43">
        <v>538</v>
      </c>
      <c r="B540" s="43">
        <f>VLOOKUP(C540,CHOOSE({2,1},Suffix!B$2:B$412,Suffix!C$2:C$412),2,FALSE)</f>
        <v>101712688</v>
      </c>
      <c r="C540" s="43" t="s">
        <v>2017</v>
      </c>
      <c r="D540" s="43" t="s">
        <v>2018</v>
      </c>
      <c r="E540" s="43" t="str">
        <f>VLOOKUP(F540,CHOOSE({2,1},Attributes!B$3:B$130,Attributes!C$3:C$129),2,FALSE)</f>
        <v>DungeonSiegeCastOnHitAttributeSet</v>
      </c>
      <c r="F540" s="43" t="str">
        <f>Attributes!C114</f>
        <v>ChanceToCastFirespraylOnHit</v>
      </c>
      <c r="G540" s="43" t="str">
        <f t="shared" si="28"/>
        <v>(AttributeName="ChanceToCastFirespraylOnHit",Attribute=/Script/DSAbilitySystem.DungeonSiegeCastOnHitAttributeSet:ChanceToCastFirespraylOnHit,AttributeOwner=Class'"/Script/DSAbilitySystem.DungeonSiegeCastOnHitAttributeSet"')</v>
      </c>
      <c r="H540" s="43">
        <v>10</v>
      </c>
      <c r="I540" s="43" t="str">
        <f t="shared" si="29"/>
        <v>GE_Suffix_of_Lesser_Firespray</v>
      </c>
      <c r="J540" s="43" t="str">
        <f t="shared" si="30"/>
        <v>/Game/DungeonSiege/Blueprints/GameplayAbilities/Affixes/GE_Suffix_of_Lesser_Firespray</v>
      </c>
    </row>
    <row r="541" spans="1:10" s="23" customFormat="1" ht="33.75" x14ac:dyDescent="0.25">
      <c r="A541" s="43">
        <v>539</v>
      </c>
      <c r="B541" s="43">
        <f>VLOOKUP(C541,CHOOSE({2,1},Suffix!B$2:B$412,Suffix!C$2:C$412),2,FALSE)</f>
        <v>101712689</v>
      </c>
      <c r="C541" s="43" t="s">
        <v>2020</v>
      </c>
      <c r="D541" s="43" t="s">
        <v>227</v>
      </c>
      <c r="E541" s="43" t="str">
        <f>VLOOKUP(F541,CHOOSE({2,1},Attributes!B$3:B$130,Attributes!C$3:C$129),2,FALSE)</f>
        <v>DungeonSiegeExperienceAttributeSet</v>
      </c>
      <c r="F541" s="43" t="str">
        <f>Attributes!C3</f>
        <v>Strength</v>
      </c>
      <c r="G541" s="43" t="str">
        <f t="shared" si="28"/>
        <v>(AttributeName="Strength",Attribute=/Script/DSAbilitySystem.DungeonSiegeExperienceAttributeSet:Strength,AttributeOwner=Class'"/Script/DSAbilitySystem.DungeonSiegeExperienceAttributeSet"')</v>
      </c>
      <c r="H541" s="43">
        <v>1</v>
      </c>
      <c r="I541" s="43" t="str">
        <f t="shared" si="29"/>
        <v>GE_Suffix_of_Ferocity</v>
      </c>
      <c r="J541" s="43" t="str">
        <f t="shared" si="30"/>
        <v>/Game/DungeonSiege/Blueprints/GameplayAbilities/Affixes/GE_Suffix_of_Ferocity</v>
      </c>
    </row>
    <row r="542" spans="1:10" s="23" customFormat="1" ht="33.75" x14ac:dyDescent="0.25">
      <c r="A542" s="43">
        <v>540</v>
      </c>
      <c r="B542" s="43">
        <f>VLOOKUP(C542,CHOOSE({2,1},Suffix!B$2:B$412,Suffix!C$2:C$412),2,FALSE)</f>
        <v>101712689</v>
      </c>
      <c r="C542" s="43" t="s">
        <v>2020</v>
      </c>
      <c r="D542" s="43" t="s">
        <v>204</v>
      </c>
      <c r="E542" s="43" t="str">
        <f>VLOOKUP(F542,CHOOSE({2,1},Attributes!B$3:B$130,Attributes!C$3:C$129),2,FALSE)</f>
        <v>DungeonSiegeExperienceAttributeSet</v>
      </c>
      <c r="F542" s="43" t="str">
        <f>Attributes!C6</f>
        <v>CombatMagic</v>
      </c>
      <c r="G542" s="43" t="str">
        <f t="shared" si="28"/>
        <v>(AttributeName="CombatMagic",Attribute=/Script/DSAbilitySystem.DungeonSiegeExperienceAttributeSet:CombatMagic,AttributeOwner=Class'"/Script/DSAbilitySystem.DungeonSiegeExperienceAttributeSet"')</v>
      </c>
      <c r="H542" s="43">
        <v>1</v>
      </c>
      <c r="I542" s="43" t="str">
        <f t="shared" si="29"/>
        <v>GE_Suffix_of_Ferocity</v>
      </c>
      <c r="J542" s="43" t="str">
        <f t="shared" si="30"/>
        <v>/Game/DungeonSiege/Blueprints/GameplayAbilities/Affixes/GE_Suffix_of_Ferocity</v>
      </c>
    </row>
    <row r="543" spans="1:10" ht="33.75" x14ac:dyDescent="0.25">
      <c r="A543" s="43">
        <v>541</v>
      </c>
      <c r="B543" s="43">
        <f>VLOOKUP(C543,CHOOSE({2,1},Suffix!B$2:B$412,Suffix!C$2:C$412),2,FALSE)</f>
        <v>101712689</v>
      </c>
      <c r="C543" s="43" t="s">
        <v>2020</v>
      </c>
      <c r="D543" s="43" t="s">
        <v>3296</v>
      </c>
      <c r="E543" s="43" t="str">
        <f>VLOOKUP(F543,CHOOSE({2,1},Attributes!B$3:B$130,Attributes!C$3:C$129),2,FALSE)</f>
        <v>DungeonSiegeDamageAttributeSet</v>
      </c>
      <c r="F543" s="43" t="str">
        <f>Attributes!C31</f>
        <v>PercentMeleeDamageReduction</v>
      </c>
      <c r="G543" s="43" t="str">
        <f t="shared" si="28"/>
        <v>(AttributeName="PercentMeleeDamageReduction",Attribute=/Script/DSAbilitySystem.DungeonSiegeDamageAttributeSet:PercentMeleeDamageReduction,AttributeOwner=Class'"/Script/DSAbilitySystem.DungeonSiegeDamageAttributeSet"')</v>
      </c>
      <c r="H543" s="43">
        <v>2</v>
      </c>
      <c r="I543" s="43" t="str">
        <f t="shared" si="29"/>
        <v>GE_Suffix_of_Ferocity</v>
      </c>
      <c r="J543" s="43" t="str">
        <f t="shared" si="30"/>
        <v>/Game/DungeonSiege/Blueprints/GameplayAbilities/Affixes/GE_Suffix_of_Ferocity</v>
      </c>
    </row>
    <row r="544" spans="1:10" ht="33.75" x14ac:dyDescent="0.25">
      <c r="A544" s="43">
        <v>542</v>
      </c>
      <c r="B544" s="43">
        <f>VLOOKUP(C544,CHOOSE({2,1},Suffix!B$2:B$412,Suffix!C$2:C$412),2,FALSE)</f>
        <v>101712690</v>
      </c>
      <c r="C544" s="43" t="s">
        <v>2022</v>
      </c>
      <c r="D544" s="43" t="s">
        <v>227</v>
      </c>
      <c r="E544" s="43" t="str">
        <f>VLOOKUP(F544,CHOOSE({2,1},Attributes!B$3:B$130,Attributes!C$3:C$129),2,FALSE)</f>
        <v>DungeonSiegeExperienceAttributeSet</v>
      </c>
      <c r="F544" s="43" t="str">
        <f>Attributes!C3</f>
        <v>Strength</v>
      </c>
      <c r="G544" s="43" t="str">
        <f t="shared" si="28"/>
        <v>(AttributeName="Strength",Attribute=/Script/DSAbilitySystem.DungeonSiegeExperienceAttributeSet:Strength,AttributeOwner=Class'"/Script/DSAbilitySystem.DungeonSiegeExperienceAttributeSet"')</v>
      </c>
      <c r="H544" s="43">
        <v>1</v>
      </c>
      <c r="I544" s="43" t="str">
        <f t="shared" si="29"/>
        <v>GE_Suffix_of_Hardiness</v>
      </c>
      <c r="J544" s="43" t="str">
        <f t="shared" si="30"/>
        <v>/Game/DungeonSiege/Blueprints/GameplayAbilities/Affixes/GE_Suffix_of_Hardiness</v>
      </c>
    </row>
    <row r="545" spans="1:10" ht="33.75" x14ac:dyDescent="0.25">
      <c r="A545" s="43">
        <v>543</v>
      </c>
      <c r="B545" s="43">
        <f>VLOOKUP(C545,CHOOSE({2,1},Suffix!B$2:B$412,Suffix!C$2:C$412),2,FALSE)</f>
        <v>101712691</v>
      </c>
      <c r="C545" s="43" t="s">
        <v>76</v>
      </c>
      <c r="D545" s="43" t="s">
        <v>75</v>
      </c>
      <c r="E545" s="43" t="str">
        <f>VLOOKUP(F545,CHOOSE({2,1},Attributes!B$3:B$130,Attributes!C$3:C$129),2,FALSE)</f>
        <v>DungeonSiegeExperienceAttributeSet</v>
      </c>
      <c r="F545" s="43" t="str">
        <f>Attributes!C5</f>
        <v>Intelligence</v>
      </c>
      <c r="G545" s="43" t="str">
        <f t="shared" si="28"/>
        <v>(AttributeName="Intelligence",Attribute=/Script/DSAbilitySystem.DungeonSiegeExperienceAttributeSet:Intelligence,AttributeOwner=Class'"/Script/DSAbilitySystem.DungeonSiegeExperienceAttributeSet"')</v>
      </c>
      <c r="H545" s="43">
        <v>1</v>
      </c>
      <c r="I545" s="43" t="str">
        <f t="shared" si="29"/>
        <v>GE_Suffix_of_Awareness</v>
      </c>
      <c r="J545" s="43" t="str">
        <f t="shared" si="30"/>
        <v>/Game/DungeonSiege/Blueprints/GameplayAbilities/Affixes/GE_Suffix_of_Awareness</v>
      </c>
    </row>
    <row r="546" spans="1:10" ht="33.75" x14ac:dyDescent="0.25">
      <c r="A546" s="43">
        <v>544</v>
      </c>
      <c r="B546" s="43">
        <f>VLOOKUP(C546,CHOOSE({2,1},Suffix!B$2:B$412,Suffix!C$2:C$412),2,FALSE)</f>
        <v>101712692</v>
      </c>
      <c r="C546" s="43" t="s">
        <v>73</v>
      </c>
      <c r="D546" s="43" t="s">
        <v>72</v>
      </c>
      <c r="E546" s="43" t="str">
        <f>VLOOKUP(F546,CHOOSE({2,1},Attributes!B$3:B$130,Attributes!C$3:C$129),2,FALSE)</f>
        <v>DungeonSiegeHealthAttributeSet</v>
      </c>
      <c r="F546" s="43" t="str">
        <f>Attributes!C82</f>
        <v>BaseHealthBonus</v>
      </c>
      <c r="G546" s="43" t="str">
        <f t="shared" si="28"/>
        <v>(AttributeName="BaseHealthBonus",Attribute=/Script/DSAbilitySystem.DungeonSiegeHealthAttributeSet:BaseHealthBonus,AttributeOwner=Class'"/Script/DSAbilitySystem.DungeonSiegeHealthAttributeSet"')</v>
      </c>
      <c r="H546" s="43">
        <v>37</v>
      </c>
      <c r="I546" s="43" t="str">
        <f t="shared" si="29"/>
        <v>GE_Suffix_of_the_Serpent</v>
      </c>
      <c r="J546" s="43" t="str">
        <f t="shared" si="30"/>
        <v>/Game/DungeonSiege/Blueprints/GameplayAbilities/Affixes/GE_Suffix_of_the_Serpent</v>
      </c>
    </row>
    <row r="547" spans="1:10" s="23" customFormat="1" ht="33.75" x14ac:dyDescent="0.25">
      <c r="A547" s="43">
        <v>545</v>
      </c>
      <c r="B547" s="43">
        <f>VLOOKUP(C547,CHOOSE({2,1},Suffix!B$2:B$412,Suffix!C$2:C$412),2,FALSE)</f>
        <v>101712693</v>
      </c>
      <c r="C547" s="43" t="s">
        <v>2024</v>
      </c>
      <c r="D547" s="43" t="s">
        <v>943</v>
      </c>
      <c r="E547" s="43" t="str">
        <f>VLOOKUP(F547,CHOOSE({2,1},Attributes!B$3:B$130,Attributes!C$3:C$129),2,FALSE)</f>
        <v>DungeonSiegeDamageAttributeSet</v>
      </c>
      <c r="F547" s="43" t="str">
        <f>Attributes!C25</f>
        <v>MinPiercingDamageMod</v>
      </c>
      <c r="G547" s="43" t="str">
        <f t="shared" si="28"/>
        <v>(AttributeName="MinPiercingDamageMod",Attribute=/Script/DSAbilitySystem.DungeonSiegeDamageAttributeSet:MinPiercingDamageMod,AttributeOwner=Class'"/Script/DSAbilitySystem.DungeonSiegeDamageAttributeSet"')</v>
      </c>
      <c r="H547" s="43">
        <v>1</v>
      </c>
      <c r="I547" s="43" t="str">
        <f t="shared" si="29"/>
        <v>GE_Suffix_of_Haste</v>
      </c>
      <c r="J547" s="43" t="str">
        <f t="shared" si="30"/>
        <v>/Game/DungeonSiege/Blueprints/GameplayAbilities/Affixes/GE_Suffix_of_Haste</v>
      </c>
    </row>
    <row r="548" spans="1:10" ht="33.75" x14ac:dyDescent="0.25">
      <c r="A548" s="43">
        <v>546</v>
      </c>
      <c r="B548" s="43">
        <f>VLOOKUP(C548,CHOOSE({2,1},Suffix!B$2:B$412,Suffix!C$2:C$412),2,FALSE)</f>
        <v>101712693</v>
      </c>
      <c r="C548" s="43" t="s">
        <v>2024</v>
      </c>
      <c r="D548" s="43" t="s">
        <v>943</v>
      </c>
      <c r="E548" s="43" t="str">
        <f>VLOOKUP(F548,CHOOSE({2,1},Attributes!B$3:B$130,Attributes!C$3:C$129),2,FALSE)</f>
        <v>DungeonSiegeDamageAttributeSet</v>
      </c>
      <c r="F548" s="43" t="str">
        <f>Attributes!C26</f>
        <v>MaxPiercingDamageMod</v>
      </c>
      <c r="G548" s="43" t="str">
        <f t="shared" si="28"/>
        <v>(AttributeName="MaxPiercingDamageMod",Attribute=/Script/DSAbilitySystem.DungeonSiegeDamageAttributeSet:MaxPiercingDamageMod,AttributeOwner=Class'"/Script/DSAbilitySystem.DungeonSiegeDamageAttributeSet"')</v>
      </c>
      <c r="H548" s="43">
        <v>4</v>
      </c>
      <c r="I548" s="43" t="str">
        <f t="shared" si="29"/>
        <v>GE_Suffix_of_Haste</v>
      </c>
      <c r="J548" s="43" t="str">
        <f t="shared" si="30"/>
        <v>/Game/DungeonSiege/Blueprints/GameplayAbilities/Affixes/GE_Suffix_of_Haste</v>
      </c>
    </row>
    <row r="549" spans="1:10" ht="33.75" x14ac:dyDescent="0.25">
      <c r="A549" s="43">
        <v>547</v>
      </c>
      <c r="B549" s="43">
        <f>VLOOKUP(C549,CHOOSE({2,1},Suffix!B$2:B$412,Suffix!C$2:C$412),2,FALSE)</f>
        <v>101712694</v>
      </c>
      <c r="C549" s="43" t="s">
        <v>2026</v>
      </c>
      <c r="D549" s="43" t="s">
        <v>1053</v>
      </c>
      <c r="E549" s="43" t="str">
        <f>VLOOKUP(F549,CHOOSE({2,1},Attributes!B$3:B$130,Attributes!C$3:C$129),2,FALSE)</f>
        <v>DungeonSiegeDamageAttributeSet</v>
      </c>
      <c r="F549" s="43" t="str">
        <f>Attributes!C23</f>
        <v>ChanceToInflictPiercingHit</v>
      </c>
      <c r="G549" s="43" t="str">
        <f t="shared" si="28"/>
        <v>(AttributeName="ChanceToInflictPiercingHit",Attribute=/Script/DSAbilitySystem.DungeonSiegeDamageAttributeSet:ChanceToInflictPiercingHit,AttributeOwner=Class'"/Script/DSAbilitySystem.DungeonSiegeDamageAttributeSet"')</v>
      </c>
      <c r="H549" s="43">
        <v>3</v>
      </c>
      <c r="I549" s="43" t="str">
        <f t="shared" si="29"/>
        <v>GE_Suffix_of_Measure</v>
      </c>
      <c r="J549" s="43" t="str">
        <f t="shared" si="30"/>
        <v>/Game/DungeonSiege/Blueprints/GameplayAbilities/Affixes/GE_Suffix_of_Measure</v>
      </c>
    </row>
    <row r="550" spans="1:10" ht="33.75" x14ac:dyDescent="0.25">
      <c r="A550" s="43">
        <v>548</v>
      </c>
      <c r="B550" s="43">
        <f>VLOOKUP(C550,CHOOSE({2,1},Suffix!B$2:B$412,Suffix!C$2:C$412),2,FALSE)</f>
        <v>101712695</v>
      </c>
      <c r="C550" s="43" t="s">
        <v>2028</v>
      </c>
      <c r="D550" s="43" t="s">
        <v>911</v>
      </c>
      <c r="E550" s="43" t="str">
        <f>VLOOKUP(F550,CHOOSE({2,1},Attributes!B$3:B$130,Attributes!C$3:C$129),2,FALSE)</f>
        <v>DungeonSiegePerHitAttributeSet</v>
      </c>
      <c r="F550" s="43" t="str">
        <f>Attributes!C11</f>
        <v>HealthPerHit</v>
      </c>
      <c r="G550" s="43" t="str">
        <f t="shared" si="28"/>
        <v>(AttributeName="HealthPerHit",Attribute=/Script/DSAbilitySystem.DungeonSiegePerHitAttributeSet:HealthPerHit,AttributeOwner=Class'"/Script/DSAbilitySystem.DungeonSiegePerHitAttributeSet"')</v>
      </c>
      <c r="H550" s="43">
        <v>2</v>
      </c>
      <c r="I550" s="43" t="str">
        <f t="shared" si="29"/>
        <v>GE_Suffix_of_Endowment</v>
      </c>
      <c r="J550" s="43" t="str">
        <f t="shared" si="30"/>
        <v>/Game/DungeonSiege/Blueprints/GameplayAbilities/Affixes/GE_Suffix_of_Endowment</v>
      </c>
    </row>
    <row r="551" spans="1:10" ht="33.75" x14ac:dyDescent="0.25">
      <c r="A551" s="43">
        <v>549</v>
      </c>
      <c r="B551" s="43">
        <f>VLOOKUP(C551,CHOOSE({2,1},Suffix!B$2:B$412,Suffix!C$2:C$412),2,FALSE)</f>
        <v>101712696</v>
      </c>
      <c r="C551" s="43" t="s">
        <v>2030</v>
      </c>
      <c r="D551" s="43" t="s">
        <v>1649</v>
      </c>
      <c r="E551" s="43" t="str">
        <f>VLOOKUP(F551,CHOOSE({2,1},Attributes!B$3:B$130,Attributes!C$3:C$129),2,FALSE)</f>
        <v>DungeonSiegePerHitAttributeSet</v>
      </c>
      <c r="F551" s="43" t="str">
        <f>Attributes!C12</f>
        <v>ManaPerHit</v>
      </c>
      <c r="G551" s="43" t="str">
        <f t="shared" si="28"/>
        <v>(AttributeName="ManaPerHit",Attribute=/Script/DSAbilitySystem.DungeonSiegePerHitAttributeSet:ManaPerHit,AttributeOwner=Class'"/Script/DSAbilitySystem.DungeonSiegePerHitAttributeSet"')</v>
      </c>
      <c r="H551" s="43">
        <v>3</v>
      </c>
      <c r="I551" s="43" t="str">
        <f t="shared" si="29"/>
        <v>GE_Suffix_of_Starlight</v>
      </c>
      <c r="J551" s="43" t="str">
        <f t="shared" si="30"/>
        <v>/Game/DungeonSiege/Blueprints/GameplayAbilities/Affixes/GE_Suffix_of_Starlight</v>
      </c>
    </row>
    <row r="552" spans="1:10" ht="33.75" x14ac:dyDescent="0.25">
      <c r="A552" s="43">
        <v>550</v>
      </c>
      <c r="B552" s="43">
        <f>VLOOKUP(C552,CHOOSE({2,1},Suffix!B$2:B$412,Suffix!C$2:C$412),2,FALSE)</f>
        <v>101712697</v>
      </c>
      <c r="C552" s="43" t="s">
        <v>2032</v>
      </c>
      <c r="D552" s="43" t="s">
        <v>2033</v>
      </c>
      <c r="E552" s="43" t="str">
        <f>VLOOKUP(F552,CHOOSE({2,1},Attributes!B$3:B$130,Attributes!C$3:C$129),2,FALSE)</f>
        <v>DungeonSiegeDamageAttributeSet</v>
      </c>
      <c r="F552" s="43" t="str">
        <f>Attributes!C33</f>
        <v>MeleeHitChance</v>
      </c>
      <c r="G552" s="43" t="str">
        <f t="shared" si="28"/>
        <v>(AttributeName="MeleeHitChance",Attribute=/Script/DSAbilitySystem.DungeonSiegeDamageAttributeSet:MeleeHitChance,AttributeOwner=Class'"/Script/DSAbilitySystem.DungeonSiegeDamageAttributeSet"')</v>
      </c>
      <c r="H552" s="43">
        <v>5</v>
      </c>
      <c r="I552" s="43" t="str">
        <f t="shared" si="29"/>
        <v>GE_Suffix_of_Focus</v>
      </c>
      <c r="J552" s="43" t="str">
        <f t="shared" si="30"/>
        <v>/Game/DungeonSiege/Blueprints/GameplayAbilities/Affixes/GE_Suffix_of_Focus</v>
      </c>
    </row>
    <row r="553" spans="1:10" ht="33.75" x14ac:dyDescent="0.25">
      <c r="A553" s="43">
        <v>551</v>
      </c>
      <c r="B553" s="43">
        <f>VLOOKUP(C553,CHOOSE({2,1},Suffix!B$2:B$412,Suffix!C$2:C$412),2,FALSE)</f>
        <v>101712704</v>
      </c>
      <c r="C553" s="43" t="s">
        <v>2035</v>
      </c>
      <c r="D553" s="43" t="s">
        <v>715</v>
      </c>
      <c r="E553" s="43" t="str">
        <f>VLOOKUP(F553,CHOOSE({2,1},Attributes!B$3:B$130,Attributes!C$3:C$129),2,FALSE)</f>
        <v>DungeonSiegeDamageAttributeSet</v>
      </c>
      <c r="F553" s="43" t="str">
        <f>Attributes!C21</f>
        <v>PercentDamageReflectedToEnemy</v>
      </c>
      <c r="G553" s="43" t="str">
        <f t="shared" si="28"/>
        <v>(AttributeName="PercentDamageReflectedToEnemy",Attribute=/Script/DSAbilitySystem.DungeonSiegeDamageAttributeSet:PercentDamageReflectedToEnemy,AttributeOwner=Class'"/Script/DSAbilitySystem.DungeonSiegeDamageAttributeSet"')</v>
      </c>
      <c r="H553" s="43">
        <v>3</v>
      </c>
      <c r="I553" s="43" t="str">
        <f t="shared" si="29"/>
        <v>GE_Suffix_of_Reversal</v>
      </c>
      <c r="J553" s="43" t="str">
        <f t="shared" si="30"/>
        <v>/Game/DungeonSiege/Blueprints/GameplayAbilities/Affixes/GE_Suffix_of_Reversal</v>
      </c>
    </row>
    <row r="554" spans="1:10" ht="33.75" x14ac:dyDescent="0.25">
      <c r="A554" s="43">
        <v>552</v>
      </c>
      <c r="B554" s="43">
        <f>VLOOKUP(C554,CHOOSE({2,1},Suffix!B$2:B$412,Suffix!C$2:C$412),2,FALSE)</f>
        <v>101712705</v>
      </c>
      <c r="C554" s="43" t="s">
        <v>2037</v>
      </c>
      <c r="D554" s="43" t="s">
        <v>2038</v>
      </c>
      <c r="E554" s="43" t="str">
        <f>VLOOKUP(F554,CHOOSE({2,1},Attributes!B$3:B$130,Attributes!C$3:C$129),2,FALSE)</f>
        <v>DungeonSiegeDamageAttributeSet</v>
      </c>
      <c r="F554" s="43" t="str">
        <f>Attributes!C20</f>
        <v>MaxDamageMod</v>
      </c>
      <c r="G554" s="43" t="str">
        <f t="shared" si="28"/>
        <v>(AttributeName="MaxDamageMod",Attribute=/Script/DSAbilitySystem.DungeonSiegeDamageAttributeSet:MaxDamageMod,AttributeOwner=Class'"/Script/DSAbilitySystem.DungeonSiegeDamageAttributeSet"')</v>
      </c>
      <c r="H554" s="43">
        <v>6</v>
      </c>
      <c r="I554" s="43" t="str">
        <f t="shared" si="29"/>
        <v>GE_Suffix_of_the_Untamed</v>
      </c>
      <c r="J554" s="43" t="str">
        <f t="shared" si="30"/>
        <v>/Game/DungeonSiege/Blueprints/GameplayAbilities/Affixes/GE_Suffix_of_the_Untamed</v>
      </c>
    </row>
    <row r="555" spans="1:10" s="23" customFormat="1" ht="33.75" x14ac:dyDescent="0.25">
      <c r="A555" s="43">
        <v>553</v>
      </c>
      <c r="B555" s="43">
        <f>VLOOKUP(C555,CHOOSE({2,1},Suffix!B$2:B$412,Suffix!C$2:C$412),2,FALSE)</f>
        <v>101712706</v>
      </c>
      <c r="C555" s="43" t="s">
        <v>2040</v>
      </c>
      <c r="D555" s="43" t="s">
        <v>970</v>
      </c>
      <c r="E555" s="43" t="str">
        <f>VLOOKUP(F555,CHOOSE({2,1},Attributes!B$3:B$130,Attributes!C$3:C$129),2,FALSE)</f>
        <v>DungeonSiegeDamageAttributeSet</v>
      </c>
      <c r="F555" s="43" t="str">
        <f>Attributes!C19</f>
        <v>MinDamageMod</v>
      </c>
      <c r="G555" s="43" t="str">
        <f t="shared" si="28"/>
        <v>(AttributeName="MinDamageMod",Attribute=/Script/DSAbilitySystem.DungeonSiegeDamageAttributeSet:MinDamageMod,AttributeOwner=Class'"/Script/DSAbilitySystem.DungeonSiegeDamageAttributeSet"')</v>
      </c>
      <c r="H555" s="43">
        <v>2</v>
      </c>
      <c r="I555" s="43" t="str">
        <f t="shared" si="29"/>
        <v>GE_Suffix_of_Length</v>
      </c>
      <c r="J555" s="43" t="str">
        <f t="shared" si="30"/>
        <v>/Game/DungeonSiege/Blueprints/GameplayAbilities/Affixes/GE_Suffix_of_Length</v>
      </c>
    </row>
    <row r="556" spans="1:10" ht="33.75" x14ac:dyDescent="0.25">
      <c r="A556" s="43">
        <v>554</v>
      </c>
      <c r="B556" s="43">
        <f>VLOOKUP(C556,CHOOSE({2,1},Suffix!B$2:B$412,Suffix!C$2:C$412),2,FALSE)</f>
        <v>101712706</v>
      </c>
      <c r="C556" s="43" t="s">
        <v>2040</v>
      </c>
      <c r="D556" s="43" t="s">
        <v>970</v>
      </c>
      <c r="E556" s="43" t="str">
        <f>VLOOKUP(F556,CHOOSE({2,1},Attributes!B$3:B$130,Attributes!C$3:C$129),2,FALSE)</f>
        <v>DungeonSiegeDamageAttributeSet</v>
      </c>
      <c r="F556" s="43" t="str">
        <f>Attributes!C20</f>
        <v>MaxDamageMod</v>
      </c>
      <c r="G556" s="43" t="str">
        <f t="shared" si="28"/>
        <v>(AttributeName="MaxDamageMod",Attribute=/Script/DSAbilitySystem.DungeonSiegeDamageAttributeSet:MaxDamageMod,AttributeOwner=Class'"/Script/DSAbilitySystem.DungeonSiegeDamageAttributeSet"')</v>
      </c>
      <c r="H556" s="43">
        <v>6</v>
      </c>
      <c r="I556" s="43" t="str">
        <f t="shared" si="29"/>
        <v>GE_Suffix_of_Length</v>
      </c>
      <c r="J556" s="43" t="str">
        <f t="shared" si="30"/>
        <v>/Game/DungeonSiege/Blueprints/GameplayAbilities/Affixes/GE_Suffix_of_Length</v>
      </c>
    </row>
    <row r="557" spans="1:10" s="23" customFormat="1" ht="33.75" x14ac:dyDescent="0.25">
      <c r="A557" s="43">
        <v>555</v>
      </c>
      <c r="B557" s="43">
        <f>VLOOKUP(C557,CHOOSE({2,1},Suffix!B$2:B$412,Suffix!C$2:C$412),2,FALSE)</f>
        <v>101712707</v>
      </c>
      <c r="C557" s="43" t="s">
        <v>2042</v>
      </c>
      <c r="D557" s="43" t="s">
        <v>3261</v>
      </c>
      <c r="E557" s="43" t="str">
        <f>VLOOKUP(F557,CHOOSE({2,1},Attributes!B$3:B$130,Attributes!C$3:C$129),2,FALSE)</f>
        <v>DungeonSiegeElementalAttributeSet</v>
      </c>
      <c r="F557" s="43" t="str">
        <f>Attributes!C100</f>
        <v>ChanceToFreeze</v>
      </c>
      <c r="G557" s="43" t="str">
        <f t="shared" si="28"/>
        <v>(AttributeName="ChanceToFreeze",Attribute=/Script/DSAbilitySystem.DungeonSiegeElementalAttributeSet:ChanceToFreeze,AttributeOwner=Class'"/Script/DSAbilitySystem.DungeonSiegeElementalAttributeSet"')</v>
      </c>
      <c r="H557" s="43">
        <v>10</v>
      </c>
      <c r="I557" s="43" t="str">
        <f t="shared" si="29"/>
        <v>GE_Suffix_of_Coldness</v>
      </c>
      <c r="J557" s="43" t="str">
        <f t="shared" si="30"/>
        <v>/Game/DungeonSiege/Blueprints/GameplayAbilities/Affixes/GE_Suffix_of_Coldness</v>
      </c>
    </row>
    <row r="558" spans="1:10" s="23" customFormat="1" ht="33.75" x14ac:dyDescent="0.25">
      <c r="A558" s="43">
        <v>556</v>
      </c>
      <c r="B558" s="43">
        <f>VLOOKUP(C558,CHOOSE({2,1},Suffix!B$2:B$412,Suffix!C$2:C$412),2,FALSE)</f>
        <v>101712707</v>
      </c>
      <c r="C558" s="43" t="s">
        <v>2042</v>
      </c>
      <c r="D558" s="43" t="s">
        <v>3297</v>
      </c>
      <c r="E558" s="43" t="str">
        <f>VLOOKUP(F558,CHOOSE({2,1},Attributes!B$3:B$130,Attributes!C$3:C$129),2,FALSE)</f>
        <v>DungeonSiegeElementalAttributeSet</v>
      </c>
      <c r="F558" s="43" t="str">
        <f>Attributes!C101</f>
        <v>ColdDamageMinDamageMod</v>
      </c>
      <c r="G558" s="43" t="str">
        <f t="shared" si="28"/>
        <v>(AttributeName="ColdDamageMinDamageMod",Attribute=/Script/DSAbilitySystem.DungeonSiegeElementalAttributeSet:ColdDamageMinDamageMod,AttributeOwner=Class'"/Script/DSAbilitySystem.DungeonSiegeElementalAttributeSet"')</v>
      </c>
      <c r="H558" s="43">
        <v>2</v>
      </c>
      <c r="I558" s="43" t="str">
        <f t="shared" si="29"/>
        <v>GE_Suffix_of_Coldness</v>
      </c>
      <c r="J558" s="43" t="str">
        <f t="shared" si="30"/>
        <v>/Game/DungeonSiege/Blueprints/GameplayAbilities/Affixes/GE_Suffix_of_Coldness</v>
      </c>
    </row>
    <row r="559" spans="1:10" ht="33.75" x14ac:dyDescent="0.25">
      <c r="A559" s="43">
        <v>557</v>
      </c>
      <c r="B559" s="43">
        <f>VLOOKUP(C559,CHOOSE({2,1},Suffix!B$2:B$412,Suffix!C$2:C$412),2,FALSE)</f>
        <v>101712707</v>
      </c>
      <c r="C559" s="43" t="s">
        <v>2042</v>
      </c>
      <c r="D559" s="43" t="s">
        <v>3297</v>
      </c>
      <c r="E559" s="43" t="str">
        <f>VLOOKUP(F559,CHOOSE({2,1},Attributes!B$3:B$130,Attributes!C$3:C$129),2,FALSE)</f>
        <v>DungeonSiegeElementalAttributeSet</v>
      </c>
      <c r="F559" s="43" t="str">
        <f>Attributes!C102</f>
        <v>ColdDamageMaxDamageMod</v>
      </c>
      <c r="G559" s="43" t="str">
        <f t="shared" si="28"/>
        <v>(AttributeName="ColdDamageMaxDamageMod",Attribute=/Script/DSAbilitySystem.DungeonSiegeElementalAttributeSet:ColdDamageMaxDamageMod,AttributeOwner=Class'"/Script/DSAbilitySystem.DungeonSiegeElementalAttributeSet"')</v>
      </c>
      <c r="H559" s="43">
        <v>5</v>
      </c>
      <c r="I559" s="43" t="str">
        <f t="shared" si="29"/>
        <v>GE_Suffix_of_Coldness</v>
      </c>
      <c r="J559" s="43" t="str">
        <f t="shared" si="30"/>
        <v>/Game/DungeonSiege/Blueprints/GameplayAbilities/Affixes/GE_Suffix_of_Coldness</v>
      </c>
    </row>
    <row r="560" spans="1:10" s="23" customFormat="1" ht="33.75" x14ac:dyDescent="0.25">
      <c r="A560" s="43">
        <v>558</v>
      </c>
      <c r="B560" s="43">
        <f>VLOOKUP(C560,CHOOSE({2,1},Suffix!B$2:B$412,Suffix!C$2:C$412),2,FALSE)</f>
        <v>101712708</v>
      </c>
      <c r="C560" s="43" t="s">
        <v>2044</v>
      </c>
      <c r="D560" s="43" t="s">
        <v>3257</v>
      </c>
      <c r="E560" s="43" t="str">
        <f>VLOOKUP(F560,CHOOSE({2,1},Attributes!B$3:B$130,Attributes!C$3:C$129),2,FALSE)</f>
        <v>DungeonSiegeElementalAttributeSet</v>
      </c>
      <c r="F560" s="43" t="str">
        <f>Attributes!C100</f>
        <v>ChanceToFreeze</v>
      </c>
      <c r="G560" s="43" t="str">
        <f t="shared" si="28"/>
        <v>(AttributeName="ChanceToFreeze",Attribute=/Script/DSAbilitySystem.DungeonSiegeElementalAttributeSet:ChanceToFreeze,AttributeOwner=Class'"/Script/DSAbilitySystem.DungeonSiegeElementalAttributeSet"')</v>
      </c>
      <c r="H560" s="43">
        <v>5</v>
      </c>
      <c r="I560" s="43" t="str">
        <f t="shared" si="29"/>
        <v>GE_Suffix_of_Snowflakes</v>
      </c>
      <c r="J560" s="43" t="str">
        <f t="shared" si="30"/>
        <v>/Game/DungeonSiege/Blueprints/GameplayAbilities/Affixes/GE_Suffix_of_Snowflakes</v>
      </c>
    </row>
    <row r="561" spans="1:10" s="23" customFormat="1" ht="33.75" x14ac:dyDescent="0.25">
      <c r="A561" s="43">
        <v>559</v>
      </c>
      <c r="B561" s="43">
        <f>VLOOKUP(C561,CHOOSE({2,1},Suffix!B$2:B$412,Suffix!C$2:C$412),2,FALSE)</f>
        <v>101712708</v>
      </c>
      <c r="C561" s="43" t="s">
        <v>2044</v>
      </c>
      <c r="D561" s="43" t="s">
        <v>3298</v>
      </c>
      <c r="E561" s="43" t="str">
        <f>VLOOKUP(F561,CHOOSE({2,1},Attributes!B$3:B$130,Attributes!C$3:C$129),2,FALSE)</f>
        <v>DungeonSiegeElementalAttributeSet</v>
      </c>
      <c r="F561" s="43" t="str">
        <f>Attributes!C101</f>
        <v>ColdDamageMinDamageMod</v>
      </c>
      <c r="G561" s="43" t="str">
        <f t="shared" si="28"/>
        <v>(AttributeName="ColdDamageMinDamageMod",Attribute=/Script/DSAbilitySystem.DungeonSiegeElementalAttributeSet:ColdDamageMinDamageMod,AttributeOwner=Class'"/Script/DSAbilitySystem.DungeonSiegeElementalAttributeSet"')</v>
      </c>
      <c r="H561" s="43">
        <v>2</v>
      </c>
      <c r="I561" s="43" t="str">
        <f t="shared" si="29"/>
        <v>GE_Suffix_of_Snowflakes</v>
      </c>
      <c r="J561" s="43" t="str">
        <f t="shared" si="30"/>
        <v>/Game/DungeonSiege/Blueprints/GameplayAbilities/Affixes/GE_Suffix_of_Snowflakes</v>
      </c>
    </row>
    <row r="562" spans="1:10" ht="33.75" x14ac:dyDescent="0.25">
      <c r="A562" s="43">
        <v>560</v>
      </c>
      <c r="B562" s="43">
        <f>VLOOKUP(C562,CHOOSE({2,1},Suffix!B$2:B$412,Suffix!C$2:C$412),2,FALSE)</f>
        <v>101712708</v>
      </c>
      <c r="C562" s="43" t="s">
        <v>2044</v>
      </c>
      <c r="D562" s="43" t="s">
        <v>3298</v>
      </c>
      <c r="E562" s="43" t="str">
        <f>VLOOKUP(F562,CHOOSE({2,1},Attributes!B$3:B$130,Attributes!C$3:C$129),2,FALSE)</f>
        <v>DungeonSiegeElementalAttributeSet</v>
      </c>
      <c r="F562" s="43" t="str">
        <f>Attributes!C102</f>
        <v>ColdDamageMaxDamageMod</v>
      </c>
      <c r="G562" s="43" t="str">
        <f t="shared" si="28"/>
        <v>(AttributeName="ColdDamageMaxDamageMod",Attribute=/Script/DSAbilitySystem.DungeonSiegeElementalAttributeSet:ColdDamageMaxDamageMod,AttributeOwner=Class'"/Script/DSAbilitySystem.DungeonSiegeElementalAttributeSet"')</v>
      </c>
      <c r="H562" s="43">
        <v>4</v>
      </c>
      <c r="I562" s="43" t="str">
        <f t="shared" si="29"/>
        <v>GE_Suffix_of_Snowflakes</v>
      </c>
      <c r="J562" s="43" t="str">
        <f t="shared" si="30"/>
        <v>/Game/DungeonSiege/Blueprints/GameplayAbilities/Affixes/GE_Suffix_of_Snowflakes</v>
      </c>
    </row>
    <row r="563" spans="1:10" s="23" customFormat="1" ht="33.75" x14ac:dyDescent="0.25">
      <c r="A563" s="43">
        <v>561</v>
      </c>
      <c r="B563" s="43">
        <f>VLOOKUP(C563,CHOOSE({2,1},Suffix!B$2:B$412,Suffix!C$2:C$412),2,FALSE)</f>
        <v>101712709</v>
      </c>
      <c r="C563" s="43" t="s">
        <v>2046</v>
      </c>
      <c r="D563" s="43" t="s">
        <v>2047</v>
      </c>
      <c r="E563" s="43" t="str">
        <f>VLOOKUP(F563,CHOOSE({2,1},Attributes!B$3:B$130,Attributes!C$3:C$129),2,FALSE)</f>
        <v>DungeonSiegeElementalAttributeSet</v>
      </c>
      <c r="F563" s="43" t="str">
        <f>Attributes!C78</f>
        <v>LightningMinDamageMod</v>
      </c>
      <c r="G563" s="43" t="str">
        <f t="shared" si="28"/>
        <v>(AttributeName="LightningMinDamageMod",Attribute=/Script/DSAbilitySystem.DungeonSiegeElementalAttributeSet:LightningMinDamageMod,AttributeOwner=Class'"/Script/DSAbilitySystem.DungeonSiegeElementalAttributeSet"')</v>
      </c>
      <c r="H563" s="43">
        <v>5</v>
      </c>
      <c r="I563" s="43" t="str">
        <f t="shared" si="29"/>
        <v>GE_Suffix_of_the_Jarred</v>
      </c>
      <c r="J563" s="43" t="str">
        <f t="shared" si="30"/>
        <v>/Game/DungeonSiege/Blueprints/GameplayAbilities/Affixes/GE_Suffix_of_the_Jarred</v>
      </c>
    </row>
    <row r="564" spans="1:10" ht="33.75" x14ac:dyDescent="0.25">
      <c r="A564" s="43">
        <v>562</v>
      </c>
      <c r="B564" s="43">
        <f>VLOOKUP(C564,CHOOSE({2,1},Suffix!B$2:B$412,Suffix!C$2:C$412),2,FALSE)</f>
        <v>101712709</v>
      </c>
      <c r="C564" s="43" t="s">
        <v>2046</v>
      </c>
      <c r="D564" s="43" t="s">
        <v>2047</v>
      </c>
      <c r="E564" s="43" t="str">
        <f>VLOOKUP(F564,CHOOSE({2,1},Attributes!B$3:B$130,Attributes!C$3:C$129),2,FALSE)</f>
        <v>DungeonSiegeElementalAttributeSet</v>
      </c>
      <c r="F564" s="43" t="str">
        <f>Attributes!C79</f>
        <v>LightningMaxDamageMod</v>
      </c>
      <c r="G564" s="43" t="str">
        <f t="shared" si="28"/>
        <v>(AttributeName="LightningMaxDamageMod",Attribute=/Script/DSAbilitySystem.DungeonSiegeElementalAttributeSet:LightningMaxDamageMod,AttributeOwner=Class'"/Script/DSAbilitySystem.DungeonSiegeElementalAttributeSet"')</v>
      </c>
      <c r="H564" s="43">
        <v>7</v>
      </c>
      <c r="I564" s="43" t="str">
        <f t="shared" si="29"/>
        <v>GE_Suffix_of_the_Jarred</v>
      </c>
      <c r="J564" s="43" t="str">
        <f t="shared" si="30"/>
        <v>/Game/DungeonSiege/Blueprints/GameplayAbilities/Affixes/GE_Suffix_of_the_Jarred</v>
      </c>
    </row>
    <row r="565" spans="1:10" s="23" customFormat="1" ht="33.75" x14ac:dyDescent="0.25">
      <c r="A565" s="43">
        <v>563</v>
      </c>
      <c r="B565" s="43">
        <f>VLOOKUP(C565,CHOOSE({2,1},Suffix!B$2:B$412,Suffix!C$2:C$412),2,FALSE)</f>
        <v>101712710</v>
      </c>
      <c r="C565" s="43" t="s">
        <v>2049</v>
      </c>
      <c r="D565" s="43" t="s">
        <v>2050</v>
      </c>
      <c r="E565" s="43" t="str">
        <f>VLOOKUP(F565,CHOOSE({2,1},Attributes!B$3:B$130,Attributes!C$3:C$129),2,FALSE)</f>
        <v>DungeonSiegeElementalAttributeSet</v>
      </c>
      <c r="F565" s="43" t="str">
        <f>Attributes!C78</f>
        <v>LightningMinDamageMod</v>
      </c>
      <c r="G565" s="43" t="str">
        <f t="shared" si="28"/>
        <v>(AttributeName="LightningMinDamageMod",Attribute=/Script/DSAbilitySystem.DungeonSiegeElementalAttributeSet:LightningMinDamageMod,AttributeOwner=Class'"/Script/DSAbilitySystem.DungeonSiegeElementalAttributeSet"')</v>
      </c>
      <c r="H565" s="43">
        <v>4</v>
      </c>
      <c r="I565" s="43" t="str">
        <f t="shared" si="29"/>
        <v>GE_Suffix_of_Thunder</v>
      </c>
      <c r="J565" s="43" t="str">
        <f t="shared" si="30"/>
        <v>/Game/DungeonSiege/Blueprints/GameplayAbilities/Affixes/GE_Suffix_of_Thunder</v>
      </c>
    </row>
    <row r="566" spans="1:10" ht="33.75" x14ac:dyDescent="0.25">
      <c r="A566" s="43">
        <v>564</v>
      </c>
      <c r="B566" s="43">
        <f>VLOOKUP(C566,CHOOSE({2,1},Suffix!B$2:B$412,Suffix!C$2:C$412),2,FALSE)</f>
        <v>101712710</v>
      </c>
      <c r="C566" s="43" t="s">
        <v>2049</v>
      </c>
      <c r="D566" s="43" t="s">
        <v>2050</v>
      </c>
      <c r="E566" s="43" t="str">
        <f>VLOOKUP(F566,CHOOSE({2,1},Attributes!B$3:B$130,Attributes!C$3:C$129),2,FALSE)</f>
        <v>DungeonSiegeElementalAttributeSet</v>
      </c>
      <c r="F566" s="43" t="str">
        <f>Attributes!C79</f>
        <v>LightningMaxDamageMod</v>
      </c>
      <c r="G566" s="43" t="str">
        <f t="shared" si="28"/>
        <v>(AttributeName="LightningMaxDamageMod",Attribute=/Script/DSAbilitySystem.DungeonSiegeElementalAttributeSet:LightningMaxDamageMod,AttributeOwner=Class'"/Script/DSAbilitySystem.DungeonSiegeElementalAttributeSet"')</v>
      </c>
      <c r="H566" s="43">
        <v>5</v>
      </c>
      <c r="I566" s="43" t="str">
        <f t="shared" si="29"/>
        <v>GE_Suffix_of_Thunder</v>
      </c>
      <c r="J566" s="43" t="str">
        <f t="shared" si="30"/>
        <v>/Game/DungeonSiege/Blueprints/GameplayAbilities/Affixes/GE_Suffix_of_Thunder</v>
      </c>
    </row>
    <row r="567" spans="1:10" s="23" customFormat="1" ht="33.75" x14ac:dyDescent="0.25">
      <c r="A567" s="43">
        <v>565</v>
      </c>
      <c r="B567" s="43">
        <f>VLOOKUP(C567,CHOOSE({2,1},Suffix!B$2:B$412,Suffix!C$2:C$412),2,FALSE)</f>
        <v>101712711</v>
      </c>
      <c r="C567" s="43" t="s">
        <v>2052</v>
      </c>
      <c r="D567" s="43" t="s">
        <v>3160</v>
      </c>
      <c r="E567" s="43" t="str">
        <f>VLOOKUP(F567,CHOOSE({2,1},Attributes!B$3:B$130,Attributes!C$3:C$129),2,FALSE)</f>
        <v>DungeonSiegeDamageAttributeSet</v>
      </c>
      <c r="F567" s="43" t="str">
        <f>Attributes!C33</f>
        <v>MeleeHitChance</v>
      </c>
      <c r="G567" s="43" t="str">
        <f t="shared" si="28"/>
        <v>(AttributeName="MeleeHitChance",Attribute=/Script/DSAbilitySystem.DungeonSiegeDamageAttributeSet:MeleeHitChance,AttributeOwner=Class'"/Script/DSAbilitySystem.DungeonSiegeDamageAttributeSet"')</v>
      </c>
      <c r="H567" s="43">
        <v>4</v>
      </c>
      <c r="I567" s="43" t="str">
        <f t="shared" si="29"/>
        <v>GE_Suffix_of_Aggression</v>
      </c>
      <c r="J567" s="43" t="str">
        <f t="shared" si="30"/>
        <v>/Game/DungeonSiege/Blueprints/GameplayAbilities/Affixes/GE_Suffix_of_Aggression</v>
      </c>
    </row>
    <row r="568" spans="1:10" s="23" customFormat="1" ht="33.75" x14ac:dyDescent="0.25">
      <c r="A568" s="43">
        <v>566</v>
      </c>
      <c r="B568" s="43">
        <f>VLOOKUP(C568,CHOOSE({2,1},Suffix!B$2:B$412,Suffix!C$2:C$412),2,FALSE)</f>
        <v>101712711</v>
      </c>
      <c r="C568" s="43" t="s">
        <v>2052</v>
      </c>
      <c r="D568" s="43" t="s">
        <v>1020</v>
      </c>
      <c r="E568" s="43" t="str">
        <f>VLOOKUP(F568,CHOOSE({2,1},Attributes!B$3:B$130,Attributes!C$3:C$129),2,FALSE)</f>
        <v>DungeonSiegeDamageAttributeSet</v>
      </c>
      <c r="F568" s="43" t="str">
        <f>Attributes!C19</f>
        <v>MinDamageMod</v>
      </c>
      <c r="G568" s="43" t="str">
        <f t="shared" si="28"/>
        <v>(AttributeName="MinDamageMod",Attribute=/Script/DSAbilitySystem.DungeonSiegeDamageAttributeSet:MinDamageMod,AttributeOwner=Class'"/Script/DSAbilitySystem.DungeonSiegeDamageAttributeSet"')</v>
      </c>
      <c r="H568" s="43">
        <v>2</v>
      </c>
      <c r="I568" s="43" t="str">
        <f t="shared" si="29"/>
        <v>GE_Suffix_of_Aggression</v>
      </c>
      <c r="J568" s="43" t="str">
        <f t="shared" si="30"/>
        <v>/Game/DungeonSiege/Blueprints/GameplayAbilities/Affixes/GE_Suffix_of_Aggression</v>
      </c>
    </row>
    <row r="569" spans="1:10" ht="33.75" x14ac:dyDescent="0.25">
      <c r="A569" s="43">
        <v>567</v>
      </c>
      <c r="B569" s="43">
        <f>VLOOKUP(C569,CHOOSE({2,1},Suffix!B$2:B$412,Suffix!C$2:C$412),2,FALSE)</f>
        <v>101712711</v>
      </c>
      <c r="C569" s="43" t="s">
        <v>2052</v>
      </c>
      <c r="D569" s="43" t="s">
        <v>1020</v>
      </c>
      <c r="E569" s="43" t="str">
        <f>VLOOKUP(F569,CHOOSE({2,1},Attributes!B$3:B$130,Attributes!C$3:C$129),2,FALSE)</f>
        <v>DungeonSiegeDamageAttributeSet</v>
      </c>
      <c r="F569" s="43" t="str">
        <f>Attributes!C20</f>
        <v>MaxDamageMod</v>
      </c>
      <c r="G569" s="43" t="str">
        <f t="shared" si="28"/>
        <v>(AttributeName="MaxDamageMod",Attribute=/Script/DSAbilitySystem.DungeonSiegeDamageAttributeSet:MaxDamageMod,AttributeOwner=Class'"/Script/DSAbilitySystem.DungeonSiegeDamageAttributeSet"')</v>
      </c>
      <c r="H569" s="43">
        <v>3</v>
      </c>
      <c r="I569" s="43" t="str">
        <f t="shared" si="29"/>
        <v>GE_Suffix_of_Aggression</v>
      </c>
      <c r="J569" s="43" t="str">
        <f t="shared" si="30"/>
        <v>/Game/DungeonSiege/Blueprints/GameplayAbilities/Affixes/GE_Suffix_of_Aggression</v>
      </c>
    </row>
    <row r="570" spans="1:10" s="23" customFormat="1" ht="33.75" x14ac:dyDescent="0.25">
      <c r="A570" s="43">
        <v>568</v>
      </c>
      <c r="B570" s="43">
        <f>VLOOKUP(C570,CHOOSE({2,1},Suffix!B$2:B$412,Suffix!C$2:C$412),2,FALSE)</f>
        <v>101712712</v>
      </c>
      <c r="C570" s="43" t="s">
        <v>2054</v>
      </c>
      <c r="D570" s="43" t="s">
        <v>934</v>
      </c>
      <c r="E570" s="43" t="str">
        <f>VLOOKUP(F570,CHOOSE({2,1},Attributes!B$3:B$130,Attributes!C$3:C$129),2,FALSE)</f>
        <v>DungeonSiegePerHitAttributeSet</v>
      </c>
      <c r="F570" s="43" t="str">
        <f>Attributes!C11</f>
        <v>HealthPerHit</v>
      </c>
      <c r="G570" s="43" t="str">
        <f t="shared" si="28"/>
        <v>(AttributeName="HealthPerHit",Attribute=/Script/DSAbilitySystem.DungeonSiegePerHitAttributeSet:HealthPerHit,AttributeOwner=Class'"/Script/DSAbilitySystem.DungeonSiegePerHitAttributeSet"')</v>
      </c>
      <c r="H570" s="43">
        <v>1</v>
      </c>
      <c r="I570" s="43" t="str">
        <f t="shared" si="29"/>
        <v>GE_Suffix_of_Carnage</v>
      </c>
      <c r="J570" s="43" t="str">
        <f t="shared" si="30"/>
        <v>/Game/DungeonSiege/Blueprints/GameplayAbilities/Affixes/GE_Suffix_of_Carnage</v>
      </c>
    </row>
    <row r="571" spans="1:10" s="23" customFormat="1" ht="33.75" x14ac:dyDescent="0.25">
      <c r="A571" s="43">
        <v>569</v>
      </c>
      <c r="B571" s="43">
        <f>VLOOKUP(C571,CHOOSE({2,1},Suffix!B$2:B$412,Suffix!C$2:C$412),2,FALSE)</f>
        <v>101712712</v>
      </c>
      <c r="C571" s="43" t="s">
        <v>2054</v>
      </c>
      <c r="D571" s="43" t="s">
        <v>3299</v>
      </c>
      <c r="E571" s="43" t="str">
        <f>VLOOKUP(F571,CHOOSE({2,1},Attributes!B$3:B$130,Attributes!C$3:C$129),2,FALSE)</f>
        <v>DungeonSiegeDamageAttributeSet</v>
      </c>
      <c r="F571" s="43" t="str">
        <f>Attributes!C25</f>
        <v>MinPiercingDamageMod</v>
      </c>
      <c r="G571" s="43" t="str">
        <f t="shared" si="28"/>
        <v>(AttributeName="MinPiercingDamageMod",Attribute=/Script/DSAbilitySystem.DungeonSiegeDamageAttributeSet:MinPiercingDamageMod,AttributeOwner=Class'"/Script/DSAbilitySystem.DungeonSiegeDamageAttributeSet"')</v>
      </c>
      <c r="H571" s="43">
        <v>3</v>
      </c>
      <c r="I571" s="43" t="str">
        <f t="shared" si="29"/>
        <v>GE_Suffix_of_Carnage</v>
      </c>
      <c r="J571" s="43" t="str">
        <f t="shared" si="30"/>
        <v>/Game/DungeonSiege/Blueprints/GameplayAbilities/Affixes/GE_Suffix_of_Carnage</v>
      </c>
    </row>
    <row r="572" spans="1:10" ht="33.75" x14ac:dyDescent="0.25">
      <c r="A572" s="43">
        <v>570</v>
      </c>
      <c r="B572" s="43">
        <f>VLOOKUP(C572,CHOOSE({2,1},Suffix!B$2:B$412,Suffix!C$2:C$412),2,FALSE)</f>
        <v>101712712</v>
      </c>
      <c r="C572" s="43" t="s">
        <v>2054</v>
      </c>
      <c r="D572" s="43" t="s">
        <v>3299</v>
      </c>
      <c r="E572" s="43" t="str">
        <f>VLOOKUP(F572,CHOOSE({2,1},Attributes!B$3:B$130,Attributes!C$3:C$129),2,FALSE)</f>
        <v>DungeonSiegeDamageAttributeSet</v>
      </c>
      <c r="F572" s="43" t="str">
        <f>Attributes!C26</f>
        <v>MaxPiercingDamageMod</v>
      </c>
      <c r="G572" s="43" t="str">
        <f t="shared" si="28"/>
        <v>(AttributeName="MaxPiercingDamageMod",Attribute=/Script/DSAbilitySystem.DungeonSiegeDamageAttributeSet:MaxPiercingDamageMod,AttributeOwner=Class'"/Script/DSAbilitySystem.DungeonSiegeDamageAttributeSet"')</v>
      </c>
      <c r="H572" s="43">
        <v>7</v>
      </c>
      <c r="I572" s="43" t="str">
        <f t="shared" si="29"/>
        <v>GE_Suffix_of_Carnage</v>
      </c>
      <c r="J572" s="43" t="str">
        <f t="shared" si="30"/>
        <v>/Game/DungeonSiege/Blueprints/GameplayAbilities/Affixes/GE_Suffix_of_Carnage</v>
      </c>
    </row>
    <row r="573" spans="1:10" ht="33.75" x14ac:dyDescent="0.25">
      <c r="A573" s="43">
        <v>571</v>
      </c>
      <c r="B573" s="43">
        <f>VLOOKUP(C573,CHOOSE({2,1},Suffix!B$2:B$412,Suffix!C$2:C$412),2,FALSE)</f>
        <v>101712713</v>
      </c>
      <c r="C573" s="43" t="s">
        <v>2056</v>
      </c>
      <c r="D573" s="43" t="s">
        <v>3252</v>
      </c>
      <c r="E573" s="43" t="str">
        <f>VLOOKUP(F573,CHOOSE({2,1},Attributes!B$3:B$130,Attributes!C$3:C$129),2,FALSE)</f>
        <v>DungeonSiegeDefenseAttributeSet</v>
      </c>
      <c r="F573" s="43" t="str">
        <f>Attributes!C10</f>
        <v>ArmorRating</v>
      </c>
      <c r="G573" s="43" t="str">
        <f t="shared" si="28"/>
        <v>(AttributeName="ArmorRating",Attribute=/Script/DSAbilitySystem.DungeonSiegeDefenseAttributeSet:ArmorRating,AttributeOwner=Class'"/Script/DSAbilitySystem.DungeonSiegeDefenseAttributeSet"')</v>
      </c>
      <c r="H573" s="43"/>
      <c r="I573" s="43" t="str">
        <f t="shared" si="29"/>
        <v>GE_Suffix_of_Spirit_Armor</v>
      </c>
      <c r="J573" s="43" t="str">
        <f t="shared" si="30"/>
        <v>/Game/DungeonSiege/Blueprints/GameplayAbilities/Affixes/GE_Suffix_of_Spirit_Armor</v>
      </c>
    </row>
    <row r="574" spans="1:10" s="23" customFormat="1" ht="33.75" x14ac:dyDescent="0.25">
      <c r="A574" s="43">
        <v>572</v>
      </c>
      <c r="B574" s="43">
        <f>VLOOKUP(C574,CHOOSE({2,1},Suffix!B$2:B$412,Suffix!C$2:C$412),2,FALSE)</f>
        <v>101712720</v>
      </c>
      <c r="C574" s="43" t="s">
        <v>2059</v>
      </c>
      <c r="D574" s="43" t="s">
        <v>3248</v>
      </c>
      <c r="E574" s="43" t="str">
        <f>VLOOKUP(F574,CHOOSE({2,1},Attributes!B$3:B$130,Attributes!C$3:C$129),2,FALSE)</f>
        <v>DungeonSiegeDamageAttributeSet</v>
      </c>
      <c r="F574" s="43" t="str">
        <f>Attributes!C33</f>
        <v>MeleeHitChance</v>
      </c>
      <c r="G574" s="43" t="str">
        <f t="shared" si="28"/>
        <v>(AttributeName="MeleeHitChance",Attribute=/Script/DSAbilitySystem.DungeonSiegeDamageAttributeSet:MeleeHitChance,AttributeOwner=Class'"/Script/DSAbilitySystem.DungeonSiegeDamageAttributeSet"')</v>
      </c>
      <c r="H574" s="43"/>
      <c r="I574" s="43" t="str">
        <f t="shared" si="29"/>
        <v>GE_Suffix_of_Personal_Mystic_Aid</v>
      </c>
      <c r="J574" s="43" t="str">
        <f t="shared" si="30"/>
        <v>/Game/DungeonSiege/Blueprints/GameplayAbilities/Affixes/GE_Suffix_of_Personal_Mystic_Aid</v>
      </c>
    </row>
    <row r="575" spans="1:10" ht="33.75" x14ac:dyDescent="0.25">
      <c r="A575" s="43">
        <v>573</v>
      </c>
      <c r="B575" s="43">
        <f>VLOOKUP(C575,CHOOSE({2,1},Suffix!B$2:B$412,Suffix!C$2:C$412),2,FALSE)</f>
        <v>101712720</v>
      </c>
      <c r="C575" s="43" t="s">
        <v>2059</v>
      </c>
      <c r="D575" s="43" t="s">
        <v>3307</v>
      </c>
      <c r="E575" s="43" t="str">
        <f>VLOOKUP(F575,CHOOSE({2,1},Attributes!B$3:B$130,Attributes!C$3:C$129),2,FALSE)</f>
        <v>DungeonSiegeDamageAttributeSet</v>
      </c>
      <c r="F575" s="43" t="str">
        <f>Attributes!C29</f>
        <v>RangedHitChance</v>
      </c>
      <c r="G575" s="43" t="str">
        <f t="shared" si="28"/>
        <v>(AttributeName="RangedHitChance",Attribute=/Script/DSAbilitySystem.DungeonSiegeDamageAttributeSet:RangedHitChance,AttributeOwner=Class'"/Script/DSAbilitySystem.DungeonSiegeDamageAttributeSet"')</v>
      </c>
      <c r="H575" s="43"/>
      <c r="I575" s="43" t="str">
        <f t="shared" si="29"/>
        <v>GE_Suffix_of_Personal_Mystic_Aid</v>
      </c>
      <c r="J575" s="43" t="str">
        <f t="shared" si="30"/>
        <v>/Game/DungeonSiege/Blueprints/GameplayAbilities/Affixes/GE_Suffix_of_Personal_Mystic_Aid</v>
      </c>
    </row>
    <row r="576" spans="1:10" ht="33.75" x14ac:dyDescent="0.25">
      <c r="A576" s="43">
        <v>574</v>
      </c>
      <c r="B576" s="43">
        <f>VLOOKUP(C576,CHOOSE({2,1},Suffix!B$2:B$412,Suffix!C$2:C$412),2,FALSE)</f>
        <v>101712721</v>
      </c>
      <c r="C576" s="43" t="s">
        <v>2061</v>
      </c>
      <c r="D576" s="43" t="s">
        <v>2062</v>
      </c>
      <c r="E576" s="43" t="str">
        <f>VLOOKUP(F576,CHOOSE({2,1},Attributes!B$3:B$130,Attributes!C$3:C$129),2,FALSE)</f>
        <v>DungeonSiegeCastOnHitAttributeSet</v>
      </c>
      <c r="F576" s="43" t="str">
        <f>Attributes!C117</f>
        <v>ChanceToCastZapOnHit</v>
      </c>
      <c r="G576" s="43" t="str">
        <f t="shared" si="28"/>
        <v>(AttributeName="ChanceToCastZapOnHit",Attribute=/Script/DSAbilitySystem.DungeonSiegeCastOnHitAttributeSet:ChanceToCastZapOnHit,AttributeOwner=Class'"/Script/DSAbilitySystem.DungeonSiegeCastOnHitAttributeSet"')</v>
      </c>
      <c r="H576" s="43">
        <v>25</v>
      </c>
      <c r="I576" s="43" t="str">
        <f t="shared" si="29"/>
        <v>GE_Suffix_of_Major_Zap</v>
      </c>
      <c r="J576" s="43" t="str">
        <f t="shared" si="30"/>
        <v>/Game/DungeonSiege/Blueprints/GameplayAbilities/Affixes/GE_Suffix_of_Major_Zap</v>
      </c>
    </row>
    <row r="577" spans="1:10" ht="33.75" x14ac:dyDescent="0.25">
      <c r="A577" s="43">
        <v>575</v>
      </c>
      <c r="B577" s="43">
        <f>VLOOKUP(C577,CHOOSE({2,1},Suffix!B$2:B$412,Suffix!C$2:C$412),2,FALSE)</f>
        <v>101712722</v>
      </c>
      <c r="C577" s="43" t="s">
        <v>2064</v>
      </c>
      <c r="D577" s="43" t="s">
        <v>2065</v>
      </c>
      <c r="E577" s="43" t="str">
        <f>VLOOKUP(F577,CHOOSE({2,1},Attributes!B$3:B$130,Attributes!C$3:C$129),2,FALSE)</f>
        <v>DungeonSiegeCastOnHitAttributeSet</v>
      </c>
      <c r="F577" s="43" t="str">
        <f>Attributes!C116</f>
        <v>ChanceToCastFireshotOnHit</v>
      </c>
      <c r="G577" s="43" t="str">
        <f t="shared" si="28"/>
        <v>(AttributeName="ChanceToCastFireshotOnHit",Attribute=/Script/DSAbilitySystem.DungeonSiegeCastOnHitAttributeSet:ChanceToCastFireshotOnHit,AttributeOwner=Class'"/Script/DSAbilitySystem.DungeonSiegeCastOnHitAttributeSet"')</v>
      </c>
      <c r="H577" s="43">
        <v>15</v>
      </c>
      <c r="I577" s="43" t="str">
        <f t="shared" si="29"/>
        <v>GE_Suffix_of_Minor_Fireshot</v>
      </c>
      <c r="J577" s="43" t="str">
        <f t="shared" si="30"/>
        <v>/Game/DungeonSiege/Blueprints/GameplayAbilities/Affixes/GE_Suffix_of_Minor_Fireshot</v>
      </c>
    </row>
    <row r="578" spans="1:10" s="23" customFormat="1" ht="33.75" x14ac:dyDescent="0.25">
      <c r="A578" s="43">
        <v>576</v>
      </c>
      <c r="B578" s="43">
        <f>VLOOKUP(C578,CHOOSE({2,1},Suffix!B$2:B$412,Suffix!C$2:C$412),2,FALSE)</f>
        <v>101712723</v>
      </c>
      <c r="C578" s="43" t="s">
        <v>2067</v>
      </c>
      <c r="D578" s="43" t="s">
        <v>3209</v>
      </c>
      <c r="E578" s="43" t="str">
        <f>VLOOKUP(F578,CHOOSE({2,1},Attributes!B$3:B$130,Attributes!C$3:C$129),2,FALSE)</f>
        <v>DungeonSiegeHealthAttributeSet</v>
      </c>
      <c r="F578" s="43" t="str">
        <f>Attributes!C82</f>
        <v>BaseHealthBonus</v>
      </c>
      <c r="G578" s="43" t="str">
        <f t="shared" si="28"/>
        <v>(AttributeName="BaseHealthBonus",Attribute=/Script/DSAbilitySystem.DungeonSiegeHealthAttributeSet:BaseHealthBonus,AttributeOwner=Class'"/Script/DSAbilitySystem.DungeonSiegeHealthAttributeSet"')</v>
      </c>
      <c r="H578" s="43">
        <v>15</v>
      </c>
      <c r="I578" s="43" t="str">
        <f t="shared" si="29"/>
        <v>GE_Suffix_of_Refuge</v>
      </c>
      <c r="J578" s="43" t="str">
        <f t="shared" si="30"/>
        <v>/Game/DungeonSiege/Blueprints/GameplayAbilities/Affixes/GE_Suffix_of_Refuge</v>
      </c>
    </row>
    <row r="579" spans="1:10" ht="33.75" x14ac:dyDescent="0.25">
      <c r="A579" s="43">
        <v>577</v>
      </c>
      <c r="B579" s="43">
        <f>VLOOKUP(C579,CHOOSE({2,1},Suffix!B$2:B$412,Suffix!C$2:C$412),2,FALSE)</f>
        <v>101712723</v>
      </c>
      <c r="C579" s="43" t="s">
        <v>2067</v>
      </c>
      <c r="D579" s="43" t="s">
        <v>3300</v>
      </c>
      <c r="E579" s="43" t="str">
        <f>VLOOKUP(F579,CHOOSE({2,1},Attributes!B$3:B$130,Attributes!C$3:C$129),2,FALSE)</f>
        <v>DungeonSiegeManaAttributeSet</v>
      </c>
      <c r="F579" s="43" t="str">
        <f>Attributes!C90</f>
        <v>BaseManaBonus</v>
      </c>
      <c r="G579" s="43" t="str">
        <f t="shared" ref="G579:G642" si="31">CONCATENATE("(AttributeName=""",F579,""",Attribute=/Script/DSAbilitySystem."&amp; E579 &amp;":",F579,",AttributeOwner=Class'""/Script/DSAbilitySystem." &amp; E579 &amp; """')")</f>
        <v>(AttributeName="BaseManaBonus",Attribute=/Script/DSAbilitySystem.DungeonSiegeManaAttributeSet:BaseManaBonus,AttributeOwner=Class'"/Script/DSAbilitySystem.DungeonSiegeManaAttributeSet"')</v>
      </c>
      <c r="H579" s="43">
        <v>12</v>
      </c>
      <c r="I579" s="43" t="str">
        <f t="shared" si="29"/>
        <v>GE_Suffix_of_Refuge</v>
      </c>
      <c r="J579" s="43" t="str">
        <f t="shared" si="30"/>
        <v>/Game/DungeonSiege/Blueprints/GameplayAbilities/Affixes/GE_Suffix_of_Refuge</v>
      </c>
    </row>
    <row r="580" spans="1:10" ht="33.75" x14ac:dyDescent="0.25">
      <c r="A580" s="43">
        <v>578</v>
      </c>
      <c r="B580" s="43">
        <f>VLOOKUP(C580,CHOOSE({2,1},Suffix!B$2:B$412,Suffix!C$2:C$412),2,FALSE)</f>
        <v>101712724</v>
      </c>
      <c r="C580" s="43" t="s">
        <v>2069</v>
      </c>
      <c r="D580" s="43" t="s">
        <v>3253</v>
      </c>
      <c r="E580" s="43" t="str">
        <f>VLOOKUP(F580,CHOOSE({2,1},Attributes!B$3:B$130,Attributes!C$3:C$129),2,FALSE)</f>
        <v>DungeonSiegeExperienceAttributeSet</v>
      </c>
      <c r="F580" s="43" t="str">
        <f>Attributes!C3</f>
        <v>Strength</v>
      </c>
      <c r="G580" s="43" t="str">
        <f t="shared" si="31"/>
        <v>(AttributeName="Strength",Attribute=/Script/DSAbilitySystem.DungeonSiegeExperienceAttributeSet:Strength,AttributeOwner=Class'"/Script/DSAbilitySystem.DungeonSiegeExperienceAttributeSet"')</v>
      </c>
      <c r="H580" s="43"/>
      <c r="I580" s="43" t="str">
        <f t="shared" si="29"/>
        <v>GE_Suffix_of_Ogres_Might</v>
      </c>
      <c r="J580" s="43" t="str">
        <f t="shared" si="30"/>
        <v>/Game/DungeonSiege/Blueprints/GameplayAbilities/Affixes/GE_Suffix_of_Ogres_Might</v>
      </c>
    </row>
    <row r="581" spans="1:10" ht="33.75" x14ac:dyDescent="0.25">
      <c r="A581" s="43">
        <v>579</v>
      </c>
      <c r="B581" s="43">
        <f>VLOOKUP(C581,CHOOSE({2,1},Suffix!B$2:B$412,Suffix!C$2:C$412),2,FALSE)</f>
        <v>101712725</v>
      </c>
      <c r="C581" s="43" t="s">
        <v>2072</v>
      </c>
      <c r="D581" s="43" t="s">
        <v>69</v>
      </c>
      <c r="E581" s="43" t="str">
        <f>VLOOKUP(F581,CHOOSE({2,1},Attributes!B$3:B$130,Attributes!C$3:C$129),2,FALSE)</f>
        <v>DungeonSiegeMagicAttributeSet</v>
      </c>
      <c r="F581" s="43" t="str">
        <f>Attributes!C46</f>
        <v>ColdSpellCostReduction</v>
      </c>
      <c r="G581" s="43" t="str">
        <f t="shared" si="31"/>
        <v>(AttributeName="ColdSpellCostReduction",Attribute=/Script/DSAbilitySystem.DungeonSiegeMagicAttributeSet:ColdSpellCostReduction,AttributeOwner=Class'"/Script/DSAbilitySystem.DungeonSiegeMagicAttributeSet"')</v>
      </c>
      <c r="H581" s="43">
        <v>5</v>
      </c>
      <c r="I581" s="43" t="str">
        <f t="shared" si="29"/>
        <v>GE_Suffix_of_The_Chill</v>
      </c>
      <c r="J581" s="43" t="str">
        <f t="shared" si="30"/>
        <v>/Game/DungeonSiege/Blueprints/GameplayAbilities/Affixes/GE_Suffix_of_The_Chill</v>
      </c>
    </row>
    <row r="582" spans="1:10" ht="33.75" x14ac:dyDescent="0.25">
      <c r="A582" s="43">
        <v>580</v>
      </c>
      <c r="B582" s="43">
        <f>VLOOKUP(C582,CHOOSE({2,1},Suffix!B$2:B$412,Suffix!C$2:C$412),2,FALSE)</f>
        <v>101712726</v>
      </c>
      <c r="C582" s="43" t="s">
        <v>2073</v>
      </c>
      <c r="D582" s="43" t="s">
        <v>66</v>
      </c>
      <c r="E582" s="43" t="str">
        <f>VLOOKUP(F582,CHOOSE({2,1},Attributes!B$3:B$130,Attributes!C$3:C$129),2,FALSE)</f>
        <v>DungeonSiegeMagicAttributeSet</v>
      </c>
      <c r="F582" s="43" t="str">
        <f>Attributes!C49</f>
        <v>FireSpellCostReduction</v>
      </c>
      <c r="G582" s="43" t="str">
        <f t="shared" si="31"/>
        <v>(AttributeName="FireSpellCostReduction",Attribute=/Script/DSAbilitySystem.DungeonSiegeMagicAttributeSet:FireSpellCostReduction,AttributeOwner=Class'"/Script/DSAbilitySystem.DungeonSiegeMagicAttributeSet"')</v>
      </c>
      <c r="H582" s="43">
        <v>5</v>
      </c>
      <c r="I582" s="43" t="str">
        <f t="shared" si="29"/>
        <v>GE_Suffix_of_The_Flame</v>
      </c>
      <c r="J582" s="43" t="str">
        <f t="shared" si="30"/>
        <v>/Game/DungeonSiege/Blueprints/GameplayAbilities/Affixes/GE_Suffix_of_The_Flame</v>
      </c>
    </row>
    <row r="583" spans="1:10" ht="33.75" x14ac:dyDescent="0.25">
      <c r="A583" s="43">
        <v>581</v>
      </c>
      <c r="B583" s="43">
        <f>VLOOKUP(C583,CHOOSE({2,1},Suffix!B$2:B$412,Suffix!C$2:C$412),2,FALSE)</f>
        <v>101712727</v>
      </c>
      <c r="C583" s="43" t="s">
        <v>64</v>
      </c>
      <c r="D583" s="43" t="s">
        <v>63</v>
      </c>
      <c r="E583" s="43" t="str">
        <f>VLOOKUP(F583,CHOOSE({2,1},Attributes!B$3:B$130,Attributes!C$3:C$129),2,FALSE)</f>
        <v>DungeonSiegeMagicAttributeSet</v>
      </c>
      <c r="F583" s="43" t="str">
        <f>Attributes!C97</f>
        <v>LightningSpellCostReduction</v>
      </c>
      <c r="G583" s="43" t="str">
        <f t="shared" si="31"/>
        <v>(AttributeName="LightningSpellCostReduction",Attribute=/Script/DSAbilitySystem.DungeonSiegeMagicAttributeSet:LightningSpellCostReduction,AttributeOwner=Class'"/Script/DSAbilitySystem.DungeonSiegeMagicAttributeSet"')</v>
      </c>
      <c r="H583" s="43">
        <v>5</v>
      </c>
      <c r="I583" s="43" t="str">
        <f t="shared" si="29"/>
        <v>GE_Suffix_of_Static</v>
      </c>
      <c r="J583" s="43" t="str">
        <f t="shared" si="30"/>
        <v>/Game/DungeonSiege/Blueprints/GameplayAbilities/Affixes/GE_Suffix_of_Static</v>
      </c>
    </row>
    <row r="584" spans="1:10" ht="33.75" x14ac:dyDescent="0.25">
      <c r="A584" s="43">
        <v>582</v>
      </c>
      <c r="B584" s="43">
        <f>VLOOKUP(C584,CHOOSE({2,1},Suffix!B$2:B$412,Suffix!C$2:C$412),2,FALSE)</f>
        <v>101712728</v>
      </c>
      <c r="C584" s="43" t="s">
        <v>61</v>
      </c>
      <c r="D584" s="43" t="s">
        <v>60</v>
      </c>
      <c r="E584" s="43" t="str">
        <f>VLOOKUP(F584,CHOOSE({2,1},Attributes!B$3:B$130,Attributes!C$3:C$129),2,FALSE)</f>
        <v>DungeonSiegeMagicAttributeSet</v>
      </c>
      <c r="F584" s="43" t="str">
        <f>Attributes!C98</f>
        <v>SummoningSpellCostReduction</v>
      </c>
      <c r="G584" s="43" t="str">
        <f t="shared" si="31"/>
        <v>(AttributeName="SummoningSpellCostReduction",Attribute=/Script/DSAbilitySystem.DungeonSiegeMagicAttributeSet:SummoningSpellCostReduction,AttributeOwner=Class'"/Script/DSAbilitySystem.DungeonSiegeMagicAttributeSet"')</v>
      </c>
      <c r="H584" s="43">
        <v>5</v>
      </c>
      <c r="I584" s="43" t="str">
        <f t="shared" ref="I584:I647" si="32">CONCATENATE("GE_Suffix_", SUBSTITUTE(C584," ","_"))</f>
        <v>GE_Suffix_of_Bidding</v>
      </c>
      <c r="J584" s="43" t="str">
        <f t="shared" ref="J584:J647" si="33">"/Game/DungeonSiege/Blueprints/GameplayAbilities/Affixes/" &amp;I584</f>
        <v>/Game/DungeonSiege/Blueprints/GameplayAbilities/Affixes/GE_Suffix_of_Bidding</v>
      </c>
    </row>
    <row r="585" spans="1:10" ht="33.75" x14ac:dyDescent="0.25">
      <c r="A585" s="43">
        <v>583</v>
      </c>
      <c r="B585" s="43">
        <f>VLOOKUP(C585,CHOOSE({2,1},Suffix!B$2:B$412,Suffix!C$2:C$412),2,FALSE)</f>
        <v>101712729</v>
      </c>
      <c r="C585" s="43" t="s">
        <v>58</v>
      </c>
      <c r="D585" s="43" t="s">
        <v>57</v>
      </c>
      <c r="E585" s="43" t="str">
        <f>VLOOKUP(F585,CHOOSE({2,1},Attributes!B$3:B$130,Attributes!C$3:C$129),2,FALSE)</f>
        <v>DungeonSiegeMagicAttributeSet</v>
      </c>
      <c r="F585" s="43" t="str">
        <f>Attributes!C99</f>
        <v>HealingSpellCostReduction</v>
      </c>
      <c r="G585" s="43" t="str">
        <f t="shared" si="31"/>
        <v>(AttributeName="HealingSpellCostReduction",Attribute=/Script/DSAbilitySystem.DungeonSiegeMagicAttributeSet:HealingSpellCostReduction,AttributeOwner=Class'"/Script/DSAbilitySystem.DungeonSiegeMagicAttributeSet"')</v>
      </c>
      <c r="H585" s="43">
        <v>5</v>
      </c>
      <c r="I585" s="43" t="str">
        <f t="shared" si="32"/>
        <v>GE_Suffix_of_Charity</v>
      </c>
      <c r="J585" s="43" t="str">
        <f t="shared" si="33"/>
        <v>/Game/DungeonSiege/Blueprints/GameplayAbilities/Affixes/GE_Suffix_of_Charity</v>
      </c>
    </row>
    <row r="586" spans="1:10" ht="33.75" x14ac:dyDescent="0.25">
      <c r="A586" s="43">
        <v>584</v>
      </c>
      <c r="B586" s="43">
        <f>VLOOKUP(C586,CHOOSE({2,1},Suffix!B$2:B$412,Suffix!C$2:C$412),2,FALSE)</f>
        <v>101712736</v>
      </c>
      <c r="C586" s="43" t="s">
        <v>2074</v>
      </c>
      <c r="D586" s="43" t="s">
        <v>2075</v>
      </c>
      <c r="E586" s="43" t="str">
        <f>VLOOKUP(F586,CHOOSE({2,1},Attributes!B$3:B$130,Attributes!C$3:C$129),2,FALSE)</f>
        <v>DungeonSiegeCastOnHitAttributeSet</v>
      </c>
      <c r="F586" s="43" t="str">
        <f>Attributes!C117</f>
        <v>ChanceToCastZapOnHit</v>
      </c>
      <c r="G586" s="43" t="str">
        <f t="shared" si="31"/>
        <v>(AttributeName="ChanceToCastZapOnHit",Attribute=/Script/DSAbilitySystem.DungeonSiegeCastOnHitAttributeSet:ChanceToCastZapOnHit,AttributeOwner=Class'"/Script/DSAbilitySystem.DungeonSiegeCastOnHitAttributeSet"')</v>
      </c>
      <c r="H586" s="43">
        <v>20</v>
      </c>
      <c r="I586" s="43" t="str">
        <f t="shared" si="32"/>
        <v>GE_Suffix_of_Zap</v>
      </c>
      <c r="J586" s="43" t="str">
        <f t="shared" si="33"/>
        <v>/Game/DungeonSiege/Blueprints/GameplayAbilities/Affixes/GE_Suffix_of_Zap</v>
      </c>
    </row>
    <row r="587" spans="1:10" ht="33.75" x14ac:dyDescent="0.25">
      <c r="A587" s="43">
        <v>585</v>
      </c>
      <c r="B587" s="43">
        <f>VLOOKUP(C587,CHOOSE({2,1},Suffix!B$2:B$412,Suffix!C$2:C$412),2,FALSE)</f>
        <v>101712737</v>
      </c>
      <c r="C587" s="43" t="s">
        <v>2077</v>
      </c>
      <c r="D587" s="43" t="s">
        <v>2078</v>
      </c>
      <c r="E587" s="43" t="str">
        <f>VLOOKUP(F587,CHOOSE({2,1},Attributes!B$3:B$130,Attributes!C$3:C$129),2,FALSE)</f>
        <v>DungeonSiegeCastOnHitAttributeSet</v>
      </c>
      <c r="F587" s="43" t="str">
        <f>Attributes!C115</f>
        <v>ChanceToCastSparkOnHit</v>
      </c>
      <c r="G587" s="43" t="str">
        <f t="shared" si="31"/>
        <v>(AttributeName="ChanceToCastSparkOnHit",Attribute=/Script/DSAbilitySystem.DungeonSiegeCastOnHitAttributeSet:ChanceToCastSparkOnHit,AttributeOwner=Class'"/Script/DSAbilitySystem.DungeonSiegeCastOnHitAttributeSet"')</v>
      </c>
      <c r="H587" s="43">
        <v>10</v>
      </c>
      <c r="I587" s="43" t="str">
        <f t="shared" si="32"/>
        <v>GE_Suffix_of_Lesser_Spark</v>
      </c>
      <c r="J587" s="43" t="str">
        <f t="shared" si="33"/>
        <v>/Game/DungeonSiege/Blueprints/GameplayAbilities/Affixes/GE_Suffix_of_Lesser_Spark</v>
      </c>
    </row>
    <row r="588" spans="1:10" s="23" customFormat="1" ht="33.75" x14ac:dyDescent="0.25">
      <c r="A588" s="43">
        <v>586</v>
      </c>
      <c r="B588" s="43">
        <f>VLOOKUP(C588,CHOOSE({2,1},Suffix!B$2:B$412,Suffix!C$2:C$412),2,FALSE)</f>
        <v>101712738</v>
      </c>
      <c r="C588" s="43" t="s">
        <v>2080</v>
      </c>
      <c r="D588" s="43" t="s">
        <v>3301</v>
      </c>
      <c r="E588" s="43" t="str">
        <f>VLOOKUP(F588,CHOOSE({2,1},Attributes!B$3:B$130,Attributes!C$3:C$129),2,FALSE)</f>
        <v>DungeonSiegeCastOnHitAttributeSet</v>
      </c>
      <c r="F588" s="43" t="str">
        <f>Attributes!C116</f>
        <v>ChanceToCastFireshotOnHit</v>
      </c>
      <c r="G588" s="43" t="str">
        <f t="shared" si="31"/>
        <v>(AttributeName="ChanceToCastFireshotOnHit",Attribute=/Script/DSAbilitySystem.DungeonSiegeCastOnHitAttributeSet:ChanceToCastFireshotOnHit,AttributeOwner=Class'"/Script/DSAbilitySystem.DungeonSiegeCastOnHitAttributeSet"')</v>
      </c>
      <c r="H588" s="43">
        <v>5</v>
      </c>
      <c r="I588" s="43" t="str">
        <f t="shared" si="32"/>
        <v>GE_Suffix_of_Pluck</v>
      </c>
      <c r="J588" s="43" t="str">
        <f t="shared" si="33"/>
        <v>/Game/DungeonSiege/Blueprints/GameplayAbilities/Affixes/GE_Suffix_of_Pluck</v>
      </c>
    </row>
    <row r="589" spans="1:10" s="23" customFormat="1" ht="33.75" x14ac:dyDescent="0.25">
      <c r="A589" s="43">
        <v>587</v>
      </c>
      <c r="B589" s="43">
        <f>VLOOKUP(C589,CHOOSE({2,1},Suffix!B$2:B$412,Suffix!C$2:C$412),2,FALSE)</f>
        <v>101712738</v>
      </c>
      <c r="C589" s="43" t="s">
        <v>2080</v>
      </c>
      <c r="D589" s="43" t="s">
        <v>204</v>
      </c>
      <c r="E589" s="43" t="str">
        <f>VLOOKUP(F589,CHOOSE({2,1},Attributes!B$3:B$130,Attributes!C$3:C$129),2,FALSE)</f>
        <v>DungeonSiegeExperienceAttributeSet</v>
      </c>
      <c r="F589" s="43" t="str">
        <f>Attributes!C6</f>
        <v>CombatMagic</v>
      </c>
      <c r="G589" s="43" t="str">
        <f t="shared" si="31"/>
        <v>(AttributeName="CombatMagic",Attribute=/Script/DSAbilitySystem.DungeonSiegeExperienceAttributeSet:CombatMagic,AttributeOwner=Class'"/Script/DSAbilitySystem.DungeonSiegeExperienceAttributeSet"')</v>
      </c>
      <c r="H589" s="43">
        <v>1</v>
      </c>
      <c r="I589" s="43" t="str">
        <f t="shared" si="32"/>
        <v>GE_Suffix_of_Pluck</v>
      </c>
      <c r="J589" s="43" t="str">
        <f t="shared" si="33"/>
        <v>/Game/DungeonSiege/Blueprints/GameplayAbilities/Affixes/GE_Suffix_of_Pluck</v>
      </c>
    </row>
    <row r="590" spans="1:10" s="23" customFormat="1" ht="33.75" x14ac:dyDescent="0.25">
      <c r="A590" s="43">
        <v>588</v>
      </c>
      <c r="B590" s="43">
        <f>VLOOKUP(C590,CHOOSE({2,1},Suffix!B$2:B$412,Suffix!C$2:C$412),2,FALSE)</f>
        <v>101712738</v>
      </c>
      <c r="C590" s="43" t="s">
        <v>2080</v>
      </c>
      <c r="D590" s="43" t="s">
        <v>3294</v>
      </c>
      <c r="E590" s="43" t="str">
        <f>VLOOKUP(F590,CHOOSE({2,1},Attributes!B$3:B$130,Attributes!C$3:C$129),2,FALSE)</f>
        <v>DungeonSiegeManaAttributeSet</v>
      </c>
      <c r="F590" s="43" t="str">
        <f>Attributes!C90</f>
        <v>BaseManaBonus</v>
      </c>
      <c r="G590" s="43" t="str">
        <f t="shared" si="31"/>
        <v>(AttributeName="BaseManaBonus",Attribute=/Script/DSAbilitySystem.DungeonSiegeManaAttributeSet:BaseManaBonus,AttributeOwner=Class'"/Script/DSAbilitySystem.DungeonSiegeManaAttributeSet"')</v>
      </c>
      <c r="H590" s="43">
        <v>14</v>
      </c>
      <c r="I590" s="43" t="str">
        <f t="shared" si="32"/>
        <v>GE_Suffix_of_Pluck</v>
      </c>
      <c r="J590" s="43" t="str">
        <f t="shared" si="33"/>
        <v>/Game/DungeonSiege/Blueprints/GameplayAbilities/Affixes/GE_Suffix_of_Pluck</v>
      </c>
    </row>
    <row r="591" spans="1:10" ht="33.75" x14ac:dyDescent="0.25">
      <c r="A591" s="43">
        <v>589</v>
      </c>
      <c r="B591" s="43">
        <f>VLOOKUP(C591,CHOOSE({2,1},Suffix!B$2:B$412,Suffix!C$2:C$412),2,FALSE)</f>
        <v>101712738</v>
      </c>
      <c r="C591" s="43" t="s">
        <v>2080</v>
      </c>
      <c r="D591" s="43" t="s">
        <v>1204</v>
      </c>
      <c r="E591" s="43" t="str">
        <f>VLOOKUP(F591,CHOOSE({2,1},Attributes!B$3:B$130,Attributes!C$3:C$129),2,FALSE)</f>
        <v>DungeonSiegeDefenseAttributeSet</v>
      </c>
      <c r="F591" s="43" t="str">
        <f>Attributes!C10</f>
        <v>ArmorRating</v>
      </c>
      <c r="G591" s="43" t="str">
        <f t="shared" si="31"/>
        <v>(AttributeName="ArmorRating",Attribute=/Script/DSAbilitySystem.DungeonSiegeDefenseAttributeSet:ArmorRating,AttributeOwner=Class'"/Script/DSAbilitySystem.DungeonSiegeDefenseAttributeSet"')</v>
      </c>
      <c r="H591" s="43">
        <v>3</v>
      </c>
      <c r="I591" s="43" t="str">
        <f t="shared" si="32"/>
        <v>GE_Suffix_of_Pluck</v>
      </c>
      <c r="J591" s="43" t="str">
        <f t="shared" si="33"/>
        <v>/Game/DungeonSiege/Blueprints/GameplayAbilities/Affixes/GE_Suffix_of_Pluck</v>
      </c>
    </row>
    <row r="592" spans="1:10" ht="33.75" x14ac:dyDescent="0.25">
      <c r="A592" s="43">
        <v>590</v>
      </c>
      <c r="B592" s="43">
        <f>VLOOKUP(C592,CHOOSE({2,1},Suffix!B$2:B$412,Suffix!C$2:C$412),2,FALSE)</f>
        <v>101712739</v>
      </c>
      <c r="C592" s="43" t="s">
        <v>55</v>
      </c>
      <c r="D592" s="43" t="s">
        <v>54</v>
      </c>
      <c r="E592" s="43" t="str">
        <f>VLOOKUP(F592,CHOOSE({2,1},Attributes!B$3:B$130,Attributes!C$3:C$129),2,FALSE)</f>
        <v>DungeonSiegeExperienceAttributeSet</v>
      </c>
      <c r="F592" s="43" t="str">
        <f>Attributes!C4</f>
        <v>Dexterity</v>
      </c>
      <c r="G592" s="43" t="str">
        <f t="shared" si="31"/>
        <v>(AttributeName="Dexterity",Attribute=/Script/DSAbilitySystem.DungeonSiegeExperienceAttributeSet:Dexterity,AttributeOwner=Class'"/Script/DSAbilitySystem.DungeonSiegeExperienceAttributeSet"')</v>
      </c>
      <c r="H592" s="43">
        <v>1</v>
      </c>
      <c r="I592" s="43" t="str">
        <f t="shared" si="32"/>
        <v>GE_Suffix_of_the_Swift</v>
      </c>
      <c r="J592" s="43" t="str">
        <f t="shared" si="33"/>
        <v>/Game/DungeonSiege/Blueprints/GameplayAbilities/Affixes/GE_Suffix_of_the_Swift</v>
      </c>
    </row>
    <row r="593" spans="1:10" ht="33.75" x14ac:dyDescent="0.25">
      <c r="A593" s="43">
        <v>591</v>
      </c>
      <c r="B593" s="43">
        <f>VLOOKUP(C593,CHOOSE({2,1},Suffix!B$2:B$412,Suffix!C$2:C$412),2,FALSE)</f>
        <v>101712740</v>
      </c>
      <c r="C593" s="43" t="s">
        <v>52</v>
      </c>
      <c r="D593" s="43" t="s">
        <v>51</v>
      </c>
      <c r="E593" s="43" t="str">
        <f>VLOOKUP(F593,CHOOSE({2,1},Attributes!B$3:B$130,Attributes!C$3:C$129),2,FALSE)</f>
        <v>DungeonSiegeHealthAttributeSet</v>
      </c>
      <c r="F593" s="43" t="str">
        <f>Attributes!C82</f>
        <v>BaseHealthBonus</v>
      </c>
      <c r="G593" s="43" t="str">
        <f t="shared" si="31"/>
        <v>(AttributeName="BaseHealthBonus",Attribute=/Script/DSAbilitySystem.DungeonSiegeHealthAttributeSet:BaseHealthBonus,AttributeOwner=Class'"/Script/DSAbilitySystem.DungeonSiegeHealthAttributeSet"')</v>
      </c>
      <c r="H593" s="43">
        <v>21</v>
      </c>
      <c r="I593" s="43" t="str">
        <f t="shared" si="32"/>
        <v>GE_Suffix_of_the_Dog</v>
      </c>
      <c r="J593" s="43" t="str">
        <f t="shared" si="33"/>
        <v>/Game/DungeonSiege/Blueprints/GameplayAbilities/Affixes/GE_Suffix_of_the_Dog</v>
      </c>
    </row>
    <row r="594" spans="1:10" ht="33.75" x14ac:dyDescent="0.25">
      <c r="A594" s="43">
        <v>592</v>
      </c>
      <c r="B594" s="43">
        <f>VLOOKUP(C594,CHOOSE({2,1},Suffix!B$2:B$412,Suffix!C$2:C$412),2,FALSE)</f>
        <v>101712741</v>
      </c>
      <c r="C594" s="43" t="s">
        <v>49</v>
      </c>
      <c r="D594" s="43" t="s">
        <v>48</v>
      </c>
      <c r="E594" s="43" t="str">
        <f>VLOOKUP(F594,CHOOSE({2,1},Attributes!B$3:B$130,Attributes!C$3:C$129),2,FALSE)</f>
        <v>DungeonSiegeManaAttributeSet</v>
      </c>
      <c r="F594" s="43" t="str">
        <f>Attributes!C90</f>
        <v>BaseManaBonus</v>
      </c>
      <c r="G594" s="43" t="str">
        <f t="shared" si="31"/>
        <v>(AttributeName="BaseManaBonus",Attribute=/Script/DSAbilitySystem.DungeonSiegeManaAttributeSet:BaseManaBonus,AttributeOwner=Class'"/Script/DSAbilitySystem.DungeonSiegeManaAttributeSet"')</v>
      </c>
      <c r="H594" s="43">
        <v>35</v>
      </c>
      <c r="I594" s="43" t="str">
        <f t="shared" si="32"/>
        <v>GE_Suffix_of_Reprieval</v>
      </c>
      <c r="J594" s="43" t="str">
        <f t="shared" si="33"/>
        <v>/Game/DungeonSiege/Blueprints/GameplayAbilities/Affixes/GE_Suffix_of_Reprieval</v>
      </c>
    </row>
    <row r="595" spans="1:10" s="23" customFormat="1" ht="33.75" x14ac:dyDescent="0.25">
      <c r="A595" s="43">
        <v>593</v>
      </c>
      <c r="B595" s="43">
        <f>VLOOKUP(C595,CHOOSE({2,1},Suffix!B$2:B$412,Suffix!C$2:C$412),2,FALSE)</f>
        <v>101712742</v>
      </c>
      <c r="C595" s="43" t="s">
        <v>2082</v>
      </c>
      <c r="D595" s="43" t="s">
        <v>943</v>
      </c>
      <c r="E595" s="43" t="str">
        <f>VLOOKUP(F595,CHOOSE({2,1},Attributes!B$3:B$130,Attributes!C$3:C$129),2,FALSE)</f>
        <v>DungeonSiegeDamageAttributeSet</v>
      </c>
      <c r="F595" s="43" t="str">
        <f>Attributes!C25</f>
        <v>MinPiercingDamageMod</v>
      </c>
      <c r="G595" s="43" t="str">
        <f t="shared" si="31"/>
        <v>(AttributeName="MinPiercingDamageMod",Attribute=/Script/DSAbilitySystem.DungeonSiegeDamageAttributeSet:MinPiercingDamageMod,AttributeOwner=Class'"/Script/DSAbilitySystem.DungeonSiegeDamageAttributeSet"')</v>
      </c>
      <c r="H595" s="43">
        <v>1</v>
      </c>
      <c r="I595" s="43" t="str">
        <f t="shared" si="32"/>
        <v>GE_Suffix_of_Thorns</v>
      </c>
      <c r="J595" s="43" t="str">
        <f t="shared" si="33"/>
        <v>/Game/DungeonSiege/Blueprints/GameplayAbilities/Affixes/GE_Suffix_of_Thorns</v>
      </c>
    </row>
    <row r="596" spans="1:10" ht="33.75" x14ac:dyDescent="0.25">
      <c r="A596" s="43">
        <v>594</v>
      </c>
      <c r="B596" s="43">
        <f>VLOOKUP(C596,CHOOSE({2,1},Suffix!B$2:B$412,Suffix!C$2:C$412),2,FALSE)</f>
        <v>101712742</v>
      </c>
      <c r="C596" s="43" t="s">
        <v>2082</v>
      </c>
      <c r="D596" s="43" t="s">
        <v>943</v>
      </c>
      <c r="E596" s="43" t="str">
        <f>VLOOKUP(F596,CHOOSE({2,1},Attributes!B$3:B$130,Attributes!C$3:C$129),2,FALSE)</f>
        <v>DungeonSiegeDamageAttributeSet</v>
      </c>
      <c r="F596" s="43" t="str">
        <f>Attributes!C26</f>
        <v>MaxPiercingDamageMod</v>
      </c>
      <c r="G596" s="43" t="str">
        <f t="shared" si="31"/>
        <v>(AttributeName="MaxPiercingDamageMod",Attribute=/Script/DSAbilitySystem.DungeonSiegeDamageAttributeSet:MaxPiercingDamageMod,AttributeOwner=Class'"/Script/DSAbilitySystem.DungeonSiegeDamageAttributeSet"')</v>
      </c>
      <c r="H596" s="43">
        <v>4</v>
      </c>
      <c r="I596" s="43" t="str">
        <f t="shared" si="32"/>
        <v>GE_Suffix_of_Thorns</v>
      </c>
      <c r="J596" s="43" t="str">
        <f t="shared" si="33"/>
        <v>/Game/DungeonSiege/Blueprints/GameplayAbilities/Affixes/GE_Suffix_of_Thorns</v>
      </c>
    </row>
    <row r="597" spans="1:10" ht="33.75" x14ac:dyDescent="0.25">
      <c r="A597" s="43">
        <v>595</v>
      </c>
      <c r="B597" s="43">
        <f>VLOOKUP(C597,CHOOSE({2,1},Suffix!B$2:B$412,Suffix!C$2:C$412),2,FALSE)</f>
        <v>101712743</v>
      </c>
      <c r="C597" s="43" t="s">
        <v>2084</v>
      </c>
      <c r="D597" s="43" t="s">
        <v>861</v>
      </c>
      <c r="E597" s="43" t="str">
        <f>VLOOKUP(F597,CHOOSE({2,1},Attributes!B$3:B$130,Attributes!C$3:C$129),2,FALSE)</f>
        <v>DungeonSiegePerHitAttributeSet</v>
      </c>
      <c r="F597" s="43" t="str">
        <f>Attributes!C13</f>
        <v>HealthStealPerHit</v>
      </c>
      <c r="G597" s="43" t="str">
        <f t="shared" si="31"/>
        <v>(AttributeName="HealthStealPerHit",Attribute=/Script/DSAbilitySystem.DungeonSiegePerHitAttributeSet:HealthStealPerHit,AttributeOwner=Class'"/Script/DSAbilitySystem.DungeonSiegePerHitAttributeSet"')</v>
      </c>
      <c r="H597" s="43">
        <v>1</v>
      </c>
      <c r="I597" s="43" t="str">
        <f t="shared" si="32"/>
        <v>GE_Suffix_of_Deception</v>
      </c>
      <c r="J597" s="43" t="str">
        <f t="shared" si="33"/>
        <v>/Game/DungeonSiege/Blueprints/GameplayAbilities/Affixes/GE_Suffix_of_Deception</v>
      </c>
    </row>
    <row r="598" spans="1:10" ht="33.75" x14ac:dyDescent="0.25">
      <c r="A598" s="43">
        <v>596</v>
      </c>
      <c r="B598" s="43">
        <f>VLOOKUP(C598,CHOOSE({2,1},Suffix!B$2:B$412,Suffix!C$2:C$412),2,FALSE)</f>
        <v>101712744</v>
      </c>
      <c r="C598" s="43" t="s">
        <v>2086</v>
      </c>
      <c r="D598" s="43" t="s">
        <v>950</v>
      </c>
      <c r="E598" s="43" t="str">
        <f>VLOOKUP(F598,CHOOSE({2,1},Attributes!B$3:B$130,Attributes!C$3:C$129),2,FALSE)</f>
        <v>DungeonSiegeDamageAttributeSet</v>
      </c>
      <c r="F598" s="43" t="str">
        <f>Attributes!C19</f>
        <v>MinDamageMod</v>
      </c>
      <c r="G598" s="43" t="str">
        <f t="shared" si="31"/>
        <v>(AttributeName="MinDamageMod",Attribute=/Script/DSAbilitySystem.DungeonSiegeDamageAttributeSet:MinDamageMod,AttributeOwner=Class'"/Script/DSAbilitySystem.DungeonSiegeDamageAttributeSet"')</v>
      </c>
      <c r="H598" s="43">
        <v>1</v>
      </c>
      <c r="I598" s="43" t="str">
        <f t="shared" si="32"/>
        <v>GE_Suffix_of_Projection</v>
      </c>
      <c r="J598" s="43" t="str">
        <f t="shared" si="33"/>
        <v>/Game/DungeonSiege/Blueprints/GameplayAbilities/Affixes/GE_Suffix_of_Projection</v>
      </c>
    </row>
    <row r="599" spans="1:10" ht="33.75" x14ac:dyDescent="0.25">
      <c r="A599" s="43">
        <v>597</v>
      </c>
      <c r="B599" s="43">
        <f>VLOOKUP(C599,CHOOSE({2,1},Suffix!B$2:B$412,Suffix!C$2:C$412),2,FALSE)</f>
        <v>101712745</v>
      </c>
      <c r="C599" s="43" t="s">
        <v>2088</v>
      </c>
      <c r="D599" s="43" t="s">
        <v>800</v>
      </c>
      <c r="E599" s="43" t="str">
        <f>VLOOKUP(F599,CHOOSE({2,1},Attributes!B$3:B$130,Attributes!C$3:C$129),2,FALSE)</f>
        <v>DungeonSiegeMagicAttributeSet</v>
      </c>
      <c r="F599" s="43" t="str">
        <f>Attributes!C38</f>
        <v>NatureMagicMinDamageMod</v>
      </c>
      <c r="G599" s="43" t="str">
        <f t="shared" si="31"/>
        <v>(AttributeName="NatureMagicMinDamageMod",Attribute=/Script/DSAbilitySystem.DungeonSiegeMagicAttributeSet:NatureMagicMinDamageMod,AttributeOwner=Class'"/Script/DSAbilitySystem.DungeonSiegeMagicAttributeSet"')</v>
      </c>
      <c r="H599" s="43">
        <v>1</v>
      </c>
      <c r="I599" s="43" t="str">
        <f t="shared" si="32"/>
        <v>GE_Suffix_of_Creation</v>
      </c>
      <c r="J599" s="43" t="str">
        <f t="shared" si="33"/>
        <v>/Game/DungeonSiege/Blueprints/GameplayAbilities/Affixes/GE_Suffix_of_Creation</v>
      </c>
    </row>
    <row r="600" spans="1:10" ht="33.75" x14ac:dyDescent="0.25">
      <c r="A600" s="43">
        <v>598</v>
      </c>
      <c r="B600" s="43">
        <f>VLOOKUP(C600,CHOOSE({2,1},Suffix!B$2:B$412,Suffix!C$2:C$412),2,FALSE)</f>
        <v>101712752</v>
      </c>
      <c r="C600" s="43" t="s">
        <v>2090</v>
      </c>
      <c r="D600" s="43" t="s">
        <v>958</v>
      </c>
      <c r="E600" s="43" t="str">
        <f>VLOOKUP(F600,CHOOSE({2,1},Attributes!B$3:B$130,Attributes!C$3:C$129),2,FALSE)</f>
        <v>DungeonSiegeMagicAttributeSet</v>
      </c>
      <c r="F600" s="43" t="str">
        <f>Attributes!C41</f>
        <v>CombatMagicMinDamageMod</v>
      </c>
      <c r="G600" s="43" t="str">
        <f t="shared" si="31"/>
        <v>(AttributeName="CombatMagicMinDamageMod",Attribute=/Script/DSAbilitySystem.DungeonSiegeMagicAttributeSet:CombatMagicMinDamageMod,AttributeOwner=Class'"/Script/DSAbilitySystem.DungeonSiegeMagicAttributeSet"')</v>
      </c>
      <c r="H600" s="43">
        <v>1</v>
      </c>
      <c r="I600" s="43" t="str">
        <f t="shared" si="32"/>
        <v>GE_Suffix_of_Struggle</v>
      </c>
      <c r="J600" s="43" t="str">
        <f t="shared" si="33"/>
        <v>/Game/DungeonSiege/Blueprints/GameplayAbilities/Affixes/GE_Suffix_of_Struggle</v>
      </c>
    </row>
    <row r="601" spans="1:10" ht="33.75" x14ac:dyDescent="0.25">
      <c r="A601" s="43">
        <v>599</v>
      </c>
      <c r="B601" s="43">
        <f>VLOOKUP(C601,CHOOSE({2,1},Suffix!B$2:B$412,Suffix!C$2:C$412),2,FALSE)</f>
        <v>101712753</v>
      </c>
      <c r="C601" s="43" t="s">
        <v>2092</v>
      </c>
      <c r="D601" s="43" t="s">
        <v>1882</v>
      </c>
      <c r="E601" s="43" t="str">
        <f>VLOOKUP(F601,CHOOSE({2,1},Attributes!B$3:B$130,Attributes!C$3:C$129),2,FALSE)</f>
        <v>DungeonSiegeDamageAttributeSet</v>
      </c>
      <c r="F601" s="43" t="str">
        <f>Attributes!C20</f>
        <v>MaxDamageMod</v>
      </c>
      <c r="G601" s="43" t="str">
        <f t="shared" si="31"/>
        <v>(AttributeName="MaxDamageMod",Attribute=/Script/DSAbilitySystem.DungeonSiegeDamageAttributeSet:MaxDamageMod,AttributeOwner=Class'"/Script/DSAbilitySystem.DungeonSiegeDamageAttributeSet"')</v>
      </c>
      <c r="H601" s="43">
        <v>3</v>
      </c>
      <c r="I601" s="43" t="str">
        <f t="shared" si="32"/>
        <v>GE_Suffix_of_the_Sparrow</v>
      </c>
      <c r="J601" s="43" t="str">
        <f t="shared" si="33"/>
        <v>/Game/DungeonSiege/Blueprints/GameplayAbilities/Affixes/GE_Suffix_of_the_Sparrow</v>
      </c>
    </row>
    <row r="602" spans="1:10" ht="33.75" x14ac:dyDescent="0.25">
      <c r="A602" s="43">
        <v>600</v>
      </c>
      <c r="B602" s="43">
        <f>VLOOKUP(C602,CHOOSE({2,1},Suffix!B$2:B$412,Suffix!C$2:C$412),2,FALSE)</f>
        <v>101712754</v>
      </c>
      <c r="C602" s="43" t="s">
        <v>2094</v>
      </c>
      <c r="D602" s="43" t="s">
        <v>1907</v>
      </c>
      <c r="E602" s="43" t="str">
        <f>VLOOKUP(F602,CHOOSE({2,1},Attributes!B$3:B$130,Attributes!C$3:C$129),2,FALSE)</f>
        <v>DungeonSiegeMagicAttributeSet</v>
      </c>
      <c r="F602" s="43" t="str">
        <f>Attributes!C39</f>
        <v>NatureMagicMaxDamageMod</v>
      </c>
      <c r="G602" s="43" t="str">
        <f t="shared" si="31"/>
        <v>(AttributeName="NatureMagicMaxDamageMod",Attribute=/Script/DSAbilitySystem.DungeonSiegeMagicAttributeSet:NatureMagicMaxDamageMod,AttributeOwner=Class'"/Script/DSAbilitySystem.DungeonSiegeMagicAttributeSet"')</v>
      </c>
      <c r="H602" s="43">
        <v>1</v>
      </c>
      <c r="I602" s="43" t="str">
        <f t="shared" si="32"/>
        <v>GE_Suffix_of_Greatness</v>
      </c>
      <c r="J602" s="43" t="str">
        <f t="shared" si="33"/>
        <v>/Game/DungeonSiege/Blueprints/GameplayAbilities/Affixes/GE_Suffix_of_Greatness</v>
      </c>
    </row>
    <row r="603" spans="1:10" ht="33.75" x14ac:dyDescent="0.25">
      <c r="A603" s="43">
        <v>601</v>
      </c>
      <c r="B603" s="43">
        <f>VLOOKUP(C603,CHOOSE({2,1},Suffix!B$2:B$412,Suffix!C$2:C$412),2,FALSE)</f>
        <v>101712755</v>
      </c>
      <c r="C603" s="43" t="s">
        <v>2096</v>
      </c>
      <c r="D603" s="43" t="s">
        <v>1680</v>
      </c>
      <c r="E603" s="43" t="str">
        <f>VLOOKUP(F603,CHOOSE({2,1},Attributes!B$3:B$130,Attributes!C$3:C$129),2,FALSE)</f>
        <v>DungeonSiegeMagicAttributeSet</v>
      </c>
      <c r="F603" s="43" t="str">
        <f>Attributes!C42</f>
        <v>CombatMagicMaxDamageMod</v>
      </c>
      <c r="G603" s="43" t="str">
        <f t="shared" si="31"/>
        <v>(AttributeName="CombatMagicMaxDamageMod",Attribute=/Script/DSAbilitySystem.DungeonSiegeMagicAttributeSet:CombatMagicMaxDamageMod,AttributeOwner=Class'"/Script/DSAbilitySystem.DungeonSiegeMagicAttributeSet"')</v>
      </c>
      <c r="H603" s="43">
        <v>1</v>
      </c>
      <c r="I603" s="43" t="str">
        <f t="shared" si="32"/>
        <v>GE_Suffix_of_Strife</v>
      </c>
      <c r="J603" s="43" t="str">
        <f t="shared" si="33"/>
        <v>/Game/DungeonSiege/Blueprints/GameplayAbilities/Affixes/GE_Suffix_of_Strife</v>
      </c>
    </row>
    <row r="604" spans="1:10" s="23" customFormat="1" ht="33.75" x14ac:dyDescent="0.25">
      <c r="A604" s="43">
        <v>602</v>
      </c>
      <c r="B604" s="43">
        <f>VLOOKUP(C604,CHOOSE({2,1},Suffix!B$2:B$412,Suffix!C$2:C$412),2,FALSE)</f>
        <v>101712756</v>
      </c>
      <c r="C604" s="43" t="s">
        <v>2098</v>
      </c>
      <c r="D604" s="43" t="s">
        <v>1138</v>
      </c>
      <c r="E604" s="43" t="str">
        <f>VLOOKUP(F604,CHOOSE({2,1},Attributes!B$3:B$130,Attributes!C$3:C$129),2,FALSE)</f>
        <v>DungeonSiegeDamageAttributeSet</v>
      </c>
      <c r="F604" s="43" t="str">
        <f>Attributes!C19</f>
        <v>MinDamageMod</v>
      </c>
      <c r="G604" s="43" t="str">
        <f t="shared" si="31"/>
        <v>(AttributeName="MinDamageMod",Attribute=/Script/DSAbilitySystem.DungeonSiegeDamageAttributeSet:MinDamageMod,AttributeOwner=Class'"/Script/DSAbilitySystem.DungeonSiegeDamageAttributeSet"')</v>
      </c>
      <c r="H604" s="43">
        <v>1</v>
      </c>
      <c r="I604" s="43" t="str">
        <f t="shared" si="32"/>
        <v>GE_Suffix_of_Span</v>
      </c>
      <c r="J604" s="43" t="str">
        <f t="shared" si="33"/>
        <v>/Game/DungeonSiege/Blueprints/GameplayAbilities/Affixes/GE_Suffix_of_Span</v>
      </c>
    </row>
    <row r="605" spans="1:10" ht="33.75" x14ac:dyDescent="0.25">
      <c r="A605" s="43">
        <v>603</v>
      </c>
      <c r="B605" s="43">
        <f>VLOOKUP(C605,CHOOSE({2,1},Suffix!B$2:B$412,Suffix!C$2:C$412),2,FALSE)</f>
        <v>101712756</v>
      </c>
      <c r="C605" s="43" t="s">
        <v>2098</v>
      </c>
      <c r="D605" s="43" t="s">
        <v>1138</v>
      </c>
      <c r="E605" s="43" t="str">
        <f>VLOOKUP(F605,CHOOSE({2,1},Attributes!B$3:B$130,Attributes!C$3:C$129),2,FALSE)</f>
        <v>DungeonSiegeDamageAttributeSet</v>
      </c>
      <c r="F605" s="43" t="str">
        <f>Attributes!C20</f>
        <v>MaxDamageMod</v>
      </c>
      <c r="G605" s="43" t="str">
        <f t="shared" si="31"/>
        <v>(AttributeName="MaxDamageMod",Attribute=/Script/DSAbilitySystem.DungeonSiegeDamageAttributeSet:MaxDamageMod,AttributeOwner=Class'"/Script/DSAbilitySystem.DungeonSiegeDamageAttributeSet"')</v>
      </c>
      <c r="H605" s="43">
        <v>4</v>
      </c>
      <c r="I605" s="43" t="str">
        <f t="shared" si="32"/>
        <v>GE_Suffix_of_Span</v>
      </c>
      <c r="J605" s="43" t="str">
        <f t="shared" si="33"/>
        <v>/Game/DungeonSiege/Blueprints/GameplayAbilities/Affixes/GE_Suffix_of_Span</v>
      </c>
    </row>
    <row r="606" spans="1:10" s="23" customFormat="1" ht="33.75" x14ac:dyDescent="0.25">
      <c r="A606" s="43">
        <v>604</v>
      </c>
      <c r="B606" s="43">
        <f>VLOOKUP(C606,CHOOSE({2,1},Suffix!B$2:B$412,Suffix!C$2:C$412),2,FALSE)</f>
        <v>101712757</v>
      </c>
      <c r="C606" s="43" t="s">
        <v>2100</v>
      </c>
      <c r="D606" s="43" t="s">
        <v>2101</v>
      </c>
      <c r="E606" s="43" t="str">
        <f>VLOOKUP(F606,CHOOSE({2,1},Attributes!B$3:B$130,Attributes!C$3:C$129),2,FALSE)</f>
        <v>DungeonSiegeElementalAttributeSet</v>
      </c>
      <c r="F606" s="43" t="str">
        <f>Attributes!C103</f>
        <v>FireDamageMinDamageMod</v>
      </c>
      <c r="G606" s="43" t="str">
        <f t="shared" si="31"/>
        <v>(AttributeName="FireDamageMinDamageMod",Attribute=/Script/DSAbilitySystem.DungeonSiegeElementalAttributeSet:FireDamageMinDamageMod,AttributeOwner=Class'"/Script/DSAbilitySystem.DungeonSiegeElementalAttributeSet"')</v>
      </c>
      <c r="H606" s="43">
        <v>3</v>
      </c>
      <c r="I606" s="43" t="str">
        <f t="shared" si="32"/>
        <v>GE_Suffix_of_Singeing</v>
      </c>
      <c r="J606" s="43" t="str">
        <f t="shared" si="33"/>
        <v>/Game/DungeonSiege/Blueprints/GameplayAbilities/Affixes/GE_Suffix_of_Singeing</v>
      </c>
    </row>
    <row r="607" spans="1:10" ht="33.75" x14ac:dyDescent="0.25">
      <c r="A607" s="43">
        <v>605</v>
      </c>
      <c r="B607" s="43">
        <f>VLOOKUP(C607,CHOOSE({2,1},Suffix!B$2:B$412,Suffix!C$2:C$412),2,FALSE)</f>
        <v>101712757</v>
      </c>
      <c r="C607" s="43" t="s">
        <v>2100</v>
      </c>
      <c r="D607" s="43" t="s">
        <v>2101</v>
      </c>
      <c r="E607" s="43" t="str">
        <f>VLOOKUP(F607,CHOOSE({2,1},Attributes!B$3:B$130,Attributes!C$3:C$129),2,FALSE)</f>
        <v>DungeonSiegeElementalAttributeSet</v>
      </c>
      <c r="F607" s="43" t="str">
        <f>Attributes!C104</f>
        <v>FireDamageMaxDamageMod</v>
      </c>
      <c r="G607" s="43" t="str">
        <f t="shared" si="31"/>
        <v>(AttributeName="FireDamageMaxDamageMod",Attribute=/Script/DSAbilitySystem.DungeonSiegeElementalAttributeSet:FireDamageMaxDamageMod,AttributeOwner=Class'"/Script/DSAbilitySystem.DungeonSiegeElementalAttributeSet"')</v>
      </c>
      <c r="H607" s="43">
        <v>5</v>
      </c>
      <c r="I607" s="43" t="str">
        <f t="shared" si="32"/>
        <v>GE_Suffix_of_Singeing</v>
      </c>
      <c r="J607" s="43" t="str">
        <f t="shared" si="33"/>
        <v>/Game/DungeonSiege/Blueprints/GameplayAbilities/Affixes/GE_Suffix_of_Singeing</v>
      </c>
    </row>
    <row r="608" spans="1:10" s="23" customFormat="1" ht="33.75" x14ac:dyDescent="0.25">
      <c r="A608" s="43">
        <v>606</v>
      </c>
      <c r="B608" s="43">
        <f>VLOOKUP(C608,CHOOSE({2,1},Suffix!B$2:B$412,Suffix!C$2:C$412),2,FALSE)</f>
        <v>101712758</v>
      </c>
      <c r="C608" s="43" t="s">
        <v>2103</v>
      </c>
      <c r="D608" s="43" t="s">
        <v>2104</v>
      </c>
      <c r="E608" s="43" t="str">
        <f>VLOOKUP(F608,CHOOSE({2,1},Attributes!B$3:B$130,Attributes!C$3:C$129),2,FALSE)</f>
        <v>DungeonSiegeElementalAttributeSet</v>
      </c>
      <c r="F608" s="43" t="str">
        <f>Attributes!C103</f>
        <v>FireDamageMinDamageMod</v>
      </c>
      <c r="G608" s="43" t="str">
        <f t="shared" si="31"/>
        <v>(AttributeName="FireDamageMinDamageMod",Attribute=/Script/DSAbilitySystem.DungeonSiegeElementalAttributeSet:FireDamageMinDamageMod,AttributeOwner=Class'"/Script/DSAbilitySystem.DungeonSiegeElementalAttributeSet"')</v>
      </c>
      <c r="H608" s="43">
        <v>2</v>
      </c>
      <c r="I608" s="43" t="str">
        <f t="shared" si="32"/>
        <v>GE_Suffix_of_Ash</v>
      </c>
      <c r="J608" s="43" t="str">
        <f t="shared" si="33"/>
        <v>/Game/DungeonSiege/Blueprints/GameplayAbilities/Affixes/GE_Suffix_of_Ash</v>
      </c>
    </row>
    <row r="609" spans="1:10" ht="33.75" x14ac:dyDescent="0.25">
      <c r="A609" s="43">
        <v>607</v>
      </c>
      <c r="B609" s="43">
        <f>VLOOKUP(C609,CHOOSE({2,1},Suffix!B$2:B$412,Suffix!C$2:C$412),2,FALSE)</f>
        <v>101712758</v>
      </c>
      <c r="C609" s="43" t="s">
        <v>2103</v>
      </c>
      <c r="D609" s="43" t="s">
        <v>2104</v>
      </c>
      <c r="E609" s="43" t="str">
        <f>VLOOKUP(F609,CHOOSE({2,1},Attributes!B$3:B$130,Attributes!C$3:C$129),2,FALSE)</f>
        <v>DungeonSiegeElementalAttributeSet</v>
      </c>
      <c r="F609" s="43" t="str">
        <f>Attributes!C104</f>
        <v>FireDamageMaxDamageMod</v>
      </c>
      <c r="G609" s="43" t="str">
        <f t="shared" si="31"/>
        <v>(AttributeName="FireDamageMaxDamageMod",Attribute=/Script/DSAbilitySystem.DungeonSiegeElementalAttributeSet:FireDamageMaxDamageMod,AttributeOwner=Class'"/Script/DSAbilitySystem.DungeonSiegeElementalAttributeSet"')</v>
      </c>
      <c r="H609" s="43">
        <v>3</v>
      </c>
      <c r="I609" s="43" t="str">
        <f t="shared" si="32"/>
        <v>GE_Suffix_of_Ash</v>
      </c>
      <c r="J609" s="43" t="str">
        <f t="shared" si="33"/>
        <v>/Game/DungeonSiege/Blueprints/GameplayAbilities/Affixes/GE_Suffix_of_Ash</v>
      </c>
    </row>
    <row r="610" spans="1:10" ht="33.75" x14ac:dyDescent="0.25">
      <c r="A610" s="43">
        <v>608</v>
      </c>
      <c r="B610" s="43">
        <f>VLOOKUP(C610,CHOOSE({2,1},Suffix!B$2:B$412,Suffix!C$2:C$412),2,FALSE)</f>
        <v>101712759</v>
      </c>
      <c r="C610" s="43" t="s">
        <v>2106</v>
      </c>
      <c r="D610" s="43" t="s">
        <v>2107</v>
      </c>
      <c r="E610" s="43" t="str">
        <f>VLOOKUP(F610,CHOOSE({2,1},Attributes!B$3:B$130,Attributes!C$3:C$129),2,FALSE)</f>
        <v>DungeonSiegeDamageAttributeSet</v>
      </c>
      <c r="F610" s="43" t="str">
        <f>Attributes!C20</f>
        <v>MaxDamageMod</v>
      </c>
      <c r="G610" s="43" t="str">
        <f t="shared" si="31"/>
        <v>(AttributeName="MaxDamageMod",Attribute=/Script/DSAbilitySystem.DungeonSiegeDamageAttributeSet:MaxDamageMod,AttributeOwner=Class'"/Script/DSAbilitySystem.DungeonSiegeDamageAttributeSet"')</v>
      </c>
      <c r="H610" s="43">
        <v>4</v>
      </c>
      <c r="I610" s="43" t="str">
        <f t="shared" si="32"/>
        <v>GE_Suffix_of_Illness</v>
      </c>
      <c r="J610" s="43" t="str">
        <f t="shared" si="33"/>
        <v>/Game/DungeonSiege/Blueprints/GameplayAbilities/Affixes/GE_Suffix_of_Illness</v>
      </c>
    </row>
    <row r="611" spans="1:10" ht="33.75" x14ac:dyDescent="0.25">
      <c r="A611" s="43">
        <v>609</v>
      </c>
      <c r="B611" s="43">
        <f>VLOOKUP(C611,CHOOSE({2,1},Suffix!B$2:B$412,Suffix!C$2:C$412),2,FALSE)</f>
        <v>101712760</v>
      </c>
      <c r="C611" s="43" t="s">
        <v>2109</v>
      </c>
      <c r="D611" s="43" t="s">
        <v>2110</v>
      </c>
      <c r="E611" s="43" t="str">
        <f>VLOOKUP(F611,CHOOSE({2,1},Attributes!B$3:B$130,Attributes!C$3:C$129),2,FALSE)</f>
        <v>DungeonSiegeDamageAttributeSet</v>
      </c>
      <c r="F611" s="43" t="str">
        <f>Attributes!C20</f>
        <v>MaxDamageMod</v>
      </c>
      <c r="G611" s="43" t="str">
        <f t="shared" si="31"/>
        <v>(AttributeName="MaxDamageMod",Attribute=/Script/DSAbilitySystem.DungeonSiegeDamageAttributeSet:MaxDamageMod,AttributeOwner=Class'"/Script/DSAbilitySystem.DungeonSiegeDamageAttributeSet"')</v>
      </c>
      <c r="H611" s="43">
        <v>3</v>
      </c>
      <c r="I611" s="43" t="str">
        <f t="shared" si="32"/>
        <v>GE_Suffix_of_Sickness</v>
      </c>
      <c r="J611" s="43" t="str">
        <f t="shared" si="33"/>
        <v>/Game/DungeonSiege/Blueprints/GameplayAbilities/Affixes/GE_Suffix_of_Sickness</v>
      </c>
    </row>
    <row r="612" spans="1:10" s="23" customFormat="1" ht="33.75" x14ac:dyDescent="0.25">
      <c r="A612" s="43">
        <v>610</v>
      </c>
      <c r="B612" s="43">
        <f>VLOOKUP(C612,CHOOSE({2,1},Suffix!B$2:B$412,Suffix!C$2:C$412),2,FALSE)</f>
        <v>101712761</v>
      </c>
      <c r="C612" s="43" t="s">
        <v>2112</v>
      </c>
      <c r="D612" s="43" t="s">
        <v>3287</v>
      </c>
      <c r="E612" s="43" t="str">
        <f>VLOOKUP(F612,CHOOSE({2,1},Attributes!B$3:B$130,Attributes!C$3:C$129),2,FALSE)</f>
        <v>DungeonSiegeHealthAttributeSet</v>
      </c>
      <c r="F612" s="43" t="str">
        <f>Attributes!C82</f>
        <v>BaseHealthBonus</v>
      </c>
      <c r="G612" s="43" t="str">
        <f t="shared" si="31"/>
        <v>(AttributeName="BaseHealthBonus",Attribute=/Script/DSAbilitySystem.DungeonSiegeHealthAttributeSet:BaseHealthBonus,AttributeOwner=Class'"/Script/DSAbilitySystem.DungeonSiegeHealthAttributeSet"')</v>
      </c>
      <c r="H612" s="43">
        <v>13</v>
      </c>
      <c r="I612" s="43" t="str">
        <f t="shared" si="32"/>
        <v>GE_Suffix_of_Influence</v>
      </c>
      <c r="J612" s="43" t="str">
        <f t="shared" si="33"/>
        <v>/Game/DungeonSiege/Blueprints/GameplayAbilities/Affixes/GE_Suffix_of_Influence</v>
      </c>
    </row>
    <row r="613" spans="1:10" s="23" customFormat="1" ht="33.75" x14ac:dyDescent="0.25">
      <c r="A613" s="43">
        <v>611</v>
      </c>
      <c r="B613" s="43">
        <f>VLOOKUP(C613,CHOOSE({2,1},Suffix!B$2:B$412,Suffix!C$2:C$412),2,FALSE)</f>
        <v>101712761</v>
      </c>
      <c r="C613" s="43" t="s">
        <v>2112</v>
      </c>
      <c r="D613" s="43" t="s">
        <v>934</v>
      </c>
      <c r="E613" s="43" t="str">
        <f>VLOOKUP(F613,CHOOSE({2,1},Attributes!B$3:B$130,Attributes!C$3:C$129),2,FALSE)</f>
        <v>DungeonSiegePerHitAttributeSet</v>
      </c>
      <c r="F613" s="43" t="str">
        <f>Attributes!C11</f>
        <v>HealthPerHit</v>
      </c>
      <c r="G613" s="43" t="str">
        <f t="shared" si="31"/>
        <v>(AttributeName="HealthPerHit",Attribute=/Script/DSAbilitySystem.DungeonSiegePerHitAttributeSet:HealthPerHit,AttributeOwner=Class'"/Script/DSAbilitySystem.DungeonSiegePerHitAttributeSet"')</v>
      </c>
      <c r="H613" s="43">
        <v>1</v>
      </c>
      <c r="I613" s="43" t="str">
        <f t="shared" si="32"/>
        <v>GE_Suffix_of_Influence</v>
      </c>
      <c r="J613" s="43" t="str">
        <f t="shared" si="33"/>
        <v>/Game/DungeonSiege/Blueprints/GameplayAbilities/Affixes/GE_Suffix_of_Influence</v>
      </c>
    </row>
    <row r="614" spans="1:10" ht="33.75" x14ac:dyDescent="0.25">
      <c r="A614" s="43">
        <v>612</v>
      </c>
      <c r="B614" s="43">
        <f>VLOOKUP(C614,CHOOSE({2,1},Suffix!B$2:B$412,Suffix!C$2:C$412),2,FALSE)</f>
        <v>101712761</v>
      </c>
      <c r="C614" s="43" t="s">
        <v>2112</v>
      </c>
      <c r="D614" s="43" t="s">
        <v>881</v>
      </c>
      <c r="E614" s="43" t="str">
        <f>VLOOKUP(F614,CHOOSE({2,1},Attributes!B$3:B$130,Attributes!C$3:C$129),2,FALSE)</f>
        <v>DungeonSiegePerHitAttributeSet</v>
      </c>
      <c r="F614" s="43" t="str">
        <f>Attributes!C14</f>
        <v>ManaStealPerHit</v>
      </c>
      <c r="G614" s="43" t="str">
        <f t="shared" si="31"/>
        <v>(AttributeName="ManaStealPerHit",Attribute=/Script/DSAbilitySystem.DungeonSiegePerHitAttributeSet:ManaStealPerHit,AttributeOwner=Class'"/Script/DSAbilitySystem.DungeonSiegePerHitAttributeSet"')</v>
      </c>
      <c r="H614" s="43">
        <v>1</v>
      </c>
      <c r="I614" s="43" t="str">
        <f t="shared" si="32"/>
        <v>GE_Suffix_of_Influence</v>
      </c>
      <c r="J614" s="43" t="str">
        <f t="shared" si="33"/>
        <v>/Game/DungeonSiege/Blueprints/GameplayAbilities/Affixes/GE_Suffix_of_Influence</v>
      </c>
    </row>
    <row r="615" spans="1:10" s="23" customFormat="1" ht="33.75" x14ac:dyDescent="0.25">
      <c r="A615" s="43">
        <v>613</v>
      </c>
      <c r="B615" s="43">
        <f>VLOOKUP(C615,CHOOSE({2,1},Suffix!B$2:B$412,Suffix!C$2:C$412),2,FALSE)</f>
        <v>101712768</v>
      </c>
      <c r="C615" s="43" t="s">
        <v>2114</v>
      </c>
      <c r="D615" s="43" t="s">
        <v>3198</v>
      </c>
      <c r="E615" s="43" t="str">
        <f>VLOOKUP(F615,CHOOSE({2,1},Attributes!B$3:B$130,Attributes!C$3:C$129),2,FALSE)</f>
        <v>DungeonSiegeHealthAttributeSet</v>
      </c>
      <c r="F615" s="43" t="str">
        <f>Attributes!C82</f>
        <v>BaseHealthBonus</v>
      </c>
      <c r="G615" s="43" t="str">
        <f t="shared" si="31"/>
        <v>(AttributeName="BaseHealthBonus",Attribute=/Script/DSAbilitySystem.DungeonSiegeHealthAttributeSet:BaseHealthBonus,AttributeOwner=Class'"/Script/DSAbilitySystem.DungeonSiegeHealthAttributeSet"')</v>
      </c>
      <c r="H615" s="43">
        <v>8</v>
      </c>
      <c r="I615" s="43" t="str">
        <f t="shared" si="32"/>
        <v>GE_Suffix_of_Seasons</v>
      </c>
      <c r="J615" s="43" t="str">
        <f t="shared" si="33"/>
        <v>/Game/DungeonSiege/Blueprints/GameplayAbilities/Affixes/GE_Suffix_of_Seasons</v>
      </c>
    </row>
    <row r="616" spans="1:10" s="23" customFormat="1" ht="33.75" x14ac:dyDescent="0.25">
      <c r="A616" s="43">
        <v>614</v>
      </c>
      <c r="B616" s="43">
        <f>VLOOKUP(C616,CHOOSE({2,1},Suffix!B$2:B$412,Suffix!C$2:C$412),2,FALSE)</f>
        <v>101712768</v>
      </c>
      <c r="C616" s="43" t="s">
        <v>2114</v>
      </c>
      <c r="D616" s="43" t="s">
        <v>934</v>
      </c>
      <c r="E616" s="43" t="str">
        <f>VLOOKUP(F616,CHOOSE({2,1},Attributes!B$3:B$130,Attributes!C$3:C$129),2,FALSE)</f>
        <v>DungeonSiegePerHitAttributeSet</v>
      </c>
      <c r="F616" s="43" t="str">
        <f>Attributes!C11</f>
        <v>HealthPerHit</v>
      </c>
      <c r="G616" s="43" t="str">
        <f t="shared" si="31"/>
        <v>(AttributeName="HealthPerHit",Attribute=/Script/DSAbilitySystem.DungeonSiegePerHitAttributeSet:HealthPerHit,AttributeOwner=Class'"/Script/DSAbilitySystem.DungeonSiegePerHitAttributeSet"')</v>
      </c>
      <c r="H616" s="43">
        <v>1</v>
      </c>
      <c r="I616" s="43" t="str">
        <f t="shared" si="32"/>
        <v>GE_Suffix_of_Seasons</v>
      </c>
      <c r="J616" s="43" t="str">
        <f t="shared" si="33"/>
        <v>/Game/DungeonSiege/Blueprints/GameplayAbilities/Affixes/GE_Suffix_of_Seasons</v>
      </c>
    </row>
    <row r="617" spans="1:10" ht="33.75" x14ac:dyDescent="0.25">
      <c r="A617" s="43">
        <v>615</v>
      </c>
      <c r="B617" s="43">
        <f>VLOOKUP(C617,CHOOSE({2,1},Suffix!B$2:B$412,Suffix!C$2:C$412),2,FALSE)</f>
        <v>101712768</v>
      </c>
      <c r="C617" s="43" t="s">
        <v>2114</v>
      </c>
      <c r="D617" s="43" t="s">
        <v>884</v>
      </c>
      <c r="E617" s="43" t="str">
        <f>VLOOKUP(F617,CHOOSE({2,1},Attributes!B$3:B$130,Attributes!C$3:C$129),2,FALSE)</f>
        <v>DungeonSiegePerHitAttributeSet</v>
      </c>
      <c r="F617" s="43" t="str">
        <f>Attributes!C12</f>
        <v>ManaPerHit</v>
      </c>
      <c r="G617" s="43" t="str">
        <f t="shared" si="31"/>
        <v>(AttributeName="ManaPerHit",Attribute=/Script/DSAbilitySystem.DungeonSiegePerHitAttributeSet:ManaPerHit,AttributeOwner=Class'"/Script/DSAbilitySystem.DungeonSiegePerHitAttributeSet"')</v>
      </c>
      <c r="H617" s="43">
        <v>1</v>
      </c>
      <c r="I617" s="43" t="str">
        <f t="shared" si="32"/>
        <v>GE_Suffix_of_Seasons</v>
      </c>
      <c r="J617" s="43" t="str">
        <f t="shared" si="33"/>
        <v>/Game/DungeonSiege/Blueprints/GameplayAbilities/Affixes/GE_Suffix_of_Seasons</v>
      </c>
    </row>
    <row r="618" spans="1:10" ht="33.75" x14ac:dyDescent="0.25">
      <c r="A618" s="43">
        <v>616</v>
      </c>
      <c r="B618" s="43">
        <f>VLOOKUP(C618,CHOOSE({2,1},Suffix!B$2:B$412,Suffix!C$2:C$412),2,FALSE)</f>
        <v>101712769</v>
      </c>
      <c r="C618" s="43" t="s">
        <v>2116</v>
      </c>
      <c r="D618" s="43" t="s">
        <v>2117</v>
      </c>
      <c r="E618" s="43" t="str">
        <f>VLOOKUP(F618,CHOOSE({2,1},Attributes!B$3:B$130,Attributes!C$3:C$129),2,FALSE)</f>
        <v>DungeonSiegeCastOnHitAttributeSet</v>
      </c>
      <c r="F618" s="43" t="str">
        <f>Attributes!C116</f>
        <v>ChanceToCastFireshotOnHit</v>
      </c>
      <c r="G618" s="43" t="str">
        <f t="shared" si="31"/>
        <v>(AttributeName="ChanceToCastFireshotOnHit",Attribute=/Script/DSAbilitySystem.DungeonSiegeCastOnHitAttributeSet:ChanceToCastFireshotOnHit,AttributeOwner=Class'"/Script/DSAbilitySystem.DungeonSiegeCastOnHitAttributeSet"')</v>
      </c>
      <c r="H618" s="43">
        <v>10</v>
      </c>
      <c r="I618" s="43" t="str">
        <f t="shared" si="32"/>
        <v>GE_Suffix_of_Lesser_Fireshot</v>
      </c>
      <c r="J618" s="43" t="str">
        <f t="shared" si="33"/>
        <v>/Game/DungeonSiege/Blueprints/GameplayAbilities/Affixes/GE_Suffix_of_Lesser_Fireshot</v>
      </c>
    </row>
    <row r="619" spans="1:10" s="23" customFormat="1" ht="14.25" customHeight="1" x14ac:dyDescent="0.25">
      <c r="A619" s="43">
        <v>617</v>
      </c>
      <c r="B619" s="43">
        <f>VLOOKUP(C619,CHOOSE({2,1},Suffix!B$2:B$412,Suffix!C$2:C$412),2,FALSE)</f>
        <v>101712770</v>
      </c>
      <c r="C619" s="43" t="s">
        <v>2119</v>
      </c>
      <c r="D619" s="43" t="s">
        <v>3302</v>
      </c>
      <c r="E619" s="43" t="str">
        <f>VLOOKUP(F619,CHOOSE({2,1},Attributes!B$3:B$130,Attributes!C$3:C$129),2,FALSE)</f>
        <v>DungeonSiegeCastOnHitAttributeSet</v>
      </c>
      <c r="F619" s="43" t="str">
        <f>Attributes!C117</f>
        <v>ChanceToCastZapOnHit</v>
      </c>
      <c r="G619" s="43" t="str">
        <f t="shared" si="31"/>
        <v>(AttributeName="ChanceToCastZapOnHit",Attribute=/Script/DSAbilitySystem.DungeonSiegeCastOnHitAttributeSet:ChanceToCastZapOnHit,AttributeOwner=Class'"/Script/DSAbilitySystem.DungeonSiegeCastOnHitAttributeSet"')</v>
      </c>
      <c r="H619" s="43">
        <v>6</v>
      </c>
      <c r="I619" s="43" t="str">
        <f t="shared" si="32"/>
        <v>GE_Suffix_of_Zest</v>
      </c>
      <c r="J619" s="43" t="str">
        <f t="shared" si="33"/>
        <v>/Game/DungeonSiege/Blueprints/GameplayAbilities/Affixes/GE_Suffix_of_Zest</v>
      </c>
    </row>
    <row r="620" spans="1:10" s="23" customFormat="1" ht="14.25" customHeight="1" x14ac:dyDescent="0.25">
      <c r="A620" s="43">
        <v>618</v>
      </c>
      <c r="B620" s="43">
        <f>VLOOKUP(C620,CHOOSE({2,1},Suffix!B$2:B$412,Suffix!C$2:C$412),2,FALSE)</f>
        <v>101712770</v>
      </c>
      <c r="C620" s="43" t="s">
        <v>2119</v>
      </c>
      <c r="D620" s="43" t="s">
        <v>3303</v>
      </c>
      <c r="E620" s="43" t="str">
        <f>VLOOKUP(F620,CHOOSE({2,1},Attributes!B$3:B$130,Attributes!C$3:C$129),2,FALSE)</f>
        <v>DungeonSiegeDamageAttributeSet</v>
      </c>
      <c r="F620" s="43" t="str">
        <f>Attributes!C21</f>
        <v>PercentDamageReflectedToEnemy</v>
      </c>
      <c r="G620" s="43" t="str">
        <f t="shared" si="31"/>
        <v>(AttributeName="PercentDamageReflectedToEnemy",Attribute=/Script/DSAbilitySystem.DungeonSiegeDamageAttributeSet:PercentDamageReflectedToEnemy,AttributeOwner=Class'"/Script/DSAbilitySystem.DungeonSiegeDamageAttributeSet"')</v>
      </c>
      <c r="H620" s="43">
        <v>1</v>
      </c>
      <c r="I620" s="43" t="str">
        <f t="shared" si="32"/>
        <v>GE_Suffix_of_Zest</v>
      </c>
      <c r="J620" s="43" t="str">
        <f t="shared" si="33"/>
        <v>/Game/DungeonSiege/Blueprints/GameplayAbilities/Affixes/GE_Suffix_of_Zest</v>
      </c>
    </row>
    <row r="621" spans="1:10" ht="14.25" customHeight="1" x14ac:dyDescent="0.25">
      <c r="A621" s="43">
        <v>619</v>
      </c>
      <c r="B621" s="43">
        <f>VLOOKUP(C621,CHOOSE({2,1},Suffix!B$2:B$412,Suffix!C$2:C$412),2,FALSE)</f>
        <v>101712770</v>
      </c>
      <c r="C621" s="43" t="s">
        <v>2119</v>
      </c>
      <c r="D621" s="43" t="s">
        <v>201</v>
      </c>
      <c r="E621" s="43" t="str">
        <f>VLOOKUP(F621,CHOOSE({2,1},Attributes!B$3:B$130,Attributes!C$3:C$129),2,FALSE)</f>
        <v>DungeonSiegeDefenseAttributeSet</v>
      </c>
      <c r="F621" s="43" t="str">
        <f>Attributes!C10</f>
        <v>ArmorRating</v>
      </c>
      <c r="G621" s="43" t="str">
        <f t="shared" si="31"/>
        <v>(AttributeName="ArmorRating",Attribute=/Script/DSAbilitySystem.DungeonSiegeDefenseAttributeSet:ArmorRating,AttributeOwner=Class'"/Script/DSAbilitySystem.DungeonSiegeDefenseAttributeSet"')</v>
      </c>
      <c r="H621" s="43">
        <v>6</v>
      </c>
      <c r="I621" s="43" t="str">
        <f t="shared" si="32"/>
        <v>GE_Suffix_of_Zest</v>
      </c>
      <c r="J621" s="43" t="str">
        <f t="shared" si="33"/>
        <v>/Game/DungeonSiege/Blueprints/GameplayAbilities/Affixes/GE_Suffix_of_Zest</v>
      </c>
    </row>
    <row r="622" spans="1:10" ht="33.75" x14ac:dyDescent="0.25">
      <c r="A622" s="43">
        <v>620</v>
      </c>
      <c r="B622" s="43">
        <f>VLOOKUP(C622,CHOOSE({2,1},Suffix!B$2:B$412,Suffix!C$2:C$412),2,FALSE)</f>
        <v>101712771</v>
      </c>
      <c r="C622" s="43" t="s">
        <v>46</v>
      </c>
      <c r="D622" s="43" t="s">
        <v>45</v>
      </c>
      <c r="E622" s="43" t="str">
        <f>VLOOKUP(F622,CHOOSE({2,1},Attributes!B$3:B$130,Attributes!C$3:C$129),2,FALSE)</f>
        <v>DungeonSiegeHealthAttributeSet</v>
      </c>
      <c r="F622" s="43" t="str">
        <f>Attributes!C82</f>
        <v>BaseHealthBonus</v>
      </c>
      <c r="G622" s="43" t="str">
        <f t="shared" si="31"/>
        <v>(AttributeName="BaseHealthBonus",Attribute=/Script/DSAbilitySystem.DungeonSiegeHealthAttributeSet:BaseHealthBonus,AttributeOwner=Class'"/Script/DSAbilitySystem.DungeonSiegeHealthAttributeSet"')</v>
      </c>
      <c r="H622" s="43">
        <v>17</v>
      </c>
      <c r="I622" s="43" t="str">
        <f t="shared" si="32"/>
        <v>GE_Suffix_of_the_Owl</v>
      </c>
      <c r="J622" s="43" t="str">
        <f t="shared" si="33"/>
        <v>/Game/DungeonSiege/Blueprints/GameplayAbilities/Affixes/GE_Suffix_of_the_Owl</v>
      </c>
    </row>
    <row r="623" spans="1:10" ht="33.75" x14ac:dyDescent="0.25">
      <c r="A623" s="43">
        <v>621</v>
      </c>
      <c r="B623" s="43">
        <f>VLOOKUP(C623,CHOOSE({2,1},Suffix!B$2:B$412,Suffix!C$2:C$412),2,FALSE)</f>
        <v>101712772</v>
      </c>
      <c r="C623" s="43" t="s">
        <v>43</v>
      </c>
      <c r="D623" s="43" t="s">
        <v>42</v>
      </c>
      <c r="E623" s="43" t="str">
        <f>VLOOKUP(F623,CHOOSE({2,1},Attributes!B$3:B$130,Attributes!C$3:C$129),2,FALSE)</f>
        <v>DungeonSiegeManaAttributeSet</v>
      </c>
      <c r="F623" s="43" t="str">
        <f>Attributes!C90</f>
        <v>BaseManaBonus</v>
      </c>
      <c r="G623" s="43" t="str">
        <f t="shared" si="31"/>
        <v>(AttributeName="BaseManaBonus",Attribute=/Script/DSAbilitySystem.DungeonSiegeManaAttributeSet:BaseManaBonus,AttributeOwner=Class'"/Script/DSAbilitySystem.DungeonSiegeManaAttributeSet"')</v>
      </c>
      <c r="H623" s="43">
        <v>29</v>
      </c>
      <c r="I623" s="43" t="str">
        <f t="shared" si="32"/>
        <v>GE_Suffix_of_Revival</v>
      </c>
      <c r="J623" s="43" t="str">
        <f t="shared" si="33"/>
        <v>/Game/DungeonSiege/Blueprints/GameplayAbilities/Affixes/GE_Suffix_of_Revival</v>
      </c>
    </row>
    <row r="624" spans="1:10" s="23" customFormat="1" ht="33.75" x14ac:dyDescent="0.25">
      <c r="A624" s="43">
        <v>622</v>
      </c>
      <c r="B624" s="43">
        <f>VLOOKUP(C624,CHOOSE({2,1},Suffix!B$2:B$412,Suffix!C$2:C$412),2,FALSE)</f>
        <v>101712773</v>
      </c>
      <c r="C624" s="43" t="s">
        <v>2121</v>
      </c>
      <c r="D624" s="43" t="s">
        <v>3304</v>
      </c>
      <c r="E624" s="43" t="str">
        <f>VLOOKUP(F624,CHOOSE({2,1},Attributes!B$3:B$130,Attributes!C$3:C$129),2,FALSE)</f>
        <v>DungeonSiegeHealthAttributeSet</v>
      </c>
      <c r="F624" s="43" t="str">
        <f>Attributes!C82</f>
        <v>BaseHealthBonus</v>
      </c>
      <c r="G624" s="43" t="str">
        <f t="shared" si="31"/>
        <v>(AttributeName="BaseHealthBonus",Attribute=/Script/DSAbilitySystem.DungeonSiegeHealthAttributeSet:BaseHealthBonus,AttributeOwner=Class'"/Script/DSAbilitySystem.DungeonSiegeHealthAttributeSet"')</v>
      </c>
      <c r="H624" s="43">
        <v>11</v>
      </c>
      <c r="I624" s="43" t="str">
        <f t="shared" si="32"/>
        <v>GE_Suffix_of_Promise</v>
      </c>
      <c r="J624" s="43" t="str">
        <f t="shared" si="33"/>
        <v>/Game/DungeonSiege/Blueprints/GameplayAbilities/Affixes/GE_Suffix_of_Promise</v>
      </c>
    </row>
    <row r="625" spans="1:10" s="23" customFormat="1" ht="33.75" x14ac:dyDescent="0.25">
      <c r="A625" s="43">
        <v>623</v>
      </c>
      <c r="B625" s="43">
        <f>VLOOKUP(C625,CHOOSE({2,1},Suffix!B$2:B$412,Suffix!C$2:C$412),2,FALSE)</f>
        <v>101712773</v>
      </c>
      <c r="C625" s="43" t="s">
        <v>2121</v>
      </c>
      <c r="D625" s="43" t="s">
        <v>884</v>
      </c>
      <c r="E625" s="43" t="str">
        <f>VLOOKUP(F625,CHOOSE({2,1},Attributes!B$3:B$130,Attributes!C$3:C$129),2,FALSE)</f>
        <v>DungeonSiegePerHitAttributeSet</v>
      </c>
      <c r="F625" s="43" t="str">
        <f>Attributes!C12</f>
        <v>ManaPerHit</v>
      </c>
      <c r="G625" s="43" t="str">
        <f t="shared" si="31"/>
        <v>(AttributeName="ManaPerHit",Attribute=/Script/DSAbilitySystem.DungeonSiegePerHitAttributeSet:ManaPerHit,AttributeOwner=Class'"/Script/DSAbilitySystem.DungeonSiegePerHitAttributeSet"')</v>
      </c>
      <c r="H625" s="43">
        <v>1</v>
      </c>
      <c r="I625" s="43" t="str">
        <f t="shared" si="32"/>
        <v>GE_Suffix_of_Promise</v>
      </c>
      <c r="J625" s="43" t="str">
        <f t="shared" si="33"/>
        <v>/Game/DungeonSiege/Blueprints/GameplayAbilities/Affixes/GE_Suffix_of_Promise</v>
      </c>
    </row>
    <row r="626" spans="1:10" ht="33.75" x14ac:dyDescent="0.25">
      <c r="A626" s="43">
        <v>624</v>
      </c>
      <c r="B626" s="43">
        <f>VLOOKUP(C626,CHOOSE({2,1},Suffix!B$2:B$412,Suffix!C$2:C$412),2,FALSE)</f>
        <v>101712773</v>
      </c>
      <c r="C626" s="43" t="s">
        <v>2121</v>
      </c>
      <c r="D626" s="43" t="s">
        <v>1095</v>
      </c>
      <c r="E626" s="43" t="str">
        <f>VLOOKUP(F626,CHOOSE({2,1},Attributes!B$3:B$130,Attributes!C$3:C$129),2,FALSE)</f>
        <v>DungeonSiegeDamageAttributeSet</v>
      </c>
      <c r="F626" s="43" t="str">
        <f>Attributes!C23</f>
        <v>ChanceToInflictPiercingHit</v>
      </c>
      <c r="G626" s="43" t="str">
        <f t="shared" si="31"/>
        <v>(AttributeName="ChanceToInflictPiercingHit",Attribute=/Script/DSAbilitySystem.DungeonSiegeDamageAttributeSet:ChanceToInflictPiercingHit,AttributeOwner=Class'"/Script/DSAbilitySystem.DungeonSiegeDamageAttributeSet"')</v>
      </c>
      <c r="H626" s="43">
        <v>1</v>
      </c>
      <c r="I626" s="43" t="str">
        <f t="shared" si="32"/>
        <v>GE_Suffix_of_Promise</v>
      </c>
      <c r="J626" s="43" t="str">
        <f t="shared" si="33"/>
        <v>/Game/DungeonSiege/Blueprints/GameplayAbilities/Affixes/GE_Suffix_of_Promise</v>
      </c>
    </row>
    <row r="627" spans="1:10" ht="33.75" x14ac:dyDescent="0.25">
      <c r="A627" s="43">
        <v>625</v>
      </c>
      <c r="B627" s="43">
        <f>VLOOKUP(C627,CHOOSE({2,1},Suffix!B$2:B$412,Suffix!C$2:C$412),2,FALSE)</f>
        <v>101712774</v>
      </c>
      <c r="C627" s="43" t="s">
        <v>2123</v>
      </c>
      <c r="D627" s="43" t="s">
        <v>2124</v>
      </c>
      <c r="E627" s="43" t="str">
        <f>VLOOKUP(F627,CHOOSE({2,1},Attributes!B$3:B$130,Attributes!C$3:C$129),2,FALSE)</f>
        <v>DungeonSiegeCastOnHitAttributeSet</v>
      </c>
      <c r="F627" s="43" t="str">
        <f>Attributes!C117</f>
        <v>ChanceToCastZapOnHit</v>
      </c>
      <c r="G627" s="43" t="str">
        <f t="shared" si="31"/>
        <v>(AttributeName="ChanceToCastZapOnHit",Attribute=/Script/DSAbilitySystem.DungeonSiegeCastOnHitAttributeSet:ChanceToCastZapOnHit,AttributeOwner=Class'"/Script/DSAbilitySystem.DungeonSiegeCastOnHitAttributeSet"')</v>
      </c>
      <c r="H627" s="43">
        <v>15</v>
      </c>
      <c r="I627" s="43" t="str">
        <f t="shared" si="32"/>
        <v>GE_Suffix_of_Minor_Zap</v>
      </c>
      <c r="J627" s="43" t="str">
        <f t="shared" si="33"/>
        <v>/Game/DungeonSiege/Blueprints/GameplayAbilities/Affixes/GE_Suffix_of_Minor_Zap</v>
      </c>
    </row>
    <row r="628" spans="1:10" ht="33.75" x14ac:dyDescent="0.25">
      <c r="A628" s="43">
        <v>626</v>
      </c>
      <c r="B628" s="43">
        <f>VLOOKUP(C628,CHOOSE({2,1},Suffix!B$2:B$412,Suffix!C$2:C$412),2,FALSE)</f>
        <v>101712775</v>
      </c>
      <c r="C628" s="43" t="s">
        <v>40</v>
      </c>
      <c r="D628" s="43" t="s">
        <v>39</v>
      </c>
      <c r="E628" s="43" t="str">
        <f>VLOOKUP(F628,CHOOSE({2,1},Attributes!B$3:B$130,Attributes!C$3:C$129),2,FALSE)</f>
        <v>DungeonSiegeHealthAttributeSet</v>
      </c>
      <c r="F628" s="43" t="str">
        <f>Attributes!C82</f>
        <v>BaseHealthBonus</v>
      </c>
      <c r="G628" s="43" t="str">
        <f t="shared" si="31"/>
        <v>(AttributeName="BaseHealthBonus",Attribute=/Script/DSAbilitySystem.DungeonSiegeHealthAttributeSet:BaseHealthBonus,AttributeOwner=Class'"/Script/DSAbilitySystem.DungeonSiegeHealthAttributeSet"')</v>
      </c>
      <c r="H628" s="43">
        <v>12</v>
      </c>
      <c r="I628" s="43" t="str">
        <f t="shared" si="32"/>
        <v>GE_Suffix_of_the_Badger</v>
      </c>
      <c r="J628" s="43" t="str">
        <f t="shared" si="33"/>
        <v>/Game/DungeonSiege/Blueprints/GameplayAbilities/Affixes/GE_Suffix_of_the_Badger</v>
      </c>
    </row>
    <row r="629" spans="1:10" ht="33.75" x14ac:dyDescent="0.25">
      <c r="A629" s="43">
        <v>627</v>
      </c>
      <c r="B629" s="43">
        <f>VLOOKUP(C629,CHOOSE({2,1},Suffix!B$2:B$412,Suffix!C$2:C$412),2,FALSE)</f>
        <v>101712776</v>
      </c>
      <c r="C629" s="43" t="s">
        <v>37</v>
      </c>
      <c r="D629" s="43" t="s">
        <v>36</v>
      </c>
      <c r="E629" s="43" t="str">
        <f>VLOOKUP(F629,CHOOSE({2,1},Attributes!B$3:B$130,Attributes!C$3:C$129),2,FALSE)</f>
        <v>DungeonSiegeManaAttributeSet</v>
      </c>
      <c r="F629" s="43" t="str">
        <f>Attributes!C90</f>
        <v>BaseManaBonus</v>
      </c>
      <c r="G629" s="43" t="str">
        <f t="shared" si="31"/>
        <v>(AttributeName="BaseManaBonus",Attribute=/Script/DSAbilitySystem.DungeonSiegeManaAttributeSet:BaseManaBonus,AttributeOwner=Class'"/Script/DSAbilitySystem.DungeonSiegeManaAttributeSet"')</v>
      </c>
      <c r="H629" s="43">
        <v>20</v>
      </c>
      <c r="I629" s="43" t="str">
        <f t="shared" si="32"/>
        <v>GE_Suffix_of_Refreshment</v>
      </c>
      <c r="J629" s="43" t="str">
        <f t="shared" si="33"/>
        <v>/Game/DungeonSiege/Blueprints/GameplayAbilities/Affixes/GE_Suffix_of_Refreshment</v>
      </c>
    </row>
    <row r="630" spans="1:10" ht="33.75" x14ac:dyDescent="0.25">
      <c r="A630" s="43">
        <v>628</v>
      </c>
      <c r="B630" s="43">
        <f>VLOOKUP(C630,CHOOSE({2,1},Suffix!B$2:B$412,Suffix!C$2:C$412),2,FALSE)</f>
        <v>101712777</v>
      </c>
      <c r="C630" s="43" t="s">
        <v>2126</v>
      </c>
      <c r="D630" s="43" t="s">
        <v>1092</v>
      </c>
      <c r="E630" s="43" t="str">
        <f>VLOOKUP(F630,CHOOSE({2,1},Attributes!B$3:B$130,Attributes!C$3:C$129),2,FALSE)</f>
        <v>DungeonSiegeDamageAttributeSet</v>
      </c>
      <c r="F630" s="43" t="str">
        <f>Attributes!C23</f>
        <v>ChanceToInflictPiercingHit</v>
      </c>
      <c r="G630" s="43" t="str">
        <f t="shared" si="31"/>
        <v>(AttributeName="ChanceToInflictPiercingHit",Attribute=/Script/DSAbilitySystem.DungeonSiegeDamageAttributeSet:ChanceToInflictPiercingHit,AttributeOwner=Class'"/Script/DSAbilitySystem.DungeonSiegeDamageAttributeSet"')</v>
      </c>
      <c r="H630" s="43">
        <v>2</v>
      </c>
      <c r="I630" s="43" t="str">
        <f t="shared" si="32"/>
        <v>GE_Suffix_of_Design</v>
      </c>
      <c r="J630" s="43" t="str">
        <f t="shared" si="33"/>
        <v>/Game/DungeonSiege/Blueprints/GameplayAbilities/Affixes/GE_Suffix_of_Design</v>
      </c>
    </row>
    <row r="631" spans="1:10" ht="33.75" x14ac:dyDescent="0.25">
      <c r="A631" s="43">
        <v>629</v>
      </c>
      <c r="B631" s="43">
        <f>VLOOKUP(C631,CHOOSE({2,1},Suffix!B$2:B$412,Suffix!C$2:C$412),2,FALSE)</f>
        <v>101712784</v>
      </c>
      <c r="C631" s="43" t="s">
        <v>2128</v>
      </c>
      <c r="D631" s="43" t="s">
        <v>934</v>
      </c>
      <c r="E631" s="43" t="str">
        <f>VLOOKUP(F631,CHOOSE({2,1},Attributes!B$3:B$130,Attributes!C$3:C$129),2,FALSE)</f>
        <v>DungeonSiegePerHitAttributeSet</v>
      </c>
      <c r="F631" s="43" t="str">
        <f>Attributes!C11</f>
        <v>HealthPerHit</v>
      </c>
      <c r="G631" s="43" t="str">
        <f t="shared" si="31"/>
        <v>(AttributeName="HealthPerHit",Attribute=/Script/DSAbilitySystem.DungeonSiegePerHitAttributeSet:HealthPerHit,AttributeOwner=Class'"/Script/DSAbilitySystem.DungeonSiegePerHitAttributeSet"')</v>
      </c>
      <c r="H631" s="43">
        <v>1</v>
      </c>
      <c r="I631" s="43" t="str">
        <f t="shared" si="32"/>
        <v>GE_Suffix_of_Enhancement</v>
      </c>
      <c r="J631" s="43" t="str">
        <f t="shared" si="33"/>
        <v>/Game/DungeonSiege/Blueprints/GameplayAbilities/Affixes/GE_Suffix_of_Enhancement</v>
      </c>
    </row>
    <row r="632" spans="1:10" ht="33.75" x14ac:dyDescent="0.25">
      <c r="A632" s="43">
        <v>630</v>
      </c>
      <c r="B632" s="43">
        <f>VLOOKUP(C632,CHOOSE({2,1},Suffix!B$2:B$412,Suffix!C$2:C$412),2,FALSE)</f>
        <v>101712785</v>
      </c>
      <c r="C632" s="43" t="s">
        <v>2130</v>
      </c>
      <c r="D632" s="43" t="s">
        <v>950</v>
      </c>
      <c r="E632" s="43" t="str">
        <f>VLOOKUP(F632,CHOOSE({2,1},Attributes!B$3:B$130,Attributes!C$3:C$129),2,FALSE)</f>
        <v>DungeonSiegeDamageAttributeSet</v>
      </c>
      <c r="F632" s="43" t="str">
        <f>Attributes!C19</f>
        <v>MinDamageMod</v>
      </c>
      <c r="G632" s="43" t="str">
        <f t="shared" si="31"/>
        <v>(AttributeName="MinDamageMod",Attribute=/Script/DSAbilitySystem.DungeonSiegeDamageAttributeSet:MinDamageMod,AttributeOwner=Class'"/Script/DSAbilitySystem.DungeonSiegeDamageAttributeSet"')</v>
      </c>
      <c r="H632" s="43">
        <v>1</v>
      </c>
      <c r="I632" s="43" t="str">
        <f t="shared" si="32"/>
        <v>GE_Suffix_of_Sharpness</v>
      </c>
      <c r="J632" s="43" t="str">
        <f t="shared" si="33"/>
        <v>/Game/DungeonSiege/Blueprints/GameplayAbilities/Affixes/GE_Suffix_of_Sharpness</v>
      </c>
    </row>
    <row r="633" spans="1:10" ht="33.75" x14ac:dyDescent="0.25">
      <c r="A633" s="43">
        <v>631</v>
      </c>
      <c r="B633" s="43">
        <f>VLOOKUP(C633,CHOOSE({2,1},Suffix!B$2:B$412,Suffix!C$2:C$412),2,FALSE)</f>
        <v>101712786</v>
      </c>
      <c r="C633" s="43" t="s">
        <v>2132</v>
      </c>
      <c r="D633" s="43" t="s">
        <v>979</v>
      </c>
      <c r="E633" s="43" t="str">
        <f>VLOOKUP(F633,CHOOSE({2,1},Attributes!B$3:B$130,Attributes!C$3:C$129),2,FALSE)</f>
        <v>DungeonSiegeDamageAttributeSet</v>
      </c>
      <c r="F633" s="43" t="str">
        <f>Attributes!C20</f>
        <v>MaxDamageMod</v>
      </c>
      <c r="G633" s="43" t="str">
        <f t="shared" si="31"/>
        <v>(AttributeName="MaxDamageMod",Attribute=/Script/DSAbilitySystem.DungeonSiegeDamageAttributeSet:MaxDamageMod,AttributeOwner=Class'"/Script/DSAbilitySystem.DungeonSiegeDamageAttributeSet"')</v>
      </c>
      <c r="H633" s="43">
        <v>2</v>
      </c>
      <c r="I633" s="43" t="str">
        <f t="shared" si="32"/>
        <v>GE_Suffix_of_the_Unbridled</v>
      </c>
      <c r="J633" s="43" t="str">
        <f t="shared" si="33"/>
        <v>/Game/DungeonSiege/Blueprints/GameplayAbilities/Affixes/GE_Suffix_of_the_Unbridled</v>
      </c>
    </row>
    <row r="634" spans="1:10" s="23" customFormat="1" ht="33.75" x14ac:dyDescent="0.25">
      <c r="A634" s="43">
        <v>632</v>
      </c>
      <c r="B634" s="43">
        <f>VLOOKUP(C634,CHOOSE({2,1},Suffix!B$2:B$412,Suffix!C$2:C$412),2,FALSE)</f>
        <v>101712787</v>
      </c>
      <c r="C634" s="43" t="s">
        <v>2134</v>
      </c>
      <c r="D634" s="43" t="s">
        <v>1020</v>
      </c>
      <c r="E634" s="43" t="str">
        <f>VLOOKUP(F634,CHOOSE({2,1},Attributes!B$3:B$130,Attributes!C$3:C$129),2,FALSE)</f>
        <v>DungeonSiegeDamageAttributeSet</v>
      </c>
      <c r="F634" s="43" t="str">
        <f>Attributes!C19</f>
        <v>MinDamageMod</v>
      </c>
      <c r="G634" s="43" t="str">
        <f t="shared" si="31"/>
        <v>(AttributeName="MinDamageMod",Attribute=/Script/DSAbilitySystem.DungeonSiegeDamageAttributeSet:MinDamageMod,AttributeOwner=Class'"/Script/DSAbilitySystem.DungeonSiegeDamageAttributeSet"')</v>
      </c>
      <c r="H634" s="43">
        <v>2</v>
      </c>
      <c r="I634" s="43" t="str">
        <f t="shared" si="32"/>
        <v>GE_Suffix_of_Slicing</v>
      </c>
      <c r="J634" s="43" t="str">
        <f t="shared" si="33"/>
        <v>/Game/DungeonSiege/Blueprints/GameplayAbilities/Affixes/GE_Suffix_of_Slicing</v>
      </c>
    </row>
    <row r="635" spans="1:10" ht="33.75" x14ac:dyDescent="0.25">
      <c r="A635" s="43">
        <v>633</v>
      </c>
      <c r="B635" s="43">
        <f>VLOOKUP(C635,CHOOSE({2,1},Suffix!B$2:B$412,Suffix!C$2:C$412),2,FALSE)</f>
        <v>101712787</v>
      </c>
      <c r="C635" s="43" t="s">
        <v>2134</v>
      </c>
      <c r="D635" s="43" t="s">
        <v>1020</v>
      </c>
      <c r="E635" s="43" t="str">
        <f>VLOOKUP(F635,CHOOSE({2,1},Attributes!B$3:B$130,Attributes!C$3:C$129),2,FALSE)</f>
        <v>DungeonSiegeDamageAttributeSet</v>
      </c>
      <c r="F635" s="43" t="str">
        <f>Attributes!C20</f>
        <v>MaxDamageMod</v>
      </c>
      <c r="G635" s="43" t="str">
        <f t="shared" si="31"/>
        <v>(AttributeName="MaxDamageMod",Attribute=/Script/DSAbilitySystem.DungeonSiegeDamageAttributeSet:MaxDamageMod,AttributeOwner=Class'"/Script/DSAbilitySystem.DungeonSiegeDamageAttributeSet"')</v>
      </c>
      <c r="H635" s="43">
        <v>3</v>
      </c>
      <c r="I635" s="43" t="str">
        <f t="shared" si="32"/>
        <v>GE_Suffix_of_Slicing</v>
      </c>
      <c r="J635" s="43" t="str">
        <f t="shared" si="33"/>
        <v>/Game/DungeonSiege/Blueprints/GameplayAbilities/Affixes/GE_Suffix_of_Slicing</v>
      </c>
    </row>
    <row r="636" spans="1:10" s="23" customFormat="1" ht="33.75" x14ac:dyDescent="0.25">
      <c r="A636" s="43">
        <v>634</v>
      </c>
      <c r="B636" s="43">
        <f>VLOOKUP(C636,CHOOSE({2,1},Suffix!B$2:B$412,Suffix!C$2:C$412),2,FALSE)</f>
        <v>101712788</v>
      </c>
      <c r="C636" s="43" t="s">
        <v>2136</v>
      </c>
      <c r="D636" s="43" t="s">
        <v>2137</v>
      </c>
      <c r="E636" s="43" t="str">
        <f>VLOOKUP(F636,CHOOSE({2,1},Attributes!B$3:B$130,Attributes!C$3:C$129),2,FALSE)</f>
        <v>DungeonSiegeMagicAttributeSet</v>
      </c>
      <c r="F636" s="43" t="str">
        <f>Attributes!C38</f>
        <v>NatureMagicMinDamageMod</v>
      </c>
      <c r="G636" s="43" t="str">
        <f t="shared" si="31"/>
        <v>(AttributeName="NatureMagicMinDamageMod",Attribute=/Script/DSAbilitySystem.DungeonSiegeMagicAttributeSet:NatureMagicMinDamageMod,AttributeOwner=Class'"/Script/DSAbilitySystem.DungeonSiegeMagicAttributeSet"')</v>
      </c>
      <c r="H636" s="43">
        <v>1</v>
      </c>
      <c r="I636" s="43" t="str">
        <f t="shared" si="32"/>
        <v>GE_Suffix_of_Survival</v>
      </c>
      <c r="J636" s="43" t="str">
        <f t="shared" si="33"/>
        <v>/Game/DungeonSiege/Blueprints/GameplayAbilities/Affixes/GE_Suffix_of_Survival</v>
      </c>
    </row>
    <row r="637" spans="1:10" ht="33.75" x14ac:dyDescent="0.25">
      <c r="A637" s="43">
        <v>635</v>
      </c>
      <c r="B637" s="43">
        <f>VLOOKUP(C637,CHOOSE({2,1},Suffix!B$2:B$412,Suffix!C$2:C$412),2,FALSE)</f>
        <v>101712788</v>
      </c>
      <c r="C637" s="43" t="s">
        <v>2136</v>
      </c>
      <c r="D637" s="43" t="s">
        <v>2137</v>
      </c>
      <c r="E637" s="43" t="str">
        <f>VLOOKUP(F637,CHOOSE({2,1},Attributes!B$3:B$130,Attributes!C$3:C$129),2,FALSE)</f>
        <v>DungeonSiegeMagicAttributeSet</v>
      </c>
      <c r="F637" s="43" t="str">
        <f>Attributes!C39</f>
        <v>NatureMagicMaxDamageMod</v>
      </c>
      <c r="G637" s="43" t="str">
        <f t="shared" si="31"/>
        <v>(AttributeName="NatureMagicMaxDamageMod",Attribute=/Script/DSAbilitySystem.DungeonSiegeMagicAttributeSet:NatureMagicMaxDamageMod,AttributeOwner=Class'"/Script/DSAbilitySystem.DungeonSiegeMagicAttributeSet"')</v>
      </c>
      <c r="H637" s="43">
        <v>2</v>
      </c>
      <c r="I637" s="43" t="str">
        <f t="shared" si="32"/>
        <v>GE_Suffix_of_Survival</v>
      </c>
      <c r="J637" s="43" t="str">
        <f t="shared" si="33"/>
        <v>/Game/DungeonSiege/Blueprints/GameplayAbilities/Affixes/GE_Suffix_of_Survival</v>
      </c>
    </row>
    <row r="638" spans="1:10" s="23" customFormat="1" ht="33.75" x14ac:dyDescent="0.25">
      <c r="A638" s="43">
        <v>636</v>
      </c>
      <c r="B638" s="43">
        <f>VLOOKUP(C638,CHOOSE({2,1},Suffix!B$2:B$412,Suffix!C$2:C$412),2,FALSE)</f>
        <v>101712789</v>
      </c>
      <c r="C638" s="43" t="s">
        <v>2139</v>
      </c>
      <c r="D638" s="43" t="s">
        <v>2140</v>
      </c>
      <c r="E638" s="43" t="str">
        <f>VLOOKUP(F638,CHOOSE({2,1},Attributes!B$3:B$130,Attributes!C$3:C$129),2,FALSE)</f>
        <v>DungeonSiegeMagicAttributeSet</v>
      </c>
      <c r="F638" s="43" t="str">
        <f>Attributes!C41</f>
        <v>CombatMagicMinDamageMod</v>
      </c>
      <c r="G638" s="43" t="str">
        <f t="shared" si="31"/>
        <v>(AttributeName="CombatMagicMinDamageMod",Attribute=/Script/DSAbilitySystem.DungeonSiegeMagicAttributeSet:CombatMagicMinDamageMod,AttributeOwner=Class'"/Script/DSAbilitySystem.DungeonSiegeMagicAttributeSet"')</v>
      </c>
      <c r="H638" s="43">
        <v>1</v>
      </c>
      <c r="I638" s="43" t="str">
        <f t="shared" si="32"/>
        <v>GE_Suffix_of_Dispute</v>
      </c>
      <c r="J638" s="43" t="str">
        <f t="shared" si="33"/>
        <v>/Game/DungeonSiege/Blueprints/GameplayAbilities/Affixes/GE_Suffix_of_Dispute</v>
      </c>
    </row>
    <row r="639" spans="1:10" ht="33.75" x14ac:dyDescent="0.25">
      <c r="A639" s="43">
        <v>637</v>
      </c>
      <c r="B639" s="43">
        <f>VLOOKUP(C639,CHOOSE({2,1},Suffix!B$2:B$412,Suffix!C$2:C$412),2,FALSE)</f>
        <v>101712789</v>
      </c>
      <c r="C639" s="43" t="s">
        <v>2139</v>
      </c>
      <c r="D639" s="43" t="s">
        <v>2140</v>
      </c>
      <c r="E639" s="43" t="str">
        <f>VLOOKUP(F639,CHOOSE({2,1},Attributes!B$3:B$130,Attributes!C$3:C$129),2,FALSE)</f>
        <v>DungeonSiegeMagicAttributeSet</v>
      </c>
      <c r="F639" s="43" t="str">
        <f>Attributes!C42</f>
        <v>CombatMagicMaxDamageMod</v>
      </c>
      <c r="G639" s="43" t="str">
        <f t="shared" si="31"/>
        <v>(AttributeName="CombatMagicMaxDamageMod",Attribute=/Script/DSAbilitySystem.DungeonSiegeMagicAttributeSet:CombatMagicMaxDamageMod,AttributeOwner=Class'"/Script/DSAbilitySystem.DungeonSiegeMagicAttributeSet"')</v>
      </c>
      <c r="H639" s="43">
        <v>2</v>
      </c>
      <c r="I639" s="43" t="str">
        <f t="shared" si="32"/>
        <v>GE_Suffix_of_Dispute</v>
      </c>
      <c r="J639" s="43" t="str">
        <f t="shared" si="33"/>
        <v>/Game/DungeonSiege/Blueprints/GameplayAbilities/Affixes/GE_Suffix_of_Dispute</v>
      </c>
    </row>
    <row r="640" spans="1:10" ht="33.75" x14ac:dyDescent="0.25">
      <c r="A640" s="43">
        <v>638</v>
      </c>
      <c r="B640" s="43">
        <f>VLOOKUP(C640,CHOOSE({2,1},Suffix!B$2:B$412,Suffix!C$2:C$412),2,FALSE)</f>
        <v>101712790</v>
      </c>
      <c r="C640" s="43" t="s">
        <v>2142</v>
      </c>
      <c r="D640" s="43" t="s">
        <v>1431</v>
      </c>
      <c r="E640" s="43" t="str">
        <f>VLOOKUP(F640,CHOOSE({2,1},Attributes!B$3:B$130,Attributes!C$3:C$129),2,FALSE)</f>
        <v>DungeonSiegeElementalAttributeSet</v>
      </c>
      <c r="F640" s="43" t="str">
        <f>Attributes!C100</f>
        <v>ChanceToFreeze</v>
      </c>
      <c r="G640" s="43" t="str">
        <f t="shared" si="31"/>
        <v>(AttributeName="ChanceToFreeze",Attribute=/Script/DSAbilitySystem.DungeonSiegeElementalAttributeSet:ChanceToFreeze,AttributeOwner=Class'"/Script/DSAbilitySystem.DungeonSiegeElementalAttributeSet"')</v>
      </c>
      <c r="H640" s="43">
        <v>15</v>
      </c>
      <c r="I640" s="43" t="str">
        <f t="shared" si="32"/>
        <v>GE_Suffix_of_Shivering</v>
      </c>
      <c r="J640" s="43" t="str">
        <f t="shared" si="33"/>
        <v>/Game/DungeonSiege/Blueprints/GameplayAbilities/Affixes/GE_Suffix_of_Shivering</v>
      </c>
    </row>
    <row r="641" spans="1:10" s="23" customFormat="1" ht="33.75" x14ac:dyDescent="0.25">
      <c r="A641" s="43">
        <v>639</v>
      </c>
      <c r="B641" s="43">
        <f>VLOOKUP(C641,CHOOSE({2,1},Suffix!B$2:B$412,Suffix!C$2:C$412),2,FALSE)</f>
        <v>101712791</v>
      </c>
      <c r="C641" s="43" t="s">
        <v>2144</v>
      </c>
      <c r="D641" s="43" t="s">
        <v>2145</v>
      </c>
      <c r="E641" s="43" t="str">
        <f>VLOOKUP(F641,CHOOSE({2,1},Attributes!B$3:B$130,Attributes!C$3:C$129),2,FALSE)</f>
        <v>DungeonSiegeElementalAttributeSet</v>
      </c>
      <c r="F641" s="43" t="str">
        <f>Attributes!C78</f>
        <v>LightningMinDamageMod</v>
      </c>
      <c r="G641" s="43" t="str">
        <f t="shared" si="31"/>
        <v>(AttributeName="LightningMinDamageMod",Attribute=/Script/DSAbilitySystem.DungeonSiegeElementalAttributeSet:LightningMinDamageMod,AttributeOwner=Class'"/Script/DSAbilitySystem.DungeonSiegeElementalAttributeSet"')</v>
      </c>
      <c r="H641" s="43">
        <v>1</v>
      </c>
      <c r="I641" s="43" t="str">
        <f t="shared" si="32"/>
        <v>GE_Suffix_of_the_Shaken</v>
      </c>
      <c r="J641" s="43" t="str">
        <f t="shared" si="33"/>
        <v>/Game/DungeonSiege/Blueprints/GameplayAbilities/Affixes/GE_Suffix_of_the_Shaken</v>
      </c>
    </row>
    <row r="642" spans="1:10" ht="33.75" x14ac:dyDescent="0.25">
      <c r="A642" s="43">
        <v>640</v>
      </c>
      <c r="B642" s="43">
        <f>VLOOKUP(C642,CHOOSE({2,1},Suffix!B$2:B$412,Suffix!C$2:C$412),2,FALSE)</f>
        <v>101712791</v>
      </c>
      <c r="C642" s="43" t="s">
        <v>2144</v>
      </c>
      <c r="D642" s="43" t="s">
        <v>2145</v>
      </c>
      <c r="E642" s="43" t="str">
        <f>VLOOKUP(F642,CHOOSE({2,1},Attributes!B$3:B$130,Attributes!C$3:C$129),2,FALSE)</f>
        <v>DungeonSiegeElementalAttributeSet</v>
      </c>
      <c r="F642" s="43" t="str">
        <f>Attributes!C79</f>
        <v>LightningMaxDamageMod</v>
      </c>
      <c r="G642" s="43" t="str">
        <f t="shared" si="31"/>
        <v>(AttributeName="LightningMaxDamageMod",Attribute=/Script/DSAbilitySystem.DungeonSiegeElementalAttributeSet:LightningMaxDamageMod,AttributeOwner=Class'"/Script/DSAbilitySystem.DungeonSiegeElementalAttributeSet"')</v>
      </c>
      <c r="H642" s="43">
        <v>3</v>
      </c>
      <c r="I642" s="43" t="str">
        <f t="shared" si="32"/>
        <v>GE_Suffix_of_the_Shaken</v>
      </c>
      <c r="J642" s="43" t="str">
        <f t="shared" si="33"/>
        <v>/Game/DungeonSiege/Blueprints/GameplayAbilities/Affixes/GE_Suffix_of_the_Shaken</v>
      </c>
    </row>
    <row r="643" spans="1:10" ht="33.75" x14ac:dyDescent="0.25">
      <c r="A643" s="43">
        <v>641</v>
      </c>
      <c r="B643" s="43">
        <f>VLOOKUP(C643,CHOOSE({2,1},Suffix!B$2:B$412,Suffix!C$2:C$412),2,FALSE)</f>
        <v>101712792</v>
      </c>
      <c r="C643" s="43" t="s">
        <v>2147</v>
      </c>
      <c r="D643" s="43" t="s">
        <v>3254</v>
      </c>
      <c r="E643" s="43" t="str">
        <f>VLOOKUP(F643,CHOOSE({2,1},Attributes!B$3:B$130,Attributes!C$3:C$129),2,FALSE)</f>
        <v>DungeonSiegeFactionAttributeSet</v>
      </c>
      <c r="F643" s="43" t="str">
        <f>Attributes!C119</f>
        <v>IncreaseMeleeDamageVersusUndead</v>
      </c>
      <c r="G643" s="43" t="str">
        <f t="shared" ref="G643:G658" si="34">CONCATENATE("(AttributeName=""",F643,""",Attribute=/Script/DSAbilitySystem."&amp; E643 &amp;":",F643,",AttributeOwner=Class'""/Script/DSAbilitySystem." &amp; E643 &amp; """')")</f>
        <v>(AttributeName="IncreaseMeleeDamageVersusUndead",Attribute=/Script/DSAbilitySystem.DungeonSiegeFactionAttributeSet:IncreaseMeleeDamageVersusUndead,AttributeOwner=Class'"/Script/DSAbilitySystem.DungeonSiegeFactionAttributeSet"')</v>
      </c>
      <c r="H643" s="43"/>
      <c r="I643" s="43" t="str">
        <f t="shared" si="32"/>
        <v>GE_Suffix_of_Life_Force</v>
      </c>
      <c r="J643" s="43" t="str">
        <f t="shared" si="33"/>
        <v>/Game/DungeonSiege/Blueprints/GameplayAbilities/Affixes/GE_Suffix_of_Life_Force</v>
      </c>
    </row>
    <row r="644" spans="1:10" ht="33.75" x14ac:dyDescent="0.25">
      <c r="A644" s="43">
        <v>642</v>
      </c>
      <c r="B644" s="43">
        <f>VLOOKUP(C644,CHOOSE({2,1},Suffix!B$2:B$412,Suffix!C$2:C$412),2,FALSE)</f>
        <v>101712793</v>
      </c>
      <c r="C644" s="43" t="s">
        <v>2150</v>
      </c>
      <c r="D644" s="43" t="s">
        <v>2151</v>
      </c>
      <c r="E644" s="43" t="str">
        <f>VLOOKUP(F644,CHOOSE({2,1},Attributes!B$3:B$130,Attributes!C$3:C$129),2,FALSE)</f>
        <v>DungeonSiegeCastOnHitAttributeSet</v>
      </c>
      <c r="F644" s="43" t="str">
        <f>Attributes!C117</f>
        <v>ChanceToCastZapOnHit</v>
      </c>
      <c r="G644" s="43" t="str">
        <f t="shared" si="34"/>
        <v>(AttributeName="ChanceToCastZapOnHit",Attribute=/Script/DSAbilitySystem.DungeonSiegeCastOnHitAttributeSet:ChanceToCastZapOnHit,AttributeOwner=Class'"/Script/DSAbilitySystem.DungeonSiegeCastOnHitAttributeSet"')</v>
      </c>
      <c r="H644" s="43">
        <v>10</v>
      </c>
      <c r="I644" s="43" t="str">
        <f t="shared" si="32"/>
        <v>GE_Suffix_of_Lesser_Zap</v>
      </c>
      <c r="J644" s="43" t="str">
        <f t="shared" si="33"/>
        <v>/Game/DungeonSiege/Blueprints/GameplayAbilities/Affixes/GE_Suffix_of_Lesser_Zap</v>
      </c>
    </row>
    <row r="645" spans="1:10" s="23" customFormat="1" ht="33.75" x14ac:dyDescent="0.25">
      <c r="A645" s="43">
        <v>643</v>
      </c>
      <c r="B645" s="43">
        <f>VLOOKUP(C645,CHOOSE({2,1},Suffix!B$2:B$412,Suffix!C$2:C$412),2,FALSE)</f>
        <v>101712896</v>
      </c>
      <c r="C645" s="43" t="s">
        <v>2153</v>
      </c>
      <c r="D645" s="43" t="s">
        <v>3305</v>
      </c>
      <c r="E645" s="43" t="str">
        <f>VLOOKUP(F645,CHOOSE({2,1},Attributes!B$3:B$130,Attributes!C$3:C$129),2,FALSE)</f>
        <v>DungeonSiegeStatusEffectAttributeSet</v>
      </c>
      <c r="F645" s="43" t="str">
        <f>Attributes!C55</f>
        <v>ChanceToPoison</v>
      </c>
      <c r="G645" s="43" t="str">
        <f t="shared" si="34"/>
        <v>(AttributeName="ChanceToPoison",Attribute=/Script/DSAbilitySystem.DungeonSiegeStatusEffectAttributeSet:ChanceToPoison,AttributeOwner=Class'"/Script/DSAbilitySystem.DungeonSiegeStatusEffectAttributeSet"')</v>
      </c>
      <c r="H645" s="43">
        <v>25</v>
      </c>
      <c r="I645" s="43" t="str">
        <f t="shared" si="32"/>
        <v>GE_Suffix_of_Poison</v>
      </c>
      <c r="J645" s="43" t="str">
        <f t="shared" si="33"/>
        <v>/Game/DungeonSiege/Blueprints/GameplayAbilities/Affixes/GE_Suffix_of_Poison</v>
      </c>
    </row>
    <row r="646" spans="1:10" s="23" customFormat="1" ht="33.75" x14ac:dyDescent="0.25">
      <c r="A646" s="43">
        <v>644</v>
      </c>
      <c r="B646" s="43">
        <f>VLOOKUP(C646,CHOOSE({2,1},Suffix!B$2:B$412,Suffix!C$2:C$412),2,FALSE)</f>
        <v>101712896</v>
      </c>
      <c r="C646" s="43" t="s">
        <v>2153</v>
      </c>
      <c r="D646" s="43" t="s">
        <v>3306</v>
      </c>
      <c r="E646" s="43" t="str">
        <f>VLOOKUP(F646,CHOOSE({2,1},Attributes!B$3:B$130,Attributes!C$3:C$129),2,FALSE)</f>
        <v>DungeonSiegeStatusEffectAttributeSet</v>
      </c>
      <c r="F646" s="43" t="str">
        <f>Attributes!C56</f>
        <v>PoisonMinDamageMod</v>
      </c>
      <c r="G646" s="43" t="str">
        <f t="shared" si="34"/>
        <v>(AttributeName="PoisonMinDamageMod",Attribute=/Script/DSAbilitySystem.DungeonSiegeStatusEffectAttributeSet:PoisonMinDamageMod,AttributeOwner=Class'"/Script/DSAbilitySystem.DungeonSiegeStatusEffectAttributeSet"')</v>
      </c>
      <c r="H646" s="43">
        <v>2</v>
      </c>
      <c r="I646" s="43" t="str">
        <f t="shared" si="32"/>
        <v>GE_Suffix_of_Poison</v>
      </c>
      <c r="J646" s="43" t="str">
        <f t="shared" si="33"/>
        <v>/Game/DungeonSiege/Blueprints/GameplayAbilities/Affixes/GE_Suffix_of_Poison</v>
      </c>
    </row>
    <row r="647" spans="1:10" ht="33.75" x14ac:dyDescent="0.25">
      <c r="A647" s="43">
        <v>645</v>
      </c>
      <c r="B647" s="43">
        <f>VLOOKUP(C647,CHOOSE({2,1},Suffix!B$2:B$412,Suffix!C$2:C$412),2,FALSE)</f>
        <v>101712896</v>
      </c>
      <c r="C647" s="43" t="s">
        <v>2153</v>
      </c>
      <c r="D647" s="43" t="s">
        <v>3306</v>
      </c>
      <c r="E647" s="43" t="str">
        <f>VLOOKUP(F647,CHOOSE({2,1},Attributes!B$3:B$130,Attributes!C$3:C$129),2,FALSE)</f>
        <v>DungeonSiegeStatusEffectAttributeSet</v>
      </c>
      <c r="F647" s="43" t="str">
        <f>Attributes!C57</f>
        <v>PoisonMaxDamageMod</v>
      </c>
      <c r="G647" s="43" t="str">
        <f t="shared" si="34"/>
        <v>(AttributeName="PoisonMaxDamageMod",Attribute=/Script/DSAbilitySystem.DungeonSiegeStatusEffectAttributeSet:PoisonMaxDamageMod,AttributeOwner=Class'"/Script/DSAbilitySystem.DungeonSiegeStatusEffectAttributeSet"')</v>
      </c>
      <c r="H647" s="43">
        <v>5</v>
      </c>
      <c r="I647" s="43" t="str">
        <f t="shared" si="32"/>
        <v>GE_Suffix_of_Poison</v>
      </c>
      <c r="J647" s="43" t="str">
        <f t="shared" si="33"/>
        <v>/Game/DungeonSiege/Blueprints/GameplayAbilities/Affixes/GE_Suffix_of_Poison</v>
      </c>
    </row>
    <row r="648" spans="1:10" ht="33.75" x14ac:dyDescent="0.25">
      <c r="A648" s="43">
        <v>646</v>
      </c>
      <c r="B648" s="43">
        <f>VLOOKUP(C648,CHOOSE({2,1},Suffix!B$2:B$412,Suffix!C$2:C$412),2,FALSE)</f>
        <v>101712897</v>
      </c>
      <c r="C648" s="43" t="s">
        <v>34</v>
      </c>
      <c r="D648" s="43" t="s">
        <v>33</v>
      </c>
      <c r="E648" s="43" t="str">
        <f>VLOOKUP(F648,CHOOSE({2,1},Attributes!B$3:B$130,Attributes!C$3:C$129),2,FALSE)</f>
        <v>DungeonSiegeHealthAttributeSet</v>
      </c>
      <c r="F648" s="43" t="str">
        <f>Attributes!C82</f>
        <v>BaseHealthBonus</v>
      </c>
      <c r="G648" s="43" t="str">
        <f t="shared" si="34"/>
        <v>(AttributeName="BaseHealthBonus",Attribute=/Script/DSAbilitySystem.DungeonSiegeHealthAttributeSet:BaseHealthBonus,AttributeOwner=Class'"/Script/DSAbilitySystem.DungeonSiegeHealthAttributeSet"')</v>
      </c>
      <c r="H648" s="43">
        <v>7</v>
      </c>
      <c r="I648" s="43" t="str">
        <f t="shared" ref="I648:I658" si="35">CONCATENATE("GE_Suffix_", SUBSTITUTE(C648," ","_"))</f>
        <v>GE_Suffix_of_the_Fox</v>
      </c>
      <c r="J648" s="43" t="str">
        <f t="shared" ref="J648:J658" si="36">"/Game/DungeonSiege/Blueprints/GameplayAbilities/Affixes/" &amp;I648</f>
        <v>/Game/DungeonSiege/Blueprints/GameplayAbilities/Affixes/GE_Suffix_of_the_Fox</v>
      </c>
    </row>
    <row r="649" spans="1:10" ht="33.75" x14ac:dyDescent="0.25">
      <c r="A649" s="43">
        <v>647</v>
      </c>
      <c r="B649" s="43">
        <f>VLOOKUP(C649,CHOOSE({2,1},Suffix!B$2:B$412,Suffix!C$2:C$412),2,FALSE)</f>
        <v>101712898</v>
      </c>
      <c r="C649" s="43" t="s">
        <v>31</v>
      </c>
      <c r="D649" s="43" t="s">
        <v>30</v>
      </c>
      <c r="E649" s="43" t="str">
        <f>VLOOKUP(F649,CHOOSE({2,1},Attributes!B$3:B$130,Attributes!C$3:C$129),2,FALSE)</f>
        <v>DungeonSiegeManaAttributeSet</v>
      </c>
      <c r="F649" s="43" t="str">
        <f>Attributes!C90</f>
        <v>BaseManaBonus</v>
      </c>
      <c r="G649" s="43" t="str">
        <f t="shared" si="34"/>
        <v>(AttributeName="BaseManaBonus",Attribute=/Script/DSAbilitySystem.DungeonSiegeManaAttributeSet:BaseManaBonus,AttributeOwner=Class'"/Script/DSAbilitySystem.DungeonSiegeManaAttributeSet"')</v>
      </c>
      <c r="H649" s="43">
        <v>12</v>
      </c>
      <c r="I649" s="43" t="str">
        <f t="shared" si="35"/>
        <v>GE_Suffix_of_Renewal</v>
      </c>
      <c r="J649" s="43" t="str">
        <f t="shared" si="36"/>
        <v>/Game/DungeonSiege/Blueprints/GameplayAbilities/Affixes/GE_Suffix_of_Renewal</v>
      </c>
    </row>
    <row r="650" spans="1:10" ht="33.75" x14ac:dyDescent="0.25">
      <c r="A650" s="43">
        <v>648</v>
      </c>
      <c r="B650" s="43">
        <f>VLOOKUP(C650,CHOOSE({2,1},Suffix!B$2:B$412,Suffix!C$2:C$412),2,FALSE)</f>
        <v>101712899</v>
      </c>
      <c r="C650" s="43" t="s">
        <v>2155</v>
      </c>
      <c r="D650" s="43" t="s">
        <v>1095</v>
      </c>
      <c r="E650" s="43" t="str">
        <f>VLOOKUP(F650,CHOOSE({2,1},Attributes!B$3:B$130,Attributes!C$3:C$129),2,FALSE)</f>
        <v>DungeonSiegeDamageAttributeSet</v>
      </c>
      <c r="F650" s="43" t="str">
        <f>Attributes!C23</f>
        <v>ChanceToInflictPiercingHit</v>
      </c>
      <c r="G650" s="43" t="str">
        <f t="shared" si="34"/>
        <v>(AttributeName="ChanceToInflictPiercingHit",Attribute=/Script/DSAbilitySystem.DungeonSiegeDamageAttributeSet:ChanceToInflictPiercingHit,AttributeOwner=Class'"/Script/DSAbilitySystem.DungeonSiegeDamageAttributeSet"')</v>
      </c>
      <c r="H650" s="43">
        <v>1</v>
      </c>
      <c r="I650" s="43" t="str">
        <f t="shared" si="35"/>
        <v>GE_Suffix_of_Accuracy</v>
      </c>
      <c r="J650" s="43" t="str">
        <f t="shared" si="36"/>
        <v>/Game/DungeonSiege/Blueprints/GameplayAbilities/Affixes/GE_Suffix_of_Accuracy</v>
      </c>
    </row>
    <row r="651" spans="1:10" ht="33.75" x14ac:dyDescent="0.25">
      <c r="A651" s="43">
        <v>649</v>
      </c>
      <c r="B651" s="43">
        <f>VLOOKUP(C651,CHOOSE({2,1},Suffix!B$2:B$412,Suffix!C$2:C$412),2,FALSE)</f>
        <v>101712900</v>
      </c>
      <c r="C651" s="43" t="s">
        <v>2157</v>
      </c>
      <c r="D651" s="43" t="s">
        <v>881</v>
      </c>
      <c r="E651" s="43" t="str">
        <f>VLOOKUP(F651,CHOOSE({2,1},Attributes!B$3:B$130,Attributes!C$3:C$129),2,FALSE)</f>
        <v>DungeonSiegePerHitAttributeSet</v>
      </c>
      <c r="F651" s="43" t="str">
        <f>Attributes!C14</f>
        <v>ManaStealPerHit</v>
      </c>
      <c r="G651" s="43" t="str">
        <f t="shared" si="34"/>
        <v>(AttributeName="ManaStealPerHit",Attribute=/Script/DSAbilitySystem.DungeonSiegePerHitAttributeSet:ManaStealPerHit,AttributeOwner=Class'"/Script/DSAbilitySystem.DungeonSiegePerHitAttributeSet"')</v>
      </c>
      <c r="H651" s="43">
        <v>1</v>
      </c>
      <c r="I651" s="43" t="str">
        <f t="shared" si="35"/>
        <v>GE_Suffix_of_the_Parasite</v>
      </c>
      <c r="J651" s="43" t="str">
        <f t="shared" si="36"/>
        <v>/Game/DungeonSiege/Blueprints/GameplayAbilities/Affixes/GE_Suffix_of_the_Parasite</v>
      </c>
    </row>
    <row r="652" spans="1:10" ht="33.75" x14ac:dyDescent="0.25">
      <c r="A652" s="43">
        <v>650</v>
      </c>
      <c r="B652" s="43">
        <f>VLOOKUP(C652,CHOOSE({2,1},Suffix!B$2:B$412,Suffix!C$2:C$412),2,FALSE)</f>
        <v>101712901</v>
      </c>
      <c r="C652" s="43" t="s">
        <v>2159</v>
      </c>
      <c r="D652" s="43" t="s">
        <v>884</v>
      </c>
      <c r="E652" s="43" t="str">
        <f>VLOOKUP(F652,CHOOSE({2,1},Attributes!B$3:B$130,Attributes!C$3:C$129),2,FALSE)</f>
        <v>DungeonSiegePerHitAttributeSet</v>
      </c>
      <c r="F652" s="43" t="str">
        <f>Attributes!C12</f>
        <v>ManaPerHit</v>
      </c>
      <c r="G652" s="43" t="str">
        <f t="shared" si="34"/>
        <v>(AttributeName="ManaPerHit",Attribute=/Script/DSAbilitySystem.DungeonSiegePerHitAttributeSet:ManaPerHit,AttributeOwner=Class'"/Script/DSAbilitySystem.DungeonSiegePerHitAttributeSet"')</v>
      </c>
      <c r="H652" s="43">
        <v>1</v>
      </c>
      <c r="I652" s="43" t="str">
        <f t="shared" si="35"/>
        <v>GE_Suffix_of_Midnight</v>
      </c>
      <c r="J652" s="43" t="str">
        <f t="shared" si="36"/>
        <v>/Game/DungeonSiege/Blueprints/GameplayAbilities/Affixes/GE_Suffix_of_Midnight</v>
      </c>
    </row>
    <row r="653" spans="1:10" s="23" customFormat="1" ht="33.75" x14ac:dyDescent="0.25">
      <c r="A653" s="43">
        <v>651</v>
      </c>
      <c r="B653" s="43">
        <f>VLOOKUP(C653,CHOOSE({2,1},Suffix!B$2:B$412,Suffix!C$2:C$412),2,FALSE)</f>
        <v>101712902</v>
      </c>
      <c r="C653" s="43" t="s">
        <v>2161</v>
      </c>
      <c r="D653" s="43" t="s">
        <v>2162</v>
      </c>
      <c r="E653" s="43" t="str">
        <f>VLOOKUP(F653,CHOOSE({2,1},Attributes!B$3:B$130,Attributes!C$3:C$129),2,FALSE)</f>
        <v>DungeonSiegeElementalAttributeSet</v>
      </c>
      <c r="F653" s="43" t="str">
        <f>Attributes!C103</f>
        <v>FireDamageMinDamageMod</v>
      </c>
      <c r="G653" s="43" t="str">
        <f t="shared" si="34"/>
        <v>(AttributeName="FireDamageMinDamageMod",Attribute=/Script/DSAbilitySystem.DungeonSiegeElementalAttributeSet:FireDamageMinDamageMod,AttributeOwner=Class'"/Script/DSAbilitySystem.DungeonSiegeElementalAttributeSet"')</v>
      </c>
      <c r="H653" s="43">
        <v>1</v>
      </c>
      <c r="I653" s="43" t="str">
        <f t="shared" si="35"/>
        <v>GE_Suffix_of_Burning</v>
      </c>
      <c r="J653" s="43" t="str">
        <f t="shared" si="36"/>
        <v>/Game/DungeonSiege/Blueprints/GameplayAbilities/Affixes/GE_Suffix_of_Burning</v>
      </c>
    </row>
    <row r="654" spans="1:10" ht="33.75" x14ac:dyDescent="0.25">
      <c r="A654" s="43">
        <v>652</v>
      </c>
      <c r="B654" s="43">
        <f>VLOOKUP(C654,CHOOSE({2,1},Suffix!B$2:B$412,Suffix!C$2:C$412),2,FALSE)</f>
        <v>101712902</v>
      </c>
      <c r="C654" s="43" t="s">
        <v>2161</v>
      </c>
      <c r="D654" s="43" t="s">
        <v>2162</v>
      </c>
      <c r="E654" s="43" t="str">
        <f>VLOOKUP(F654,CHOOSE({2,1},Attributes!B$3:B$130,Attributes!C$3:C$129),2,FALSE)</f>
        <v>DungeonSiegeElementalAttributeSet</v>
      </c>
      <c r="F654" s="43" t="str">
        <f>Attributes!C104</f>
        <v>FireDamageMaxDamageMod</v>
      </c>
      <c r="G654" s="43" t="str">
        <f t="shared" si="34"/>
        <v>(AttributeName="FireDamageMaxDamageMod",Attribute=/Script/DSAbilitySystem.DungeonSiegeElementalAttributeSet:FireDamageMaxDamageMod,AttributeOwner=Class'"/Script/DSAbilitySystem.DungeonSiegeElementalAttributeSet"')</v>
      </c>
      <c r="H654" s="43">
        <v>2</v>
      </c>
      <c r="I654" s="43" t="str">
        <f t="shared" si="35"/>
        <v>GE_Suffix_of_Burning</v>
      </c>
      <c r="J654" s="43" t="str">
        <f t="shared" si="36"/>
        <v>/Game/DungeonSiege/Blueprints/GameplayAbilities/Affixes/GE_Suffix_of_Burning</v>
      </c>
    </row>
    <row r="655" spans="1:10" ht="33.75" x14ac:dyDescent="0.25">
      <c r="A655" s="43">
        <v>653</v>
      </c>
      <c r="B655" s="43">
        <f>VLOOKUP(C655,CHOOSE({2,1},Suffix!B$2:B$412,Suffix!C$2:C$412),2,FALSE)</f>
        <v>101712903</v>
      </c>
      <c r="C655" s="43" t="s">
        <v>2164</v>
      </c>
      <c r="D655" s="43" t="s">
        <v>2165</v>
      </c>
      <c r="E655" s="43" t="str">
        <f>VLOOKUP(F655,CHOOSE({2,1},Attributes!B$3:B$130,Attributes!C$3:C$129),2,FALSE)</f>
        <v>DungeonSiegeDamageAttributeSet</v>
      </c>
      <c r="F655" s="43" t="str">
        <f>Attributes!C20</f>
        <v>MaxDamageMod</v>
      </c>
      <c r="G655" s="43" t="str">
        <f t="shared" si="34"/>
        <v>(AttributeName="MaxDamageMod",Attribute=/Script/DSAbilitySystem.DungeonSiegeDamageAttributeSet:MaxDamageMod,AttributeOwner=Class'"/Script/DSAbilitySystem.DungeonSiegeDamageAttributeSet"')</v>
      </c>
      <c r="H655" s="43">
        <v>1</v>
      </c>
      <c r="I655" s="43" t="str">
        <f t="shared" si="35"/>
        <v>GE_Suffix_of_Symptoms</v>
      </c>
      <c r="J655" s="43" t="str">
        <f t="shared" si="36"/>
        <v>/Game/DungeonSiege/Blueprints/GameplayAbilities/Affixes/GE_Suffix_of_Symptoms</v>
      </c>
    </row>
    <row r="656" spans="1:10" ht="33.75" x14ac:dyDescent="0.25">
      <c r="A656" s="43">
        <v>654</v>
      </c>
      <c r="B656" s="43">
        <f>VLOOKUP(C656,CHOOSE({2,1},Suffix!B$2:B$412,Suffix!C$2:C$412),2,FALSE)</f>
        <v>101712904</v>
      </c>
      <c r="C656" s="43" t="s">
        <v>2167</v>
      </c>
      <c r="D656" s="43" t="s">
        <v>3250</v>
      </c>
      <c r="E656" s="43" t="str">
        <f>VLOOKUP(F656,CHOOSE({2,1},Attributes!B$3:B$130,Attributes!C$3:C$129),2,FALSE)</f>
        <v>DungeonSiegeDefenseAttributeSet</v>
      </c>
      <c r="F656" s="43" t="str">
        <f>Attributes!C10</f>
        <v>ArmorRating</v>
      </c>
      <c r="G656" s="43" t="str">
        <f t="shared" si="34"/>
        <v>(AttributeName="ArmorRating",Attribute=/Script/DSAbilitySystem.DungeonSiegeDefenseAttributeSet:ArmorRating,AttributeOwner=Class'"/Script/DSAbilitySystem.DungeonSiegeDefenseAttributeSet"')</v>
      </c>
      <c r="H656" s="43"/>
      <c r="I656" s="43" t="str">
        <f t="shared" si="35"/>
        <v>GE_Suffix_of_Magic_Armor</v>
      </c>
      <c r="J656" s="43" t="str">
        <f t="shared" si="36"/>
        <v>/Game/DungeonSiege/Blueprints/GameplayAbilities/Affixes/GE_Suffix_of_Magic_Armor</v>
      </c>
    </row>
    <row r="657" spans="1:10" ht="33.75" x14ac:dyDescent="0.25">
      <c r="A657" s="43">
        <v>655</v>
      </c>
      <c r="B657" s="43">
        <f>VLOOKUP(C657,CHOOSE({2,1},Suffix!B$2:B$412,Suffix!C$2:C$412),2,FALSE)</f>
        <v>101712905</v>
      </c>
      <c r="C657" s="43" t="s">
        <v>2169</v>
      </c>
      <c r="D657" s="43" t="s">
        <v>3255</v>
      </c>
      <c r="E657" s="43" t="str">
        <f>VLOOKUP(F657,CHOOSE({2,1},Attributes!B$3:B$130,Attributes!C$3:C$129),2,FALSE)</f>
        <v>DungeonSiegeDamageAttributeSet</v>
      </c>
      <c r="F657" s="43" t="str">
        <f>Attributes!C36</f>
        <v>MeleeMaxDamageMod</v>
      </c>
      <c r="G657" s="43" t="str">
        <f t="shared" si="34"/>
        <v>(AttributeName="MeleeMaxDamageMod",Attribute=/Script/DSAbilitySystem.DungeonSiegeDamageAttributeSet:MeleeMaxDamageMod,AttributeOwner=Class'"/Script/DSAbilitySystem.DungeonSiegeDamageAttributeSet"')</v>
      </c>
      <c r="H657" s="43"/>
      <c r="I657" s="43" t="str">
        <f t="shared" si="35"/>
        <v>GE_Suffix_of_Charged_Fist</v>
      </c>
      <c r="J657" s="43" t="str">
        <f t="shared" si="36"/>
        <v>/Game/DungeonSiege/Blueprints/GameplayAbilities/Affixes/GE_Suffix_of_Charged_Fist</v>
      </c>
    </row>
    <row r="658" spans="1:10" ht="33.75" x14ac:dyDescent="0.25">
      <c r="A658" s="43">
        <v>656</v>
      </c>
      <c r="B658" s="43">
        <f>VLOOKUP(C658,CHOOSE({2,1},Suffix!B$2:B$412,Suffix!C$2:C$412),2,FALSE)</f>
        <v>101712912</v>
      </c>
      <c r="C658" s="43" t="s">
        <v>2173</v>
      </c>
      <c r="D658" s="43" t="s">
        <v>3256</v>
      </c>
      <c r="E658" s="43" t="str">
        <f>VLOOKUP(F658,CHOOSE({2,1},Attributes!B$3:B$130,Attributes!C$3:C$129),2,FALSE)</f>
        <v>DungeonSiegeDamageAttributeSet</v>
      </c>
      <c r="F658" s="43" t="str">
        <f>Attributes!C29</f>
        <v>RangedHitChance</v>
      </c>
      <c r="G658" s="43" t="str">
        <f t="shared" si="34"/>
        <v>(AttributeName="RangedHitChance",Attribute=/Script/DSAbilitySystem.DungeonSiegeDamageAttributeSet:RangedHitChance,AttributeOwner=Class'"/Script/DSAbilitySystem.DungeonSiegeDamageAttributeSet"')</v>
      </c>
      <c r="H658" s="43"/>
      <c r="I658" s="43" t="str">
        <f t="shared" si="35"/>
        <v>GE_Suffix_of_Anchored_Shot</v>
      </c>
      <c r="J658" s="43" t="str">
        <f t="shared" si="36"/>
        <v>/Game/DungeonSiege/Blueprints/GameplayAbilities/Affixes/GE_Suffix_of_Anchored_Shot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ExportSuffixGE">
                <anchor moveWithCells="1" sizeWithCells="1">
                  <from>
                    <xdr:col>0</xdr:col>
                    <xdr:colOff>0</xdr:colOff>
                    <xdr:row>0</xdr:row>
                    <xdr:rowOff>9525</xdr:rowOff>
                  </from>
                  <to>
                    <xdr:col>0</xdr:col>
                    <xdr:colOff>962025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3E10-2658-44AD-8004-B67025B3ECB0}">
  <sheetPr codeName="Sheet11"/>
  <dimension ref="A1:J604"/>
  <sheetViews>
    <sheetView workbookViewId="0"/>
  </sheetViews>
  <sheetFormatPr defaultRowHeight="15" x14ac:dyDescent="0.25"/>
  <cols>
    <col min="1" max="1" width="15.42578125" customWidth="1"/>
    <col min="2" max="2" width="23.28515625" style="1" customWidth="1"/>
    <col min="3" max="3" width="16.140625" style="1" bestFit="1" customWidth="1"/>
    <col min="4" max="4" width="57.42578125" style="1" bestFit="1" customWidth="1"/>
    <col min="5" max="5" width="16" style="1" customWidth="1"/>
    <col min="6" max="6" width="32.42578125" bestFit="1" customWidth="1"/>
    <col min="7" max="7" width="57.7109375" style="23" bestFit="1" customWidth="1"/>
    <col min="8" max="8" width="6.140625" bestFit="1" customWidth="1"/>
    <col min="9" max="9" width="45" bestFit="1" customWidth="1"/>
    <col min="10" max="10" width="79.5703125" bestFit="1" customWidth="1"/>
    <col min="11" max="11" width="23.140625" bestFit="1" customWidth="1"/>
    <col min="14" max="14" width="23.140625" bestFit="1" customWidth="1"/>
  </cols>
  <sheetData>
    <row r="1" spans="1:10" ht="34.5" customHeight="1" x14ac:dyDescent="0.25">
      <c r="A1" t="s">
        <v>2915</v>
      </c>
      <c r="B1" s="76" t="s">
        <v>3064</v>
      </c>
      <c r="C1" s="76" t="s">
        <v>0</v>
      </c>
      <c r="D1" s="76" t="s">
        <v>677</v>
      </c>
      <c r="E1" s="76" t="s">
        <v>3390</v>
      </c>
      <c r="F1" s="76" t="s">
        <v>673</v>
      </c>
      <c r="G1" s="76" t="s">
        <v>3331</v>
      </c>
      <c r="H1" s="76" t="s">
        <v>3135</v>
      </c>
      <c r="I1" s="76" t="s">
        <v>335</v>
      </c>
      <c r="J1" s="76" t="s">
        <v>334</v>
      </c>
    </row>
    <row r="2" spans="1:10" s="23" customFormat="1" ht="33.75" x14ac:dyDescent="0.25">
      <c r="A2" s="43">
        <v>0</v>
      </c>
      <c r="B2" s="43">
        <f>VLOOKUP(C2,CHOOSE({2,1},Prefix!B$2:B$256,Prefix!C$2:C$256),2,FALSE)</f>
        <v>100663296</v>
      </c>
      <c r="C2" s="43" t="s">
        <v>3348</v>
      </c>
      <c r="D2" s="43" t="s">
        <v>680</v>
      </c>
      <c r="E2" s="43" t="str">
        <f>VLOOKUP(F2,CHOOSE({2,1},Attributes!B$3:B$130,Attributes!C$3:C$129),2,FALSE)</f>
        <v>DungeonSiegeExperienceAttributeSet</v>
      </c>
      <c r="F2" s="43" t="str">
        <f>Attributes!C9</f>
        <v>Melee</v>
      </c>
      <c r="G2" s="43" t="str">
        <f>CONCATENATE("(AttributeName=""",F2,""",Attribute=/Script/DSAbilitySystem." &amp; E2 &amp;":",F2,",AttributeOwner=Class'""/Script/DSAbilitySystem." &amp; E2 &amp;"""')")</f>
        <v>(AttributeName="Melee",Attribute=/Script/DSAbilitySystem.DungeonSiegeExperienceAttributeSet:Melee,AttributeOwner=Class'"/Script/DSAbilitySystem.DungeonSiegeExperienceAttributeSet"')</v>
      </c>
      <c r="H2" s="43">
        <v>7</v>
      </c>
      <c r="I2" s="43" t="str">
        <f>CONCATENATE("GE_Prefix_",SUBSTITUTE(C2," ","_"))</f>
        <v>GE_Prefix_Monumental</v>
      </c>
      <c r="J2" s="43" t="str">
        <f>"/Game/DungeonSiege/Blueprints/GameplayAbilities/Affixes/" &amp;I2</f>
        <v>/Game/DungeonSiege/Blueprints/GameplayAbilities/Affixes/GE_Prefix_Monumental</v>
      </c>
    </row>
    <row r="3" spans="1:10" s="23" customFormat="1" ht="33.75" x14ac:dyDescent="0.25">
      <c r="A3" s="43">
        <v>1</v>
      </c>
      <c r="B3" s="43">
        <f>VLOOKUP(C3,CHOOSE({2,1},Prefix!B$2:B$256,Prefix!C$2:C$256),2,FALSE)</f>
        <v>100663296</v>
      </c>
      <c r="C3" s="43" t="s">
        <v>3348</v>
      </c>
      <c r="D3" s="43" t="s">
        <v>3136</v>
      </c>
      <c r="E3" s="43" t="str">
        <f>VLOOKUP(F3,CHOOSE({2,1},Attributes!B$3:B$130,Attributes!C$3:C$129),2,FALSE)</f>
        <v>DungeonSiegeDamageAttributeSet</v>
      </c>
      <c r="F3" s="43" t="str">
        <f>Attributes!C35</f>
        <v>MeleeMinDamageMod</v>
      </c>
      <c r="G3" s="43" t="str">
        <f t="shared" ref="G3:G66" si="0">CONCATENATE("(AttributeName=""",F3,""",Attribute=/Script/DSAbilitySystem." &amp; E3 &amp;":",F3,",AttributeOwner=Class'""/Script/DSAbilitySystem." &amp; E3 &amp;"""')")</f>
        <v>(AttributeName="MeleeMinDamageMod",Attribute=/Script/DSAbilitySystem.DungeonSiegeDamageAttributeSet:MeleeMinDamageMod,AttributeOwner=Class'"/Script/DSAbilitySystem.DungeonSiegeDamageAttributeSet"')</v>
      </c>
      <c r="H3" s="43">
        <v>27</v>
      </c>
      <c r="I3" s="43" t="str">
        <f t="shared" ref="I3:I66" si="1">CONCATENATE("GE_Prefix_",SUBSTITUTE(C3," ","_"))</f>
        <v>GE_Prefix_Monumental</v>
      </c>
      <c r="J3" s="43" t="str">
        <f t="shared" ref="J3:J66" si="2">"/Game/DungeonSiege/Blueprints/GameplayAbilities/Affixes/" &amp;I3</f>
        <v>/Game/DungeonSiege/Blueprints/GameplayAbilities/Affixes/GE_Prefix_Monumental</v>
      </c>
    </row>
    <row r="4" spans="1:10" ht="33.75" x14ac:dyDescent="0.25">
      <c r="A4" s="43">
        <v>2</v>
      </c>
      <c r="B4" s="43">
        <f>VLOOKUP(C4,CHOOSE({2,1},Prefix!B$2:B$256,Prefix!C$2:C$256),2,FALSE)</f>
        <v>100663296</v>
      </c>
      <c r="C4" s="43" t="s">
        <v>3348</v>
      </c>
      <c r="D4" s="43" t="s">
        <v>3136</v>
      </c>
      <c r="E4" s="43" t="str">
        <f>VLOOKUP(F4,CHOOSE({2,1},Attributes!B$3:B$130,Attributes!C$3:C$129),2,FALSE)</f>
        <v>DungeonSiegeDamageAttributeSet</v>
      </c>
      <c r="F4" s="43" t="str">
        <f>Attributes!C36</f>
        <v>MeleeMaxDamageMod</v>
      </c>
      <c r="G4" s="43" t="str">
        <f t="shared" si="0"/>
        <v>(AttributeName="MeleeMaxDamageMod",Attribute=/Script/DSAbilitySystem.DungeonSiegeDamageAttributeSet:MeleeMaxDamageMod,AttributeOwner=Class'"/Script/DSAbilitySystem.DungeonSiegeDamageAttributeSet"')</v>
      </c>
      <c r="H4" s="43">
        <v>48</v>
      </c>
      <c r="I4" s="43" t="str">
        <f t="shared" si="1"/>
        <v>GE_Prefix_Monumental</v>
      </c>
      <c r="J4" s="43" t="str">
        <f t="shared" si="2"/>
        <v>/Game/DungeonSiege/Blueprints/GameplayAbilities/Affixes/GE_Prefix_Monumental</v>
      </c>
    </row>
    <row r="5" spans="1:10" s="23" customFormat="1" ht="33.75" x14ac:dyDescent="0.25">
      <c r="A5" s="43">
        <v>3</v>
      </c>
      <c r="B5" s="43">
        <f>VLOOKUP(C5,CHOOSE({2,1},Prefix!B$2:B$256,Prefix!C$2:C$256),2,FALSE)</f>
        <v>100663297</v>
      </c>
      <c r="C5" s="43" t="s">
        <v>683</v>
      </c>
      <c r="D5" s="43" t="s">
        <v>684</v>
      </c>
      <c r="E5" s="43" t="str">
        <f>VLOOKUP(F5,CHOOSE({2,1},Attributes!B$3:B$130,Attributes!C$3:C$129),2,FALSE)</f>
        <v>DungeonSiegeExperienceAttributeSet</v>
      </c>
      <c r="F5" s="43" t="str">
        <f>Attributes!C8</f>
        <v>Ranged</v>
      </c>
      <c r="G5" s="43" t="str">
        <f t="shared" si="0"/>
        <v>(AttributeName="Ranged",Attribute=/Script/DSAbilitySystem.DungeonSiegeExperienceAttributeSet:Ranged,AttributeOwner=Class'"/Script/DSAbilitySystem.DungeonSiegeExperienceAttributeSet"')</v>
      </c>
      <c r="H5" s="43">
        <v>7</v>
      </c>
      <c r="I5" s="43" t="str">
        <f t="shared" si="1"/>
        <v>GE_Prefix_Wicked</v>
      </c>
      <c r="J5" s="43" t="str">
        <f t="shared" si="2"/>
        <v>/Game/DungeonSiege/Blueprints/GameplayAbilities/Affixes/GE_Prefix_Wicked</v>
      </c>
    </row>
    <row r="6" spans="1:10" s="23" customFormat="1" ht="33.75" x14ac:dyDescent="0.25">
      <c r="A6" s="43">
        <v>4</v>
      </c>
      <c r="B6" s="43">
        <f>VLOOKUP(C6,CHOOSE({2,1},Prefix!B$2:B$256,Prefix!C$2:C$256),2,FALSE)</f>
        <v>100663297</v>
      </c>
      <c r="C6" s="43" t="s">
        <v>683</v>
      </c>
      <c r="D6" s="43" t="s">
        <v>685</v>
      </c>
      <c r="E6" s="43" t="str">
        <f>VLOOKUP(F6,CHOOSE({2,1},Attributes!B$3:B$130,Attributes!C$3:C$129),2,FALSE)</f>
        <v>DungeonSiegeDamageAttributeSet</v>
      </c>
      <c r="F6" s="43" t="str">
        <f>Attributes!C19</f>
        <v>MinDamageMod</v>
      </c>
      <c r="G6" s="43" t="str">
        <f t="shared" si="0"/>
        <v>(AttributeName="MinDamageMod",Attribute=/Script/DSAbilitySystem.DungeonSiegeDamageAttributeSet:MinDamageMod,AttributeOwner=Class'"/Script/DSAbilitySystem.DungeonSiegeDamageAttributeSet"')</v>
      </c>
      <c r="H6" s="43">
        <v>15</v>
      </c>
      <c r="I6" s="43" t="str">
        <f t="shared" si="1"/>
        <v>GE_Prefix_Wicked</v>
      </c>
      <c r="J6" s="43" t="str">
        <f t="shared" si="2"/>
        <v>/Game/DungeonSiege/Blueprints/GameplayAbilities/Affixes/GE_Prefix_Wicked</v>
      </c>
    </row>
    <row r="7" spans="1:10" ht="33.75" x14ac:dyDescent="0.25">
      <c r="A7" s="43">
        <v>5</v>
      </c>
      <c r="B7" s="43">
        <f>VLOOKUP(C7,CHOOSE({2,1},Prefix!B$2:B$256,Prefix!C$2:C$256),2,FALSE)</f>
        <v>100663297</v>
      </c>
      <c r="C7" s="43" t="s">
        <v>683</v>
      </c>
      <c r="D7" s="43" t="s">
        <v>685</v>
      </c>
      <c r="E7" s="43" t="str">
        <f>VLOOKUP(F7,CHOOSE({2,1},Attributes!B$3:B$130,Attributes!C$3:C$129),2,FALSE)</f>
        <v>DungeonSiegeDamageAttributeSet</v>
      </c>
      <c r="F7" s="43" t="str">
        <f>Attributes!C20</f>
        <v>MaxDamageMod</v>
      </c>
      <c r="G7" s="43" t="str">
        <f t="shared" si="0"/>
        <v>(AttributeName="MaxDamageMod",Attribute=/Script/DSAbilitySystem.DungeonSiegeDamageAttributeSet:MaxDamageMod,AttributeOwner=Class'"/Script/DSAbilitySystem.DungeonSiegeDamageAttributeSet"')</v>
      </c>
      <c r="H7" s="43">
        <v>35</v>
      </c>
      <c r="I7" s="43" t="str">
        <f t="shared" si="1"/>
        <v>GE_Prefix_Wicked</v>
      </c>
      <c r="J7" s="43" t="str">
        <f t="shared" si="2"/>
        <v>/Game/DungeonSiege/Blueprints/GameplayAbilities/Affixes/GE_Prefix_Wicked</v>
      </c>
    </row>
    <row r="8" spans="1:10" ht="33.75" x14ac:dyDescent="0.25">
      <c r="A8" s="43">
        <v>6</v>
      </c>
      <c r="B8" s="43">
        <f>VLOOKUP(C8,CHOOSE({2,1},Prefix!B$2:B$256,Prefix!C$2:C$256),2,FALSE)</f>
        <v>100663298</v>
      </c>
      <c r="C8" s="43" t="s">
        <v>688</v>
      </c>
      <c r="D8" s="43" t="s">
        <v>689</v>
      </c>
      <c r="E8" s="43" t="str">
        <f>VLOOKUP(F8,CHOOSE({2,1},Attributes!B$3:B$130,Attributes!C$3:C$129),2,FALSE)</f>
        <v>DungeonSiegeDefenseAttributeSet</v>
      </c>
      <c r="F8" s="43" t="str">
        <f>Attributes!C10</f>
        <v>ArmorRating</v>
      </c>
      <c r="G8" s="43" t="str">
        <f t="shared" si="0"/>
        <v>(AttributeName="ArmorRating",Attribute=/Script/DSAbilitySystem.DungeonSiegeDefenseAttributeSet:ArmorRating,AttributeOwner=Class'"/Script/DSAbilitySystem.DungeonSiegeDefenseAttributeSet"')</v>
      </c>
      <c r="H8" s="43">
        <v>150</v>
      </c>
      <c r="I8" s="43" t="str">
        <f t="shared" si="1"/>
        <v>GE_Prefix_Hulking</v>
      </c>
      <c r="J8" s="43" t="str">
        <f t="shared" si="2"/>
        <v>/Game/DungeonSiege/Blueprints/GameplayAbilities/Affixes/GE_Prefix_Hulking</v>
      </c>
    </row>
    <row r="9" spans="1:10" ht="33.75" x14ac:dyDescent="0.25">
      <c r="A9" s="43">
        <v>7</v>
      </c>
      <c r="B9" s="43">
        <f>VLOOKUP(C9,CHOOSE({2,1},Prefix!B$2:B$256,Prefix!C$2:C$256),2,FALSE)</f>
        <v>100663299</v>
      </c>
      <c r="C9" s="43" t="s">
        <v>692</v>
      </c>
      <c r="D9" s="43" t="s">
        <v>693</v>
      </c>
      <c r="E9" s="43" t="str">
        <f>VLOOKUP(F9,CHOOSE({2,1},Attributes!B$3:B$130,Attributes!C$3:C$129),2,FALSE)</f>
        <v>DungeonSiegeExperienceAttributeSet</v>
      </c>
      <c r="F9" s="43" t="str">
        <f>Attributes!C7</f>
        <v>NatureMagic</v>
      </c>
      <c r="G9" s="43" t="str">
        <f t="shared" si="0"/>
        <v>(AttributeName="NatureMagic",Attribute=/Script/DSAbilitySystem.DungeonSiegeExperienceAttributeSet:NatureMagic,AttributeOwner=Class'"/Script/DSAbilitySystem.DungeonSiegeExperienceAttributeSet"')</v>
      </c>
      <c r="H9" s="43">
        <v>9</v>
      </c>
      <c r="I9" s="43" t="str">
        <f t="shared" si="1"/>
        <v>GE_Prefix_Refined</v>
      </c>
      <c r="J9" s="43" t="str">
        <f t="shared" si="2"/>
        <v>/Game/DungeonSiege/Blueprints/GameplayAbilities/Affixes/GE_Prefix_Refined</v>
      </c>
    </row>
    <row r="10" spans="1:10" ht="33.75" x14ac:dyDescent="0.25">
      <c r="A10" s="43">
        <v>8</v>
      </c>
      <c r="B10" s="43">
        <f>VLOOKUP(C10,CHOOSE({2,1},Prefix!B$2:B$256,Prefix!C$2:C$256),2,FALSE)</f>
        <v>100663300</v>
      </c>
      <c r="C10" s="43" t="s">
        <v>696</v>
      </c>
      <c r="D10" s="43" t="s">
        <v>697</v>
      </c>
      <c r="E10" s="43" t="str">
        <f>VLOOKUP(F10,CHOOSE({2,1},Attributes!B$3:B$130,Attributes!C$3:C$129),2,FALSE)</f>
        <v>DungeonSiegeExperienceAttributeSet</v>
      </c>
      <c r="F10" s="43" t="str">
        <f>Attributes!C6</f>
        <v>CombatMagic</v>
      </c>
      <c r="G10" s="43" t="str">
        <f t="shared" si="0"/>
        <v>(AttributeName="CombatMagic",Attribute=/Script/DSAbilitySystem.DungeonSiegeExperienceAttributeSet:CombatMagic,AttributeOwner=Class'"/Script/DSAbilitySystem.DungeonSiegeExperienceAttributeSet"')</v>
      </c>
      <c r="H10" s="43">
        <v>9</v>
      </c>
      <c r="I10" s="43" t="str">
        <f t="shared" si="1"/>
        <v>GE_Prefix_Warring</v>
      </c>
      <c r="J10" s="43" t="str">
        <f t="shared" si="2"/>
        <v>/Game/DungeonSiege/Blueprints/GameplayAbilities/Affixes/GE_Prefix_Warring</v>
      </c>
    </row>
    <row r="11" spans="1:10" s="23" customFormat="1" ht="33.75" x14ac:dyDescent="0.25">
      <c r="A11" s="43">
        <v>9</v>
      </c>
      <c r="B11" s="43">
        <f>VLOOKUP(C11,CHOOSE({2,1},Prefix!B$2:B$256,Prefix!C$2:C$256),2,FALSE)</f>
        <v>100663301</v>
      </c>
      <c r="C11" s="43" t="s">
        <v>699</v>
      </c>
      <c r="D11" s="43" t="s">
        <v>227</v>
      </c>
      <c r="E11" s="43" t="str">
        <f>VLOOKUP(F11,CHOOSE({2,1},Attributes!B$3:B$130,Attributes!C$3:C$129),2,FALSE)</f>
        <v>DungeonSiegeExperienceAttributeSet</v>
      </c>
      <c r="F11" s="43" t="str">
        <f>Attributes!C3</f>
        <v>Strength</v>
      </c>
      <c r="G11" s="43" t="str">
        <f t="shared" si="0"/>
        <v>(AttributeName="Strength",Attribute=/Script/DSAbilitySystem.DungeonSiegeExperienceAttributeSet:Strength,AttributeOwner=Class'"/Script/DSAbilitySystem.DungeonSiegeExperienceAttributeSet"')</v>
      </c>
      <c r="H11" s="43">
        <v>1</v>
      </c>
      <c r="I11" s="43" t="str">
        <f t="shared" si="1"/>
        <v>GE_Prefix_Admired</v>
      </c>
      <c r="J11" s="43" t="str">
        <f t="shared" si="2"/>
        <v>/Game/DungeonSiege/Blueprints/GameplayAbilities/Affixes/GE_Prefix_Admired</v>
      </c>
    </row>
    <row r="12" spans="1:10" s="23" customFormat="1" ht="33.75" x14ac:dyDescent="0.25">
      <c r="A12" s="43">
        <v>10</v>
      </c>
      <c r="B12" s="43">
        <f>VLOOKUP(C12,CHOOSE({2,1},Prefix!B$2:B$256,Prefix!C$2:C$256),2,FALSE)</f>
        <v>100663301</v>
      </c>
      <c r="C12" s="43" t="s">
        <v>699</v>
      </c>
      <c r="D12" s="43" t="s">
        <v>700</v>
      </c>
      <c r="E12" s="43" t="str">
        <f>VLOOKUP(F12,CHOOSE({2,1},Attributes!B$3:B$130,Attributes!C$3:C$129),2,FALSE)</f>
        <v>DungeonSiegePerHitAttributeSet</v>
      </c>
      <c r="F12" s="43" t="str">
        <f>Attributes!C11</f>
        <v>HealthPerHit</v>
      </c>
      <c r="G12" s="43" t="str">
        <f t="shared" si="0"/>
        <v>(AttributeName="HealthPerHit",Attribute=/Script/DSAbilitySystem.DungeonSiegePerHitAttributeSet:HealthPerHit,AttributeOwner=Class'"/Script/DSAbilitySystem.DungeonSiegePerHitAttributeSet"')</v>
      </c>
      <c r="H12" s="43">
        <v>3</v>
      </c>
      <c r="I12" s="43" t="str">
        <f t="shared" si="1"/>
        <v>GE_Prefix_Admired</v>
      </c>
      <c r="J12" s="43" t="str">
        <f t="shared" si="2"/>
        <v>/Game/DungeonSiege/Blueprints/GameplayAbilities/Affixes/GE_Prefix_Admired</v>
      </c>
    </row>
    <row r="13" spans="1:10" s="23" customFormat="1" ht="33.75" x14ac:dyDescent="0.25">
      <c r="A13" s="43">
        <v>11</v>
      </c>
      <c r="B13" s="43">
        <f>VLOOKUP(C13,CHOOSE({2,1},Prefix!B$2:B$256,Prefix!C$2:C$256),2,FALSE)</f>
        <v>100663301</v>
      </c>
      <c r="C13" s="43" t="s">
        <v>699</v>
      </c>
      <c r="D13" s="43" t="s">
        <v>701</v>
      </c>
      <c r="E13" s="43" t="str">
        <f>VLOOKUP(F13,CHOOSE({2,1},Attributes!B$3:B$130,Attributes!C$3:C$129),2,FALSE)</f>
        <v>DungeonSiegePerHitAttributeSet</v>
      </c>
      <c r="F13" s="43" t="str">
        <f>Attributes!C14</f>
        <v>ManaStealPerHit</v>
      </c>
      <c r="G13" s="43" t="str">
        <f t="shared" si="0"/>
        <v>(AttributeName="ManaStealPerHit",Attribute=/Script/DSAbilitySystem.DungeonSiegePerHitAttributeSet:ManaStealPerHit,AttributeOwner=Class'"/Script/DSAbilitySystem.DungeonSiegePerHitAttributeSet"')</v>
      </c>
      <c r="H13" s="43">
        <v>4</v>
      </c>
      <c r="I13" s="43" t="str">
        <f t="shared" si="1"/>
        <v>GE_Prefix_Admired</v>
      </c>
      <c r="J13" s="43" t="str">
        <f t="shared" si="2"/>
        <v>/Game/DungeonSiege/Blueprints/GameplayAbilities/Affixes/GE_Prefix_Admired</v>
      </c>
    </row>
    <row r="14" spans="1:10" s="23" customFormat="1" ht="33.75" x14ac:dyDescent="0.25">
      <c r="A14" s="43">
        <v>12</v>
      </c>
      <c r="B14" s="43">
        <f>VLOOKUP(C14,CHOOSE({2,1},Prefix!B$2:B$256,Prefix!C$2:C$256),2,FALSE)</f>
        <v>100663301</v>
      </c>
      <c r="C14" s="43" t="s">
        <v>699</v>
      </c>
      <c r="D14" s="43" t="s">
        <v>702</v>
      </c>
      <c r="E14" s="43" t="str">
        <f>VLOOKUP(F14,CHOOSE({2,1},Attributes!B$3:B$130,Attributes!C$3:C$129),2,FALSE)</f>
        <v>DungeonSiegeDamageAttributeSet</v>
      </c>
      <c r="F14" s="43" t="str">
        <f>Attributes!C24</f>
        <v>PercentPiercingDamageReduction</v>
      </c>
      <c r="G14" s="43" t="str">
        <f t="shared" si="0"/>
        <v>(AttributeName="PercentPiercingDamageReduction",Attribute=/Script/DSAbilitySystem.DungeonSiegeDamageAttributeSet:PercentPiercingDamageReduction,AttributeOwner=Class'"/Script/DSAbilitySystem.DungeonSiegeDamageAttributeSet"')</v>
      </c>
      <c r="H14" s="43">
        <v>16</v>
      </c>
      <c r="I14" s="43" t="str">
        <f t="shared" si="1"/>
        <v>GE_Prefix_Admired</v>
      </c>
      <c r="J14" s="43" t="str">
        <f t="shared" si="2"/>
        <v>/Game/DungeonSiege/Blueprints/GameplayAbilities/Affixes/GE_Prefix_Admired</v>
      </c>
    </row>
    <row r="15" spans="1:10" ht="45" x14ac:dyDescent="0.25">
      <c r="A15" s="43">
        <v>13</v>
      </c>
      <c r="B15" s="43">
        <f>VLOOKUP(C15,CHOOSE({2,1},Prefix!B$2:B$256,Prefix!C$2:C$256),2,FALSE)</f>
        <v>100663301</v>
      </c>
      <c r="C15" s="43" t="s">
        <v>699</v>
      </c>
      <c r="D15" s="43" t="s">
        <v>703</v>
      </c>
      <c r="E15" s="43" t="str">
        <f>VLOOKUP(F15,CHOOSE({2,1},Attributes!B$3:B$130,Attributes!C$3:C$129),2,FALSE)</f>
        <v>DungeonSiegeDamageAttributeSet</v>
      </c>
      <c r="F15" s="43" t="str">
        <f>Attributes!C21</f>
        <v>PercentDamageReflectedToEnemy</v>
      </c>
      <c r="G15" s="43" t="str">
        <f t="shared" si="0"/>
        <v>(AttributeName="PercentDamageReflectedToEnemy",Attribute=/Script/DSAbilitySystem.DungeonSiegeDamageAttributeSet:PercentDamageReflectedToEnemy,AttributeOwner=Class'"/Script/DSAbilitySystem.DungeonSiegeDamageAttributeSet"')</v>
      </c>
      <c r="H15" s="43">
        <v>10</v>
      </c>
      <c r="I15" s="43" t="str">
        <f t="shared" si="1"/>
        <v>GE_Prefix_Admired</v>
      </c>
      <c r="J15" s="43" t="str">
        <f t="shared" si="2"/>
        <v>/Game/DungeonSiege/Blueprints/GameplayAbilities/Affixes/GE_Prefix_Admired</v>
      </c>
    </row>
    <row r="16" spans="1:10" ht="33.75" x14ac:dyDescent="0.25">
      <c r="A16" s="43">
        <v>14</v>
      </c>
      <c r="B16" s="43">
        <f>VLOOKUP(C16,CHOOSE({2,1},Prefix!B$2:B$256,Prefix!C$2:C$256),2,FALSE)</f>
        <v>100663302</v>
      </c>
      <c r="C16" s="43" t="s">
        <v>707</v>
      </c>
      <c r="D16" s="43" t="s">
        <v>708</v>
      </c>
      <c r="E16" s="43" t="str">
        <f>VLOOKUP(F16,CHOOSE({2,1},Attributes!B$3:B$130,Attributes!C$3:C$129),2,FALSE)</f>
        <v>DungeonSiegeExperienceAttributeSet</v>
      </c>
      <c r="F16" s="43" t="str">
        <f>Attributes!C9</f>
        <v>Melee</v>
      </c>
      <c r="G16" s="43" t="str">
        <f t="shared" si="0"/>
        <v>(AttributeName="Melee",Attribute=/Script/DSAbilitySystem.DungeonSiegeExperienceAttributeSet:Melee,AttributeOwner=Class'"/Script/DSAbilitySystem.DungeonSiegeExperienceAttributeSet"')</v>
      </c>
      <c r="H16" s="43">
        <v>10</v>
      </c>
      <c r="I16" s="43" t="str">
        <f t="shared" si="1"/>
        <v>GE_Prefix_Eradicating</v>
      </c>
      <c r="J16" s="43" t="str">
        <f t="shared" si="2"/>
        <v>/Game/DungeonSiege/Blueprints/GameplayAbilities/Affixes/GE_Prefix_Eradicating</v>
      </c>
    </row>
    <row r="17" spans="1:10" s="23" customFormat="1" ht="33.75" x14ac:dyDescent="0.25">
      <c r="A17" s="43">
        <v>15</v>
      </c>
      <c r="B17" s="43">
        <f>VLOOKUP(C17,CHOOSE({2,1},Prefix!B$2:B$256,Prefix!C$2:C$256),2,FALSE)</f>
        <v>100663303</v>
      </c>
      <c r="C17" s="43" t="s">
        <v>711</v>
      </c>
      <c r="D17" s="43" t="s">
        <v>174</v>
      </c>
      <c r="E17" s="43" t="str">
        <f>VLOOKUP(F17,CHOOSE({2,1},Attributes!B$3:B$130,Attributes!C$3:C$129),2,FALSE)</f>
        <v>DungeonSiegeExperienceAttributeSet</v>
      </c>
      <c r="F17" s="43" t="str">
        <f>Attributes!C4</f>
        <v>Dexterity</v>
      </c>
      <c r="G17" s="43" t="str">
        <f t="shared" si="0"/>
        <v>(AttributeName="Dexterity",Attribute=/Script/DSAbilitySystem.DungeonSiegeExperienceAttributeSet:Dexterity,AttributeOwner=Class'"/Script/DSAbilitySystem.DungeonSiegeExperienceAttributeSet"')</v>
      </c>
      <c r="H17" s="43">
        <v>6</v>
      </c>
      <c r="I17" s="43" t="str">
        <f t="shared" si="1"/>
        <v>GE_Prefix_Sacred</v>
      </c>
      <c r="J17" s="43" t="str">
        <f t="shared" si="2"/>
        <v>/Game/DungeonSiege/Blueprints/GameplayAbilities/Affixes/GE_Prefix_Sacred</v>
      </c>
    </row>
    <row r="18" spans="1:10" s="23" customFormat="1" ht="33.75" x14ac:dyDescent="0.25">
      <c r="A18" s="43">
        <v>16</v>
      </c>
      <c r="B18" s="43">
        <f>VLOOKUP(C18,CHOOSE({2,1},Prefix!B$2:B$256,Prefix!C$2:C$256),2,FALSE)</f>
        <v>100663303</v>
      </c>
      <c r="C18" s="43" t="s">
        <v>711</v>
      </c>
      <c r="D18" s="43" t="s">
        <v>712</v>
      </c>
      <c r="E18" s="43" t="str">
        <f>VLOOKUP(F18,CHOOSE({2,1},Attributes!B$3:B$130,Attributes!C$3:C$129),2,FALSE)</f>
        <v>DungeonSiegeExperienceAttributeSet</v>
      </c>
      <c r="F18" s="43" t="str">
        <f>Attributes!C9</f>
        <v>Melee</v>
      </c>
      <c r="G18" s="43" t="str">
        <f t="shared" si="0"/>
        <v>(AttributeName="Melee",Attribute=/Script/DSAbilitySystem.DungeonSiegeExperienceAttributeSet:Melee,AttributeOwner=Class'"/Script/DSAbilitySystem.DungeonSiegeExperienceAttributeSet"')</v>
      </c>
      <c r="H18" s="43">
        <v>2</v>
      </c>
      <c r="I18" s="43" t="str">
        <f t="shared" si="1"/>
        <v>GE_Prefix_Sacred</v>
      </c>
      <c r="J18" s="43" t="str">
        <f t="shared" si="2"/>
        <v>/Game/DungeonSiege/Blueprints/GameplayAbilities/Affixes/GE_Prefix_Sacred</v>
      </c>
    </row>
    <row r="19" spans="1:10" s="23" customFormat="1" ht="33.75" x14ac:dyDescent="0.25">
      <c r="A19" s="43">
        <v>17</v>
      </c>
      <c r="B19" s="43">
        <f>VLOOKUP(C19,CHOOSE({2,1},Prefix!B$2:B$256,Prefix!C$2:C$256),2,FALSE)</f>
        <v>100663303</v>
      </c>
      <c r="C19" s="43" t="s">
        <v>711</v>
      </c>
      <c r="D19" s="43" t="s">
        <v>713</v>
      </c>
      <c r="E19" s="43" t="str">
        <f>VLOOKUP(F19,CHOOSE({2,1},Attributes!B$3:B$130,Attributes!C$3:C$129),2,FALSE)</f>
        <v>DungeonSiegeExperienceAttributeSet</v>
      </c>
      <c r="F19" s="43" t="str">
        <f>Attributes!C8</f>
        <v>Ranged</v>
      </c>
      <c r="G19" s="43" t="str">
        <f t="shared" si="0"/>
        <v>(AttributeName="Ranged",Attribute=/Script/DSAbilitySystem.DungeonSiegeExperienceAttributeSet:Ranged,AttributeOwner=Class'"/Script/DSAbilitySystem.DungeonSiegeExperienceAttributeSet"')</v>
      </c>
      <c r="H19" s="43">
        <v>1</v>
      </c>
      <c r="I19" s="43" t="str">
        <f t="shared" si="1"/>
        <v>GE_Prefix_Sacred</v>
      </c>
      <c r="J19" s="43" t="str">
        <f t="shared" si="2"/>
        <v>/Game/DungeonSiege/Blueprints/GameplayAbilities/Affixes/GE_Prefix_Sacred</v>
      </c>
    </row>
    <row r="20" spans="1:10" s="23" customFormat="1" ht="33.75" x14ac:dyDescent="0.25">
      <c r="A20" s="43">
        <v>18</v>
      </c>
      <c r="B20" s="43">
        <f>VLOOKUP(C20,CHOOSE({2,1},Prefix!B$2:B$256,Prefix!C$2:C$256),2,FALSE)</f>
        <v>100663303</v>
      </c>
      <c r="C20" s="43" t="s">
        <v>711</v>
      </c>
      <c r="D20" s="43" t="s">
        <v>714</v>
      </c>
      <c r="E20" s="43" t="str">
        <f>VLOOKUP(F20,CHOOSE({2,1},Attributes!B$3:B$130,Attributes!C$3:C$129),2,FALSE)</f>
        <v>DungeonSiegeDamageAttributeSet</v>
      </c>
      <c r="F20" s="43" t="str">
        <f>Attributes!C27</f>
        <v>PercentRangedDamageReduction</v>
      </c>
      <c r="G20" s="43" t="str">
        <f t="shared" si="0"/>
        <v>(AttributeName="PercentRangedDamageReduction",Attribute=/Script/DSAbilitySystem.DungeonSiegeDamageAttributeSet:PercentRangedDamageReduction,AttributeOwner=Class'"/Script/DSAbilitySystem.DungeonSiegeDamageAttributeSet"')</v>
      </c>
      <c r="H20" s="43">
        <v>12</v>
      </c>
      <c r="I20" s="43" t="str">
        <f t="shared" si="1"/>
        <v>GE_Prefix_Sacred</v>
      </c>
      <c r="J20" s="43" t="str">
        <f t="shared" si="2"/>
        <v>/Game/DungeonSiege/Blueprints/GameplayAbilities/Affixes/GE_Prefix_Sacred</v>
      </c>
    </row>
    <row r="21" spans="1:10" ht="45" x14ac:dyDescent="0.25">
      <c r="A21" s="43">
        <v>19</v>
      </c>
      <c r="B21" s="43">
        <f>VLOOKUP(C21,CHOOSE({2,1},Prefix!B$2:B$256,Prefix!C$2:C$256),2,FALSE)</f>
        <v>100663303</v>
      </c>
      <c r="C21" s="43" t="s">
        <v>711</v>
      </c>
      <c r="D21" s="43" t="s">
        <v>715</v>
      </c>
      <c r="E21" s="43" t="str">
        <f>VLOOKUP(F21,CHOOSE({2,1},Attributes!B$3:B$130,Attributes!C$3:C$129),2,FALSE)</f>
        <v>DungeonSiegeDamageAttributeSet</v>
      </c>
      <c r="F21" s="43" t="str">
        <f>Attributes!C21</f>
        <v>PercentDamageReflectedToEnemy</v>
      </c>
      <c r="G21" s="43" t="str">
        <f t="shared" si="0"/>
        <v>(AttributeName="PercentDamageReflectedToEnemy",Attribute=/Script/DSAbilitySystem.DungeonSiegeDamageAttributeSet:PercentDamageReflectedToEnemy,AttributeOwner=Class'"/Script/DSAbilitySystem.DungeonSiegeDamageAttributeSet"')</v>
      </c>
      <c r="H21" s="43">
        <v>3</v>
      </c>
      <c r="I21" s="43" t="str">
        <f t="shared" si="1"/>
        <v>GE_Prefix_Sacred</v>
      </c>
      <c r="J21" s="43" t="str">
        <f t="shared" si="2"/>
        <v>/Game/DungeonSiege/Blueprints/GameplayAbilities/Affixes/GE_Prefix_Sacred</v>
      </c>
    </row>
    <row r="22" spans="1:10" ht="33.75" x14ac:dyDescent="0.25">
      <c r="A22" s="43">
        <v>20</v>
      </c>
      <c r="B22" s="43">
        <f>VLOOKUP(C22,CHOOSE({2,1},Prefix!B$2:B$256,Prefix!C$2:C$256),2,FALSE)</f>
        <v>100663304</v>
      </c>
      <c r="C22" s="43" t="s">
        <v>717</v>
      </c>
      <c r="D22" s="43" t="s">
        <v>718</v>
      </c>
      <c r="E22" s="43" t="str">
        <f>VLOOKUP(F22,CHOOSE({2,1},Attributes!B$3:B$130,Attributes!C$3:C$129),2,FALSE)</f>
        <v>DungeonSiegeExperienceAttributeSet</v>
      </c>
      <c r="F22" s="43" t="str">
        <f>Attributes!C8</f>
        <v>Ranged</v>
      </c>
      <c r="G22" s="43" t="str">
        <f t="shared" si="0"/>
        <v>(AttributeName="Ranged",Attribute=/Script/DSAbilitySystem.DungeonSiegeExperienceAttributeSet:Ranged,AttributeOwner=Class'"/Script/DSAbilitySystem.DungeonSiegeExperienceAttributeSet"')</v>
      </c>
      <c r="H22" s="43">
        <v>11</v>
      </c>
      <c r="I22" s="43" t="str">
        <f t="shared" si="1"/>
        <v>GE_Prefix_Propelling</v>
      </c>
      <c r="J22" s="43" t="str">
        <f t="shared" si="2"/>
        <v>/Game/DungeonSiege/Blueprints/GameplayAbilities/Affixes/GE_Prefix_Propelling</v>
      </c>
    </row>
    <row r="23" spans="1:10" s="23" customFormat="1" ht="33.75" x14ac:dyDescent="0.25">
      <c r="A23" s="43">
        <v>21</v>
      </c>
      <c r="B23" s="43">
        <f>VLOOKUP(C23,CHOOSE({2,1},Prefix!B$2:B$256,Prefix!C$2:C$256),2,FALSE)</f>
        <v>100663305</v>
      </c>
      <c r="C23" s="43" t="s">
        <v>721</v>
      </c>
      <c r="D23" s="43" t="s">
        <v>722</v>
      </c>
      <c r="E23" s="43" t="str">
        <f>VLOOKUP(F23,CHOOSE({2,1},Attributes!B$3:B$130,Attributes!C$3:C$129),2,FALSE)</f>
        <v>DungeonSiegePerHitAttributeSet</v>
      </c>
      <c r="F23" s="43" t="str">
        <f>Attributes!C14</f>
        <v>ManaStealPerHit</v>
      </c>
      <c r="G23" s="43" t="str">
        <f t="shared" si="0"/>
        <v>(AttributeName="ManaStealPerHit",Attribute=/Script/DSAbilitySystem.DungeonSiegePerHitAttributeSet:ManaStealPerHit,AttributeOwner=Class'"/Script/DSAbilitySystem.DungeonSiegePerHitAttributeSet"')</v>
      </c>
      <c r="H23" s="43">
        <v>6</v>
      </c>
      <c r="I23" s="43" t="str">
        <f t="shared" si="1"/>
        <v>GE_Prefix_Unsurpassed</v>
      </c>
      <c r="J23" s="43" t="str">
        <f t="shared" si="2"/>
        <v>/Game/DungeonSiege/Blueprints/GameplayAbilities/Affixes/GE_Prefix_Unsurpassed</v>
      </c>
    </row>
    <row r="24" spans="1:10" s="23" customFormat="1" ht="33.75" x14ac:dyDescent="0.25">
      <c r="A24" s="43">
        <v>22</v>
      </c>
      <c r="B24" s="43">
        <f>VLOOKUP(C24,CHOOSE({2,1},Prefix!B$2:B$256,Prefix!C$2:C$256),2,FALSE)</f>
        <v>100663305</v>
      </c>
      <c r="C24" s="43" t="s">
        <v>721</v>
      </c>
      <c r="D24" s="43" t="s">
        <v>266</v>
      </c>
      <c r="E24" s="43" t="str">
        <f>VLOOKUP(F24,CHOOSE({2,1},Attributes!B$3:B$130,Attributes!C$3:C$129),2,FALSE)</f>
        <v>DungeonSiegeExperienceAttributeSet</v>
      </c>
      <c r="F24" s="43" t="str">
        <f>Attributes!C6</f>
        <v>CombatMagic</v>
      </c>
      <c r="G24" s="43" t="str">
        <f t="shared" si="0"/>
        <v>(AttributeName="CombatMagic",Attribute=/Script/DSAbilitySystem.DungeonSiegeExperienceAttributeSet:CombatMagic,AttributeOwner=Class'"/Script/DSAbilitySystem.DungeonSiegeExperienceAttributeSet"')</v>
      </c>
      <c r="H24" s="43">
        <v>3</v>
      </c>
      <c r="I24" s="43" t="str">
        <f t="shared" si="1"/>
        <v>GE_Prefix_Unsurpassed</v>
      </c>
      <c r="J24" s="43" t="str">
        <f t="shared" si="2"/>
        <v>/Game/DungeonSiege/Blueprints/GameplayAbilities/Affixes/GE_Prefix_Unsurpassed</v>
      </c>
    </row>
    <row r="25" spans="1:10" s="23" customFormat="1" ht="33.75" x14ac:dyDescent="0.25">
      <c r="A25" s="43">
        <v>23</v>
      </c>
      <c r="B25" s="43">
        <f>VLOOKUP(C25,CHOOSE({2,1},Prefix!B$2:B$256,Prefix!C$2:C$256),2,FALSE)</f>
        <v>100663305</v>
      </c>
      <c r="C25" s="43" t="s">
        <v>721</v>
      </c>
      <c r="D25" s="43" t="s">
        <v>257</v>
      </c>
      <c r="E25" s="43" t="str">
        <f>VLOOKUP(F25,CHOOSE({2,1},Attributes!B$3:B$130,Attributes!C$3:C$129),2,FALSE)</f>
        <v>DungeonSiegeDefenseAttributeSet</v>
      </c>
      <c r="F25" s="43" t="str">
        <f>Attributes!C10</f>
        <v>ArmorRating</v>
      </c>
      <c r="G25" s="43" t="str">
        <f t="shared" si="0"/>
        <v>(AttributeName="ArmorRating",Attribute=/Script/DSAbilitySystem.DungeonSiegeDefenseAttributeSet:ArmorRating,AttributeOwner=Class'"/Script/DSAbilitySystem.DungeonSiegeDefenseAttributeSet"')</v>
      </c>
      <c r="H25" s="43">
        <v>25</v>
      </c>
      <c r="I25" s="43" t="str">
        <f t="shared" si="1"/>
        <v>GE_Prefix_Unsurpassed</v>
      </c>
      <c r="J25" s="43" t="str">
        <f t="shared" si="2"/>
        <v>/Game/DungeonSiege/Blueprints/GameplayAbilities/Affixes/GE_Prefix_Unsurpassed</v>
      </c>
    </row>
    <row r="26" spans="1:10" s="23" customFormat="1" ht="33.75" x14ac:dyDescent="0.25">
      <c r="A26" s="43">
        <v>24</v>
      </c>
      <c r="B26" s="43">
        <f>VLOOKUP(C26,CHOOSE({2,1},Prefix!B$2:B$256,Prefix!C$2:C$256),2,FALSE)</f>
        <v>100663305</v>
      </c>
      <c r="C26" s="43" t="s">
        <v>721</v>
      </c>
      <c r="D26" s="43" t="s">
        <v>723</v>
      </c>
      <c r="E26" s="43" t="str">
        <f>VLOOKUP(F26,CHOOSE({2,1},Attributes!B$3:B$130,Attributes!C$3:C$129),2,FALSE)</f>
        <v>DungeonSiegeDamageAttributeSet</v>
      </c>
      <c r="F26" s="43" t="str">
        <f>Attributes!C24</f>
        <v>PercentPiercingDamageReduction</v>
      </c>
      <c r="G26" s="43" t="str">
        <f t="shared" si="0"/>
        <v>(AttributeName="PercentPiercingDamageReduction",Attribute=/Script/DSAbilitySystem.DungeonSiegeDamageAttributeSet:PercentPiercingDamageReduction,AttributeOwner=Class'"/Script/DSAbilitySystem.DungeonSiegeDamageAttributeSet"')</v>
      </c>
      <c r="H26" s="43">
        <v>13</v>
      </c>
      <c r="I26" s="43" t="str">
        <f t="shared" si="1"/>
        <v>GE_Prefix_Unsurpassed</v>
      </c>
      <c r="J26" s="43" t="str">
        <f t="shared" si="2"/>
        <v>/Game/DungeonSiege/Blueprints/GameplayAbilities/Affixes/GE_Prefix_Unsurpassed</v>
      </c>
    </row>
    <row r="27" spans="1:10" ht="33.75" x14ac:dyDescent="0.25">
      <c r="A27" s="43">
        <v>25</v>
      </c>
      <c r="B27" s="43">
        <f>VLOOKUP(C27,CHOOSE({2,1},Prefix!B$2:B$256,Prefix!C$2:C$256),2,FALSE)</f>
        <v>100663305</v>
      </c>
      <c r="C27" s="43" t="s">
        <v>721</v>
      </c>
      <c r="D27" s="43" t="s">
        <v>3137</v>
      </c>
      <c r="E27" s="43" t="str">
        <f>VLOOKUP(F27,CHOOSE({2,1},Attributes!B$3:B$130,Attributes!C$3:C$129),2,FALSE)</f>
        <v>DungeonSiegeMagicAttributeSet</v>
      </c>
      <c r="F27" s="43" t="str">
        <f>Attributes!C42</f>
        <v>CombatMagicMaxDamageMod</v>
      </c>
      <c r="G27" s="43" t="str">
        <f t="shared" si="0"/>
        <v>(AttributeName="CombatMagicMaxDamageMod",Attribute=/Script/DSAbilitySystem.DungeonSiegeMagicAttributeSet:CombatMagicMaxDamageMod,AttributeOwner=Class'"/Script/DSAbilitySystem.DungeonSiegeMagicAttributeSet"')</v>
      </c>
      <c r="H27" s="43">
        <v>3</v>
      </c>
      <c r="I27" s="43" t="str">
        <f t="shared" si="1"/>
        <v>GE_Prefix_Unsurpassed</v>
      </c>
      <c r="J27" s="43" t="str">
        <f t="shared" si="2"/>
        <v>/Game/DungeonSiege/Blueprints/GameplayAbilities/Affixes/GE_Prefix_Unsurpassed</v>
      </c>
    </row>
    <row r="28" spans="1:10" s="23" customFormat="1" ht="33.75" x14ac:dyDescent="0.25">
      <c r="A28" s="43">
        <v>26</v>
      </c>
      <c r="B28" s="43">
        <f>VLOOKUP(C28,CHOOSE({2,1},Prefix!B$2:B$256,Prefix!C$2:C$256),2,FALSE)</f>
        <v>100663312</v>
      </c>
      <c r="C28" s="43" t="s">
        <v>725</v>
      </c>
      <c r="D28" s="43" t="s">
        <v>726</v>
      </c>
      <c r="E28" s="43" t="str">
        <f>VLOOKUP(F28,CHOOSE({2,1},Attributes!B$3:B$130,Attributes!C$3:C$129),2,FALSE)</f>
        <v>DungeonSiegeExperienceAttributeSet</v>
      </c>
      <c r="F28" s="43" t="str">
        <f>Attributes!C9</f>
        <v>Melee</v>
      </c>
      <c r="G28" s="43" t="str">
        <f t="shared" si="0"/>
        <v>(AttributeName="Melee",Attribute=/Script/DSAbilitySystem.DungeonSiegeExperienceAttributeSet:Melee,AttributeOwner=Class'"/Script/DSAbilitySystem.DungeonSiegeExperienceAttributeSet"')</v>
      </c>
      <c r="H28" s="43">
        <v>5</v>
      </c>
      <c r="I28" s="43" t="str">
        <f t="shared" si="1"/>
        <v>GE_Prefix_Colossal</v>
      </c>
      <c r="J28" s="43" t="str">
        <f t="shared" si="2"/>
        <v>/Game/DungeonSiege/Blueprints/GameplayAbilities/Affixes/GE_Prefix_Colossal</v>
      </c>
    </row>
    <row r="29" spans="1:10" s="23" customFormat="1" ht="33.75" x14ac:dyDescent="0.25">
      <c r="A29" s="43">
        <v>27</v>
      </c>
      <c r="B29" s="43">
        <f>VLOOKUP(C29,CHOOSE({2,1},Prefix!B$2:B$256,Prefix!C$2:C$256),2,FALSE)</f>
        <v>100663312</v>
      </c>
      <c r="C29" s="43" t="s">
        <v>725</v>
      </c>
      <c r="D29" s="43" t="s">
        <v>3138</v>
      </c>
      <c r="E29" s="43" t="str">
        <f>VLOOKUP(F29,CHOOSE({2,1},Attributes!B$3:B$130,Attributes!C$3:C$129),2,FALSE)</f>
        <v>DungeonSiegeDamageAttributeSet</v>
      </c>
      <c r="F29" s="43" t="str">
        <f>Attributes!C35</f>
        <v>MeleeMinDamageMod</v>
      </c>
      <c r="G29" s="43" t="str">
        <f t="shared" si="0"/>
        <v>(AttributeName="MeleeMinDamageMod",Attribute=/Script/DSAbilitySystem.DungeonSiegeDamageAttributeSet:MeleeMinDamageMod,AttributeOwner=Class'"/Script/DSAbilitySystem.DungeonSiegeDamageAttributeSet"')</v>
      </c>
      <c r="H29" s="43">
        <v>23</v>
      </c>
      <c r="I29" s="43" t="str">
        <f t="shared" si="1"/>
        <v>GE_Prefix_Colossal</v>
      </c>
      <c r="J29" s="43" t="str">
        <f t="shared" si="2"/>
        <v>/Game/DungeonSiege/Blueprints/GameplayAbilities/Affixes/GE_Prefix_Colossal</v>
      </c>
    </row>
    <row r="30" spans="1:10" ht="33.75" x14ac:dyDescent="0.25">
      <c r="A30" s="43">
        <v>28</v>
      </c>
      <c r="B30" s="43">
        <f>VLOOKUP(C30,CHOOSE({2,1},Prefix!B$2:B$256,Prefix!C$2:C$256),2,FALSE)</f>
        <v>100663312</v>
      </c>
      <c r="C30" s="43" t="s">
        <v>725</v>
      </c>
      <c r="D30" s="43" t="s">
        <v>3138</v>
      </c>
      <c r="E30" s="43" t="str">
        <f>VLOOKUP(F30,CHOOSE({2,1},Attributes!B$3:B$130,Attributes!C$3:C$129),2,FALSE)</f>
        <v>DungeonSiegeDamageAttributeSet</v>
      </c>
      <c r="F30" s="43" t="str">
        <f>Attributes!C36</f>
        <v>MeleeMaxDamageMod</v>
      </c>
      <c r="G30" s="43" t="str">
        <f t="shared" si="0"/>
        <v>(AttributeName="MeleeMaxDamageMod",Attribute=/Script/DSAbilitySystem.DungeonSiegeDamageAttributeSet:MeleeMaxDamageMod,AttributeOwner=Class'"/Script/DSAbilitySystem.DungeonSiegeDamageAttributeSet"')</v>
      </c>
      <c r="H30" s="43">
        <v>33</v>
      </c>
      <c r="I30" s="43" t="str">
        <f t="shared" si="1"/>
        <v>GE_Prefix_Colossal</v>
      </c>
      <c r="J30" s="43" t="str">
        <f t="shared" si="2"/>
        <v>/Game/DungeonSiege/Blueprints/GameplayAbilities/Affixes/GE_Prefix_Colossal</v>
      </c>
    </row>
    <row r="31" spans="1:10" s="23" customFormat="1" ht="33.75" x14ac:dyDescent="0.25">
      <c r="A31" s="43">
        <v>29</v>
      </c>
      <c r="B31" s="43">
        <f>VLOOKUP(C31,CHOOSE({2,1},Prefix!B$2:B$256,Prefix!C$2:C$256),2,FALSE)</f>
        <v>100663313</v>
      </c>
      <c r="C31" s="43" t="s">
        <v>728</v>
      </c>
      <c r="D31" s="43" t="s">
        <v>729</v>
      </c>
      <c r="E31" s="43" t="str">
        <f>VLOOKUP(F31,CHOOSE({2,1},Attributes!B$3:B$130,Attributes!C$3:C$129),2,FALSE)</f>
        <v>DungeonSiegeExperienceAttributeSet</v>
      </c>
      <c r="F31" s="43" t="str">
        <f>Attributes!C8</f>
        <v>Ranged</v>
      </c>
      <c r="G31" s="43" t="str">
        <f t="shared" si="0"/>
        <v>(AttributeName="Ranged",Attribute=/Script/DSAbilitySystem.DungeonSiegeExperienceAttributeSet:Ranged,AttributeOwner=Class'"/Script/DSAbilitySystem.DungeonSiegeExperienceAttributeSet"')</v>
      </c>
      <c r="H31" s="43">
        <v>5</v>
      </c>
      <c r="I31" s="43" t="str">
        <f t="shared" si="1"/>
        <v>GE_Prefix_Vicious</v>
      </c>
      <c r="J31" s="43" t="str">
        <f t="shared" si="2"/>
        <v>/Game/DungeonSiege/Blueprints/GameplayAbilities/Affixes/GE_Prefix_Vicious</v>
      </c>
    </row>
    <row r="32" spans="1:10" s="23" customFormat="1" ht="33.75" x14ac:dyDescent="0.25">
      <c r="A32" s="43">
        <v>30</v>
      </c>
      <c r="B32" s="43">
        <f>VLOOKUP(C32,CHOOSE({2,1},Prefix!B$2:B$256,Prefix!C$2:C$256),2,FALSE)</f>
        <v>100663313</v>
      </c>
      <c r="C32" s="43" t="s">
        <v>728</v>
      </c>
      <c r="D32" s="43" t="s">
        <v>730</v>
      </c>
      <c r="E32" s="43" t="str">
        <f>VLOOKUP(F32,CHOOSE({2,1},Attributes!B$3:B$130,Attributes!C$3:C$129),2,FALSE)</f>
        <v>DungeonSiegeDamageAttributeSet</v>
      </c>
      <c r="F32" s="43" t="str">
        <f>Attributes!C19</f>
        <v>MinDamageMod</v>
      </c>
      <c r="G32" s="43" t="str">
        <f t="shared" si="0"/>
        <v>(AttributeName="MinDamageMod",Attribute=/Script/DSAbilitySystem.DungeonSiegeDamageAttributeSet:MinDamageMod,AttributeOwner=Class'"/Script/DSAbilitySystem.DungeonSiegeDamageAttributeSet"')</v>
      </c>
      <c r="H32" s="43">
        <v>9</v>
      </c>
      <c r="I32" s="43" t="str">
        <f t="shared" si="1"/>
        <v>GE_Prefix_Vicious</v>
      </c>
      <c r="J32" s="43" t="str">
        <f t="shared" si="2"/>
        <v>/Game/DungeonSiege/Blueprints/GameplayAbilities/Affixes/GE_Prefix_Vicious</v>
      </c>
    </row>
    <row r="33" spans="1:10" ht="33.75" x14ac:dyDescent="0.25">
      <c r="A33" s="43">
        <v>31</v>
      </c>
      <c r="B33" s="43">
        <f>VLOOKUP(C33,CHOOSE({2,1},Prefix!B$2:B$256,Prefix!C$2:C$256),2,FALSE)</f>
        <v>100663313</v>
      </c>
      <c r="C33" s="43" t="s">
        <v>728</v>
      </c>
      <c r="D33" s="43" t="s">
        <v>730</v>
      </c>
      <c r="E33" s="43" t="str">
        <f>VLOOKUP(F33,CHOOSE({2,1},Attributes!B$3:B$130,Attributes!C$3:C$129),2,FALSE)</f>
        <v>DungeonSiegeDamageAttributeSet</v>
      </c>
      <c r="F33" s="43" t="str">
        <f>Attributes!C20</f>
        <v>MaxDamageMod</v>
      </c>
      <c r="G33" s="43" t="str">
        <f t="shared" si="0"/>
        <v>(AttributeName="MaxDamageMod",Attribute=/Script/DSAbilitySystem.DungeonSiegeDamageAttributeSet:MaxDamageMod,AttributeOwner=Class'"/Script/DSAbilitySystem.DungeonSiegeDamageAttributeSet"')</v>
      </c>
      <c r="H33" s="43">
        <v>21</v>
      </c>
      <c r="I33" s="43" t="str">
        <f t="shared" si="1"/>
        <v>GE_Prefix_Vicious</v>
      </c>
      <c r="J33" s="43" t="str">
        <f t="shared" si="2"/>
        <v>/Game/DungeonSiege/Blueprints/GameplayAbilities/Affixes/GE_Prefix_Vicious</v>
      </c>
    </row>
    <row r="34" spans="1:10" ht="33.75" x14ac:dyDescent="0.25">
      <c r="A34" s="43">
        <v>32</v>
      </c>
      <c r="B34" s="43">
        <f>VLOOKUP(C34,CHOOSE({2,1},Prefix!B$2:B$256,Prefix!C$2:C$256),2,FALSE)</f>
        <v>100663314</v>
      </c>
      <c r="C34" s="43" t="s">
        <v>732</v>
      </c>
      <c r="D34" s="43" t="s">
        <v>3228</v>
      </c>
      <c r="E34" s="43" t="str">
        <f>VLOOKUP(F34,CHOOSE({2,1},Attributes!B$3:B$130,Attributes!C$3:C$129),2,FALSE)</f>
        <v>DungeonSiegeStatusEffectAttributeSet</v>
      </c>
      <c r="F34" s="43" t="str">
        <f>Attributes!C55</f>
        <v>ChanceToPoison</v>
      </c>
      <c r="G34" s="43" t="str">
        <f t="shared" si="0"/>
        <v>(AttributeName="ChanceToPoison",Attribute=/Script/DSAbilitySystem.DungeonSiegeStatusEffectAttributeSet:ChanceToPoison,AttributeOwner=Class'"/Script/DSAbilitySystem.DungeonSiegeStatusEffectAttributeSet"')</v>
      </c>
      <c r="H34" s="43">
        <v>20</v>
      </c>
      <c r="I34" s="43" t="str">
        <f t="shared" si="1"/>
        <v>GE_Prefix_Virulent</v>
      </c>
      <c r="J34" s="43" t="str">
        <f t="shared" si="2"/>
        <v>/Game/DungeonSiege/Blueprints/GameplayAbilities/Affixes/GE_Prefix_Virulent</v>
      </c>
    </row>
    <row r="35" spans="1:10" s="23" customFormat="1" ht="33.75" x14ac:dyDescent="0.25">
      <c r="A35" s="43">
        <v>33</v>
      </c>
      <c r="B35" s="43">
        <f>VLOOKUP(C35,CHOOSE({2,1},Prefix!B$2:B$256,Prefix!C$2:C$256),2,FALSE)</f>
        <v>100663314</v>
      </c>
      <c r="C35" s="43" t="s">
        <v>732</v>
      </c>
      <c r="D35" s="43" t="s">
        <v>3139</v>
      </c>
      <c r="E35" s="43" t="str">
        <f>VLOOKUP(F35,CHOOSE({2,1},Attributes!B$3:B$130,Attributes!C$3:C$129),2,FALSE)</f>
        <v>DungeonSiegeStatusEffectAttributeSet</v>
      </c>
      <c r="F35" s="43" t="str">
        <f>Attributes!C56</f>
        <v>PoisonMinDamageMod</v>
      </c>
      <c r="G35" s="43" t="str">
        <f t="shared" si="0"/>
        <v>(AttributeName="PoisonMinDamageMod",Attribute=/Script/DSAbilitySystem.DungeonSiegeStatusEffectAttributeSet:PoisonMinDamageMod,AttributeOwner=Class'"/Script/DSAbilitySystem.DungeonSiegeStatusEffectAttributeSet"')</v>
      </c>
      <c r="H35" s="43">
        <v>20</v>
      </c>
      <c r="I35" s="43" t="str">
        <f t="shared" si="1"/>
        <v>GE_Prefix_Virulent</v>
      </c>
      <c r="J35" s="43" t="str">
        <f t="shared" si="2"/>
        <v>/Game/DungeonSiege/Blueprints/GameplayAbilities/Affixes/GE_Prefix_Virulent</v>
      </c>
    </row>
    <row r="36" spans="1:10" ht="33.75" x14ac:dyDescent="0.25">
      <c r="A36" s="43">
        <v>34</v>
      </c>
      <c r="B36" s="43">
        <f>VLOOKUP(C36,CHOOSE({2,1},Prefix!B$2:B$256,Prefix!C$2:C$256),2,FALSE)</f>
        <v>100663314</v>
      </c>
      <c r="C36" s="43" t="s">
        <v>732</v>
      </c>
      <c r="D36" s="43" t="s">
        <v>3139</v>
      </c>
      <c r="E36" s="43" t="str">
        <f>VLOOKUP(F36,CHOOSE({2,1},Attributes!B$3:B$130,Attributes!C$3:C$129),2,FALSE)</f>
        <v>DungeonSiegeStatusEffectAttributeSet</v>
      </c>
      <c r="F36" s="43" t="str">
        <f>Attributes!C57</f>
        <v>PoisonMaxDamageMod</v>
      </c>
      <c r="G36" s="43" t="str">
        <f t="shared" si="0"/>
        <v>(AttributeName="PoisonMaxDamageMod",Attribute=/Script/DSAbilitySystem.DungeonSiegeStatusEffectAttributeSet:PoisonMaxDamageMod,AttributeOwner=Class'"/Script/DSAbilitySystem.DungeonSiegeStatusEffectAttributeSet"')</v>
      </c>
      <c r="H36" s="43">
        <v>30</v>
      </c>
      <c r="I36" s="43" t="str">
        <f t="shared" si="1"/>
        <v>GE_Prefix_Virulent</v>
      </c>
      <c r="J36" s="43" t="str">
        <f t="shared" si="2"/>
        <v>/Game/DungeonSiege/Blueprints/GameplayAbilities/Affixes/GE_Prefix_Virulent</v>
      </c>
    </row>
    <row r="37" spans="1:10" s="23" customFormat="1" ht="33.75" x14ac:dyDescent="0.25">
      <c r="A37" s="43">
        <v>35</v>
      </c>
      <c r="B37" s="43">
        <f>VLOOKUP(C37,CHOOSE({2,1},Prefix!B$2:B$256,Prefix!C$2:C$256),2,FALSE)</f>
        <v>100663315</v>
      </c>
      <c r="C37" s="43" t="s">
        <v>733</v>
      </c>
      <c r="D37" s="43" t="s">
        <v>278</v>
      </c>
      <c r="E37" s="43" t="str">
        <f>VLOOKUP(F37,CHOOSE({2,1},Attributes!B$3:B$130,Attributes!C$3:C$129),2,FALSE)</f>
        <v>DungeonSiegeExperienceAttributeSet</v>
      </c>
      <c r="F37" s="43" t="str">
        <f>Attributes!C3</f>
        <v>Strength</v>
      </c>
      <c r="G37" s="43" t="str">
        <f t="shared" si="0"/>
        <v>(AttributeName="Strength",Attribute=/Script/DSAbilitySystem.DungeonSiegeExperienceAttributeSet:Strength,AttributeOwner=Class'"/Script/DSAbilitySystem.DungeonSiegeExperienceAttributeSet"')</v>
      </c>
      <c r="H37" s="43">
        <v>3</v>
      </c>
      <c r="I37" s="43" t="str">
        <f t="shared" si="1"/>
        <v>GE_Prefix_Immense</v>
      </c>
      <c r="J37" s="43" t="str">
        <f t="shared" si="2"/>
        <v>/Game/DungeonSiege/Blueprints/GameplayAbilities/Affixes/GE_Prefix_Immense</v>
      </c>
    </row>
    <row r="38" spans="1:10" s="23" customFormat="1" ht="33.75" x14ac:dyDescent="0.25">
      <c r="A38" s="43">
        <v>36</v>
      </c>
      <c r="B38" s="43">
        <f>VLOOKUP(C38,CHOOSE({2,1},Prefix!B$2:B$256,Prefix!C$2:C$256),2,FALSE)</f>
        <v>100663315</v>
      </c>
      <c r="C38" s="43" t="s">
        <v>733</v>
      </c>
      <c r="D38" s="43" t="s">
        <v>726</v>
      </c>
      <c r="E38" s="43" t="str">
        <f>VLOOKUP(F38,CHOOSE({2,1},Attributes!B$3:B$130,Attributes!C$3:C$129),2,FALSE)</f>
        <v>DungeonSiegeExperienceAttributeSet</v>
      </c>
      <c r="F38" s="43" t="str">
        <f>Attributes!C9</f>
        <v>Melee</v>
      </c>
      <c r="G38" s="43" t="str">
        <f t="shared" si="0"/>
        <v>(AttributeName="Melee",Attribute=/Script/DSAbilitySystem.DungeonSiegeExperienceAttributeSet:Melee,AttributeOwner=Class'"/Script/DSAbilitySystem.DungeonSiegeExperienceAttributeSet"')</v>
      </c>
      <c r="H38" s="43">
        <v>5</v>
      </c>
      <c r="I38" s="43" t="str">
        <f t="shared" si="1"/>
        <v>GE_Prefix_Immense</v>
      </c>
      <c r="J38" s="43" t="str">
        <f t="shared" si="2"/>
        <v>/Game/DungeonSiege/Blueprints/GameplayAbilities/Affixes/GE_Prefix_Immense</v>
      </c>
    </row>
    <row r="39" spans="1:10" s="23" customFormat="1" ht="33.75" x14ac:dyDescent="0.25">
      <c r="A39" s="43">
        <v>37</v>
      </c>
      <c r="B39" s="43">
        <f>VLOOKUP(C39,CHOOSE({2,1},Prefix!B$2:B$256,Prefix!C$2:C$256),2,FALSE)</f>
        <v>100663315</v>
      </c>
      <c r="C39" s="43" t="s">
        <v>733</v>
      </c>
      <c r="D39" s="43" t="s">
        <v>734</v>
      </c>
      <c r="E39" s="43" t="str">
        <f>VLOOKUP(F39,CHOOSE({2,1},Attributes!B$3:B$130,Attributes!C$3:C$129),2,FALSE)</f>
        <v>DungeonSiegeDamageAttributeSet</v>
      </c>
      <c r="F39" s="43" t="str">
        <f>Attributes!C25</f>
        <v>MinPiercingDamageMod</v>
      </c>
      <c r="G39" s="43" t="str">
        <f t="shared" si="0"/>
        <v>(AttributeName="MinPiercingDamageMod",Attribute=/Script/DSAbilitySystem.DungeonSiegeDamageAttributeSet:MinPiercingDamageMod,AttributeOwner=Class'"/Script/DSAbilitySystem.DungeonSiegeDamageAttributeSet"')</v>
      </c>
      <c r="H39" s="43">
        <v>7</v>
      </c>
      <c r="I39" s="43" t="str">
        <f t="shared" si="1"/>
        <v>GE_Prefix_Immense</v>
      </c>
      <c r="J39" s="43" t="str">
        <f t="shared" si="2"/>
        <v>/Game/DungeonSiege/Blueprints/GameplayAbilities/Affixes/GE_Prefix_Immense</v>
      </c>
    </row>
    <row r="40" spans="1:10" s="23" customFormat="1" ht="33.75" x14ac:dyDescent="0.25">
      <c r="A40" s="43">
        <v>38</v>
      </c>
      <c r="B40" s="43">
        <f>VLOOKUP(C40,CHOOSE({2,1},Prefix!B$2:B$256,Prefix!C$2:C$256),2,FALSE)</f>
        <v>100663315</v>
      </c>
      <c r="C40" s="43" t="s">
        <v>733</v>
      </c>
      <c r="D40" s="43" t="s">
        <v>734</v>
      </c>
      <c r="E40" s="43" t="str">
        <f>VLOOKUP(F40,CHOOSE({2,1},Attributes!B$3:B$130,Attributes!C$3:C$129),2,FALSE)</f>
        <v>DungeonSiegeDamageAttributeSet</v>
      </c>
      <c r="F40" s="43" t="str">
        <f>Attributes!C26</f>
        <v>MaxPiercingDamageMod</v>
      </c>
      <c r="G40" s="43" t="str">
        <f t="shared" si="0"/>
        <v>(AttributeName="MaxPiercingDamageMod",Attribute=/Script/DSAbilitySystem.DungeonSiegeDamageAttributeSet:MaxPiercingDamageMod,AttributeOwner=Class'"/Script/DSAbilitySystem.DungeonSiegeDamageAttributeSet"')</v>
      </c>
      <c r="H40" s="43">
        <v>16</v>
      </c>
      <c r="I40" s="43" t="str">
        <f t="shared" si="1"/>
        <v>GE_Prefix_Immense</v>
      </c>
      <c r="J40" s="43" t="str">
        <f t="shared" si="2"/>
        <v>/Game/DungeonSiege/Blueprints/GameplayAbilities/Affixes/GE_Prefix_Immense</v>
      </c>
    </row>
    <row r="41" spans="1:10" s="23" customFormat="1" ht="33.75" x14ac:dyDescent="0.25">
      <c r="A41" s="43">
        <v>39</v>
      </c>
      <c r="B41" s="43">
        <f>VLOOKUP(C41,CHOOSE({2,1},Prefix!B$2:B$256,Prefix!C$2:C$256),2,FALSE)</f>
        <v>100663315</v>
      </c>
      <c r="C41" s="43" t="s">
        <v>733</v>
      </c>
      <c r="D41" s="43" t="s">
        <v>230</v>
      </c>
      <c r="E41" s="43" t="str">
        <f>VLOOKUP(F41,CHOOSE({2,1},Attributes!B$3:B$130,Attributes!C$3:C$129),2,FALSE)</f>
        <v>DungeonSiegeMagicAttributeSet</v>
      </c>
      <c r="F41" s="43" t="str">
        <f>Attributes!C43</f>
        <v>PercentMagicDamageReduction</v>
      </c>
      <c r="G41" s="43" t="str">
        <f t="shared" si="0"/>
        <v>(AttributeName="PercentMagicDamageReduction",Attribute=/Script/DSAbilitySystem.DungeonSiegeMagicAttributeSet:PercentMagicDamageReduction,AttributeOwner=Class'"/Script/DSAbilitySystem.DungeonSiegeMagicAttributeSet"')</v>
      </c>
      <c r="H41" s="43">
        <v>5</v>
      </c>
      <c r="I41" s="43" t="str">
        <f t="shared" si="1"/>
        <v>GE_Prefix_Immense</v>
      </c>
      <c r="J41" s="43" t="str">
        <f t="shared" si="2"/>
        <v>/Game/DungeonSiege/Blueprints/GameplayAbilities/Affixes/GE_Prefix_Immense</v>
      </c>
    </row>
    <row r="42" spans="1:10" ht="33.75" x14ac:dyDescent="0.25">
      <c r="A42" s="43">
        <v>40</v>
      </c>
      <c r="B42" s="43">
        <f>VLOOKUP(C42,CHOOSE({2,1},Prefix!B$2:B$256,Prefix!C$2:C$256),2,FALSE)</f>
        <v>100663316</v>
      </c>
      <c r="C42" s="43" t="s">
        <v>736</v>
      </c>
      <c r="D42" s="43" t="s">
        <v>737</v>
      </c>
      <c r="E42" s="43" t="str">
        <f>VLOOKUP(F42,CHOOSE({2,1},Attributes!B$3:B$130,Attributes!C$3:C$129),2,FALSE)</f>
        <v>DungeonSiegePerHitAttributeSet</v>
      </c>
      <c r="F42" s="43" t="str">
        <f>Attributes!C13</f>
        <v>HealthStealPerHit</v>
      </c>
      <c r="G42" s="43" t="str">
        <f t="shared" si="0"/>
        <v>(AttributeName="HealthStealPerHit",Attribute=/Script/DSAbilitySystem.DungeonSiegePerHitAttributeSet:HealthStealPerHit,AttributeOwner=Class'"/Script/DSAbilitySystem.DungeonSiegePerHitAttributeSet"')</v>
      </c>
      <c r="H42" s="43">
        <v>2</v>
      </c>
      <c r="I42" s="43" t="str">
        <f t="shared" si="1"/>
        <v>GE_Prefix_Spectacular</v>
      </c>
      <c r="J42" s="43" t="str">
        <f t="shared" si="2"/>
        <v>/Game/DungeonSiege/Blueprints/GameplayAbilities/Affixes/GE_Prefix_Spectacular</v>
      </c>
    </row>
    <row r="43" spans="1:10" s="23" customFormat="1" ht="33.75" x14ac:dyDescent="0.25">
      <c r="A43" s="43">
        <v>41</v>
      </c>
      <c r="B43" s="43">
        <f>VLOOKUP(C43,CHOOSE({2,1},Prefix!B$2:B$256,Prefix!C$2:C$256),2,FALSE)</f>
        <v>100663316</v>
      </c>
      <c r="C43" s="43" t="s">
        <v>736</v>
      </c>
      <c r="D43" s="43" t="s">
        <v>3140</v>
      </c>
      <c r="E43" s="43" t="str">
        <f>VLOOKUP(F43,CHOOSE({2,1},Attributes!B$3:B$130,Attributes!C$3:C$129),2,FALSE)</f>
        <v>DungeonSiegePerHitAttributeSet</v>
      </c>
      <c r="F43" s="43" t="str">
        <f>Attributes!C14</f>
        <v>ManaStealPerHit</v>
      </c>
      <c r="G43" s="43" t="str">
        <f t="shared" si="0"/>
        <v>(AttributeName="ManaStealPerHit",Attribute=/Script/DSAbilitySystem.DungeonSiegePerHitAttributeSet:ManaStealPerHit,AttributeOwner=Class'"/Script/DSAbilitySystem.DungeonSiegePerHitAttributeSet"')</v>
      </c>
      <c r="H43" s="43">
        <v>5</v>
      </c>
      <c r="I43" s="43" t="str">
        <f t="shared" si="1"/>
        <v>GE_Prefix_Spectacular</v>
      </c>
      <c r="J43" s="43" t="str">
        <f t="shared" si="2"/>
        <v>/Game/DungeonSiege/Blueprints/GameplayAbilities/Affixes/GE_Prefix_Spectacular</v>
      </c>
    </row>
    <row r="44" spans="1:10" s="23" customFormat="1" ht="33.75" x14ac:dyDescent="0.25">
      <c r="A44" s="43">
        <v>42</v>
      </c>
      <c r="B44" s="43">
        <f>VLOOKUP(C44,CHOOSE({2,1},Prefix!B$2:B$256,Prefix!C$2:C$256),2,FALSE)</f>
        <v>100663316</v>
      </c>
      <c r="C44" s="43" t="s">
        <v>736</v>
      </c>
      <c r="D44" s="43" t="s">
        <v>712</v>
      </c>
      <c r="E44" s="43" t="str">
        <f>VLOOKUP(F44,CHOOSE({2,1},Attributes!B$3:B$130,Attributes!C$3:C$129),2,FALSE)</f>
        <v>DungeonSiegeExperienceAttributeSet</v>
      </c>
      <c r="F44" s="43" t="str">
        <f>Attributes!C9</f>
        <v>Melee</v>
      </c>
      <c r="G44" s="43" t="str">
        <f t="shared" si="0"/>
        <v>(AttributeName="Melee",Attribute=/Script/DSAbilitySystem.DungeonSiegeExperienceAttributeSet:Melee,AttributeOwner=Class'"/Script/DSAbilitySystem.DungeonSiegeExperienceAttributeSet"')</v>
      </c>
      <c r="H44" s="43">
        <v>2</v>
      </c>
      <c r="I44" s="43" t="str">
        <f t="shared" si="1"/>
        <v>GE_Prefix_Spectacular</v>
      </c>
      <c r="J44" s="43" t="str">
        <f t="shared" si="2"/>
        <v>/Game/DungeonSiege/Blueprints/GameplayAbilities/Affixes/GE_Prefix_Spectacular</v>
      </c>
    </row>
    <row r="45" spans="1:10" s="23" customFormat="1" ht="33.75" x14ac:dyDescent="0.25">
      <c r="A45" s="43">
        <v>43</v>
      </c>
      <c r="B45" s="43">
        <f>VLOOKUP(C45,CHOOSE({2,1},Prefix!B$2:B$256,Prefix!C$2:C$256),2,FALSE)</f>
        <v>100663316</v>
      </c>
      <c r="C45" s="43" t="s">
        <v>736</v>
      </c>
      <c r="D45" s="43" t="s">
        <v>266</v>
      </c>
      <c r="E45" s="43" t="str">
        <f>VLOOKUP(F45,CHOOSE({2,1},Attributes!B$3:B$130,Attributes!C$3:C$129),2,FALSE)</f>
        <v>DungeonSiegeExperienceAttributeSet</v>
      </c>
      <c r="F45" s="43" t="str">
        <f>Attributes!C6</f>
        <v>CombatMagic</v>
      </c>
      <c r="G45" s="43" t="str">
        <f t="shared" si="0"/>
        <v>(AttributeName="CombatMagic",Attribute=/Script/DSAbilitySystem.DungeonSiegeExperienceAttributeSet:CombatMagic,AttributeOwner=Class'"/Script/DSAbilitySystem.DungeonSiegeExperienceAttributeSet"')</v>
      </c>
      <c r="H45" s="43">
        <v>3</v>
      </c>
      <c r="I45" s="43" t="str">
        <f t="shared" si="1"/>
        <v>GE_Prefix_Spectacular</v>
      </c>
      <c r="J45" s="43" t="str">
        <f t="shared" si="2"/>
        <v>/Game/DungeonSiege/Blueprints/GameplayAbilities/Affixes/GE_Prefix_Spectacular</v>
      </c>
    </row>
    <row r="46" spans="1:10" ht="33.75" x14ac:dyDescent="0.25">
      <c r="A46" s="43">
        <v>44</v>
      </c>
      <c r="B46" s="43">
        <f>VLOOKUP(C46,CHOOSE({2,1},Prefix!B$2:B$256,Prefix!C$2:C$256),2,FALSE)</f>
        <v>100663316</v>
      </c>
      <c r="C46" s="43" t="s">
        <v>736</v>
      </c>
      <c r="D46" s="43" t="s">
        <v>738</v>
      </c>
      <c r="E46" s="43" t="str">
        <f>VLOOKUP(F46,CHOOSE({2,1},Attributes!B$3:B$130,Attributes!C$3:C$129),2,FALSE)</f>
        <v>DungeonSiegeDamageAttributeSet</v>
      </c>
      <c r="F46" s="43" t="str">
        <f>Attributes!C27</f>
        <v>PercentRangedDamageReduction</v>
      </c>
      <c r="G46" s="43" t="str">
        <f t="shared" si="0"/>
        <v>(AttributeName="PercentRangedDamageReduction",Attribute=/Script/DSAbilitySystem.DungeonSiegeDamageAttributeSet:PercentRangedDamageReduction,AttributeOwner=Class'"/Script/DSAbilitySystem.DungeonSiegeDamageAttributeSet"')</v>
      </c>
      <c r="H46" s="43">
        <v>8</v>
      </c>
      <c r="I46" s="43" t="str">
        <f t="shared" si="1"/>
        <v>GE_Prefix_Spectacular</v>
      </c>
      <c r="J46" s="43" t="str">
        <f t="shared" si="2"/>
        <v>/Game/DungeonSiege/Blueprints/GameplayAbilities/Affixes/GE_Prefix_Spectacular</v>
      </c>
    </row>
    <row r="47" spans="1:10" ht="33.75" x14ac:dyDescent="0.25">
      <c r="A47" s="43">
        <v>45</v>
      </c>
      <c r="B47" s="43">
        <f>VLOOKUP(C47,CHOOSE({2,1},Prefix!B$2:B$256,Prefix!C$2:C$256),2,FALSE)</f>
        <v>100663317</v>
      </c>
      <c r="C47" s="43" t="s">
        <v>740</v>
      </c>
      <c r="D47" s="43" t="s">
        <v>741</v>
      </c>
      <c r="E47" s="43" t="str">
        <f>VLOOKUP(F47,CHOOSE({2,1},Attributes!B$3:B$130,Attributes!C$3:C$129),2,FALSE)</f>
        <v>DungeonSiegeDefenseAttributeSet</v>
      </c>
      <c r="F47" s="43" t="str">
        <f>Attributes!C10</f>
        <v>ArmorRating</v>
      </c>
      <c r="G47" s="43" t="str">
        <f t="shared" si="0"/>
        <v>(AttributeName="ArmorRating",Attribute=/Script/DSAbilitySystem.DungeonSiegeDefenseAttributeSet:ArmorRating,AttributeOwner=Class'"/Script/DSAbilitySystem.DungeonSiegeDefenseAttributeSet"')</v>
      </c>
      <c r="H47" s="43">
        <v>130</v>
      </c>
      <c r="I47" s="43" t="str">
        <f t="shared" si="1"/>
        <v>GE_Prefix_Brute</v>
      </c>
      <c r="J47" s="43" t="str">
        <f t="shared" si="2"/>
        <v>/Game/DungeonSiege/Blueprints/GameplayAbilities/Affixes/GE_Prefix_Brute</v>
      </c>
    </row>
    <row r="48" spans="1:10" s="23" customFormat="1" ht="33.75" x14ac:dyDescent="0.25">
      <c r="A48" s="43">
        <v>46</v>
      </c>
      <c r="B48" s="43">
        <f>VLOOKUP(C48,CHOOSE({2,1},Prefix!B$2:B$256,Prefix!C$2:C$256),2,FALSE)</f>
        <v>100663318</v>
      </c>
      <c r="C48" s="43" t="s">
        <v>743</v>
      </c>
      <c r="D48" s="43" t="s">
        <v>744</v>
      </c>
      <c r="E48" s="43" t="str">
        <f>VLOOKUP(F48,CHOOSE({2,1},Attributes!B$3:B$130,Attributes!C$3:C$129),2,FALSE)</f>
        <v>DungeonSiegePerHitAttributeSet</v>
      </c>
      <c r="F48" s="43" t="str">
        <f>Attributes!C12</f>
        <v>ManaPerHit</v>
      </c>
      <c r="G48" s="43" t="str">
        <f t="shared" si="0"/>
        <v>(AttributeName="ManaPerHit",Attribute=/Script/DSAbilitySystem.DungeonSiegePerHitAttributeSet:ManaPerHit,AttributeOwner=Class'"/Script/DSAbilitySystem.DungeonSiegePerHitAttributeSet"')</v>
      </c>
      <c r="H48" s="43">
        <v>6</v>
      </c>
      <c r="I48" s="43" t="str">
        <f t="shared" si="1"/>
        <v>GE_Prefix_Treasured</v>
      </c>
      <c r="J48" s="43" t="str">
        <f t="shared" si="2"/>
        <v>/Game/DungeonSiege/Blueprints/GameplayAbilities/Affixes/GE_Prefix_Treasured</v>
      </c>
    </row>
    <row r="49" spans="1:10" s="23" customFormat="1" ht="33.75" x14ac:dyDescent="0.25">
      <c r="A49" s="43">
        <v>47</v>
      </c>
      <c r="B49" s="43">
        <f>VLOOKUP(C49,CHOOSE({2,1},Prefix!B$2:B$256,Prefix!C$2:C$256),2,FALSE)</f>
        <v>100663318</v>
      </c>
      <c r="C49" s="43" t="s">
        <v>743</v>
      </c>
      <c r="D49" s="43" t="s">
        <v>745</v>
      </c>
      <c r="E49" s="43" t="str">
        <f>VLOOKUP(F49,CHOOSE({2,1},Attributes!B$3:B$130,Attributes!C$3:C$129),2,FALSE)</f>
        <v>DungeonSiegeExperienceAttributeSet</v>
      </c>
      <c r="F49" s="43" t="str">
        <f>Attributes!C9</f>
        <v>Melee</v>
      </c>
      <c r="G49" s="43" t="str">
        <f t="shared" si="0"/>
        <v>(AttributeName="Melee",Attribute=/Script/DSAbilitySystem.DungeonSiegeExperienceAttributeSet:Melee,AttributeOwner=Class'"/Script/DSAbilitySystem.DungeonSiegeExperienceAttributeSet"')</v>
      </c>
      <c r="H49" s="43">
        <v>1</v>
      </c>
      <c r="I49" s="43" t="str">
        <f t="shared" si="1"/>
        <v>GE_Prefix_Treasured</v>
      </c>
      <c r="J49" s="43" t="str">
        <f t="shared" si="2"/>
        <v>/Game/DungeonSiege/Blueprints/GameplayAbilities/Affixes/GE_Prefix_Treasured</v>
      </c>
    </row>
    <row r="50" spans="1:10" s="23" customFormat="1" ht="33.75" x14ac:dyDescent="0.25">
      <c r="A50" s="43">
        <v>48</v>
      </c>
      <c r="B50" s="43">
        <f>VLOOKUP(C50,CHOOSE({2,1},Prefix!B$2:B$256,Prefix!C$2:C$256),2,FALSE)</f>
        <v>100663318</v>
      </c>
      <c r="C50" s="43" t="s">
        <v>743</v>
      </c>
      <c r="D50" s="43" t="s">
        <v>3141</v>
      </c>
      <c r="E50" s="43" t="str">
        <f>VLOOKUP(F50,CHOOSE({2,1},Attributes!B$3:B$130,Attributes!C$3:C$129),2,FALSE)</f>
        <v>DungeonSiegeDefenseAttributeSet</v>
      </c>
      <c r="F50" s="43" t="str">
        <f>Attributes!C10</f>
        <v>ArmorRating</v>
      </c>
      <c r="G50" s="43" t="str">
        <f t="shared" si="0"/>
        <v>(AttributeName="ArmorRating",Attribute=/Script/DSAbilitySystem.DungeonSiegeDefenseAttributeSet:ArmorRating,AttributeOwner=Class'"/Script/DSAbilitySystem.DungeonSiegeDefenseAttributeSet"')</v>
      </c>
      <c r="H50" s="43">
        <v>28</v>
      </c>
      <c r="I50" s="43" t="str">
        <f t="shared" si="1"/>
        <v>GE_Prefix_Treasured</v>
      </c>
      <c r="J50" s="43" t="str">
        <f t="shared" si="2"/>
        <v>/Game/DungeonSiege/Blueprints/GameplayAbilities/Affixes/GE_Prefix_Treasured</v>
      </c>
    </row>
    <row r="51" spans="1:10" s="23" customFormat="1" ht="33.75" x14ac:dyDescent="0.25">
      <c r="A51" s="43">
        <v>49</v>
      </c>
      <c r="B51" s="43">
        <f>VLOOKUP(C51,CHOOSE({2,1},Prefix!B$2:B$256,Prefix!C$2:C$256),2,FALSE)</f>
        <v>100663318</v>
      </c>
      <c r="C51" s="43" t="s">
        <v>743</v>
      </c>
      <c r="D51" s="43" t="s">
        <v>746</v>
      </c>
      <c r="E51" s="43" t="str">
        <f>VLOOKUP(F51,CHOOSE({2,1},Attributes!B$3:B$130,Attributes!C$3:C$129),2,FALSE)</f>
        <v>DungeonSiegeDamageAttributeSet</v>
      </c>
      <c r="F51" s="43" t="str">
        <f>Attributes!C32</f>
        <v>ChanceToBlockMeleeAttack</v>
      </c>
      <c r="G51" s="43" t="str">
        <f t="shared" si="0"/>
        <v>(AttributeName="ChanceToBlockMeleeAttack",Attribute=/Script/DSAbilitySystem.DungeonSiegeDamageAttributeSet:ChanceToBlockMeleeAttack,AttributeOwner=Class'"/Script/DSAbilitySystem.DungeonSiegeDamageAttributeSet"')</v>
      </c>
      <c r="H51" s="43">
        <v>2</v>
      </c>
      <c r="I51" s="43" t="str">
        <f t="shared" si="1"/>
        <v>GE_Prefix_Treasured</v>
      </c>
      <c r="J51" s="43" t="str">
        <f t="shared" si="2"/>
        <v>/Game/DungeonSiege/Blueprints/GameplayAbilities/Affixes/GE_Prefix_Treasured</v>
      </c>
    </row>
    <row r="52" spans="1:10" ht="33.75" x14ac:dyDescent="0.25">
      <c r="A52" s="43">
        <v>50</v>
      </c>
      <c r="B52" s="43">
        <f>VLOOKUP(C52,CHOOSE({2,1},Prefix!B$2:B$256,Prefix!C$2:C$256),2,FALSE)</f>
        <v>100663318</v>
      </c>
      <c r="C52" s="43" t="s">
        <v>743</v>
      </c>
      <c r="D52" s="43" t="s">
        <v>747</v>
      </c>
      <c r="E52" s="43" t="str">
        <f>VLOOKUP(F52,CHOOSE({2,1},Attributes!B$3:B$130,Attributes!C$3:C$129),2,FALSE)</f>
        <v>DungeonSiegeDamageAttributeSet</v>
      </c>
      <c r="F52" s="43" t="str">
        <f>Attributes!C34</f>
        <v>ChanceToDodgeMeleeAttack</v>
      </c>
      <c r="G52" s="43" t="str">
        <f t="shared" si="0"/>
        <v>(AttributeName="ChanceToDodgeMeleeAttack",Attribute=/Script/DSAbilitySystem.DungeonSiegeDamageAttributeSet:ChanceToDodgeMeleeAttack,AttributeOwner=Class'"/Script/DSAbilitySystem.DungeonSiegeDamageAttributeSet"')</v>
      </c>
      <c r="H52" s="43">
        <v>5</v>
      </c>
      <c r="I52" s="43" t="str">
        <f t="shared" si="1"/>
        <v>GE_Prefix_Treasured</v>
      </c>
      <c r="J52" s="43" t="str">
        <f t="shared" si="2"/>
        <v>/Game/DungeonSiege/Blueprints/GameplayAbilities/Affixes/GE_Prefix_Treasured</v>
      </c>
    </row>
    <row r="53" spans="1:10" ht="33.75" x14ac:dyDescent="0.25">
      <c r="A53" s="43">
        <v>51</v>
      </c>
      <c r="B53" s="43">
        <f>VLOOKUP(C53,CHOOSE({2,1},Prefix!B$2:B$256,Prefix!C$2:C$256),2,FALSE)</f>
        <v>100663319</v>
      </c>
      <c r="C53" s="43" t="s">
        <v>749</v>
      </c>
      <c r="D53" s="43" t="s">
        <v>750</v>
      </c>
      <c r="E53" s="43" t="str">
        <f>VLOOKUP(F53,CHOOSE({2,1},Attributes!B$3:B$130,Attributes!C$3:C$129),2,FALSE)</f>
        <v>DungeonSiegeExperienceAttributeSet</v>
      </c>
      <c r="F53" s="43" t="str">
        <f>Attributes!C9</f>
        <v>Melee</v>
      </c>
      <c r="G53" s="43" t="str">
        <f t="shared" si="0"/>
        <v>(AttributeName="Melee",Attribute=/Script/DSAbilitySystem.DungeonSiegeExperienceAttributeSet:Melee,AttributeOwner=Class'"/Script/DSAbilitySystem.DungeonSiegeExperienceAttributeSet"')</v>
      </c>
      <c r="H53" s="43">
        <v>8</v>
      </c>
      <c r="I53" s="43" t="str">
        <f t="shared" si="1"/>
        <v>GE_Prefix_Sabotaging</v>
      </c>
      <c r="J53" s="43" t="str">
        <f t="shared" si="2"/>
        <v>/Game/DungeonSiege/Blueprints/GameplayAbilities/Affixes/GE_Prefix_Sabotaging</v>
      </c>
    </row>
    <row r="54" spans="1:10" s="23" customFormat="1" ht="33.75" x14ac:dyDescent="0.25">
      <c r="A54" s="43">
        <v>52</v>
      </c>
      <c r="B54" s="43">
        <f>VLOOKUP(C54,CHOOSE({2,1},Prefix!B$2:B$256,Prefix!C$2:C$256),2,FALSE)</f>
        <v>100663320</v>
      </c>
      <c r="C54" s="43" t="s">
        <v>752</v>
      </c>
      <c r="D54" s="43" t="s">
        <v>293</v>
      </c>
      <c r="E54" s="43" t="str">
        <f>VLOOKUP(F54,CHOOSE({2,1},Attributes!B$3:B$130,Attributes!C$3:C$129),2,FALSE)</f>
        <v>DungeonSiegeExperienceAttributeSet</v>
      </c>
      <c r="F54" s="43" t="str">
        <f>Attributes!C7</f>
        <v>NatureMagic</v>
      </c>
      <c r="G54" s="43" t="str">
        <f t="shared" si="0"/>
        <v>(AttributeName="NatureMagic",Attribute=/Script/DSAbilitySystem.DungeonSiegeExperienceAttributeSet:NatureMagic,AttributeOwner=Class'"/Script/DSAbilitySystem.DungeonSiegeExperienceAttributeSet"')</v>
      </c>
      <c r="H54" s="43">
        <v>4</v>
      </c>
      <c r="I54" s="43" t="str">
        <f t="shared" si="1"/>
        <v>GE_Prefix_Celebrated</v>
      </c>
      <c r="J54" s="43" t="str">
        <f t="shared" si="2"/>
        <v>/Game/DungeonSiege/Blueprints/GameplayAbilities/Affixes/GE_Prefix_Celebrated</v>
      </c>
    </row>
    <row r="55" spans="1:10" s="23" customFormat="1" ht="33.75" x14ac:dyDescent="0.25">
      <c r="A55" s="43">
        <v>53</v>
      </c>
      <c r="B55" s="43">
        <f>VLOOKUP(C55,CHOOSE({2,1},Prefix!B$2:B$256,Prefix!C$2:C$256),2,FALSE)</f>
        <v>100663320</v>
      </c>
      <c r="C55" s="43" t="s">
        <v>752</v>
      </c>
      <c r="D55" s="43" t="s">
        <v>753</v>
      </c>
      <c r="E55" s="43" t="str">
        <f>VLOOKUP(F55,CHOOSE({2,1},Attributes!B$3:B$130,Attributes!C$3:C$129),2,FALSE)</f>
        <v>DungeonSiegeExperienceAttributeSet</v>
      </c>
      <c r="F55" s="43" t="str">
        <f>Attributes!C8</f>
        <v>Ranged</v>
      </c>
      <c r="G55" s="43" t="str">
        <f t="shared" si="0"/>
        <v>(AttributeName="Ranged",Attribute=/Script/DSAbilitySystem.DungeonSiegeExperienceAttributeSet:Ranged,AttributeOwner=Class'"/Script/DSAbilitySystem.DungeonSiegeExperienceAttributeSet"')</v>
      </c>
      <c r="H55" s="43">
        <v>4</v>
      </c>
      <c r="I55" s="43" t="str">
        <f t="shared" si="1"/>
        <v>GE_Prefix_Celebrated</v>
      </c>
      <c r="J55" s="43" t="str">
        <f t="shared" si="2"/>
        <v>/Game/DungeonSiege/Blueprints/GameplayAbilities/Affixes/GE_Prefix_Celebrated</v>
      </c>
    </row>
    <row r="56" spans="1:10" s="23" customFormat="1" ht="33.75" x14ac:dyDescent="0.25">
      <c r="A56" s="43">
        <v>54</v>
      </c>
      <c r="B56" s="43">
        <f>VLOOKUP(C56,CHOOSE({2,1},Prefix!B$2:B$256,Prefix!C$2:C$256),2,FALSE)</f>
        <v>100663320</v>
      </c>
      <c r="C56" s="43" t="s">
        <v>752</v>
      </c>
      <c r="D56" s="43" t="s">
        <v>3142</v>
      </c>
      <c r="E56" s="43" t="str">
        <f>VLOOKUP(F56,CHOOSE({2,1},Attributes!B$3:B$130,Attributes!C$3:C$129),2,FALSE)</f>
        <v>DungeonSiegeDefenseAttributeSet</v>
      </c>
      <c r="F56" s="43" t="str">
        <f>Attributes!C10</f>
        <v>ArmorRating</v>
      </c>
      <c r="G56" s="43" t="str">
        <f t="shared" si="0"/>
        <v>(AttributeName="ArmorRating",Attribute=/Script/DSAbilitySystem.DungeonSiegeDefenseAttributeSet:ArmorRating,AttributeOwner=Class'"/Script/DSAbilitySystem.DungeonSiegeDefenseAttributeSet"')</v>
      </c>
      <c r="H56" s="43">
        <v>23</v>
      </c>
      <c r="I56" s="43" t="str">
        <f t="shared" si="1"/>
        <v>GE_Prefix_Celebrated</v>
      </c>
      <c r="J56" s="43" t="str">
        <f t="shared" si="2"/>
        <v>/Game/DungeonSiege/Blueprints/GameplayAbilities/Affixes/GE_Prefix_Celebrated</v>
      </c>
    </row>
    <row r="57" spans="1:10" ht="33.75" x14ac:dyDescent="0.25">
      <c r="A57" s="43">
        <v>55</v>
      </c>
      <c r="B57" s="43">
        <f>VLOOKUP(C57,CHOOSE({2,1},Prefix!B$2:B$256,Prefix!C$2:C$256),2,FALSE)</f>
        <v>100663320</v>
      </c>
      <c r="C57" s="43" t="s">
        <v>752</v>
      </c>
      <c r="D57" s="43" t="s">
        <v>746</v>
      </c>
      <c r="E57" s="43" t="str">
        <f>VLOOKUP(F57,CHOOSE({2,1},Attributes!B$3:B$130,Attributes!C$3:C$129),2,FALSE)</f>
        <v>DungeonSiegeDamageAttributeSet</v>
      </c>
      <c r="F57" s="43" t="str">
        <f>Attributes!C32</f>
        <v>ChanceToBlockMeleeAttack</v>
      </c>
      <c r="G57" s="43" t="str">
        <f t="shared" si="0"/>
        <v>(AttributeName="ChanceToBlockMeleeAttack",Attribute=/Script/DSAbilitySystem.DungeonSiegeDamageAttributeSet:ChanceToBlockMeleeAttack,AttributeOwner=Class'"/Script/DSAbilitySystem.DungeonSiegeDamageAttributeSet"')</v>
      </c>
      <c r="H57" s="43">
        <v>2</v>
      </c>
      <c r="I57" s="43" t="str">
        <f t="shared" si="1"/>
        <v>GE_Prefix_Celebrated</v>
      </c>
      <c r="J57" s="43" t="str">
        <f t="shared" si="2"/>
        <v>/Game/DungeonSiege/Blueprints/GameplayAbilities/Affixes/GE_Prefix_Celebrated</v>
      </c>
    </row>
    <row r="58" spans="1:10" s="23" customFormat="1" ht="33.75" x14ac:dyDescent="0.25">
      <c r="A58" s="43">
        <v>56</v>
      </c>
      <c r="B58" s="43">
        <f>VLOOKUP(C58,CHOOSE({2,1},Prefix!B$2:B$256,Prefix!C$2:C$256),2,FALSE)</f>
        <v>100663321</v>
      </c>
      <c r="C58" s="43" t="s">
        <v>755</v>
      </c>
      <c r="D58" s="43" t="s">
        <v>3214</v>
      </c>
      <c r="E58" s="43" t="str">
        <f>VLOOKUP(F58,CHOOSE({2,1},Attributes!B$3:B$130,Attributes!C$3:C$129),2,FALSE)</f>
        <v>DungeonSiegeStatusEffectAttributeSet</v>
      </c>
      <c r="F58" s="43" t="str">
        <f>Attributes!C60</f>
        <v>ChanceToFlee</v>
      </c>
      <c r="G58" s="43" t="str">
        <f t="shared" si="0"/>
        <v>(AttributeName="ChanceToFlee",Attribute=/Script/DSAbilitySystem.DungeonSiegeStatusEffectAttributeSet:ChanceToFlee,AttributeOwner=Class'"/Script/DSAbilitySystem.DungeonSiegeStatusEffectAttributeSet"')</v>
      </c>
      <c r="H58" s="43">
        <v>20</v>
      </c>
      <c r="I58" s="43" t="str">
        <f t="shared" si="1"/>
        <v>GE_Prefix_Terrifying</v>
      </c>
      <c r="J58" s="43" t="str">
        <f t="shared" si="2"/>
        <v>/Game/DungeonSiege/Blueprints/GameplayAbilities/Affixes/GE_Prefix_Terrifying</v>
      </c>
    </row>
    <row r="59" spans="1:10" s="23" customFormat="1" ht="33.75" x14ac:dyDescent="0.25">
      <c r="A59" s="43">
        <v>57</v>
      </c>
      <c r="B59" s="43">
        <f>VLOOKUP(C59,CHOOSE({2,1},Prefix!B$2:B$256,Prefix!C$2:C$256),2,FALSE)</f>
        <v>100663321</v>
      </c>
      <c r="C59" s="43" t="s">
        <v>755</v>
      </c>
      <c r="D59" s="43" t="s">
        <v>3143</v>
      </c>
      <c r="E59" s="43" t="str">
        <f>VLOOKUP(F59,CHOOSE({2,1},Attributes!B$3:B$130,Attributes!C$3:C$129),2,FALSE)</f>
        <v>DungeonSiegeStatusEffectAttributeSet</v>
      </c>
      <c r="F59" s="43" t="str">
        <f>Attributes!C61</f>
        <v>FleeMinDamageMod</v>
      </c>
      <c r="G59" s="43" t="str">
        <f t="shared" si="0"/>
        <v>(AttributeName="FleeMinDamageMod",Attribute=/Script/DSAbilitySystem.DungeonSiegeStatusEffectAttributeSet:FleeMinDamageMod,AttributeOwner=Class'"/Script/DSAbilitySystem.DungeonSiegeStatusEffectAttributeSet"')</v>
      </c>
      <c r="H59" s="43">
        <v>20</v>
      </c>
      <c r="I59" s="43" t="str">
        <f t="shared" si="1"/>
        <v>GE_Prefix_Terrifying</v>
      </c>
      <c r="J59" s="43" t="str">
        <f t="shared" si="2"/>
        <v>/Game/DungeonSiege/Blueprints/GameplayAbilities/Affixes/GE_Prefix_Terrifying</v>
      </c>
    </row>
    <row r="60" spans="1:10" ht="33.75" x14ac:dyDescent="0.25">
      <c r="A60" s="43">
        <v>58</v>
      </c>
      <c r="B60" s="43">
        <f>VLOOKUP(C60,CHOOSE({2,1},Prefix!B$2:B$256,Prefix!C$2:C$256),2,FALSE)</f>
        <v>100663321</v>
      </c>
      <c r="C60" s="43" t="s">
        <v>755</v>
      </c>
      <c r="D60" s="43" t="s">
        <v>3143</v>
      </c>
      <c r="E60" s="43" t="str">
        <f>VLOOKUP(F60,CHOOSE({2,1},Attributes!B$3:B$130,Attributes!C$3:C$129),2,FALSE)</f>
        <v>DungeonSiegeStatusEffectAttributeSet</v>
      </c>
      <c r="F60" s="43" t="str">
        <f>Attributes!C62</f>
        <v>FleeMaxDamageMod</v>
      </c>
      <c r="G60" s="43" t="str">
        <f t="shared" si="0"/>
        <v>(AttributeName="FleeMaxDamageMod",Attribute=/Script/DSAbilitySystem.DungeonSiegeStatusEffectAttributeSet:FleeMaxDamageMod,AttributeOwner=Class'"/Script/DSAbilitySystem.DungeonSiegeStatusEffectAttributeSet"')</v>
      </c>
      <c r="H60" s="43">
        <v>30</v>
      </c>
      <c r="I60" s="43" t="str">
        <f t="shared" si="1"/>
        <v>GE_Prefix_Terrifying</v>
      </c>
      <c r="J60" s="43" t="str">
        <f t="shared" si="2"/>
        <v>/Game/DungeonSiege/Blueprints/GameplayAbilities/Affixes/GE_Prefix_Terrifying</v>
      </c>
    </row>
    <row r="61" spans="1:10" ht="33.75" x14ac:dyDescent="0.25">
      <c r="A61" s="43">
        <v>59</v>
      </c>
      <c r="B61" s="43">
        <f>VLOOKUP(C61,CHOOSE({2,1},Prefix!B$2:B$256,Prefix!C$2:C$256),2,FALSE)</f>
        <v>100663328</v>
      </c>
      <c r="C61" s="43" t="s">
        <v>757</v>
      </c>
      <c r="D61" s="43" t="s">
        <v>3215</v>
      </c>
      <c r="E61" s="43" t="str">
        <f>VLOOKUP(F61,CHOOSE({2,1},Attributes!B$3:B$130,Attributes!C$3:C$129),2,FALSE)</f>
        <v>DungeonSiegeStatusEffectAttributeSet</v>
      </c>
      <c r="F61" s="43" t="str">
        <f>Attributes!C52</f>
        <v>ChanceToAcidify</v>
      </c>
      <c r="G61" s="43" t="str">
        <f t="shared" si="0"/>
        <v>(AttributeName="ChanceToAcidify",Attribute=/Script/DSAbilitySystem.DungeonSiegeStatusEffectAttributeSet:ChanceToAcidify,AttributeOwner=Class'"/Script/DSAbilitySystem.DungeonSiegeStatusEffectAttributeSet"')</v>
      </c>
      <c r="H61" s="43">
        <v>20</v>
      </c>
      <c r="I61" s="43" t="str">
        <f t="shared" si="1"/>
        <v>GE_Prefix_Gaseous</v>
      </c>
      <c r="J61" s="43" t="str">
        <f t="shared" si="2"/>
        <v>/Game/DungeonSiege/Blueprints/GameplayAbilities/Affixes/GE_Prefix_Gaseous</v>
      </c>
    </row>
    <row r="62" spans="1:10" s="23" customFormat="1" ht="33.75" x14ac:dyDescent="0.25">
      <c r="A62" s="43">
        <v>60</v>
      </c>
      <c r="B62" s="43">
        <f>VLOOKUP(C62,CHOOSE({2,1},Prefix!B$2:B$256,Prefix!C$2:C$256),2,FALSE)</f>
        <v>100663328</v>
      </c>
      <c r="C62" s="43" t="s">
        <v>757</v>
      </c>
      <c r="D62" s="43" t="s">
        <v>3144</v>
      </c>
      <c r="E62" s="43" t="str">
        <f>VLOOKUP(F62,CHOOSE({2,1},Attributes!B$3:B$130,Attributes!C$3:C$129),2,FALSE)</f>
        <v>DungeonSiegeStatusEffectAttributeSet</v>
      </c>
      <c r="F62" s="43" t="str">
        <f>Attributes!C53</f>
        <v>AcidMinDamageMod</v>
      </c>
      <c r="G62" s="43" t="str">
        <f t="shared" si="0"/>
        <v>(AttributeName="AcidMinDamageMod",Attribute=/Script/DSAbilitySystem.DungeonSiegeStatusEffectAttributeSet:AcidMinDamageMod,AttributeOwner=Class'"/Script/DSAbilitySystem.DungeonSiegeStatusEffectAttributeSet"')</v>
      </c>
      <c r="H62" s="43">
        <v>20</v>
      </c>
      <c r="I62" s="43" t="str">
        <f t="shared" si="1"/>
        <v>GE_Prefix_Gaseous</v>
      </c>
      <c r="J62" s="43" t="str">
        <f t="shared" si="2"/>
        <v>/Game/DungeonSiege/Blueprints/GameplayAbilities/Affixes/GE_Prefix_Gaseous</v>
      </c>
    </row>
    <row r="63" spans="1:10" ht="33.75" x14ac:dyDescent="0.25">
      <c r="A63" s="43">
        <v>61</v>
      </c>
      <c r="B63" s="43">
        <f>VLOOKUP(C63,CHOOSE({2,1},Prefix!B$2:B$256,Prefix!C$2:C$256),2,FALSE)</f>
        <v>100663328</v>
      </c>
      <c r="C63" s="43" t="s">
        <v>757</v>
      </c>
      <c r="D63" s="43" t="s">
        <v>3144</v>
      </c>
      <c r="E63" s="43" t="str">
        <f>VLOOKUP(F63,CHOOSE({2,1},Attributes!B$3:B$130,Attributes!C$3:C$129),2,FALSE)</f>
        <v>DungeonSiegeStatusEffectAttributeSet</v>
      </c>
      <c r="F63" s="43" t="str">
        <f>Attributes!C54</f>
        <v>AcidMaxDamageMod</v>
      </c>
      <c r="G63" s="43" t="str">
        <f t="shared" si="0"/>
        <v>(AttributeName="AcidMaxDamageMod",Attribute=/Script/DSAbilitySystem.DungeonSiegeStatusEffectAttributeSet:AcidMaxDamageMod,AttributeOwner=Class'"/Script/DSAbilitySystem.DungeonSiegeStatusEffectAttributeSet"')</v>
      </c>
      <c r="H63" s="43">
        <v>30</v>
      </c>
      <c r="I63" s="43" t="str">
        <f t="shared" si="1"/>
        <v>GE_Prefix_Gaseous</v>
      </c>
      <c r="J63" s="43" t="str">
        <f t="shared" si="2"/>
        <v>/Game/DungeonSiege/Blueprints/GameplayAbilities/Affixes/GE_Prefix_Gaseous</v>
      </c>
    </row>
    <row r="64" spans="1:10" s="23" customFormat="1" ht="33.75" x14ac:dyDescent="0.25">
      <c r="A64" s="43">
        <v>62</v>
      </c>
      <c r="B64" s="43">
        <f>VLOOKUP(C64,CHOOSE({2,1},Prefix!B$2:B$256,Prefix!C$2:C$256),2,FALSE)</f>
        <v>100663329</v>
      </c>
      <c r="C64" s="43" t="s">
        <v>758</v>
      </c>
      <c r="D64" s="43" t="s">
        <v>147</v>
      </c>
      <c r="E64" s="43" t="str">
        <f>VLOOKUP(F64,CHOOSE({2,1},Attributes!B$3:B$130,Attributes!C$3:C$129),2,FALSE)</f>
        <v>DungeonSiegeExperienceAttributeSet</v>
      </c>
      <c r="F64" s="43" t="str">
        <f>Attributes!C5</f>
        <v>Intelligence</v>
      </c>
      <c r="G64" s="43" t="str">
        <f t="shared" si="0"/>
        <v>(AttributeName="Intelligence",Attribute=/Script/DSAbilitySystem.DungeonSiegeExperienceAttributeSet:Intelligence,AttributeOwner=Class'"/Script/DSAbilitySystem.DungeonSiegeExperienceAttributeSet"')</v>
      </c>
      <c r="H64" s="43">
        <v>4</v>
      </c>
      <c r="I64" s="43" t="str">
        <f t="shared" si="1"/>
        <v>GE_Prefix_Praised</v>
      </c>
      <c r="J64" s="43" t="str">
        <f t="shared" si="2"/>
        <v>/Game/DungeonSiege/Blueprints/GameplayAbilities/Affixes/GE_Prefix_Praised</v>
      </c>
    </row>
    <row r="65" spans="1:10" s="23" customFormat="1" ht="33.75" x14ac:dyDescent="0.25">
      <c r="A65" s="43">
        <v>63</v>
      </c>
      <c r="B65" s="43">
        <f>VLOOKUP(C65,CHOOSE({2,1},Prefix!B$2:B$256,Prefix!C$2:C$256),2,FALSE)</f>
        <v>100663329</v>
      </c>
      <c r="C65" s="43" t="s">
        <v>758</v>
      </c>
      <c r="D65" s="43" t="s">
        <v>700</v>
      </c>
      <c r="E65" s="43" t="str">
        <f>VLOOKUP(F65,CHOOSE({2,1},Attributes!B$3:B$130,Attributes!C$3:C$129),2,FALSE)</f>
        <v>DungeonSiegePerHitAttributeSet</v>
      </c>
      <c r="F65" s="43" t="str">
        <f>Attributes!C11</f>
        <v>HealthPerHit</v>
      </c>
      <c r="G65" s="43" t="str">
        <f t="shared" si="0"/>
        <v>(AttributeName="HealthPerHit",Attribute=/Script/DSAbilitySystem.DungeonSiegePerHitAttributeSet:HealthPerHit,AttributeOwner=Class'"/Script/DSAbilitySystem.DungeonSiegePerHitAttributeSet"')</v>
      </c>
      <c r="H65" s="43">
        <v>3</v>
      </c>
      <c r="I65" s="43" t="str">
        <f t="shared" si="1"/>
        <v>GE_Prefix_Praised</v>
      </c>
      <c r="J65" s="43" t="str">
        <f t="shared" si="2"/>
        <v>/Game/DungeonSiege/Blueprints/GameplayAbilities/Affixes/GE_Prefix_Praised</v>
      </c>
    </row>
    <row r="66" spans="1:10" s="23" customFormat="1" ht="33.75" x14ac:dyDescent="0.25">
      <c r="A66" s="43">
        <v>64</v>
      </c>
      <c r="B66" s="43">
        <f>VLOOKUP(C66,CHOOSE({2,1},Prefix!B$2:B$256,Prefix!C$2:C$256),2,FALSE)</f>
        <v>100663329</v>
      </c>
      <c r="C66" s="43" t="s">
        <v>758</v>
      </c>
      <c r="D66" s="43" t="s">
        <v>3145</v>
      </c>
      <c r="E66" s="43" t="str">
        <f>VLOOKUP(F66,CHOOSE({2,1},Attributes!B$3:B$130,Attributes!C$3:C$129),2,FALSE)</f>
        <v>DungeonSiegeManaAttributeSet</v>
      </c>
      <c r="F66" s="43" t="str">
        <f>Attributes!C90</f>
        <v>BaseManaBonus</v>
      </c>
      <c r="G66" s="43" t="str">
        <f t="shared" si="0"/>
        <v>(AttributeName="BaseManaBonus",Attribute=/Script/DSAbilitySystem.DungeonSiegeManaAttributeSet:BaseManaBonus,AttributeOwner=Class'"/Script/DSAbilitySystem.DungeonSiegeManaAttributeSet"')</v>
      </c>
      <c r="H66" s="43">
        <v>223</v>
      </c>
      <c r="I66" s="43" t="str">
        <f t="shared" si="1"/>
        <v>GE_Prefix_Praised</v>
      </c>
      <c r="J66" s="43" t="str">
        <f t="shared" si="2"/>
        <v>/Game/DungeonSiege/Blueprints/GameplayAbilities/Affixes/GE_Prefix_Praised</v>
      </c>
    </row>
    <row r="67" spans="1:10" ht="33.75" x14ac:dyDescent="0.25">
      <c r="A67" s="43">
        <v>65</v>
      </c>
      <c r="B67" s="43">
        <f>VLOOKUP(C67,CHOOSE({2,1},Prefix!B$2:B$256,Prefix!C$2:C$256),2,FALSE)</f>
        <v>100663329</v>
      </c>
      <c r="C67" s="43" t="s">
        <v>758</v>
      </c>
      <c r="D67" s="43" t="s">
        <v>713</v>
      </c>
      <c r="E67" s="43" t="str">
        <f>VLOOKUP(F67,CHOOSE({2,1},Attributes!B$3:B$130,Attributes!C$3:C$129),2,FALSE)</f>
        <v>DungeonSiegeExperienceAttributeSet</v>
      </c>
      <c r="F67" s="43" t="str">
        <f>Attributes!C8</f>
        <v>Ranged</v>
      </c>
      <c r="G67" s="43" t="str">
        <f t="shared" ref="G67:G130" si="3">CONCATENATE("(AttributeName=""",F67,""",Attribute=/Script/DSAbilitySystem." &amp; E67 &amp;":",F67,",AttributeOwner=Class'""/Script/DSAbilitySystem." &amp; E67 &amp;"""')")</f>
        <v>(AttributeName="Ranged",Attribute=/Script/DSAbilitySystem.DungeonSiegeExperienceAttributeSet:Ranged,AttributeOwner=Class'"/Script/DSAbilitySystem.DungeonSiegeExperienceAttributeSet"')</v>
      </c>
      <c r="H67" s="43">
        <v>1</v>
      </c>
      <c r="I67" s="43" t="str">
        <f t="shared" ref="I67:I130" si="4">CONCATENATE("GE_Prefix_",SUBSTITUTE(C67," ","_"))</f>
        <v>GE_Prefix_Praised</v>
      </c>
      <c r="J67" s="43" t="str">
        <f t="shared" ref="J67:J130" si="5">"/Game/DungeonSiege/Blueprints/GameplayAbilities/Affixes/" &amp;I67</f>
        <v>/Game/DungeonSiege/Blueprints/GameplayAbilities/Affixes/GE_Prefix_Praised</v>
      </c>
    </row>
    <row r="68" spans="1:10" ht="33.75" x14ac:dyDescent="0.25">
      <c r="A68" s="43">
        <v>66</v>
      </c>
      <c r="B68" s="43">
        <f>VLOOKUP(C68,CHOOSE({2,1},Prefix!B$2:B$256,Prefix!C$2:C$256),2,FALSE)</f>
        <v>100663330</v>
      </c>
      <c r="C68" s="43" t="s">
        <v>760</v>
      </c>
      <c r="D68" s="43" t="s">
        <v>761</v>
      </c>
      <c r="E68" s="43" t="str">
        <f>VLOOKUP(F68,CHOOSE({2,1},Attributes!B$3:B$130,Attributes!C$3:C$129),2,FALSE)</f>
        <v>DungeonSiegeDamageAttributeSet</v>
      </c>
      <c r="F68" s="43" t="str">
        <f>Attributes!C28</f>
        <v>ChanceToBlockRangedAttack</v>
      </c>
      <c r="G68" s="43" t="str">
        <f t="shared" si="3"/>
        <v>(AttributeName="ChanceToBlockRangedAttack",Attribute=/Script/DSAbilitySystem.DungeonSiegeDamageAttributeSet:ChanceToBlockRangedAttack,AttributeOwner=Class'"/Script/DSAbilitySystem.DungeonSiegeDamageAttributeSet"')</v>
      </c>
      <c r="H68" s="43">
        <v>20</v>
      </c>
      <c r="I68" s="43" t="str">
        <f t="shared" si="4"/>
        <v>GE_Prefix_Cunning</v>
      </c>
      <c r="J68" s="43" t="str">
        <f t="shared" si="5"/>
        <v>/Game/DungeonSiege/Blueprints/GameplayAbilities/Affixes/GE_Prefix_Cunning</v>
      </c>
    </row>
    <row r="69" spans="1:10" s="23" customFormat="1" ht="33.75" x14ac:dyDescent="0.25">
      <c r="A69" s="43">
        <v>67</v>
      </c>
      <c r="B69" s="43">
        <f>VLOOKUP(C69,CHOOSE({2,1},Prefix!B$2:B$256,Prefix!C$2:C$256),2,FALSE)</f>
        <v>100663331</v>
      </c>
      <c r="C69" s="43" t="s">
        <v>764</v>
      </c>
      <c r="D69" s="43" t="s">
        <v>242</v>
      </c>
      <c r="E69" s="43" t="str">
        <f>VLOOKUP(F69,CHOOSE({2,1},Attributes!B$3:B$130,Attributes!C$3:C$129),2,FALSE)</f>
        <v>DungeonSiegeExperienceAttributeSet</v>
      </c>
      <c r="F69" s="43" t="str">
        <f>Attributes!C3</f>
        <v>Strength</v>
      </c>
      <c r="G69" s="43" t="str">
        <f t="shared" si="3"/>
        <v>(AttributeName="Strength",Attribute=/Script/DSAbilitySystem.DungeonSiegeExperienceAttributeSet:Strength,AttributeOwner=Class'"/Script/DSAbilitySystem.DungeonSiegeExperienceAttributeSet"')</v>
      </c>
      <c r="H69" s="43">
        <v>2</v>
      </c>
      <c r="I69" s="43" t="str">
        <f t="shared" si="4"/>
        <v>GE_Prefix_Utmost</v>
      </c>
      <c r="J69" s="43" t="str">
        <f t="shared" si="5"/>
        <v>/Game/DungeonSiege/Blueprints/GameplayAbilities/Affixes/GE_Prefix_Utmost</v>
      </c>
    </row>
    <row r="70" spans="1:10" s="23" customFormat="1" ht="33.75" x14ac:dyDescent="0.25">
      <c r="A70" s="43">
        <v>68</v>
      </c>
      <c r="B70" s="43">
        <f>VLOOKUP(C70,CHOOSE({2,1},Prefix!B$2:B$256,Prefix!C$2:C$256),2,FALSE)</f>
        <v>100663331</v>
      </c>
      <c r="C70" s="43" t="s">
        <v>764</v>
      </c>
      <c r="D70" s="43" t="s">
        <v>114</v>
      </c>
      <c r="E70" s="43" t="str">
        <f>VLOOKUP(F70,CHOOSE({2,1},Attributes!B$3:B$130,Attributes!C$3:C$129),2,FALSE)</f>
        <v>DungeonSiegeExperienceAttributeSet</v>
      </c>
      <c r="F70" s="43" t="str">
        <f>Attributes!C4</f>
        <v>Dexterity</v>
      </c>
      <c r="G70" s="43" t="str">
        <f t="shared" si="3"/>
        <v>(AttributeName="Dexterity",Attribute=/Script/DSAbilitySystem.DungeonSiegeExperienceAttributeSet:Dexterity,AttributeOwner=Class'"/Script/DSAbilitySystem.DungeonSiegeExperienceAttributeSet"')</v>
      </c>
      <c r="H70" s="43">
        <v>3</v>
      </c>
      <c r="I70" s="43" t="str">
        <f t="shared" si="4"/>
        <v>GE_Prefix_Utmost</v>
      </c>
      <c r="J70" s="43" t="str">
        <f t="shared" si="5"/>
        <v>/Game/DungeonSiege/Blueprints/GameplayAbilities/Affixes/GE_Prefix_Utmost</v>
      </c>
    </row>
    <row r="71" spans="1:10" s="23" customFormat="1" ht="33.75" x14ac:dyDescent="0.25">
      <c r="A71" s="43">
        <v>69</v>
      </c>
      <c r="B71" s="43">
        <f>VLOOKUP(C71,CHOOSE({2,1},Prefix!B$2:B$256,Prefix!C$2:C$256),2,FALSE)</f>
        <v>100663331</v>
      </c>
      <c r="C71" s="43" t="s">
        <v>764</v>
      </c>
      <c r="D71" s="43" t="s">
        <v>75</v>
      </c>
      <c r="E71" s="43" t="str">
        <f>VLOOKUP(F71,CHOOSE({2,1},Attributes!B$3:B$130,Attributes!C$3:C$129),2,FALSE)</f>
        <v>DungeonSiegeExperienceAttributeSet</v>
      </c>
      <c r="F71" s="43" t="str">
        <f>Attributes!C5</f>
        <v>Intelligence</v>
      </c>
      <c r="G71" s="43" t="str">
        <f t="shared" si="3"/>
        <v>(AttributeName="Intelligence",Attribute=/Script/DSAbilitySystem.DungeonSiegeExperienceAttributeSet:Intelligence,AttributeOwner=Class'"/Script/DSAbilitySystem.DungeonSiegeExperienceAttributeSet"')</v>
      </c>
      <c r="H71" s="43">
        <v>1</v>
      </c>
      <c r="I71" s="43" t="str">
        <f t="shared" si="4"/>
        <v>GE_Prefix_Utmost</v>
      </c>
      <c r="J71" s="43" t="str">
        <f t="shared" si="5"/>
        <v>/Game/DungeonSiege/Blueprints/GameplayAbilities/Affixes/GE_Prefix_Utmost</v>
      </c>
    </row>
    <row r="72" spans="1:10" ht="33.75" x14ac:dyDescent="0.25">
      <c r="A72" s="43">
        <v>70</v>
      </c>
      <c r="B72" s="43">
        <f>VLOOKUP(C72,CHOOSE({2,1},Prefix!B$2:B$256,Prefix!C$2:C$256),2,FALSE)</f>
        <v>100663331</v>
      </c>
      <c r="C72" s="43" t="s">
        <v>764</v>
      </c>
      <c r="D72" s="43" t="s">
        <v>3146</v>
      </c>
      <c r="E72" s="43" t="str">
        <f>VLOOKUP(F72,CHOOSE({2,1},Attributes!B$3:B$130,Attributes!C$3:C$129),2,FALSE)</f>
        <v>DungeonSiegeDefenseAttributeSet</v>
      </c>
      <c r="F72" s="43" t="str">
        <f>Attributes!C10</f>
        <v>ArmorRating</v>
      </c>
      <c r="G72" s="43" t="str">
        <f t="shared" si="3"/>
        <v>(AttributeName="ArmorRating",Attribute=/Script/DSAbilitySystem.DungeonSiegeDefenseAttributeSet:ArmorRating,AttributeOwner=Class'"/Script/DSAbilitySystem.DungeonSiegeDefenseAttributeSet"')</v>
      </c>
      <c r="H72" s="43">
        <v>50</v>
      </c>
      <c r="I72" s="43" t="str">
        <f t="shared" si="4"/>
        <v>GE_Prefix_Utmost</v>
      </c>
      <c r="J72" s="43" t="str">
        <f t="shared" si="5"/>
        <v>/Game/DungeonSiege/Blueprints/GameplayAbilities/Affixes/GE_Prefix_Utmost</v>
      </c>
    </row>
    <row r="73" spans="1:10" s="23" customFormat="1" ht="33.75" x14ac:dyDescent="0.25">
      <c r="A73" s="43">
        <v>71</v>
      </c>
      <c r="B73" s="43">
        <f>VLOOKUP(C73,CHOOSE({2,1},Prefix!B$2:B$256,Prefix!C$2:C$256),2,FALSE)</f>
        <v>100663332</v>
      </c>
      <c r="C73" s="43" t="s">
        <v>766</v>
      </c>
      <c r="D73" s="43" t="s">
        <v>767</v>
      </c>
      <c r="E73" s="43" t="str">
        <f>VLOOKUP(F73,CHOOSE({2,1},Attributes!B$3:B$130,Attributes!C$3:C$129),2,FALSE)</f>
        <v>DungeonSiegeDamageAttributeSet</v>
      </c>
      <c r="F73" s="43" t="str">
        <f>Attributes!C32</f>
        <v>ChanceToBlockMeleeAttack</v>
      </c>
      <c r="G73" s="43" t="str">
        <f t="shared" si="3"/>
        <v>(AttributeName="ChanceToBlockMeleeAttack",Attribute=/Script/DSAbilitySystem.DungeonSiegeDamageAttributeSet:ChanceToBlockMeleeAttack,AttributeOwner=Class'"/Script/DSAbilitySystem.DungeonSiegeDamageAttributeSet"')</v>
      </c>
      <c r="H73" s="43">
        <v>8</v>
      </c>
      <c r="I73" s="43" t="str">
        <f t="shared" si="4"/>
        <v>GE_Prefix_Unparalleled</v>
      </c>
      <c r="J73" s="43" t="str">
        <f t="shared" si="5"/>
        <v>/Game/DungeonSiege/Blueprints/GameplayAbilities/Affixes/GE_Prefix_Unparalleled</v>
      </c>
    </row>
    <row r="74" spans="1:10" s="23" customFormat="1" ht="33.75" x14ac:dyDescent="0.25">
      <c r="A74" s="43">
        <v>72</v>
      </c>
      <c r="B74" s="43">
        <f>VLOOKUP(C74,CHOOSE({2,1},Prefix!B$2:B$256,Prefix!C$2:C$256),2,FALSE)</f>
        <v>100663332</v>
      </c>
      <c r="C74" s="43" t="s">
        <v>766</v>
      </c>
      <c r="D74" s="43" t="s">
        <v>290</v>
      </c>
      <c r="E74" s="43" t="str">
        <f>VLOOKUP(F74,CHOOSE({2,1},Attributes!B$3:B$130,Attributes!C$3:C$129),2,FALSE)</f>
        <v>DungeonSiegeMagicAttributeSet</v>
      </c>
      <c r="F74" s="43" t="str">
        <f>Attributes!C51</f>
        <v>ChanceToBlockMagicAttack</v>
      </c>
      <c r="G74" s="43" t="str">
        <f t="shared" si="3"/>
        <v>(AttributeName="ChanceToBlockMagicAttack",Attribute=/Script/DSAbilitySystem.DungeonSiegeMagicAttributeSet:ChanceToBlockMagicAttack,AttributeOwner=Class'"/Script/DSAbilitySystem.DungeonSiegeMagicAttributeSet"')</v>
      </c>
      <c r="H74" s="43">
        <v>13</v>
      </c>
      <c r="I74" s="43" t="str">
        <f t="shared" si="4"/>
        <v>GE_Prefix_Unparalleled</v>
      </c>
      <c r="J74" s="43" t="str">
        <f t="shared" si="5"/>
        <v>/Game/DungeonSiege/Blueprints/GameplayAbilities/Affixes/GE_Prefix_Unparalleled</v>
      </c>
    </row>
    <row r="75" spans="1:10" s="23" customFormat="1" ht="33.75" x14ac:dyDescent="0.25">
      <c r="A75" s="43">
        <v>73</v>
      </c>
      <c r="B75" s="43">
        <f>VLOOKUP(C75,CHOOSE({2,1},Prefix!B$2:B$256,Prefix!C$2:C$256),2,FALSE)</f>
        <v>100663332</v>
      </c>
      <c r="C75" s="43" t="s">
        <v>766</v>
      </c>
      <c r="D75" s="43" t="s">
        <v>3147</v>
      </c>
      <c r="E75" s="43" t="str">
        <f>VLOOKUP(F75,CHOOSE({2,1},Attributes!B$3:B$130,Attributes!C$3:C$129),2,FALSE)</f>
        <v>DungeonSiegeDamageAttributeSet</v>
      </c>
      <c r="F75" s="43" t="str">
        <f>Attributes!C31</f>
        <v>PercentMeleeDamageReduction</v>
      </c>
      <c r="G75" s="43" t="str">
        <f t="shared" si="3"/>
        <v>(AttributeName="PercentMeleeDamageReduction",Attribute=/Script/DSAbilitySystem.DungeonSiegeDamageAttributeSet:PercentMeleeDamageReduction,AttributeOwner=Class'"/Script/DSAbilitySystem.DungeonSiegeDamageAttributeSet"')</v>
      </c>
      <c r="H75" s="43">
        <v>11</v>
      </c>
      <c r="I75" s="43" t="str">
        <f t="shared" si="4"/>
        <v>GE_Prefix_Unparalleled</v>
      </c>
      <c r="J75" s="43" t="str">
        <f t="shared" si="5"/>
        <v>/Game/DungeonSiege/Blueprints/GameplayAbilities/Affixes/GE_Prefix_Unparalleled</v>
      </c>
    </row>
    <row r="76" spans="1:10" ht="33.75" x14ac:dyDescent="0.25">
      <c r="A76" s="43">
        <v>74</v>
      </c>
      <c r="B76" s="43">
        <f>VLOOKUP(C76,CHOOSE({2,1},Prefix!B$2:B$256,Prefix!C$2:C$256),2,FALSE)</f>
        <v>100663333</v>
      </c>
      <c r="C76" s="43" t="s">
        <v>770</v>
      </c>
      <c r="D76" s="43" t="s">
        <v>771</v>
      </c>
      <c r="E76" s="43" t="str">
        <f>VLOOKUP(F76,CHOOSE({2,1},Attributes!B$3:B$130,Attributes!C$3:C$129),2,FALSE)</f>
        <v>DungeonSiegeExperienceAttributeSet</v>
      </c>
      <c r="F76" s="43" t="str">
        <f>Attributes!C8</f>
        <v>Ranged</v>
      </c>
      <c r="G76" s="43" t="str">
        <f t="shared" si="3"/>
        <v>(AttributeName="Ranged",Attribute=/Script/DSAbilitySystem.DungeonSiegeExperienceAttributeSet:Ranged,AttributeOwner=Class'"/Script/DSAbilitySystem.DungeonSiegeExperienceAttributeSet"')</v>
      </c>
      <c r="H76" s="43">
        <v>9</v>
      </c>
      <c r="I76" s="43" t="str">
        <f t="shared" si="4"/>
        <v>GE_Prefix_Rushing</v>
      </c>
      <c r="J76" s="43" t="str">
        <f t="shared" si="5"/>
        <v>/Game/DungeonSiege/Blueprints/GameplayAbilities/Affixes/GE_Prefix_Rushing</v>
      </c>
    </row>
    <row r="77" spans="1:10" ht="33.75" x14ac:dyDescent="0.25">
      <c r="A77" s="43">
        <v>75</v>
      </c>
      <c r="B77" s="43">
        <f>VLOOKUP(C77,CHOOSE({2,1},Prefix!B$2:B$256,Prefix!C$2:C$256),2,FALSE)</f>
        <v>100663334</v>
      </c>
      <c r="C77" s="43" t="s">
        <v>773</v>
      </c>
      <c r="D77" s="43" t="s">
        <v>774</v>
      </c>
      <c r="E77" s="43" t="str">
        <f>VLOOKUP(F77,CHOOSE({2,1},Attributes!B$3:B$130,Attributes!C$3:C$129),2,FALSE)</f>
        <v>DungeonSiegeExperienceAttributeSet</v>
      </c>
      <c r="F77" s="43" t="str">
        <f>Attributes!C6</f>
        <v>CombatMagic</v>
      </c>
      <c r="G77" s="43" t="str">
        <f t="shared" si="3"/>
        <v>(AttributeName="CombatMagic",Attribute=/Script/DSAbilitySystem.DungeonSiegeExperienceAttributeSet:CombatMagic,AttributeOwner=Class'"/Script/DSAbilitySystem.DungeonSiegeExperienceAttributeSet"')</v>
      </c>
      <c r="H77" s="43">
        <v>7</v>
      </c>
      <c r="I77" s="43" t="str">
        <f t="shared" si="4"/>
        <v>GE_Prefix_Combating</v>
      </c>
      <c r="J77" s="43" t="str">
        <f t="shared" si="5"/>
        <v>/Game/DungeonSiege/Blueprints/GameplayAbilities/Affixes/GE_Prefix_Combating</v>
      </c>
    </row>
    <row r="78" spans="1:10" s="23" customFormat="1" ht="33.75" x14ac:dyDescent="0.25">
      <c r="A78" s="43">
        <v>76</v>
      </c>
      <c r="B78" s="43">
        <f>VLOOKUP(C78,CHOOSE({2,1},Prefix!B$2:B$256,Prefix!C$2:C$256),2,FALSE)</f>
        <v>100663335</v>
      </c>
      <c r="C78" s="43" t="s">
        <v>776</v>
      </c>
      <c r="D78" s="43" t="s">
        <v>3148</v>
      </c>
      <c r="E78" s="43" t="str">
        <f>VLOOKUP(F78,CHOOSE({2,1},Attributes!B$3:B$130,Attributes!C$3:C$129),2,FALSE)</f>
        <v>DungeonSiegeHealthAttributeSet</v>
      </c>
      <c r="F78" s="43" t="str">
        <f>Attributes!C82</f>
        <v>BaseHealthBonus</v>
      </c>
      <c r="G78" s="43" t="str">
        <f t="shared" si="3"/>
        <v>(AttributeName="BaseHealthBonus",Attribute=/Script/DSAbilitySystem.DungeonSiegeHealthAttributeSet:BaseHealthBonus,AttributeOwner=Class'"/Script/DSAbilitySystem.DungeonSiegeHealthAttributeSet"')</v>
      </c>
      <c r="H78" s="43">
        <v>166</v>
      </c>
      <c r="I78" s="43" t="str">
        <f t="shared" si="4"/>
        <v>GE_Prefix_elevated</v>
      </c>
      <c r="J78" s="43" t="str">
        <f t="shared" si="5"/>
        <v>/Game/DungeonSiege/Blueprints/GameplayAbilities/Affixes/GE_Prefix_elevated</v>
      </c>
    </row>
    <row r="79" spans="1:10" s="23" customFormat="1" ht="33.75" x14ac:dyDescent="0.25">
      <c r="A79" s="43">
        <v>77</v>
      </c>
      <c r="B79" s="43">
        <f>VLOOKUP(C79,CHOOSE({2,1},Prefix!B$2:B$256,Prefix!C$2:C$256),2,FALSE)</f>
        <v>100663335</v>
      </c>
      <c r="C79" s="43" t="s">
        <v>776</v>
      </c>
      <c r="D79" s="43" t="s">
        <v>3149</v>
      </c>
      <c r="E79" s="43" t="str">
        <f>VLOOKUP(F79,CHOOSE({2,1},Attributes!B$3:B$130,Attributes!C$3:C$129),2,FALSE)</f>
        <v>DungeonSiegeDefenseAttributeSet</v>
      </c>
      <c r="F79" s="43" t="str">
        <f>Attributes!C10</f>
        <v>ArmorRating</v>
      </c>
      <c r="G79" s="43" t="str">
        <f t="shared" si="3"/>
        <v>(AttributeName="ArmorRating",Attribute=/Script/DSAbilitySystem.DungeonSiegeDefenseAttributeSet:ArmorRating,AttributeOwner=Class'"/Script/DSAbilitySystem.DungeonSiegeDefenseAttributeSet"')</v>
      </c>
      <c r="H79" s="43">
        <v>7</v>
      </c>
      <c r="I79" s="43" t="str">
        <f t="shared" si="4"/>
        <v>GE_Prefix_elevated</v>
      </c>
      <c r="J79" s="43" t="str">
        <f t="shared" si="5"/>
        <v>/Game/DungeonSiege/Blueprints/GameplayAbilities/Affixes/GE_Prefix_elevated</v>
      </c>
    </row>
    <row r="80" spans="1:10" s="23" customFormat="1" ht="33.75" x14ac:dyDescent="0.25">
      <c r="A80" s="43">
        <v>78</v>
      </c>
      <c r="B80" s="43">
        <f>VLOOKUP(C80,CHOOSE({2,1},Prefix!B$2:B$256,Prefix!C$2:C$256),2,FALSE)</f>
        <v>100663335</v>
      </c>
      <c r="C80" s="43" t="s">
        <v>776</v>
      </c>
      <c r="D80" s="43" t="s">
        <v>3150</v>
      </c>
      <c r="E80" s="43" t="str">
        <f>VLOOKUP(F80,CHOOSE({2,1},Attributes!B$3:B$130,Attributes!C$3:C$129),2,FALSE)</f>
        <v>DungeonSiegeDamageAttributeSet</v>
      </c>
      <c r="F80" s="43" t="str">
        <f>Attributes!C30</f>
        <v>ChanceToDodgeRangeAttack</v>
      </c>
      <c r="G80" s="43" t="str">
        <f t="shared" si="3"/>
        <v>(AttributeName="ChanceToDodgeRangeAttack",Attribute=/Script/DSAbilitySystem.DungeonSiegeDamageAttributeSet:ChanceToDodgeRangeAttack,AttributeOwner=Class'"/Script/DSAbilitySystem.DungeonSiegeDamageAttributeSet"')</v>
      </c>
      <c r="H80" s="43">
        <v>11</v>
      </c>
      <c r="I80" s="43" t="str">
        <f t="shared" si="4"/>
        <v>GE_Prefix_elevated</v>
      </c>
      <c r="J80" s="43" t="str">
        <f t="shared" si="5"/>
        <v>/Game/DungeonSiege/Blueprints/GameplayAbilities/Affixes/GE_Prefix_elevated</v>
      </c>
    </row>
    <row r="81" spans="1:10" ht="33.75" x14ac:dyDescent="0.25">
      <c r="A81" s="43">
        <v>79</v>
      </c>
      <c r="B81" s="43">
        <f>VLOOKUP(C81,CHOOSE({2,1},Prefix!B$2:B$256,Prefix!C$2:C$256),2,FALSE)</f>
        <v>100663335</v>
      </c>
      <c r="C81" s="43" t="s">
        <v>776</v>
      </c>
      <c r="D81" s="43" t="s">
        <v>3151</v>
      </c>
      <c r="E81" s="43" t="str">
        <f>VLOOKUP(F81,CHOOSE({2,1},Attributes!B$3:B$130,Attributes!C$3:C$129),2,FALSE)</f>
        <v>DungeonSiegeDamageAttributeSet</v>
      </c>
      <c r="F81" s="43" t="str">
        <f>Attributes!C33</f>
        <v>MeleeHitChance</v>
      </c>
      <c r="G81" s="43" t="str">
        <f t="shared" si="3"/>
        <v>(AttributeName="MeleeHitChance",Attribute=/Script/DSAbilitySystem.DungeonSiegeDamageAttributeSet:MeleeHitChance,AttributeOwner=Class'"/Script/DSAbilitySystem.DungeonSiegeDamageAttributeSet"')</v>
      </c>
      <c r="H81" s="43">
        <v>3</v>
      </c>
      <c r="I81" s="43" t="str">
        <f t="shared" si="4"/>
        <v>GE_Prefix_elevated</v>
      </c>
      <c r="J81" s="43" t="str">
        <f t="shared" si="5"/>
        <v>/Game/DungeonSiege/Blueprints/GameplayAbilities/Affixes/GE_Prefix_elevated</v>
      </c>
    </row>
    <row r="82" spans="1:10" ht="33.75" x14ac:dyDescent="0.25">
      <c r="A82" s="43">
        <v>80</v>
      </c>
      <c r="B82" s="43">
        <f>VLOOKUP(C82,CHOOSE({2,1},Prefix!B$2:B$256,Prefix!C$2:C$256),2,FALSE)</f>
        <v>100663336</v>
      </c>
      <c r="C82" s="43" t="s">
        <v>778</v>
      </c>
      <c r="D82" s="43" t="s">
        <v>779</v>
      </c>
      <c r="E82" s="43" t="str">
        <f>VLOOKUP(F82,CHOOSE({2,1},Attributes!B$3:B$130,Attributes!C$3:C$129),2,FALSE)</f>
        <v>DungeonSiegeExperienceAttributeSet</v>
      </c>
      <c r="F82" s="43" t="str">
        <f>Attributes!C7</f>
        <v>NatureMagic</v>
      </c>
      <c r="G82" s="43" t="str">
        <f t="shared" si="3"/>
        <v>(AttributeName="NatureMagic",Attribute=/Script/DSAbilitySystem.DungeonSiegeExperienceAttributeSet:NatureMagic,AttributeOwner=Class'"/Script/DSAbilitySystem.DungeonSiegeExperienceAttributeSet"')</v>
      </c>
      <c r="H82" s="43">
        <v>7</v>
      </c>
      <c r="I82" s="43" t="str">
        <f t="shared" si="4"/>
        <v>GE_Prefix_Pristine</v>
      </c>
      <c r="J82" s="43" t="str">
        <f t="shared" si="5"/>
        <v>/Game/DungeonSiege/Blueprints/GameplayAbilities/Affixes/GE_Prefix_Pristine</v>
      </c>
    </row>
    <row r="83" spans="1:10" s="23" customFormat="1" ht="33.75" x14ac:dyDescent="0.25">
      <c r="A83" s="43">
        <v>81</v>
      </c>
      <c r="B83" s="43">
        <f>VLOOKUP(C83,CHOOSE({2,1},Prefix!B$2:B$256,Prefix!C$2:C$256),2,FALSE)</f>
        <v>100663337</v>
      </c>
      <c r="C83" s="43" t="s">
        <v>781</v>
      </c>
      <c r="D83" s="43" t="s">
        <v>729</v>
      </c>
      <c r="E83" s="43" t="str">
        <f>VLOOKUP(F83,CHOOSE({2,1},Attributes!B$3:B$130,Attributes!C$3:C$129),2,FALSE)</f>
        <v>DungeonSiegeExperienceAttributeSet</v>
      </c>
      <c r="F83" s="43" t="str">
        <f>Attributes!C8</f>
        <v>Ranged</v>
      </c>
      <c r="G83" s="43" t="str">
        <f t="shared" si="3"/>
        <v>(AttributeName="Ranged",Attribute=/Script/DSAbilitySystem.DungeonSiegeExperienceAttributeSet:Ranged,AttributeOwner=Class'"/Script/DSAbilitySystem.DungeonSiegeExperienceAttributeSet"')</v>
      </c>
      <c r="H83" s="43">
        <v>5</v>
      </c>
      <c r="I83" s="43" t="str">
        <f t="shared" si="4"/>
        <v>GE_Prefix_Sublime</v>
      </c>
      <c r="J83" s="43" t="str">
        <f t="shared" si="5"/>
        <v>/Game/DungeonSiege/Blueprints/GameplayAbilities/Affixes/GE_Prefix_Sublime</v>
      </c>
    </row>
    <row r="84" spans="1:10" s="23" customFormat="1" ht="33.75" x14ac:dyDescent="0.25">
      <c r="A84" s="43">
        <v>82</v>
      </c>
      <c r="B84" s="43">
        <f>VLOOKUP(C84,CHOOSE({2,1},Prefix!B$2:B$256,Prefix!C$2:C$256),2,FALSE)</f>
        <v>100663337</v>
      </c>
      <c r="C84" s="43" t="s">
        <v>781</v>
      </c>
      <c r="D84" s="43" t="s">
        <v>3152</v>
      </c>
      <c r="E84" s="43" t="str">
        <f>VLOOKUP(F84,CHOOSE({2,1},Attributes!B$3:B$130,Attributes!C$3:C$129),2,FALSE)</f>
        <v>DungeonSiegeMagicAttributeSet</v>
      </c>
      <c r="F84" s="43" t="str">
        <f>Attributes!C43</f>
        <v>PercentMagicDamageReduction</v>
      </c>
      <c r="G84" s="43" t="str">
        <f t="shared" si="3"/>
        <v>(AttributeName="PercentMagicDamageReduction",Attribute=/Script/DSAbilitySystem.DungeonSiegeMagicAttributeSet:PercentMagicDamageReduction,AttributeOwner=Class'"/Script/DSAbilitySystem.DungeonSiegeMagicAttributeSet"')</v>
      </c>
      <c r="H84" s="43">
        <v>6</v>
      </c>
      <c r="I84" s="43" t="str">
        <f t="shared" si="4"/>
        <v>GE_Prefix_Sublime</v>
      </c>
      <c r="J84" s="43" t="str">
        <f t="shared" si="5"/>
        <v>/Game/DungeonSiege/Blueprints/GameplayAbilities/Affixes/GE_Prefix_Sublime</v>
      </c>
    </row>
    <row r="85" spans="1:10" s="23" customFormat="1" ht="45" x14ac:dyDescent="0.25">
      <c r="A85" s="43">
        <v>83</v>
      </c>
      <c r="B85" s="43">
        <f>VLOOKUP(C85,CHOOSE({2,1},Prefix!B$2:B$256,Prefix!C$2:C$256),2,FALSE)</f>
        <v>100663337</v>
      </c>
      <c r="C85" s="43" t="s">
        <v>781</v>
      </c>
      <c r="D85" s="43" t="s">
        <v>715</v>
      </c>
      <c r="E85" s="43" t="str">
        <f>VLOOKUP(F85,CHOOSE({2,1},Attributes!B$3:B$130,Attributes!C$3:C$129),2,FALSE)</f>
        <v>DungeonSiegeDamageAttributeSet</v>
      </c>
      <c r="F85" s="43" t="str">
        <f>Attributes!C21</f>
        <v>PercentDamageReflectedToEnemy</v>
      </c>
      <c r="G85" s="43" t="str">
        <f t="shared" si="3"/>
        <v>(AttributeName="PercentDamageReflectedToEnemy",Attribute=/Script/DSAbilitySystem.DungeonSiegeDamageAttributeSet:PercentDamageReflectedToEnemy,AttributeOwner=Class'"/Script/DSAbilitySystem.DungeonSiegeDamageAttributeSet"')</v>
      </c>
      <c r="H85" s="43">
        <v>3</v>
      </c>
      <c r="I85" s="43" t="str">
        <f t="shared" si="4"/>
        <v>GE_Prefix_Sublime</v>
      </c>
      <c r="J85" s="43" t="str">
        <f t="shared" si="5"/>
        <v>/Game/DungeonSiege/Blueprints/GameplayAbilities/Affixes/GE_Prefix_Sublime</v>
      </c>
    </row>
    <row r="86" spans="1:10" ht="33.75" x14ac:dyDescent="0.25">
      <c r="A86" s="43">
        <v>84</v>
      </c>
      <c r="B86" s="43">
        <f>VLOOKUP(C86,CHOOSE({2,1},Prefix!B$2:B$256,Prefix!C$2:C$256),2,FALSE)</f>
        <v>100663337</v>
      </c>
      <c r="C86" s="43" t="s">
        <v>781</v>
      </c>
      <c r="D86" s="43" t="s">
        <v>204</v>
      </c>
      <c r="E86" s="43" t="str">
        <f>VLOOKUP(F86,CHOOSE({2,1},Attributes!B$3:B$130,Attributes!C$3:C$129),2,FALSE)</f>
        <v>DungeonSiegeExperienceAttributeSet</v>
      </c>
      <c r="F86" s="43" t="str">
        <f>Attributes!C6</f>
        <v>CombatMagic</v>
      </c>
      <c r="G86" s="43" t="str">
        <f t="shared" si="3"/>
        <v>(AttributeName="CombatMagic",Attribute=/Script/DSAbilitySystem.DungeonSiegeExperienceAttributeSet:CombatMagic,AttributeOwner=Class'"/Script/DSAbilitySystem.DungeonSiegeExperienceAttributeSet"')</v>
      </c>
      <c r="H86" s="43">
        <v>1</v>
      </c>
      <c r="I86" s="43" t="str">
        <f t="shared" si="4"/>
        <v>GE_Prefix_Sublime</v>
      </c>
      <c r="J86" s="43" t="str">
        <f t="shared" si="5"/>
        <v>/Game/DungeonSiege/Blueprints/GameplayAbilities/Affixes/GE_Prefix_Sublime</v>
      </c>
    </row>
    <row r="87" spans="1:10" ht="33.75" x14ac:dyDescent="0.25">
      <c r="A87" s="43">
        <v>85</v>
      </c>
      <c r="B87" s="43">
        <f>VLOOKUP(C87,CHOOSE({2,1},Prefix!B$2:B$256,Prefix!C$2:C$256),2,FALSE)</f>
        <v>100663344</v>
      </c>
      <c r="C87" s="43" t="s">
        <v>783</v>
      </c>
      <c r="D87" s="43" t="s">
        <v>784</v>
      </c>
      <c r="E87" s="43" t="str">
        <f>VLOOKUP(F87,CHOOSE({2,1},Attributes!B$3:B$130,Attributes!C$3:C$129),2,FALSE)</f>
        <v>DungeonSiegeDamageAttributeSet</v>
      </c>
      <c r="F87" s="43" t="str">
        <f>Attributes!C31</f>
        <v>PercentMeleeDamageReduction</v>
      </c>
      <c r="G87" s="43" t="str">
        <f t="shared" si="3"/>
        <v>(AttributeName="PercentMeleeDamageReduction",Attribute=/Script/DSAbilitySystem.DungeonSiegeDamageAttributeSet:PercentMeleeDamageReduction,AttributeOwner=Class'"/Script/DSAbilitySystem.DungeonSiegeDamageAttributeSet"')</v>
      </c>
      <c r="H87" s="43">
        <v>20</v>
      </c>
      <c r="I87" s="43" t="str">
        <f t="shared" si="4"/>
        <v>GE_Prefix_Defiant</v>
      </c>
      <c r="J87" s="43" t="str">
        <f t="shared" si="5"/>
        <v>/Game/DungeonSiege/Blueprints/GameplayAbilities/Affixes/GE_Prefix_Defiant</v>
      </c>
    </row>
    <row r="88" spans="1:10" ht="33.75" x14ac:dyDescent="0.25">
      <c r="A88" s="43">
        <v>86</v>
      </c>
      <c r="B88" s="43">
        <f>VLOOKUP(C88,CHOOSE({2,1},Prefix!B$2:B$256,Prefix!C$2:C$256),2,FALSE)</f>
        <v>100663345</v>
      </c>
      <c r="C88" s="43" t="s">
        <v>333</v>
      </c>
      <c r="D88" s="43" t="s">
        <v>332</v>
      </c>
      <c r="E88" s="43" t="str">
        <f>VLOOKUP(F88,CHOOSE({2,1},Attributes!B$3:B$130,Attributes!C$3:C$129),2,FALSE)</f>
        <v>DungeonSiegeMagicAttributeSet</v>
      </c>
      <c r="F88" s="43" t="str">
        <f>Attributes!C43</f>
        <v>PercentMagicDamageReduction</v>
      </c>
      <c r="G88" s="43" t="str">
        <f t="shared" si="3"/>
        <v>(AttributeName="PercentMagicDamageReduction",Attribute=/Script/DSAbilitySystem.DungeonSiegeMagicAttributeSet:PercentMagicDamageReduction,AttributeOwner=Class'"/Script/DSAbilitySystem.DungeonSiegeMagicAttributeSet"')</v>
      </c>
      <c r="H88" s="43">
        <v>25</v>
      </c>
      <c r="I88" s="43" t="str">
        <f t="shared" si="4"/>
        <v>GE_Prefix_Merciless</v>
      </c>
      <c r="J88" s="43" t="str">
        <f t="shared" si="5"/>
        <v>/Game/DungeonSiege/Blueprints/GameplayAbilities/Affixes/GE_Prefix_Merciless</v>
      </c>
    </row>
    <row r="89" spans="1:10" s="23" customFormat="1" ht="33.75" x14ac:dyDescent="0.25">
      <c r="A89" s="43">
        <v>87</v>
      </c>
      <c r="B89" s="43">
        <f>VLOOKUP(C89,CHOOSE({2,1},Prefix!B$2:B$256,Prefix!C$2:C$256),2,FALSE)</f>
        <v>100663346</v>
      </c>
      <c r="C89" s="43" t="s">
        <v>787</v>
      </c>
      <c r="D89" s="43" t="s">
        <v>712</v>
      </c>
      <c r="E89" s="43" t="str">
        <f>VLOOKUP(F89,CHOOSE({2,1},Attributes!B$3:B$130,Attributes!C$3:C$129),2,FALSE)</f>
        <v>DungeonSiegeExperienceAttributeSet</v>
      </c>
      <c r="F89" s="43" t="str">
        <f>Attributes!C9</f>
        <v>Melee</v>
      </c>
      <c r="G89" s="43" t="str">
        <f t="shared" si="3"/>
        <v>(AttributeName="Melee",Attribute=/Script/DSAbilitySystem.DungeonSiegeExperienceAttributeSet:Melee,AttributeOwner=Class'"/Script/DSAbilitySystem.DungeonSiegeExperienceAttributeSet"')</v>
      </c>
      <c r="H89" s="43">
        <v>2</v>
      </c>
      <c r="I89" s="43" t="str">
        <f t="shared" si="4"/>
        <v>GE_Prefix_Revered</v>
      </c>
      <c r="J89" s="43" t="str">
        <f t="shared" si="5"/>
        <v>/Game/DungeonSiege/Blueprints/GameplayAbilities/Affixes/GE_Prefix_Revered</v>
      </c>
    </row>
    <row r="90" spans="1:10" s="23" customFormat="1" ht="33.75" x14ac:dyDescent="0.25">
      <c r="A90" s="43">
        <v>88</v>
      </c>
      <c r="B90" s="43">
        <f>VLOOKUP(C90,CHOOSE({2,1},Prefix!B$2:B$256,Prefix!C$2:C$256),2,FALSE)</f>
        <v>100663346</v>
      </c>
      <c r="C90" s="43" t="s">
        <v>787</v>
      </c>
      <c r="D90" s="43" t="s">
        <v>788</v>
      </c>
      <c r="E90" s="43" t="str">
        <f>VLOOKUP(F90,CHOOSE({2,1},Attributes!B$3:B$130,Attributes!C$3:C$129),2,FALSE)</f>
        <v>DungeonSiegeExperienceAttributeSet</v>
      </c>
      <c r="F90" s="43" t="str">
        <f>Attributes!C8</f>
        <v>Ranged</v>
      </c>
      <c r="G90" s="43" t="str">
        <f t="shared" si="3"/>
        <v>(AttributeName="Ranged",Attribute=/Script/DSAbilitySystem.DungeonSiegeExperienceAttributeSet:Ranged,AttributeOwner=Class'"/Script/DSAbilitySystem.DungeonSiegeExperienceAttributeSet"')</v>
      </c>
      <c r="H90" s="43">
        <v>2</v>
      </c>
      <c r="I90" s="43" t="str">
        <f t="shared" si="4"/>
        <v>GE_Prefix_Revered</v>
      </c>
      <c r="J90" s="43" t="str">
        <f t="shared" si="5"/>
        <v>/Game/DungeonSiege/Blueprints/GameplayAbilities/Affixes/GE_Prefix_Revered</v>
      </c>
    </row>
    <row r="91" spans="1:10" s="23" customFormat="1" ht="33.75" x14ac:dyDescent="0.25">
      <c r="A91" s="43">
        <v>89</v>
      </c>
      <c r="B91" s="43">
        <f>VLOOKUP(C91,CHOOSE({2,1},Prefix!B$2:B$256,Prefix!C$2:C$256),2,FALSE)</f>
        <v>100663346</v>
      </c>
      <c r="C91" s="43" t="s">
        <v>787</v>
      </c>
      <c r="D91" s="43" t="s">
        <v>263</v>
      </c>
      <c r="E91" s="43" t="str">
        <f>VLOOKUP(F91,CHOOSE({2,1},Attributes!B$3:B$130,Attributes!C$3:C$129),2,FALSE)</f>
        <v>DungeonSiegeExperienceAttributeSet</v>
      </c>
      <c r="F91" s="43" t="str">
        <f>Attributes!C7</f>
        <v>NatureMagic</v>
      </c>
      <c r="G91" s="43" t="str">
        <f t="shared" si="3"/>
        <v>(AttributeName="NatureMagic",Attribute=/Script/DSAbilitySystem.DungeonSiegeExperienceAttributeSet:NatureMagic,AttributeOwner=Class'"/Script/DSAbilitySystem.DungeonSiegeExperienceAttributeSet"')</v>
      </c>
      <c r="H91" s="43">
        <v>3</v>
      </c>
      <c r="I91" s="43" t="str">
        <f t="shared" si="4"/>
        <v>GE_Prefix_Revered</v>
      </c>
      <c r="J91" s="43" t="str">
        <f t="shared" si="5"/>
        <v>/Game/DungeonSiege/Blueprints/GameplayAbilities/Affixes/GE_Prefix_Revered</v>
      </c>
    </row>
    <row r="92" spans="1:10" s="23" customFormat="1" ht="33.75" x14ac:dyDescent="0.25">
      <c r="A92" s="43">
        <v>90</v>
      </c>
      <c r="B92" s="43">
        <f>VLOOKUP(C92,CHOOSE({2,1},Prefix!B$2:B$256,Prefix!C$2:C$256),2,FALSE)</f>
        <v>100663346</v>
      </c>
      <c r="C92" s="43" t="s">
        <v>787</v>
      </c>
      <c r="D92" s="43" t="s">
        <v>266</v>
      </c>
      <c r="E92" s="43" t="str">
        <f>VLOOKUP(F92,CHOOSE({2,1},Attributes!B$3:B$130,Attributes!C$3:C$129),2,FALSE)</f>
        <v>DungeonSiegeExperienceAttributeSet</v>
      </c>
      <c r="F92" s="43" t="str">
        <f>Attributes!C6</f>
        <v>CombatMagic</v>
      </c>
      <c r="G92" s="43" t="str">
        <f t="shared" si="3"/>
        <v>(AttributeName="CombatMagic",Attribute=/Script/DSAbilitySystem.DungeonSiegeExperienceAttributeSet:CombatMagic,AttributeOwner=Class'"/Script/DSAbilitySystem.DungeonSiegeExperienceAttributeSet"')</v>
      </c>
      <c r="H92" s="43">
        <v>3</v>
      </c>
      <c r="I92" s="43" t="str">
        <f t="shared" si="4"/>
        <v>GE_Prefix_Revered</v>
      </c>
      <c r="J92" s="43" t="str">
        <f t="shared" si="5"/>
        <v>/Game/DungeonSiege/Blueprints/GameplayAbilities/Affixes/GE_Prefix_Revered</v>
      </c>
    </row>
    <row r="93" spans="1:10" ht="33.75" x14ac:dyDescent="0.25">
      <c r="A93" s="43">
        <v>91</v>
      </c>
      <c r="B93" s="43">
        <f>VLOOKUP(C93,CHOOSE({2,1},Prefix!B$2:B$256,Prefix!C$2:C$256),2,FALSE)</f>
        <v>100663346</v>
      </c>
      <c r="C93" s="43" t="s">
        <v>787</v>
      </c>
      <c r="D93" s="43" t="s">
        <v>3153</v>
      </c>
      <c r="E93" s="43" t="str">
        <f>VLOOKUP(F93,CHOOSE({2,1},Attributes!B$3:B$130,Attributes!C$3:C$129),2,FALSE)</f>
        <v>DungeonSiegeDefenseAttributeSet</v>
      </c>
      <c r="F93" s="43" t="str">
        <f>Attributes!C10</f>
        <v>ArmorRating</v>
      </c>
      <c r="G93" s="43" t="str">
        <f t="shared" si="3"/>
        <v>(AttributeName="ArmorRating",Attribute=/Script/DSAbilitySystem.DungeonSiegeDefenseAttributeSet:ArmorRating,AttributeOwner=Class'"/Script/DSAbilitySystem.DungeonSiegeDefenseAttributeSet"')</v>
      </c>
      <c r="H93" s="43">
        <v>26</v>
      </c>
      <c r="I93" s="43" t="str">
        <f t="shared" si="4"/>
        <v>GE_Prefix_Revered</v>
      </c>
      <c r="J93" s="43" t="str">
        <f t="shared" si="5"/>
        <v>/Game/DungeonSiege/Blueprints/GameplayAbilities/Affixes/GE_Prefix_Revered</v>
      </c>
    </row>
    <row r="94" spans="1:10" ht="33.75" x14ac:dyDescent="0.25">
      <c r="A94" s="43">
        <v>92</v>
      </c>
      <c r="B94" s="43">
        <f>VLOOKUP(C94,CHOOSE({2,1},Prefix!B$2:B$256,Prefix!C$2:C$256),2,FALSE)</f>
        <v>100663347</v>
      </c>
      <c r="C94" s="43" t="s">
        <v>790</v>
      </c>
      <c r="D94" s="43" t="s">
        <v>791</v>
      </c>
      <c r="E94" s="43" t="str">
        <f>VLOOKUP(F94,CHOOSE({2,1},Attributes!B$3:B$130,Attributes!C$3:C$129),2,FALSE)</f>
        <v>DungeonSiegeDefenseAttributeSet</v>
      </c>
      <c r="F94" s="43" t="str">
        <f>Attributes!C10</f>
        <v>ArmorRating</v>
      </c>
      <c r="G94" s="43" t="str">
        <f t="shared" si="3"/>
        <v>(AttributeName="ArmorRating",Attribute=/Script/DSAbilitySystem.DungeonSiegeDefenseAttributeSet:ArmorRating,AttributeOwner=Class'"/Script/DSAbilitySystem.DungeonSiegeDefenseAttributeSet"')</v>
      </c>
      <c r="H94" s="43">
        <v>105</v>
      </c>
      <c r="I94" s="43" t="str">
        <f t="shared" si="4"/>
        <v>GE_Prefix_Husky</v>
      </c>
      <c r="J94" s="43" t="str">
        <f t="shared" si="5"/>
        <v>/Game/DungeonSiege/Blueprints/GameplayAbilities/Affixes/GE_Prefix_Husky</v>
      </c>
    </row>
    <row r="95" spans="1:10" s="23" customFormat="1" ht="33.75" x14ac:dyDescent="0.25">
      <c r="A95" s="43">
        <v>93</v>
      </c>
      <c r="B95" s="43">
        <f>VLOOKUP(C95,CHOOSE({2,1},Prefix!B$2:B$256,Prefix!C$2:C$256),2,FALSE)</f>
        <v>100663348</v>
      </c>
      <c r="C95" s="43" t="s">
        <v>793</v>
      </c>
      <c r="D95" s="43" t="s">
        <v>737</v>
      </c>
      <c r="E95" s="43" t="str">
        <f>VLOOKUP(F95,CHOOSE({2,1},Attributes!B$3:B$130,Attributes!C$3:C$129),2,FALSE)</f>
        <v>DungeonSiegePerHitAttributeSet</v>
      </c>
      <c r="F95" s="43" t="str">
        <f>Attributes!C13</f>
        <v>HealthStealPerHit</v>
      </c>
      <c r="G95" s="43" t="str">
        <f t="shared" si="3"/>
        <v>(AttributeName="HealthStealPerHit",Attribute=/Script/DSAbilitySystem.DungeonSiegePerHitAttributeSet:HealthStealPerHit,AttributeOwner=Class'"/Script/DSAbilitySystem.DungeonSiegePerHitAttributeSet"')</v>
      </c>
      <c r="H95" s="43">
        <v>2</v>
      </c>
      <c r="I95" s="43" t="str">
        <f t="shared" si="4"/>
        <v>GE_Prefix_Unequivocal</v>
      </c>
      <c r="J95" s="43" t="str">
        <f t="shared" si="5"/>
        <v>/Game/DungeonSiege/Blueprints/GameplayAbilities/Affixes/GE_Prefix_Unequivocal</v>
      </c>
    </row>
    <row r="96" spans="1:10" s="23" customFormat="1" ht="33.75" x14ac:dyDescent="0.25">
      <c r="A96" s="43">
        <v>94</v>
      </c>
      <c r="B96" s="43">
        <f>VLOOKUP(C96,CHOOSE({2,1},Prefix!B$2:B$256,Prefix!C$2:C$256),2,FALSE)</f>
        <v>100663348</v>
      </c>
      <c r="C96" s="43" t="s">
        <v>793</v>
      </c>
      <c r="D96" s="43" t="s">
        <v>794</v>
      </c>
      <c r="E96" s="43" t="str">
        <f>VLOOKUP(F96,CHOOSE({2,1},Attributes!B$3:B$130,Attributes!C$3:C$129),2,FALSE)</f>
        <v>DungeonSiegeDamageAttributeSet</v>
      </c>
      <c r="F96" s="43" t="str">
        <f>Attributes!C23</f>
        <v>ChanceToInflictPiercingHit</v>
      </c>
      <c r="G96" s="43" t="str">
        <f t="shared" si="3"/>
        <v>(AttributeName="ChanceToInflictPiercingHit",Attribute=/Script/DSAbilitySystem.DungeonSiegeDamageAttributeSet:ChanceToInflictPiercingHit,AttributeOwner=Class'"/Script/DSAbilitySystem.DungeonSiegeDamageAttributeSet"')</v>
      </c>
      <c r="H96" s="43">
        <v>5</v>
      </c>
      <c r="I96" s="43" t="str">
        <f t="shared" si="4"/>
        <v>GE_Prefix_Unequivocal</v>
      </c>
      <c r="J96" s="43" t="str">
        <f t="shared" si="5"/>
        <v>/Game/DungeonSiege/Blueprints/GameplayAbilities/Affixes/GE_Prefix_Unequivocal</v>
      </c>
    </row>
    <row r="97" spans="1:10" s="23" customFormat="1" ht="33.75" x14ac:dyDescent="0.25">
      <c r="A97" s="43">
        <v>95</v>
      </c>
      <c r="B97" s="43">
        <f>VLOOKUP(C97,CHOOSE({2,1},Prefix!B$2:B$256,Prefix!C$2:C$256),2,FALSE)</f>
        <v>100663348</v>
      </c>
      <c r="C97" s="43" t="s">
        <v>793</v>
      </c>
      <c r="D97" s="43" t="s">
        <v>245</v>
      </c>
      <c r="E97" s="43" t="str">
        <f>VLOOKUP(F97,CHOOSE({2,1},Attributes!B$3:B$130,Attributes!C$3:C$129),2,FALSE)</f>
        <v>DungeonSiegeMagicAttributeSet</v>
      </c>
      <c r="F97" s="43" t="str">
        <f>Attributes!C51</f>
        <v>ChanceToBlockMagicAttack</v>
      </c>
      <c r="G97" s="43" t="str">
        <f t="shared" si="3"/>
        <v>(AttributeName="ChanceToBlockMagicAttack",Attribute=/Script/DSAbilitySystem.DungeonSiegeMagicAttributeSet:ChanceToBlockMagicAttack,AttributeOwner=Class'"/Script/DSAbilitySystem.DungeonSiegeMagicAttributeSet"')</v>
      </c>
      <c r="H97" s="43">
        <v>8</v>
      </c>
      <c r="I97" s="43" t="str">
        <f t="shared" si="4"/>
        <v>GE_Prefix_Unequivocal</v>
      </c>
      <c r="J97" s="43" t="str">
        <f t="shared" si="5"/>
        <v>/Game/DungeonSiege/Blueprints/GameplayAbilities/Affixes/GE_Prefix_Unequivocal</v>
      </c>
    </row>
    <row r="98" spans="1:10" s="23" customFormat="1" ht="33.75" x14ac:dyDescent="0.25">
      <c r="A98" s="43">
        <v>96</v>
      </c>
      <c r="B98" s="43">
        <f>VLOOKUP(C98,CHOOSE({2,1},Prefix!B$2:B$256,Prefix!C$2:C$256),2,FALSE)</f>
        <v>100663348</v>
      </c>
      <c r="C98" s="43" t="s">
        <v>793</v>
      </c>
      <c r="D98" s="43" t="s">
        <v>3154</v>
      </c>
      <c r="E98" s="43" t="str">
        <f>VLOOKUP(F98,CHOOSE({2,1},Attributes!B$3:B$130,Attributes!C$3:C$129),2,FALSE)</f>
        <v>DungeonSiegeDamageAttributeSet</v>
      </c>
      <c r="F98" s="43" t="str">
        <f>Attributes!C29</f>
        <v>RangedHitChance</v>
      </c>
      <c r="G98" s="43" t="str">
        <f t="shared" si="3"/>
        <v>(AttributeName="RangedHitChance",Attribute=/Script/DSAbilitySystem.DungeonSiegeDamageAttributeSet:RangedHitChance,AttributeOwner=Class'"/Script/DSAbilitySystem.DungeonSiegeDamageAttributeSet"')</v>
      </c>
      <c r="H98" s="43">
        <v>9</v>
      </c>
      <c r="I98" s="43" t="str">
        <f t="shared" si="4"/>
        <v>GE_Prefix_Unequivocal</v>
      </c>
      <c r="J98" s="43" t="str">
        <f t="shared" si="5"/>
        <v>/Game/DungeonSiege/Blueprints/GameplayAbilities/Affixes/GE_Prefix_Unequivocal</v>
      </c>
    </row>
    <row r="99" spans="1:10" ht="33.75" x14ac:dyDescent="0.25">
      <c r="A99" s="43">
        <v>97</v>
      </c>
      <c r="B99" s="43">
        <f>VLOOKUP(C99,CHOOSE({2,1},Prefix!B$2:B$256,Prefix!C$2:C$256),2,FALSE)</f>
        <v>100663348</v>
      </c>
      <c r="C99" s="43" t="s">
        <v>793</v>
      </c>
      <c r="D99" s="43" t="s">
        <v>3155</v>
      </c>
      <c r="E99" s="43" t="str">
        <f>VLOOKUP(F99,CHOOSE({2,1},Attributes!B$3:B$130,Attributes!C$3:C$129),2,FALSE)</f>
        <v>DungeonSiegeDamageAttributeSet</v>
      </c>
      <c r="F99" s="43" t="str">
        <f>Attributes!C20</f>
        <v>MaxDamageMod</v>
      </c>
      <c r="G99" s="43" t="str">
        <f t="shared" si="3"/>
        <v>(AttributeName="MaxDamageMod",Attribute=/Script/DSAbilitySystem.DungeonSiegeDamageAttributeSet:MaxDamageMod,AttributeOwner=Class'"/Script/DSAbilitySystem.DungeonSiegeDamageAttributeSet"')</v>
      </c>
      <c r="H99" s="43">
        <v>7</v>
      </c>
      <c r="I99" s="43" t="str">
        <f t="shared" si="4"/>
        <v>GE_Prefix_Unequivocal</v>
      </c>
      <c r="J99" s="43" t="str">
        <f t="shared" si="5"/>
        <v>/Game/DungeonSiege/Blueprints/GameplayAbilities/Affixes/GE_Prefix_Unequivocal</v>
      </c>
    </row>
    <row r="100" spans="1:10" s="23" customFormat="1" ht="33.75" x14ac:dyDescent="0.25">
      <c r="A100" s="43">
        <v>98</v>
      </c>
      <c r="B100" s="43">
        <f>VLOOKUP(C100,CHOOSE({2,1},Prefix!B$2:B$256,Prefix!C$2:C$256),2,FALSE)</f>
        <v>100663349</v>
      </c>
      <c r="C100" s="43" t="s">
        <v>796</v>
      </c>
      <c r="D100" s="43" t="s">
        <v>701</v>
      </c>
      <c r="E100" s="43" t="str">
        <f>VLOOKUP(F100,CHOOSE({2,1},Attributes!B$3:B$130,Attributes!C$3:C$129),2,FALSE)</f>
        <v>DungeonSiegePerHitAttributeSet</v>
      </c>
      <c r="F100" s="43" t="str">
        <f>Attributes!C14</f>
        <v>ManaStealPerHit</v>
      </c>
      <c r="G100" s="43" t="str">
        <f t="shared" si="3"/>
        <v>(AttributeName="ManaStealPerHit",Attribute=/Script/DSAbilitySystem.DungeonSiegePerHitAttributeSet:ManaStealPerHit,AttributeOwner=Class'"/Script/DSAbilitySystem.DungeonSiegePerHitAttributeSet"')</v>
      </c>
      <c r="H100" s="43">
        <v>4</v>
      </c>
      <c r="I100" s="43" t="str">
        <f t="shared" si="4"/>
        <v>GE_Prefix_Esteemed</v>
      </c>
      <c r="J100" s="43" t="str">
        <f t="shared" si="5"/>
        <v>/Game/DungeonSiege/Blueprints/GameplayAbilities/Affixes/GE_Prefix_Esteemed</v>
      </c>
    </row>
    <row r="101" spans="1:10" s="23" customFormat="1" ht="33.75" x14ac:dyDescent="0.25">
      <c r="A101" s="43">
        <v>99</v>
      </c>
      <c r="B101" s="43">
        <f>VLOOKUP(C101,CHOOSE({2,1},Prefix!B$2:B$256,Prefix!C$2:C$256),2,FALSE)</f>
        <v>100663349</v>
      </c>
      <c r="C101" s="43" t="s">
        <v>796</v>
      </c>
      <c r="D101" s="43" t="s">
        <v>213</v>
      </c>
      <c r="E101" s="43" t="str">
        <f>VLOOKUP(F101,CHOOSE({2,1},Attributes!B$3:B$130,Attributes!C$3:C$129),2,FALSE)</f>
        <v>DungeonSiegeMagicAttributeSet</v>
      </c>
      <c r="F101" s="43" t="str">
        <f>Attributes!C51</f>
        <v>ChanceToBlockMagicAttack</v>
      </c>
      <c r="G101" s="43" t="str">
        <f t="shared" si="3"/>
        <v>(AttributeName="ChanceToBlockMagicAttack",Attribute=/Script/DSAbilitySystem.DungeonSiegeMagicAttributeSet:ChanceToBlockMagicAttack,AttributeOwner=Class'"/Script/DSAbilitySystem.DungeonSiegeMagicAttributeSet"')</v>
      </c>
      <c r="H101" s="43">
        <v>5</v>
      </c>
      <c r="I101" s="43" t="str">
        <f t="shared" si="4"/>
        <v>GE_Prefix_Esteemed</v>
      </c>
      <c r="J101" s="43" t="str">
        <f t="shared" si="5"/>
        <v>/Game/DungeonSiege/Blueprints/GameplayAbilities/Affixes/GE_Prefix_Esteemed</v>
      </c>
    </row>
    <row r="102" spans="1:10" s="23" customFormat="1" ht="33.75" x14ac:dyDescent="0.25">
      <c r="A102" s="43">
        <v>100</v>
      </c>
      <c r="B102" s="43">
        <f>VLOOKUP(C102,CHOOSE({2,1},Prefix!B$2:B$256,Prefix!C$2:C$256),2,FALSE)</f>
        <v>100663349</v>
      </c>
      <c r="C102" s="43" t="s">
        <v>796</v>
      </c>
      <c r="D102" s="43" t="s">
        <v>747</v>
      </c>
      <c r="E102" s="43" t="str">
        <f>VLOOKUP(F102,CHOOSE({2,1},Attributes!B$3:B$130,Attributes!C$3:C$129),2,FALSE)</f>
        <v>DungeonSiegeDamageAttributeSet</v>
      </c>
      <c r="F102" s="43" t="str">
        <f>Attributes!C34</f>
        <v>ChanceToDodgeMeleeAttack</v>
      </c>
      <c r="G102" s="43" t="str">
        <f t="shared" si="3"/>
        <v>(AttributeName="ChanceToDodgeMeleeAttack",Attribute=/Script/DSAbilitySystem.DungeonSiegeDamageAttributeSet:ChanceToDodgeMeleeAttack,AttributeOwner=Class'"/Script/DSAbilitySystem.DungeonSiegeDamageAttributeSet"')</v>
      </c>
      <c r="H102" s="43">
        <v>5</v>
      </c>
      <c r="I102" s="43" t="str">
        <f t="shared" si="4"/>
        <v>GE_Prefix_Esteemed</v>
      </c>
      <c r="J102" s="43" t="str">
        <f t="shared" si="5"/>
        <v>/Game/DungeonSiege/Blueprints/GameplayAbilities/Affixes/GE_Prefix_Esteemed</v>
      </c>
    </row>
    <row r="103" spans="1:10" s="23" customFormat="1" ht="45" x14ac:dyDescent="0.25">
      <c r="A103" s="43">
        <v>101</v>
      </c>
      <c r="B103" s="43">
        <f>VLOOKUP(C103,CHOOSE({2,1},Prefix!B$2:B$256,Prefix!C$2:C$256),2,FALSE)</f>
        <v>100663349</v>
      </c>
      <c r="C103" s="43" t="s">
        <v>796</v>
      </c>
      <c r="D103" s="43" t="s">
        <v>797</v>
      </c>
      <c r="E103" s="43" t="str">
        <f>VLOOKUP(F103,CHOOSE({2,1},Attributes!B$3:B$130,Attributes!C$3:C$129),2,FALSE)</f>
        <v>DungeonSiegeDamageAttributeSet</v>
      </c>
      <c r="F103" s="43" t="str">
        <f>Attributes!C21</f>
        <v>PercentDamageReflectedToEnemy</v>
      </c>
      <c r="G103" s="43" t="str">
        <f t="shared" si="3"/>
        <v>(AttributeName="PercentDamageReflectedToEnemy",Attribute=/Script/DSAbilitySystem.DungeonSiegeDamageAttributeSet:PercentDamageReflectedToEnemy,AttributeOwner=Class'"/Script/DSAbilitySystem.DungeonSiegeDamageAttributeSet"')</v>
      </c>
      <c r="H103" s="43">
        <v>5</v>
      </c>
      <c r="I103" s="43" t="str">
        <f t="shared" si="4"/>
        <v>GE_Prefix_Esteemed</v>
      </c>
      <c r="J103" s="43" t="str">
        <f t="shared" si="5"/>
        <v>/Game/DungeonSiege/Blueprints/GameplayAbilities/Affixes/GE_Prefix_Esteemed</v>
      </c>
    </row>
    <row r="104" spans="1:10" ht="33.75" x14ac:dyDescent="0.25">
      <c r="A104" s="43">
        <v>102</v>
      </c>
      <c r="B104" s="43">
        <f>VLOOKUP(C104,CHOOSE({2,1},Prefix!B$2:B$256,Prefix!C$2:C$256),2,FALSE)</f>
        <v>100663349</v>
      </c>
      <c r="C104" s="43" t="s">
        <v>796</v>
      </c>
      <c r="D104" s="43" t="s">
        <v>3156</v>
      </c>
      <c r="E104" s="43" t="str">
        <f>VLOOKUP(F104,CHOOSE({2,1},Attributes!B$3:B$130,Attributes!C$3:C$129),2,FALSE)</f>
        <v>DungeonSiegeDamageAttributeSet</v>
      </c>
      <c r="F104" s="43" t="str">
        <f>Attributes!C36</f>
        <v>MeleeMaxDamageMod</v>
      </c>
      <c r="G104" s="43" t="str">
        <f t="shared" si="3"/>
        <v>(AttributeName="MeleeMaxDamageMod",Attribute=/Script/DSAbilitySystem.DungeonSiegeDamageAttributeSet:MeleeMaxDamageMod,AttributeOwner=Class'"/Script/DSAbilitySystem.DungeonSiegeDamageAttributeSet"')</v>
      </c>
      <c r="H104" s="43">
        <v>22</v>
      </c>
      <c r="I104" s="43" t="str">
        <f t="shared" si="4"/>
        <v>GE_Prefix_Esteemed</v>
      </c>
      <c r="J104" s="43" t="str">
        <f t="shared" si="5"/>
        <v>/Game/DungeonSiege/Blueprints/GameplayAbilities/Affixes/GE_Prefix_Esteemed</v>
      </c>
    </row>
    <row r="105" spans="1:10" s="23" customFormat="1" ht="33.75" x14ac:dyDescent="0.25">
      <c r="A105" s="43">
        <v>103</v>
      </c>
      <c r="B105" s="43">
        <f>VLOOKUP(C105,CHOOSE({2,1},Prefix!B$2:B$256,Prefix!C$2:C$256),2,FALSE)</f>
        <v>100663350</v>
      </c>
      <c r="C105" s="43" t="s">
        <v>799</v>
      </c>
      <c r="D105" s="43" t="s">
        <v>147</v>
      </c>
      <c r="E105" s="43" t="str">
        <f>VLOOKUP(F105,CHOOSE({2,1},Attributes!B$3:B$130,Attributes!C$3:C$129),2,FALSE)</f>
        <v>DungeonSiegeExperienceAttributeSet</v>
      </c>
      <c r="F105" s="43" t="str">
        <f>Attributes!C5</f>
        <v>Intelligence</v>
      </c>
      <c r="G105" s="43" t="str">
        <f t="shared" si="3"/>
        <v>(AttributeName="Intelligence",Attribute=/Script/DSAbilitySystem.DungeonSiegeExperienceAttributeSet:Intelligence,AttributeOwner=Class'"/Script/DSAbilitySystem.DungeonSiegeExperienceAttributeSet"')</v>
      </c>
      <c r="H105" s="43">
        <v>4</v>
      </c>
      <c r="I105" s="43" t="str">
        <f t="shared" si="4"/>
        <v>GE_Prefix_Distinguished</v>
      </c>
      <c r="J105" s="43" t="str">
        <f t="shared" si="5"/>
        <v>/Game/DungeonSiege/Blueprints/GameplayAbilities/Affixes/GE_Prefix_Distinguished</v>
      </c>
    </row>
    <row r="106" spans="1:10" s="23" customFormat="1" ht="33.75" x14ac:dyDescent="0.25">
      <c r="A106" s="43">
        <v>104</v>
      </c>
      <c r="B106" s="43">
        <f>VLOOKUP(C106,CHOOSE({2,1},Prefix!B$2:B$256,Prefix!C$2:C$256),2,FALSE)</f>
        <v>100663350</v>
      </c>
      <c r="C106" s="43" t="s">
        <v>799</v>
      </c>
      <c r="D106" s="43" t="s">
        <v>3157</v>
      </c>
      <c r="E106" s="43" t="str">
        <f>VLOOKUP(F106,CHOOSE({2,1},Attributes!B$3:B$130,Attributes!C$3:C$129),2,FALSE)</f>
        <v>DungeonSiegeManaAttributeSet</v>
      </c>
      <c r="F106" s="43" t="str">
        <f>Attributes!C90</f>
        <v>BaseManaBonus</v>
      </c>
      <c r="G106" s="43" t="str">
        <f t="shared" si="3"/>
        <v>(AttributeName="BaseManaBonus",Attribute=/Script/DSAbilitySystem.DungeonSiegeManaAttributeSet:BaseManaBonus,AttributeOwner=Class'"/Script/DSAbilitySystem.DungeonSiegeManaAttributeSet"')</v>
      </c>
      <c r="H106" s="43">
        <v>79</v>
      </c>
      <c r="I106" s="43" t="str">
        <f t="shared" si="4"/>
        <v>GE_Prefix_Distinguished</v>
      </c>
      <c r="J106" s="43" t="str">
        <f t="shared" si="5"/>
        <v>/Game/DungeonSiege/Blueprints/GameplayAbilities/Affixes/GE_Prefix_Distinguished</v>
      </c>
    </row>
    <row r="107" spans="1:10" s="23" customFormat="1" ht="33.75" x14ac:dyDescent="0.25">
      <c r="A107" s="43">
        <v>105</v>
      </c>
      <c r="B107" s="43">
        <f>VLOOKUP(C107,CHOOSE({2,1},Prefix!B$2:B$256,Prefix!C$2:C$256),2,FALSE)</f>
        <v>100663350</v>
      </c>
      <c r="C107" s="43" t="s">
        <v>799</v>
      </c>
      <c r="D107" s="43" t="s">
        <v>800</v>
      </c>
      <c r="E107" s="43" t="str">
        <f>VLOOKUP(F107,CHOOSE({2,1},Attributes!B$3:B$130,Attributes!C$3:C$129),2,FALSE)</f>
        <v>DungeonSiegeMagicAttributeSet</v>
      </c>
      <c r="F107" s="43" t="str">
        <f>Attributes!C38</f>
        <v>NatureMagicMinDamageMod</v>
      </c>
      <c r="G107" s="43" t="str">
        <f t="shared" si="3"/>
        <v>(AttributeName="NatureMagicMinDamageMod",Attribute=/Script/DSAbilitySystem.DungeonSiegeMagicAttributeSet:NatureMagicMinDamageMod,AttributeOwner=Class'"/Script/DSAbilitySystem.DungeonSiegeMagicAttributeSet"')</v>
      </c>
      <c r="H107" s="43">
        <v>1</v>
      </c>
      <c r="I107" s="43" t="str">
        <f t="shared" si="4"/>
        <v>GE_Prefix_Distinguished</v>
      </c>
      <c r="J107" s="43" t="str">
        <f t="shared" si="5"/>
        <v>/Game/DungeonSiege/Blueprints/GameplayAbilities/Affixes/GE_Prefix_Distinguished</v>
      </c>
    </row>
    <row r="108" spans="1:10" s="23" customFormat="1" ht="33.75" x14ac:dyDescent="0.25">
      <c r="A108" s="43">
        <v>106</v>
      </c>
      <c r="B108" s="43">
        <f>VLOOKUP(C108,CHOOSE({2,1},Prefix!B$2:B$256,Prefix!C$2:C$256),2,FALSE)</f>
        <v>100663350</v>
      </c>
      <c r="C108" s="43" t="s">
        <v>799</v>
      </c>
      <c r="D108" s="43" t="s">
        <v>801</v>
      </c>
      <c r="E108" s="43" t="str">
        <f>VLOOKUP(F108,CHOOSE({2,1},Attributes!B$3:B$130,Attributes!C$3:C$129),2,FALSE)</f>
        <v>DungeonSiegeMagicAttributeSet</v>
      </c>
      <c r="F108" s="43" t="str">
        <f>Attributes!C41</f>
        <v>CombatMagicMinDamageMod</v>
      </c>
      <c r="G108" s="43" t="str">
        <f t="shared" si="3"/>
        <v>(AttributeName="CombatMagicMinDamageMod",Attribute=/Script/DSAbilitySystem.DungeonSiegeMagicAttributeSet:CombatMagicMinDamageMod,AttributeOwner=Class'"/Script/DSAbilitySystem.DungeonSiegeMagicAttributeSet"')</v>
      </c>
      <c r="H108" s="43">
        <v>2</v>
      </c>
      <c r="I108" s="43" t="str">
        <f t="shared" si="4"/>
        <v>GE_Prefix_Distinguished</v>
      </c>
      <c r="J108" s="43" t="str">
        <f t="shared" si="5"/>
        <v>/Game/DungeonSiege/Blueprints/GameplayAbilities/Affixes/GE_Prefix_Distinguished</v>
      </c>
    </row>
    <row r="109" spans="1:10" ht="33.75" x14ac:dyDescent="0.25">
      <c r="A109" s="43">
        <v>107</v>
      </c>
      <c r="B109" s="43">
        <f>VLOOKUP(C109,CHOOSE({2,1},Prefix!B$2:B$256,Prefix!C$2:C$256),2,FALSE)</f>
        <v>100663350</v>
      </c>
      <c r="C109" s="43" t="s">
        <v>799</v>
      </c>
      <c r="D109" s="43" t="s">
        <v>801</v>
      </c>
      <c r="E109" s="43" t="str">
        <f>VLOOKUP(F109,CHOOSE({2,1},Attributes!B$3:B$130,Attributes!C$3:C$129),2,FALSE)</f>
        <v>DungeonSiegeMagicAttributeSet</v>
      </c>
      <c r="F109" s="43" t="str">
        <f>Attributes!C42</f>
        <v>CombatMagicMaxDamageMod</v>
      </c>
      <c r="G109" s="43" t="str">
        <f t="shared" si="3"/>
        <v>(AttributeName="CombatMagicMaxDamageMod",Attribute=/Script/DSAbilitySystem.DungeonSiegeMagicAttributeSet:CombatMagicMaxDamageMod,AttributeOwner=Class'"/Script/DSAbilitySystem.DungeonSiegeMagicAttributeSet"')</v>
      </c>
      <c r="H109" s="43">
        <v>6</v>
      </c>
      <c r="I109" s="43" t="str">
        <f t="shared" si="4"/>
        <v>GE_Prefix_Distinguished</v>
      </c>
      <c r="J109" s="43" t="str">
        <f t="shared" si="5"/>
        <v>/Game/DungeonSiege/Blueprints/GameplayAbilities/Affixes/GE_Prefix_Distinguished</v>
      </c>
    </row>
    <row r="110" spans="1:10" s="23" customFormat="1" ht="33.75" x14ac:dyDescent="0.25">
      <c r="A110" s="43">
        <v>108</v>
      </c>
      <c r="B110" s="43">
        <f>VLOOKUP(C110,CHOOSE({2,1},Prefix!B$2:B$256,Prefix!C$2:C$256),2,FALSE)</f>
        <v>100663351</v>
      </c>
      <c r="C110" s="43" t="s">
        <v>803</v>
      </c>
      <c r="D110" s="43" t="s">
        <v>266</v>
      </c>
      <c r="E110" s="43" t="str">
        <f>VLOOKUP(F110,CHOOSE({2,1},Attributes!B$3:B$130,Attributes!C$3:C$129),2,FALSE)</f>
        <v>DungeonSiegeExperienceAttributeSet</v>
      </c>
      <c r="F110" s="43" t="str">
        <f>Attributes!C6</f>
        <v>CombatMagic</v>
      </c>
      <c r="G110" s="43" t="str">
        <f t="shared" si="3"/>
        <v>(AttributeName="CombatMagic",Attribute=/Script/DSAbilitySystem.DungeonSiegeExperienceAttributeSet:CombatMagic,AttributeOwner=Class'"/Script/DSAbilitySystem.DungeonSiegeExperienceAttributeSet"')</v>
      </c>
      <c r="H110" s="43">
        <v>3</v>
      </c>
      <c r="I110" s="43" t="str">
        <f t="shared" si="4"/>
        <v>GE_Prefix_Acclaimed</v>
      </c>
      <c r="J110" s="43" t="str">
        <f t="shared" si="5"/>
        <v>/Game/DungeonSiege/Blueprints/GameplayAbilities/Affixes/GE_Prefix_Acclaimed</v>
      </c>
    </row>
    <row r="111" spans="1:10" s="23" customFormat="1" ht="33.75" x14ac:dyDescent="0.25">
      <c r="A111" s="43">
        <v>109</v>
      </c>
      <c r="B111" s="43">
        <f>VLOOKUP(C111,CHOOSE({2,1},Prefix!B$2:B$256,Prefix!C$2:C$256),2,FALSE)</f>
        <v>100663351</v>
      </c>
      <c r="C111" s="43" t="s">
        <v>803</v>
      </c>
      <c r="D111" s="43" t="s">
        <v>804</v>
      </c>
      <c r="E111" s="43" t="str">
        <f>VLOOKUP(F111,CHOOSE({2,1},Attributes!B$3:B$130,Attributes!C$3:C$129),2,FALSE)</f>
        <v>DungeonSiegeDamageAttributeSet</v>
      </c>
      <c r="F111" s="43" t="str">
        <f>Attributes!C23</f>
        <v>ChanceToInflictPiercingHit</v>
      </c>
      <c r="G111" s="43" t="str">
        <f t="shared" si="3"/>
        <v>(AttributeName="ChanceToInflictPiercingHit",Attribute=/Script/DSAbilitySystem.DungeonSiegeDamageAttributeSet:ChanceToInflictPiercingHit,AttributeOwner=Class'"/Script/DSAbilitySystem.DungeonSiegeDamageAttributeSet"')</v>
      </c>
      <c r="H111" s="43">
        <v>4</v>
      </c>
      <c r="I111" s="43" t="str">
        <f t="shared" si="4"/>
        <v>GE_Prefix_Acclaimed</v>
      </c>
      <c r="J111" s="43" t="str">
        <f t="shared" si="5"/>
        <v>/Game/DungeonSiege/Blueprints/GameplayAbilities/Affixes/GE_Prefix_Acclaimed</v>
      </c>
    </row>
    <row r="112" spans="1:10" s="23" customFormat="1" ht="33.75" x14ac:dyDescent="0.25">
      <c r="A112" s="43">
        <v>110</v>
      </c>
      <c r="B112" s="43">
        <f>VLOOKUP(C112,CHOOSE({2,1},Prefix!B$2:B$256,Prefix!C$2:C$256),2,FALSE)</f>
        <v>100663351</v>
      </c>
      <c r="C112" s="43" t="s">
        <v>803</v>
      </c>
      <c r="D112" s="43" t="s">
        <v>805</v>
      </c>
      <c r="E112" s="43" t="str">
        <f>VLOOKUP(F112,CHOOSE({2,1},Attributes!B$3:B$130,Attributes!C$3:C$129),2,FALSE)</f>
        <v>DungeonSiegeDamageAttributeSet</v>
      </c>
      <c r="F112" s="43" t="str">
        <f>Attributes!C31</f>
        <v>PercentMeleeDamageReduction</v>
      </c>
      <c r="G112" s="43" t="str">
        <f t="shared" si="3"/>
        <v>(AttributeName="PercentMeleeDamageReduction",Attribute=/Script/DSAbilitySystem.DungeonSiegeDamageAttributeSet:PercentMeleeDamageReduction,AttributeOwner=Class'"/Script/DSAbilitySystem.DungeonSiegeDamageAttributeSet"')</v>
      </c>
      <c r="H112" s="43">
        <v>5</v>
      </c>
      <c r="I112" s="43" t="str">
        <f t="shared" si="4"/>
        <v>GE_Prefix_Acclaimed</v>
      </c>
      <c r="J112" s="43" t="str">
        <f t="shared" si="5"/>
        <v>/Game/DungeonSiege/Blueprints/GameplayAbilities/Affixes/GE_Prefix_Acclaimed</v>
      </c>
    </row>
    <row r="113" spans="1:10" ht="33.75" x14ac:dyDescent="0.25">
      <c r="A113" s="43">
        <v>111</v>
      </c>
      <c r="B113" s="43">
        <f>VLOOKUP(C113,CHOOSE({2,1},Prefix!B$2:B$256,Prefix!C$2:C$256),2,FALSE)</f>
        <v>100663351</v>
      </c>
      <c r="C113" s="43" t="s">
        <v>803</v>
      </c>
      <c r="D113" s="43" t="s">
        <v>3158</v>
      </c>
      <c r="E113" s="43" t="str">
        <f>VLOOKUP(F113,CHOOSE({2,1},Attributes!B$3:B$130,Attributes!C$3:C$129),2,FALSE)</f>
        <v>DungeonSiegeDamageAttributeSet</v>
      </c>
      <c r="F113" s="43" t="str">
        <f>Attributes!C34</f>
        <v>ChanceToDodgeMeleeAttack</v>
      </c>
      <c r="G113" s="43" t="str">
        <f t="shared" si="3"/>
        <v>(AttributeName="ChanceToDodgeMeleeAttack",Attribute=/Script/DSAbilitySystem.DungeonSiegeDamageAttributeSet:ChanceToDodgeMeleeAttack,AttributeOwner=Class'"/Script/DSAbilitySystem.DungeonSiegeDamageAttributeSet"')</v>
      </c>
      <c r="H113" s="43">
        <v>9</v>
      </c>
      <c r="I113" s="43" t="str">
        <f t="shared" si="4"/>
        <v>GE_Prefix_Acclaimed</v>
      </c>
      <c r="J113" s="43" t="str">
        <f t="shared" si="5"/>
        <v>/Game/DungeonSiege/Blueprints/GameplayAbilities/Affixes/GE_Prefix_Acclaimed</v>
      </c>
    </row>
    <row r="114" spans="1:10" ht="33.75" x14ac:dyDescent="0.25">
      <c r="A114" s="43">
        <v>112</v>
      </c>
      <c r="B114" s="43">
        <f>VLOOKUP(C114,CHOOSE({2,1},Prefix!B$2:B$256,Prefix!C$2:C$256),2,FALSE)</f>
        <v>100663352</v>
      </c>
      <c r="C114" s="43" t="s">
        <v>807</v>
      </c>
      <c r="D114" s="43" t="s">
        <v>808</v>
      </c>
      <c r="E114" s="43" t="str">
        <f>VLOOKUP(F114,CHOOSE({2,1},Attributes!B$3:B$130,Attributes!C$3:C$129),2,FALSE)</f>
        <v>DungeonSiegeDamageAttributeSet</v>
      </c>
      <c r="F114" s="43" t="str">
        <f>Attributes!C27</f>
        <v>PercentRangedDamageReduction</v>
      </c>
      <c r="G114" s="43" t="str">
        <f t="shared" si="3"/>
        <v>(AttributeName="PercentRangedDamageReduction",Attribute=/Script/DSAbilitySystem.DungeonSiegeDamageAttributeSet:PercentRangedDamageReduction,AttributeOwner=Class'"/Script/DSAbilitySystem.DungeonSiegeDamageAttributeSet"')</v>
      </c>
      <c r="H114" s="43">
        <v>20</v>
      </c>
      <c r="I114" s="43" t="str">
        <f t="shared" si="4"/>
        <v>GE_Prefix_Impeding</v>
      </c>
      <c r="J114" s="43" t="str">
        <f t="shared" si="5"/>
        <v>/Game/DungeonSiege/Blueprints/GameplayAbilities/Affixes/GE_Prefix_Impeding</v>
      </c>
    </row>
    <row r="115" spans="1:10" ht="33.75" x14ac:dyDescent="0.25">
      <c r="A115" s="43">
        <v>113</v>
      </c>
      <c r="B115" s="43">
        <f>VLOOKUP(C115,CHOOSE({2,1},Prefix!B$2:B$256,Prefix!C$2:C$256),2,FALSE)</f>
        <v>100663353</v>
      </c>
      <c r="C115" s="43" t="s">
        <v>811</v>
      </c>
      <c r="D115" s="43" t="s">
        <v>3216</v>
      </c>
      <c r="E115" s="43" t="str">
        <f>VLOOKUP(F115,CHOOSE({2,1},Attributes!B$3:B$130,Attributes!C$3:C$129),2,FALSE)</f>
        <v>DungeonSiegeStatusEffectAttributeSet</v>
      </c>
      <c r="F115" s="43" t="str">
        <f>Attributes!C55</f>
        <v>ChanceToPoison</v>
      </c>
      <c r="G115" s="43" t="str">
        <f t="shared" si="3"/>
        <v>(AttributeName="ChanceToPoison",Attribute=/Script/DSAbilitySystem.DungeonSiegeStatusEffectAttributeSet:ChanceToPoison,AttributeOwner=Class'"/Script/DSAbilitySystem.DungeonSiegeStatusEffectAttributeSet"')</v>
      </c>
      <c r="H115" s="43">
        <v>15</v>
      </c>
      <c r="I115" s="43" t="str">
        <f t="shared" si="4"/>
        <v>GE_Prefix_Mephitic</v>
      </c>
      <c r="J115" s="43" t="str">
        <f t="shared" si="5"/>
        <v>/Game/DungeonSiege/Blueprints/GameplayAbilities/Affixes/GE_Prefix_Mephitic</v>
      </c>
    </row>
    <row r="116" spans="1:10" s="23" customFormat="1" ht="33.75" x14ac:dyDescent="0.25">
      <c r="A116" s="43">
        <v>114</v>
      </c>
      <c r="B116" s="43">
        <f>VLOOKUP(C116,CHOOSE({2,1},Prefix!B$2:B$256,Prefix!C$2:C$256),2,FALSE)</f>
        <v>100663353</v>
      </c>
      <c r="C116" s="43" t="s">
        <v>811</v>
      </c>
      <c r="D116" s="43" t="s">
        <v>3139</v>
      </c>
      <c r="E116" s="43" t="str">
        <f>VLOOKUP(F116,CHOOSE({2,1},Attributes!B$3:B$130,Attributes!C$3:C$129),2,FALSE)</f>
        <v>DungeonSiegeStatusEffectAttributeSet</v>
      </c>
      <c r="F116" s="43" t="str">
        <f>Attributes!C56</f>
        <v>PoisonMinDamageMod</v>
      </c>
      <c r="G116" s="43" t="str">
        <f t="shared" si="3"/>
        <v>(AttributeName="PoisonMinDamageMod",Attribute=/Script/DSAbilitySystem.DungeonSiegeStatusEffectAttributeSet:PoisonMinDamageMod,AttributeOwner=Class'"/Script/DSAbilitySystem.DungeonSiegeStatusEffectAttributeSet"')</v>
      </c>
      <c r="H116" s="43">
        <v>20</v>
      </c>
      <c r="I116" s="43" t="str">
        <f t="shared" si="4"/>
        <v>GE_Prefix_Mephitic</v>
      </c>
      <c r="J116" s="43" t="str">
        <f t="shared" si="5"/>
        <v>/Game/DungeonSiege/Blueprints/GameplayAbilities/Affixes/GE_Prefix_Mephitic</v>
      </c>
    </row>
    <row r="117" spans="1:10" ht="33.75" x14ac:dyDescent="0.25">
      <c r="A117" s="43">
        <v>115</v>
      </c>
      <c r="B117" s="43">
        <f>VLOOKUP(C117,CHOOSE({2,1},Prefix!B$2:B$256,Prefix!C$2:C$256),2,FALSE)</f>
        <v>100663353</v>
      </c>
      <c r="C117" s="43" t="s">
        <v>811</v>
      </c>
      <c r="D117" s="43" t="s">
        <v>3139</v>
      </c>
      <c r="E117" s="43" t="str">
        <f>VLOOKUP(F117,CHOOSE({2,1},Attributes!B$3:B$130,Attributes!C$3:C$129),2,FALSE)</f>
        <v>DungeonSiegeStatusEffectAttributeSet</v>
      </c>
      <c r="F117" s="43" t="str">
        <f>Attributes!C57</f>
        <v>PoisonMaxDamageMod</v>
      </c>
      <c r="G117" s="43" t="str">
        <f t="shared" si="3"/>
        <v>(AttributeName="PoisonMaxDamageMod",Attribute=/Script/DSAbilitySystem.DungeonSiegeStatusEffectAttributeSet:PoisonMaxDamageMod,AttributeOwner=Class'"/Script/DSAbilitySystem.DungeonSiegeStatusEffectAttributeSet"')</v>
      </c>
      <c r="H117" s="43">
        <v>30</v>
      </c>
      <c r="I117" s="43" t="str">
        <f t="shared" si="4"/>
        <v>GE_Prefix_Mephitic</v>
      </c>
      <c r="J117" s="43" t="str">
        <f t="shared" si="5"/>
        <v>/Game/DungeonSiege/Blueprints/GameplayAbilities/Affixes/GE_Prefix_Mephitic</v>
      </c>
    </row>
    <row r="118" spans="1:10" ht="33.75" x14ac:dyDescent="0.25">
      <c r="A118" s="43">
        <v>116</v>
      </c>
      <c r="B118" s="43">
        <f>VLOOKUP(C118,CHOOSE({2,1},Prefix!B$2:B$256,Prefix!C$2:C$256),2,FALSE)</f>
        <v>100663360</v>
      </c>
      <c r="C118" s="43" t="s">
        <v>812</v>
      </c>
      <c r="D118" s="43" t="s">
        <v>329</v>
      </c>
      <c r="E118" s="43" t="str">
        <f>VLOOKUP(F118,CHOOSE({2,1},Attributes!B$3:B$130,Attributes!C$3:C$129),2,FALSE)</f>
        <v>DungeonSiegeMagicAttributeSet</v>
      </c>
      <c r="F118" s="43" t="str">
        <f>Attributes!C45</f>
        <v>ColdDamageAmplification</v>
      </c>
      <c r="G118" s="43" t="str">
        <f t="shared" si="3"/>
        <v>(AttributeName="ColdDamageAmplification",Attribute=/Script/DSAbilitySystem.DungeonSiegeMagicAttributeSet:ColdDamageAmplification,AttributeOwner=Class'"/Script/DSAbilitySystem.DungeonSiegeMagicAttributeSet"')</v>
      </c>
      <c r="H118" s="43">
        <v>25</v>
      </c>
      <c r="I118" s="43" t="str">
        <f t="shared" si="4"/>
        <v>GE_Prefix_glacial</v>
      </c>
      <c r="J118" s="43" t="str">
        <f t="shared" si="5"/>
        <v>/Game/DungeonSiege/Blueprints/GameplayAbilities/Affixes/GE_Prefix_glacial</v>
      </c>
    </row>
    <row r="119" spans="1:10" ht="33.75" x14ac:dyDescent="0.25">
      <c r="A119" s="43">
        <v>117</v>
      </c>
      <c r="B119" s="43">
        <f>VLOOKUP(C119,CHOOSE({2,1},Prefix!B$2:B$256,Prefix!C$2:C$256),2,FALSE)</f>
        <v>100663361</v>
      </c>
      <c r="C119" s="43" t="s">
        <v>814</v>
      </c>
      <c r="D119" s="43" t="s">
        <v>326</v>
      </c>
      <c r="E119" s="43" t="str">
        <f>VLOOKUP(F119,CHOOSE({2,1},Attributes!B$3:B$130,Attributes!C$3:C$129),2,FALSE)</f>
        <v>DungeonSiegeMagicAttributeSet</v>
      </c>
      <c r="F119" s="43" t="str">
        <f>Attributes!C47</f>
        <v>FireDamageAmplification</v>
      </c>
      <c r="G119" s="43" t="str">
        <f t="shared" si="3"/>
        <v>(AttributeName="FireDamageAmplification",Attribute=/Script/DSAbilitySystem.DungeonSiegeMagicAttributeSet:FireDamageAmplification,AttributeOwner=Class'"/Script/DSAbilitySystem.DungeonSiegeMagicAttributeSet"')</v>
      </c>
      <c r="H119" s="43">
        <v>25</v>
      </c>
      <c r="I119" s="43" t="str">
        <f t="shared" si="4"/>
        <v>GE_Prefix_scorched</v>
      </c>
      <c r="J119" s="43" t="str">
        <f t="shared" si="5"/>
        <v>/Game/DungeonSiege/Blueprints/GameplayAbilities/Affixes/GE_Prefix_scorched</v>
      </c>
    </row>
    <row r="120" spans="1:10" ht="33.75" x14ac:dyDescent="0.25">
      <c r="A120" s="43">
        <v>118</v>
      </c>
      <c r="B120" s="43">
        <f>VLOOKUP(C120,CHOOSE({2,1},Prefix!B$2:B$256,Prefix!C$2:C$256),2,FALSE)</f>
        <v>100663362</v>
      </c>
      <c r="C120" s="43" t="s">
        <v>815</v>
      </c>
      <c r="D120" s="43" t="s">
        <v>323</v>
      </c>
      <c r="E120" s="43" t="str">
        <f>VLOOKUP(F120,CHOOSE({2,1},Attributes!B$3:B$130,Attributes!C$3:C$129),2,FALSE)</f>
        <v>DungeonSiegeMagicAttributeSet</v>
      </c>
      <c r="F120" s="43" t="str">
        <f>Attributes!C48</f>
        <v>ElectricDamageAmplification</v>
      </c>
      <c r="G120" s="43" t="str">
        <f t="shared" si="3"/>
        <v>(AttributeName="ElectricDamageAmplification",Attribute=/Script/DSAbilitySystem.DungeonSiegeMagicAttributeSet:ElectricDamageAmplification,AttributeOwner=Class'"/Script/DSAbilitySystem.DungeonSiegeMagicAttributeSet"')</v>
      </c>
      <c r="H120" s="43">
        <v>25</v>
      </c>
      <c r="I120" s="43" t="str">
        <f t="shared" si="4"/>
        <v>GE_Prefix_shocking</v>
      </c>
      <c r="J120" s="43" t="str">
        <f t="shared" si="5"/>
        <v>/Game/DungeonSiege/Blueprints/GameplayAbilities/Affixes/GE_Prefix_shocking</v>
      </c>
    </row>
    <row r="121" spans="1:10" ht="33.75" x14ac:dyDescent="0.25">
      <c r="A121" s="43">
        <v>119</v>
      </c>
      <c r="B121" s="43">
        <f>VLOOKUP(C121,CHOOSE({2,1},Prefix!B$2:B$256,Prefix!C$2:C$256),2,FALSE)</f>
        <v>100663363</v>
      </c>
      <c r="C121" s="43" t="s">
        <v>816</v>
      </c>
      <c r="D121" s="43" t="s">
        <v>3217</v>
      </c>
      <c r="E121" s="43" t="str">
        <f>VLOOKUP(F121,CHOOSE({2,1},Attributes!B$3:B$130,Attributes!C$3:C$129),2,FALSE)</f>
        <v>DungeonSiegeStatusEffectAttributeSet</v>
      </c>
      <c r="F121" s="43" t="str">
        <f>Attributes!C66</f>
        <v>ChanceToPetrify</v>
      </c>
      <c r="G121" s="43" t="str">
        <f t="shared" si="3"/>
        <v>(AttributeName="ChanceToPetrify",Attribute=/Script/DSAbilitySystem.DungeonSiegeStatusEffectAttributeSet:ChanceToPetrify,AttributeOwner=Class'"/Script/DSAbilitySystem.DungeonSiegeStatusEffectAttributeSet"')</v>
      </c>
      <c r="H121" s="43">
        <v>20</v>
      </c>
      <c r="I121" s="43" t="str">
        <f t="shared" si="4"/>
        <v>GE_Prefix_Petrifying</v>
      </c>
      <c r="J121" s="43" t="str">
        <f t="shared" si="5"/>
        <v>/Game/DungeonSiege/Blueprints/GameplayAbilities/Affixes/GE_Prefix_Petrifying</v>
      </c>
    </row>
    <row r="122" spans="1:10" s="23" customFormat="1" ht="33.75" x14ac:dyDescent="0.25">
      <c r="A122" s="43">
        <v>120</v>
      </c>
      <c r="B122" s="43">
        <f>VLOOKUP(C122,CHOOSE({2,1},Prefix!B$2:B$256,Prefix!C$2:C$256),2,FALSE)</f>
        <v>100663363</v>
      </c>
      <c r="C122" s="43" t="s">
        <v>816</v>
      </c>
      <c r="D122" s="43" t="s">
        <v>3159</v>
      </c>
      <c r="E122" s="43" t="str">
        <f>VLOOKUP(F122,CHOOSE({2,1},Attributes!B$3:B$130,Attributes!C$3:C$129),2,FALSE)</f>
        <v>DungeonSiegeStatusEffectAttributeSet</v>
      </c>
      <c r="F122" s="43" t="str">
        <f>Attributes!C67</f>
        <v>PetrifyMinDamageMod</v>
      </c>
      <c r="G122" s="43" t="str">
        <f t="shared" si="3"/>
        <v>(AttributeName="PetrifyMinDamageMod",Attribute=/Script/DSAbilitySystem.DungeonSiegeStatusEffectAttributeSet:PetrifyMinDamageMod,AttributeOwner=Class'"/Script/DSAbilitySystem.DungeonSiegeStatusEffectAttributeSet"')</v>
      </c>
      <c r="H122" s="43">
        <v>15</v>
      </c>
      <c r="I122" s="43" t="str">
        <f t="shared" si="4"/>
        <v>GE_Prefix_Petrifying</v>
      </c>
      <c r="J122" s="43" t="str">
        <f t="shared" si="5"/>
        <v>/Game/DungeonSiege/Blueprints/GameplayAbilities/Affixes/GE_Prefix_Petrifying</v>
      </c>
    </row>
    <row r="123" spans="1:10" ht="33.75" x14ac:dyDescent="0.25">
      <c r="A123" s="43">
        <v>121</v>
      </c>
      <c r="B123" s="43">
        <f>VLOOKUP(C123,CHOOSE({2,1},Prefix!B$2:B$256,Prefix!C$2:C$256),2,FALSE)</f>
        <v>100663363</v>
      </c>
      <c r="C123" s="43" t="s">
        <v>816</v>
      </c>
      <c r="D123" s="43" t="s">
        <v>3159</v>
      </c>
      <c r="E123" s="43" t="str">
        <f>VLOOKUP(F123,CHOOSE({2,1},Attributes!B$3:B$130,Attributes!C$3:C$129),2,FALSE)</f>
        <v>DungeonSiegeStatusEffectAttributeSet</v>
      </c>
      <c r="F123" s="43" t="str">
        <f>Attributes!C68</f>
        <v>PetrifyMaxDamageMod</v>
      </c>
      <c r="G123" s="43" t="str">
        <f t="shared" si="3"/>
        <v>(AttributeName="PetrifyMaxDamageMod",Attribute=/Script/DSAbilitySystem.DungeonSiegeStatusEffectAttributeSet:PetrifyMaxDamageMod,AttributeOwner=Class'"/Script/DSAbilitySystem.DungeonSiegeStatusEffectAttributeSet"')</v>
      </c>
      <c r="H123" s="43">
        <v>25</v>
      </c>
      <c r="I123" s="43" t="str">
        <f t="shared" si="4"/>
        <v>GE_Prefix_Petrifying</v>
      </c>
      <c r="J123" s="43" t="str">
        <f t="shared" si="5"/>
        <v>/Game/DungeonSiege/Blueprints/GameplayAbilities/Affixes/GE_Prefix_Petrifying</v>
      </c>
    </row>
    <row r="124" spans="1:10" ht="33.75" x14ac:dyDescent="0.25">
      <c r="A124" s="43">
        <v>122</v>
      </c>
      <c r="B124" s="43">
        <f>VLOOKUP(C124,CHOOSE({2,1},Prefix!B$2:B$256,Prefix!C$2:C$256),2,FALSE)</f>
        <v>100663364</v>
      </c>
      <c r="C124" s="43" t="s">
        <v>817</v>
      </c>
      <c r="D124" s="43" t="s">
        <v>818</v>
      </c>
      <c r="E124" s="43" t="str">
        <f>VLOOKUP(F124,CHOOSE({2,1},Attributes!B$3:B$130,Attributes!C$3:C$129),2,FALSE)</f>
        <v>DungeonSiegeDamageAttributeSet</v>
      </c>
      <c r="F124" s="43" t="str">
        <f>Attributes!C24</f>
        <v>PercentPiercingDamageReduction</v>
      </c>
      <c r="G124" s="43" t="str">
        <f t="shared" si="3"/>
        <v>(AttributeName="PercentPiercingDamageReduction",Attribute=/Script/DSAbilitySystem.DungeonSiegeDamageAttributeSet:PercentPiercingDamageReduction,AttributeOwner=Class'"/Script/DSAbilitySystem.DungeonSiegeDamageAttributeSet"')</v>
      </c>
      <c r="H124" s="43">
        <v>50</v>
      </c>
      <c r="I124" s="43" t="str">
        <f t="shared" si="4"/>
        <v>GE_Prefix_Tenacious</v>
      </c>
      <c r="J124" s="43" t="str">
        <f t="shared" si="5"/>
        <v>/Game/DungeonSiege/Blueprints/GameplayAbilities/Affixes/GE_Prefix_Tenacious</v>
      </c>
    </row>
    <row r="125" spans="1:10" s="23" customFormat="1" ht="33.75" x14ac:dyDescent="0.25">
      <c r="A125" s="43">
        <v>123</v>
      </c>
      <c r="B125" s="43">
        <f>VLOOKUP(C125,CHOOSE({2,1},Prefix!B$2:B$256,Prefix!C$2:C$256),2,FALSE)</f>
        <v>100663365</v>
      </c>
      <c r="C125" s="43" t="s">
        <v>821</v>
      </c>
      <c r="D125" s="43" t="s">
        <v>278</v>
      </c>
      <c r="E125" s="43" t="str">
        <f>VLOOKUP(F125,CHOOSE({2,1},Attributes!B$3:B$130,Attributes!C$3:C$129),2,FALSE)</f>
        <v>DungeonSiegeExperienceAttributeSet</v>
      </c>
      <c r="F125" s="43" t="str">
        <f>Attributes!C3</f>
        <v>Strength</v>
      </c>
      <c r="G125" s="43" t="str">
        <f t="shared" si="3"/>
        <v>(AttributeName="Strength",Attribute=/Script/DSAbilitySystem.DungeonSiegeExperienceAttributeSet:Strength,AttributeOwner=Class'"/Script/DSAbilitySystem.DungeonSiegeExperienceAttributeSet"')</v>
      </c>
      <c r="H125" s="43">
        <v>3</v>
      </c>
      <c r="I125" s="43" t="str">
        <f t="shared" si="4"/>
        <v>GE_Prefix_Majestic</v>
      </c>
      <c r="J125" s="43" t="str">
        <f t="shared" si="5"/>
        <v>/Game/DungeonSiege/Blueprints/GameplayAbilities/Affixes/GE_Prefix_Majestic</v>
      </c>
    </row>
    <row r="126" spans="1:10" s="23" customFormat="1" ht="33.75" x14ac:dyDescent="0.25">
      <c r="A126" s="43">
        <v>124</v>
      </c>
      <c r="B126" s="43">
        <f>VLOOKUP(C126,CHOOSE({2,1},Prefix!B$2:B$256,Prefix!C$2:C$256),2,FALSE)</f>
        <v>100663365</v>
      </c>
      <c r="C126" s="43" t="s">
        <v>821</v>
      </c>
      <c r="D126" s="43" t="s">
        <v>737</v>
      </c>
      <c r="E126" s="43" t="str">
        <f>VLOOKUP(F126,CHOOSE({2,1},Attributes!B$3:B$130,Attributes!C$3:C$129),2,FALSE)</f>
        <v>DungeonSiegePerHitAttributeSet</v>
      </c>
      <c r="F126" s="43" t="str">
        <f>Attributes!C13</f>
        <v>HealthStealPerHit</v>
      </c>
      <c r="G126" s="43" t="str">
        <f t="shared" si="3"/>
        <v>(AttributeName="HealthStealPerHit",Attribute=/Script/DSAbilitySystem.DungeonSiegePerHitAttributeSet:HealthStealPerHit,AttributeOwner=Class'"/Script/DSAbilitySystem.DungeonSiegePerHitAttributeSet"')</v>
      </c>
      <c r="H126" s="43">
        <v>2</v>
      </c>
      <c r="I126" s="43" t="str">
        <f t="shared" si="4"/>
        <v>GE_Prefix_Majestic</v>
      </c>
      <c r="J126" s="43" t="str">
        <f t="shared" si="5"/>
        <v>/Game/DungeonSiege/Blueprints/GameplayAbilities/Affixes/GE_Prefix_Majestic</v>
      </c>
    </row>
    <row r="127" spans="1:10" s="23" customFormat="1" ht="33.75" x14ac:dyDescent="0.25">
      <c r="A127" s="43">
        <v>125</v>
      </c>
      <c r="B127" s="43">
        <f>VLOOKUP(C127,CHOOSE({2,1},Prefix!B$2:B$256,Prefix!C$2:C$256),2,FALSE)</f>
        <v>100663365</v>
      </c>
      <c r="C127" s="43" t="s">
        <v>821</v>
      </c>
      <c r="D127" s="43" t="s">
        <v>213</v>
      </c>
      <c r="E127" s="43" t="str">
        <f>VLOOKUP(F127,CHOOSE({2,1},Attributes!B$3:B$130,Attributes!C$3:C$129),2,FALSE)</f>
        <v>DungeonSiegeMagicAttributeSet</v>
      </c>
      <c r="F127" s="43" t="str">
        <f>Attributes!C51</f>
        <v>ChanceToBlockMagicAttack</v>
      </c>
      <c r="G127" s="43" t="str">
        <f t="shared" si="3"/>
        <v>(AttributeName="ChanceToBlockMagicAttack",Attribute=/Script/DSAbilitySystem.DungeonSiegeMagicAttributeSet:ChanceToBlockMagicAttack,AttributeOwner=Class'"/Script/DSAbilitySystem.DungeonSiegeMagicAttributeSet"')</v>
      </c>
      <c r="H127" s="43">
        <v>5</v>
      </c>
      <c r="I127" s="43" t="str">
        <f t="shared" si="4"/>
        <v>GE_Prefix_Majestic</v>
      </c>
      <c r="J127" s="43" t="str">
        <f t="shared" si="5"/>
        <v>/Game/DungeonSiege/Blueprints/GameplayAbilities/Affixes/GE_Prefix_Majestic</v>
      </c>
    </row>
    <row r="128" spans="1:10" s="23" customFormat="1" ht="33.75" x14ac:dyDescent="0.25">
      <c r="A128" s="43">
        <v>126</v>
      </c>
      <c r="B128" s="43">
        <f>VLOOKUP(C128,CHOOSE({2,1},Prefix!B$2:B$256,Prefix!C$2:C$256),2,FALSE)</f>
        <v>100663365</v>
      </c>
      <c r="C128" s="43" t="s">
        <v>821</v>
      </c>
      <c r="D128" s="43" t="s">
        <v>3160</v>
      </c>
      <c r="E128" s="43" t="str">
        <f>VLOOKUP(F128,CHOOSE({2,1},Attributes!B$3:B$130,Attributes!C$3:C$129),2,FALSE)</f>
        <v>DungeonSiegeDamageAttributeSet</v>
      </c>
      <c r="F128" s="43" t="str">
        <f>Attributes!C33</f>
        <v>MeleeHitChance</v>
      </c>
      <c r="G128" s="43" t="str">
        <f t="shared" si="3"/>
        <v>(AttributeName="MeleeHitChance",Attribute=/Script/DSAbilitySystem.DungeonSiegeDamageAttributeSet:MeleeHitChance,AttributeOwner=Class'"/Script/DSAbilitySystem.DungeonSiegeDamageAttributeSet"')</v>
      </c>
      <c r="H128" s="43">
        <v>4</v>
      </c>
      <c r="I128" s="43" t="str">
        <f t="shared" si="4"/>
        <v>GE_Prefix_Majestic</v>
      </c>
      <c r="J128" s="43" t="str">
        <f t="shared" si="5"/>
        <v>/Game/DungeonSiege/Blueprints/GameplayAbilities/Affixes/GE_Prefix_Majestic</v>
      </c>
    </row>
    <row r="129" spans="1:10" ht="33.75" x14ac:dyDescent="0.25">
      <c r="A129" s="43">
        <v>127</v>
      </c>
      <c r="B129" s="43">
        <f>VLOOKUP(C129,CHOOSE({2,1},Prefix!B$2:B$256,Prefix!C$2:C$256),2,FALSE)</f>
        <v>100663365</v>
      </c>
      <c r="C129" s="43" t="s">
        <v>821</v>
      </c>
      <c r="D129" s="43" t="s">
        <v>3161</v>
      </c>
      <c r="E129" s="43" t="str">
        <f>VLOOKUP(F129,CHOOSE({2,1},Attributes!B$3:B$130,Attributes!C$3:C$129),2,FALSE)</f>
        <v>DungeonSiegeDamageAttributeSet</v>
      </c>
      <c r="F129" s="43" t="str">
        <f>Attributes!C29</f>
        <v>RangedHitChance</v>
      </c>
      <c r="G129" s="43" t="str">
        <f t="shared" si="3"/>
        <v>(AttributeName="RangedHitChance",Attribute=/Script/DSAbilitySystem.DungeonSiegeDamageAttributeSet:RangedHitChance,AttributeOwner=Class'"/Script/DSAbilitySystem.DungeonSiegeDamageAttributeSet"')</v>
      </c>
      <c r="H129" s="43">
        <v>7</v>
      </c>
      <c r="I129" s="43" t="str">
        <f t="shared" si="4"/>
        <v>GE_Prefix_Majestic</v>
      </c>
      <c r="J129" s="43" t="str">
        <f t="shared" si="5"/>
        <v>/Game/DungeonSiege/Blueprints/GameplayAbilities/Affixes/GE_Prefix_Majestic</v>
      </c>
    </row>
    <row r="130" spans="1:10" s="23" customFormat="1" ht="33.75" x14ac:dyDescent="0.25">
      <c r="A130" s="43">
        <v>128</v>
      </c>
      <c r="B130" s="43">
        <f>VLOOKUP(C130,CHOOSE({2,1},Prefix!B$2:B$256,Prefix!C$2:C$256),2,FALSE)</f>
        <v>100663366</v>
      </c>
      <c r="C130" s="43" t="s">
        <v>823</v>
      </c>
      <c r="D130" s="43" t="s">
        <v>230</v>
      </c>
      <c r="E130" s="43" t="str">
        <f>VLOOKUP(F130,CHOOSE({2,1},Attributes!B$3:B$130,Attributes!C$3:C$129),2,FALSE)</f>
        <v>DungeonSiegeMagicAttributeSet</v>
      </c>
      <c r="F130" s="43" t="str">
        <f>Attributes!C43</f>
        <v>PercentMagicDamageReduction</v>
      </c>
      <c r="G130" s="43" t="str">
        <f t="shared" si="3"/>
        <v>(AttributeName="PercentMagicDamageReduction",Attribute=/Script/DSAbilitySystem.DungeonSiegeMagicAttributeSet:PercentMagicDamageReduction,AttributeOwner=Class'"/Script/DSAbilitySystem.DungeonSiegeMagicAttributeSet"')</v>
      </c>
      <c r="H130" s="43">
        <v>5</v>
      </c>
      <c r="I130" s="43" t="str">
        <f t="shared" si="4"/>
        <v>GE_Prefix_Radiant</v>
      </c>
      <c r="J130" s="43" t="str">
        <f t="shared" si="5"/>
        <v>/Game/DungeonSiege/Blueprints/GameplayAbilities/Affixes/GE_Prefix_Radiant</v>
      </c>
    </row>
    <row r="131" spans="1:10" s="23" customFormat="1" ht="33.75" x14ac:dyDescent="0.25">
      <c r="A131" s="43">
        <v>129</v>
      </c>
      <c r="B131" s="43">
        <f>VLOOKUP(C131,CHOOSE({2,1},Prefix!B$2:B$256,Prefix!C$2:C$256),2,FALSE)</f>
        <v>100663366</v>
      </c>
      <c r="C131" s="43" t="s">
        <v>823</v>
      </c>
      <c r="D131" s="43" t="s">
        <v>3162</v>
      </c>
      <c r="E131" s="43" t="str">
        <f>VLOOKUP(F131,CHOOSE({2,1},Attributes!B$3:B$130,Attributes!C$3:C$129),2,FALSE)</f>
        <v>DungeonSiegeDamageAttributeSet</v>
      </c>
      <c r="F131" s="43" t="str">
        <f>Attributes!C24</f>
        <v>PercentPiercingDamageReduction</v>
      </c>
      <c r="G131" s="43" t="str">
        <f t="shared" ref="G131:G194" si="6">CONCATENATE("(AttributeName=""",F131,""",Attribute=/Script/DSAbilitySystem." &amp; E131 &amp;":",F131,",AttributeOwner=Class'""/Script/DSAbilitySystem." &amp; E131 &amp;"""')")</f>
        <v>(AttributeName="PercentPiercingDamageReduction",Attribute=/Script/DSAbilitySystem.DungeonSiegeDamageAttributeSet:PercentPiercingDamageReduction,AttributeOwner=Class'"/Script/DSAbilitySystem.DungeonSiegeDamageAttributeSet"')</v>
      </c>
      <c r="H131" s="43">
        <v>7</v>
      </c>
      <c r="I131" s="43" t="str">
        <f t="shared" ref="I131:I194" si="7">CONCATENATE("GE_Prefix_",SUBSTITUTE(C131," ","_"))</f>
        <v>GE_Prefix_Radiant</v>
      </c>
      <c r="J131" s="43" t="str">
        <f t="shared" ref="J131:J194" si="8">"/Game/DungeonSiege/Blueprints/GameplayAbilities/Affixes/" &amp;I131</f>
        <v>/Game/DungeonSiege/Blueprints/GameplayAbilities/Affixes/GE_Prefix_Radiant</v>
      </c>
    </row>
    <row r="132" spans="1:10" s="23" customFormat="1" ht="33.75" x14ac:dyDescent="0.25">
      <c r="A132" s="43">
        <v>130</v>
      </c>
      <c r="B132" s="43">
        <f>VLOOKUP(C132,CHOOSE({2,1},Prefix!B$2:B$256,Prefix!C$2:C$256),2,FALSE)</f>
        <v>100663366</v>
      </c>
      <c r="C132" s="43" t="s">
        <v>823</v>
      </c>
      <c r="D132" s="43" t="s">
        <v>3163</v>
      </c>
      <c r="E132" s="43" t="str">
        <f>VLOOKUP(F132,CHOOSE({2,1},Attributes!B$3:B$130,Attributes!C$3:C$129),2,FALSE)</f>
        <v>DungeonSiegeDamageAttributeSet</v>
      </c>
      <c r="F132" s="43" t="str">
        <f>Attributes!C22</f>
        <v>ChanceToHitEnemy</v>
      </c>
      <c r="G132" s="43" t="str">
        <f t="shared" si="6"/>
        <v>(AttributeName="ChanceToHitEnemy",Attribute=/Script/DSAbilitySystem.DungeonSiegeDamageAttributeSet:ChanceToHitEnemy,AttributeOwner=Class'"/Script/DSAbilitySystem.DungeonSiegeDamageAttributeSet"')</v>
      </c>
      <c r="H132" s="43">
        <v>13</v>
      </c>
      <c r="I132" s="43" t="str">
        <f t="shared" si="7"/>
        <v>GE_Prefix_Radiant</v>
      </c>
      <c r="J132" s="43" t="str">
        <f t="shared" si="8"/>
        <v>/Game/DungeonSiege/Blueprints/GameplayAbilities/Affixes/GE_Prefix_Radiant</v>
      </c>
    </row>
    <row r="133" spans="1:10" ht="33.75" x14ac:dyDescent="0.25">
      <c r="A133" s="43">
        <v>131</v>
      </c>
      <c r="B133" s="43">
        <f>VLOOKUP(C133,CHOOSE({2,1},Prefix!B$2:B$256,Prefix!C$2:C$256),2,FALSE)</f>
        <v>100663366</v>
      </c>
      <c r="C133" s="43" t="s">
        <v>823</v>
      </c>
      <c r="D133" s="43" t="s">
        <v>824</v>
      </c>
      <c r="E133" s="43" t="str">
        <f>VLOOKUP(F133,CHOOSE({2,1},Attributes!B$3:B$130,Attributes!C$3:C$129),2,FALSE)</f>
        <v>DungeonSiegeDamageAttributeSet</v>
      </c>
      <c r="F133" s="43" t="str">
        <f>Attributes!C30</f>
        <v>ChanceToDodgeRangeAttack</v>
      </c>
      <c r="G133" s="43" t="str">
        <f t="shared" si="6"/>
        <v>(AttributeName="ChanceToDodgeRangeAttack",Attribute=/Script/DSAbilitySystem.DungeonSiegeDamageAttributeSet:ChanceToDodgeRangeAttack,AttributeOwner=Class'"/Script/DSAbilitySystem.DungeonSiegeDamageAttributeSet"')</v>
      </c>
      <c r="H133" s="43">
        <v>5</v>
      </c>
      <c r="I133" s="43" t="str">
        <f t="shared" si="7"/>
        <v>GE_Prefix_Radiant</v>
      </c>
      <c r="J133" s="43" t="str">
        <f t="shared" si="8"/>
        <v>/Game/DungeonSiege/Blueprints/GameplayAbilities/Affixes/GE_Prefix_Radiant</v>
      </c>
    </row>
    <row r="134" spans="1:10" s="23" customFormat="1" ht="33.75" x14ac:dyDescent="0.25">
      <c r="A134" s="43">
        <v>132</v>
      </c>
      <c r="B134" s="43">
        <f>VLOOKUP(C134,CHOOSE({2,1},Prefix!B$2:B$256,Prefix!C$2:C$256),2,FALSE)</f>
        <v>100663367</v>
      </c>
      <c r="C134" s="43" t="s">
        <v>826</v>
      </c>
      <c r="D134" s="43" t="s">
        <v>54</v>
      </c>
      <c r="E134" s="43" t="str">
        <f>VLOOKUP(F134,CHOOSE({2,1},Attributes!B$3:B$130,Attributes!C$3:C$129),2,FALSE)</f>
        <v>DungeonSiegeExperienceAttributeSet</v>
      </c>
      <c r="F134" s="43" t="str">
        <f>Attributes!C4</f>
        <v>Dexterity</v>
      </c>
      <c r="G134" s="43" t="str">
        <f t="shared" si="6"/>
        <v>(AttributeName="Dexterity",Attribute=/Script/DSAbilitySystem.DungeonSiegeExperienceAttributeSet:Dexterity,AttributeOwner=Class'"/Script/DSAbilitySystem.DungeonSiegeExperienceAttributeSet"')</v>
      </c>
      <c r="H134" s="43">
        <v>1</v>
      </c>
      <c r="I134" s="43" t="str">
        <f t="shared" si="7"/>
        <v>GE_Prefix_Prized</v>
      </c>
      <c r="J134" s="43" t="str">
        <f t="shared" si="8"/>
        <v>/Game/DungeonSiege/Blueprints/GameplayAbilities/Affixes/GE_Prefix_Prized</v>
      </c>
    </row>
    <row r="135" spans="1:10" s="23" customFormat="1" ht="33.75" x14ac:dyDescent="0.25">
      <c r="A135" s="43">
        <v>133</v>
      </c>
      <c r="B135" s="43">
        <f>VLOOKUP(C135,CHOOSE({2,1},Prefix!B$2:B$256,Prefix!C$2:C$256),2,FALSE)</f>
        <v>100663367</v>
      </c>
      <c r="C135" s="43" t="s">
        <v>826</v>
      </c>
      <c r="D135" s="43" t="s">
        <v>75</v>
      </c>
      <c r="E135" s="43" t="str">
        <f>VLOOKUP(F135,CHOOSE({2,1},Attributes!B$3:B$130,Attributes!C$3:C$129),2,FALSE)</f>
        <v>DungeonSiegeExperienceAttributeSet</v>
      </c>
      <c r="F135" s="43" t="str">
        <f>Attributes!C5</f>
        <v>Intelligence</v>
      </c>
      <c r="G135" s="43" t="str">
        <f t="shared" si="6"/>
        <v>(AttributeName="Intelligence",Attribute=/Script/DSAbilitySystem.DungeonSiegeExperienceAttributeSet:Intelligence,AttributeOwner=Class'"/Script/DSAbilitySystem.DungeonSiegeExperienceAttributeSet"')</v>
      </c>
      <c r="H135" s="43">
        <v>1</v>
      </c>
      <c r="I135" s="43" t="str">
        <f t="shared" si="7"/>
        <v>GE_Prefix_Prized</v>
      </c>
      <c r="J135" s="43" t="str">
        <f t="shared" si="8"/>
        <v>/Game/DungeonSiege/Blueprints/GameplayAbilities/Affixes/GE_Prefix_Prized</v>
      </c>
    </row>
    <row r="136" spans="1:10" s="23" customFormat="1" ht="33.75" x14ac:dyDescent="0.25">
      <c r="A136" s="43">
        <v>134</v>
      </c>
      <c r="B136" s="43">
        <f>VLOOKUP(C136,CHOOSE({2,1},Prefix!B$2:B$256,Prefix!C$2:C$256),2,FALSE)</f>
        <v>100663367</v>
      </c>
      <c r="C136" s="43" t="s">
        <v>826</v>
      </c>
      <c r="D136" s="43" t="s">
        <v>737</v>
      </c>
      <c r="E136" s="43" t="str">
        <f>VLOOKUP(F136,CHOOSE({2,1},Attributes!B$3:B$130,Attributes!C$3:C$129),2,FALSE)</f>
        <v>DungeonSiegePerHitAttributeSet</v>
      </c>
      <c r="F136" s="43" t="str">
        <f>Attributes!C13</f>
        <v>HealthStealPerHit</v>
      </c>
      <c r="G136" s="43" t="str">
        <f t="shared" si="6"/>
        <v>(AttributeName="HealthStealPerHit",Attribute=/Script/DSAbilitySystem.DungeonSiegePerHitAttributeSet:HealthStealPerHit,AttributeOwner=Class'"/Script/DSAbilitySystem.DungeonSiegePerHitAttributeSet"')</v>
      </c>
      <c r="H136" s="43">
        <v>2</v>
      </c>
      <c r="I136" s="43" t="str">
        <f t="shared" si="7"/>
        <v>GE_Prefix_Prized</v>
      </c>
      <c r="J136" s="43" t="str">
        <f t="shared" si="8"/>
        <v>/Game/DungeonSiege/Blueprints/GameplayAbilities/Affixes/GE_Prefix_Prized</v>
      </c>
    </row>
    <row r="137" spans="1:10" s="23" customFormat="1" ht="33.75" x14ac:dyDescent="0.25">
      <c r="A137" s="43">
        <v>135</v>
      </c>
      <c r="B137" s="43">
        <f>VLOOKUP(C137,CHOOSE({2,1},Prefix!B$2:B$256,Prefix!C$2:C$256),2,FALSE)</f>
        <v>100663367</v>
      </c>
      <c r="C137" s="43" t="s">
        <v>826</v>
      </c>
      <c r="D137" s="43" t="s">
        <v>263</v>
      </c>
      <c r="E137" s="43" t="str">
        <f>VLOOKUP(F137,CHOOSE({2,1},Attributes!B$3:B$130,Attributes!C$3:C$129),2,FALSE)</f>
        <v>DungeonSiegeExperienceAttributeSet</v>
      </c>
      <c r="F137" s="43" t="str">
        <f>Attributes!C7</f>
        <v>NatureMagic</v>
      </c>
      <c r="G137" s="43" t="str">
        <f t="shared" si="6"/>
        <v>(AttributeName="NatureMagic",Attribute=/Script/DSAbilitySystem.DungeonSiegeExperienceAttributeSet:NatureMagic,AttributeOwner=Class'"/Script/DSAbilitySystem.DungeonSiegeExperienceAttributeSet"')</v>
      </c>
      <c r="H137" s="43">
        <v>3</v>
      </c>
      <c r="I137" s="43" t="str">
        <f t="shared" si="7"/>
        <v>GE_Prefix_Prized</v>
      </c>
      <c r="J137" s="43" t="str">
        <f t="shared" si="8"/>
        <v>/Game/DungeonSiege/Blueprints/GameplayAbilities/Affixes/GE_Prefix_Prized</v>
      </c>
    </row>
    <row r="138" spans="1:10" ht="33.75" x14ac:dyDescent="0.25">
      <c r="A138" s="43">
        <v>136</v>
      </c>
      <c r="B138" s="43">
        <f>VLOOKUP(C138,CHOOSE({2,1},Prefix!B$2:B$256,Prefix!C$2:C$256),2,FALSE)</f>
        <v>100663367</v>
      </c>
      <c r="C138" s="43" t="s">
        <v>826</v>
      </c>
      <c r="D138" s="43" t="s">
        <v>827</v>
      </c>
      <c r="E138" s="43" t="str">
        <f>VLOOKUP(F138,CHOOSE({2,1},Attributes!B$3:B$130,Attributes!C$3:C$129),2,FALSE)</f>
        <v>DungeonSiegeMagicAttributeSet</v>
      </c>
      <c r="F138" s="43" t="str">
        <f>Attributes!C43</f>
        <v>PercentMagicDamageReduction</v>
      </c>
      <c r="G138" s="43" t="str">
        <f t="shared" si="6"/>
        <v>(AttributeName="PercentMagicDamageReduction",Attribute=/Script/DSAbilitySystem.DungeonSiegeMagicAttributeSet:PercentMagicDamageReduction,AttributeOwner=Class'"/Script/DSAbilitySystem.DungeonSiegeMagicAttributeSet"')</v>
      </c>
      <c r="H138" s="43">
        <v>10</v>
      </c>
      <c r="I138" s="43" t="str">
        <f t="shared" si="7"/>
        <v>GE_Prefix_Prized</v>
      </c>
      <c r="J138" s="43" t="str">
        <f t="shared" si="8"/>
        <v>/Game/DungeonSiege/Blueprints/GameplayAbilities/Affixes/GE_Prefix_Prized</v>
      </c>
    </row>
    <row r="139" spans="1:10" ht="33.75" x14ac:dyDescent="0.25">
      <c r="A139" s="43">
        <v>137</v>
      </c>
      <c r="B139" s="43">
        <f>VLOOKUP(C139,CHOOSE({2,1},Prefix!B$2:B$256,Prefix!C$2:C$256),2,FALSE)</f>
        <v>100663368</v>
      </c>
      <c r="C139" s="43" t="s">
        <v>829</v>
      </c>
      <c r="D139" s="43" t="s">
        <v>680</v>
      </c>
      <c r="E139" s="43" t="str">
        <f>VLOOKUP(F139,CHOOSE({2,1},Attributes!B$3:B$130,Attributes!C$3:C$129),2,FALSE)</f>
        <v>DungeonSiegeExperienceAttributeSet</v>
      </c>
      <c r="F139" s="43" t="str">
        <f>Attributes!C9</f>
        <v>Melee</v>
      </c>
      <c r="G139" s="43" t="str">
        <f t="shared" si="6"/>
        <v>(AttributeName="Melee",Attribute=/Script/DSAbilitySystem.DungeonSiegeExperienceAttributeSet:Melee,AttributeOwner=Class'"/Script/DSAbilitySystem.DungeonSiegeExperienceAttributeSet"')</v>
      </c>
      <c r="H139" s="43">
        <v>7</v>
      </c>
      <c r="I139" s="43" t="str">
        <f t="shared" si="7"/>
        <v>GE_Prefix_Demolishing</v>
      </c>
      <c r="J139" s="43" t="str">
        <f t="shared" si="8"/>
        <v>/Game/DungeonSiege/Blueprints/GameplayAbilities/Affixes/GE_Prefix_Demolishing</v>
      </c>
    </row>
    <row r="140" spans="1:10" ht="33.75" x14ac:dyDescent="0.25">
      <c r="A140" s="43">
        <v>138</v>
      </c>
      <c r="B140" s="43">
        <f>VLOOKUP(C140,CHOOSE({2,1},Prefix!B$2:B$256,Prefix!C$2:C$256),2,FALSE)</f>
        <v>100663369</v>
      </c>
      <c r="C140" s="43" t="s">
        <v>831</v>
      </c>
      <c r="D140" s="43" t="s">
        <v>3215</v>
      </c>
      <c r="E140" s="43" t="str">
        <f>VLOOKUP(F140,CHOOSE({2,1},Attributes!B$3:B$130,Attributes!C$3:C$129),2,FALSE)</f>
        <v>DungeonSiegeStatusEffectAttributeSet</v>
      </c>
      <c r="F140" s="43" t="str">
        <f>Attributes!C52</f>
        <v>ChanceToAcidify</v>
      </c>
      <c r="G140" s="43" t="str">
        <f t="shared" si="6"/>
        <v>(AttributeName="ChanceToAcidify",Attribute=/Script/DSAbilitySystem.DungeonSiegeStatusEffectAttributeSet:ChanceToAcidify,AttributeOwner=Class'"/Script/DSAbilitySystem.DungeonSiegeStatusEffectAttributeSet"')</v>
      </c>
      <c r="H140" s="43">
        <v>20</v>
      </c>
      <c r="I140" s="43" t="str">
        <f t="shared" si="7"/>
        <v>GE_Prefix_Dissolving</v>
      </c>
      <c r="J140" s="43" t="str">
        <f t="shared" si="8"/>
        <v>/Game/DungeonSiege/Blueprints/GameplayAbilities/Affixes/GE_Prefix_Dissolving</v>
      </c>
    </row>
    <row r="141" spans="1:10" s="23" customFormat="1" ht="33.75" x14ac:dyDescent="0.25">
      <c r="A141" s="43">
        <v>139</v>
      </c>
      <c r="B141" s="43">
        <f>VLOOKUP(C141,CHOOSE({2,1},Prefix!B$2:B$256,Prefix!C$2:C$256),2,FALSE)</f>
        <v>100663369</v>
      </c>
      <c r="C141" s="43" t="s">
        <v>831</v>
      </c>
      <c r="D141" s="43" t="s">
        <v>3164</v>
      </c>
      <c r="E141" s="43" t="str">
        <f>VLOOKUP(F141,CHOOSE({2,1},Attributes!B$3:B$130,Attributes!C$3:C$129),2,FALSE)</f>
        <v>DungeonSiegeStatusEffectAttributeSet</v>
      </c>
      <c r="F141" s="43" t="str">
        <f>Attributes!C53</f>
        <v>AcidMinDamageMod</v>
      </c>
      <c r="G141" s="43" t="str">
        <f t="shared" si="6"/>
        <v>(AttributeName="AcidMinDamageMod",Attribute=/Script/DSAbilitySystem.DungeonSiegeStatusEffectAttributeSet:AcidMinDamageMod,AttributeOwner=Class'"/Script/DSAbilitySystem.DungeonSiegeStatusEffectAttributeSet"')</v>
      </c>
      <c r="H141" s="43">
        <v>10</v>
      </c>
      <c r="I141" s="43" t="str">
        <f t="shared" si="7"/>
        <v>GE_Prefix_Dissolving</v>
      </c>
      <c r="J141" s="43" t="str">
        <f t="shared" si="8"/>
        <v>/Game/DungeonSiege/Blueprints/GameplayAbilities/Affixes/GE_Prefix_Dissolving</v>
      </c>
    </row>
    <row r="142" spans="1:10" ht="33.75" x14ac:dyDescent="0.25">
      <c r="A142" s="43">
        <v>140</v>
      </c>
      <c r="B142" s="43">
        <f>VLOOKUP(C142,CHOOSE({2,1},Prefix!B$2:B$256,Prefix!C$2:C$256),2,FALSE)</f>
        <v>100663369</v>
      </c>
      <c r="C142" s="43" t="s">
        <v>831</v>
      </c>
      <c r="D142" s="43" t="s">
        <v>3164</v>
      </c>
      <c r="E142" s="43" t="str">
        <f>VLOOKUP(F142,CHOOSE({2,1},Attributes!B$3:B$130,Attributes!C$3:C$129),2,FALSE)</f>
        <v>DungeonSiegeStatusEffectAttributeSet</v>
      </c>
      <c r="F142" s="43" t="str">
        <f>Attributes!C54</f>
        <v>AcidMaxDamageMod</v>
      </c>
      <c r="G142" s="43" t="str">
        <f t="shared" si="6"/>
        <v>(AttributeName="AcidMaxDamageMod",Attribute=/Script/DSAbilitySystem.DungeonSiegeStatusEffectAttributeSet:AcidMaxDamageMod,AttributeOwner=Class'"/Script/DSAbilitySystem.DungeonSiegeStatusEffectAttributeSet"')</v>
      </c>
      <c r="H142" s="43">
        <v>20</v>
      </c>
      <c r="I142" s="43" t="str">
        <f t="shared" si="7"/>
        <v>GE_Prefix_Dissolving</v>
      </c>
      <c r="J142" s="43" t="str">
        <f t="shared" si="8"/>
        <v>/Game/DungeonSiege/Blueprints/GameplayAbilities/Affixes/GE_Prefix_Dissolving</v>
      </c>
    </row>
    <row r="143" spans="1:10" ht="33.75" x14ac:dyDescent="0.25">
      <c r="A143" s="43">
        <v>141</v>
      </c>
      <c r="B143" s="43">
        <f>VLOOKUP(C143,CHOOSE({2,1},Prefix!B$2:B$256,Prefix!C$2:C$256),2,FALSE)</f>
        <v>100663376</v>
      </c>
      <c r="C143" s="43" t="s">
        <v>321</v>
      </c>
      <c r="D143" s="43" t="s">
        <v>320</v>
      </c>
      <c r="E143" s="43" t="str">
        <f>VLOOKUP(F143,CHOOSE({2,1},Attributes!B$3:B$130,Attributes!C$3:C$129),2,FALSE)</f>
        <v>DungeonSiegeExperienceAttributeSet</v>
      </c>
      <c r="F143" s="43" t="str">
        <f>Attributes!C3</f>
        <v>Strength</v>
      </c>
      <c r="G143" s="43" t="str">
        <f t="shared" si="6"/>
        <v>(AttributeName="Strength",Attribute=/Script/DSAbilitySystem.DungeonSiegeExperienceAttributeSet:Strength,AttributeOwner=Class'"/Script/DSAbilitySystem.DungeonSiegeExperienceAttributeSet"')</v>
      </c>
      <c r="H143" s="43">
        <v>6</v>
      </c>
      <c r="I143" s="43" t="str">
        <f t="shared" si="7"/>
        <v>GE_Prefix_Steel_Bound</v>
      </c>
      <c r="J143" s="43" t="str">
        <f t="shared" si="8"/>
        <v>/Game/DungeonSiege/Blueprints/GameplayAbilities/Affixes/GE_Prefix_Steel_Bound</v>
      </c>
    </row>
    <row r="144" spans="1:10" ht="33.75" x14ac:dyDescent="0.25">
      <c r="A144" s="43">
        <v>142</v>
      </c>
      <c r="B144" s="43">
        <f>VLOOKUP(C144,CHOOSE({2,1},Prefix!B$2:B$256,Prefix!C$2:C$256),2,FALSE)</f>
        <v>100663377</v>
      </c>
      <c r="C144" s="43" t="s">
        <v>832</v>
      </c>
      <c r="D144" s="43" t="s">
        <v>684</v>
      </c>
      <c r="E144" s="43" t="str">
        <f>VLOOKUP(F144,CHOOSE({2,1},Attributes!B$3:B$130,Attributes!C$3:C$129),2,FALSE)</f>
        <v>DungeonSiegeExperienceAttributeSet</v>
      </c>
      <c r="F144" s="43" t="str">
        <f>Attributes!C8</f>
        <v>Ranged</v>
      </c>
      <c r="G144" s="43" t="str">
        <f t="shared" si="6"/>
        <v>(AttributeName="Ranged",Attribute=/Script/DSAbilitySystem.DungeonSiegeExperienceAttributeSet:Ranged,AttributeOwner=Class'"/Script/DSAbilitySystem.DungeonSiegeExperienceAttributeSet"')</v>
      </c>
      <c r="H144" s="43">
        <v>7</v>
      </c>
      <c r="I144" s="43" t="str">
        <f t="shared" si="7"/>
        <v>GE_Prefix_Arching</v>
      </c>
      <c r="J144" s="43" t="str">
        <f t="shared" si="8"/>
        <v>/Game/DungeonSiege/Blueprints/GameplayAbilities/Affixes/GE_Prefix_Arching</v>
      </c>
    </row>
    <row r="145" spans="1:10" ht="33.75" x14ac:dyDescent="0.25">
      <c r="A145" s="43">
        <v>143</v>
      </c>
      <c r="B145" s="43">
        <f>VLOOKUP(C145,CHOOSE({2,1},Prefix!B$2:B$256,Prefix!C$2:C$256),2,FALSE)</f>
        <v>100663378</v>
      </c>
      <c r="C145" s="43" t="s">
        <v>834</v>
      </c>
      <c r="D145" s="43" t="s">
        <v>317</v>
      </c>
      <c r="E145" s="43" t="str">
        <f>VLOOKUP(F145,CHOOSE({2,1},Attributes!B$3:B$130,Attributes!C$3:C$129),2,FALSE)</f>
        <v>DungeonSiegeExperienceAttributeSet</v>
      </c>
      <c r="F145" s="43" t="str">
        <f>Attributes!C7</f>
        <v>NatureMagic</v>
      </c>
      <c r="G145" s="43" t="str">
        <f t="shared" si="6"/>
        <v>(AttributeName="NatureMagic",Attribute=/Script/DSAbilitySystem.DungeonSiegeExperienceAttributeSet:NatureMagic,AttributeOwner=Class'"/Script/DSAbilitySystem.DungeonSiegeExperienceAttributeSet"')</v>
      </c>
      <c r="H145" s="43">
        <v>6</v>
      </c>
      <c r="I145" s="43" t="str">
        <f t="shared" si="7"/>
        <v>GE_Prefix_Essential</v>
      </c>
      <c r="J145" s="43" t="str">
        <f t="shared" si="8"/>
        <v>/Game/DungeonSiege/Blueprints/GameplayAbilities/Affixes/GE_Prefix_Essential</v>
      </c>
    </row>
    <row r="146" spans="1:10" ht="33.75" x14ac:dyDescent="0.25">
      <c r="A146" s="43">
        <v>144</v>
      </c>
      <c r="B146" s="43">
        <f>VLOOKUP(C146,CHOOSE({2,1},Prefix!B$2:B$256,Prefix!C$2:C$256),2,FALSE)</f>
        <v>100663379</v>
      </c>
      <c r="C146" s="43" t="s">
        <v>836</v>
      </c>
      <c r="D146" s="43" t="s">
        <v>314</v>
      </c>
      <c r="E146" s="43" t="str">
        <f>VLOOKUP(F146,CHOOSE({2,1},Attributes!B$3:B$130,Attributes!C$3:C$129),2,FALSE)</f>
        <v>DungeonSiegeExperienceAttributeSet</v>
      </c>
      <c r="F146" s="43" t="str">
        <f>Attributes!C6</f>
        <v>CombatMagic</v>
      </c>
      <c r="G146" s="43" t="str">
        <f t="shared" si="6"/>
        <v>(AttributeName="CombatMagic",Attribute=/Script/DSAbilitySystem.DungeonSiegeExperienceAttributeSet:CombatMagic,AttributeOwner=Class'"/Script/DSAbilitySystem.DungeonSiegeExperienceAttributeSet"')</v>
      </c>
      <c r="H146" s="43">
        <v>6</v>
      </c>
      <c r="I146" s="43" t="str">
        <f t="shared" si="7"/>
        <v>GE_Prefix_Skirmishing</v>
      </c>
      <c r="J146" s="43" t="str">
        <f t="shared" si="8"/>
        <v>/Game/DungeonSiege/Blueprints/GameplayAbilities/Affixes/GE_Prefix_Skirmishing</v>
      </c>
    </row>
    <row r="147" spans="1:10" ht="33.75" x14ac:dyDescent="0.25">
      <c r="A147" s="43">
        <v>145</v>
      </c>
      <c r="B147" s="43">
        <f>VLOOKUP(C147,CHOOSE({2,1},Prefix!B$2:B$256,Prefix!C$2:C$256),2,FALSE)</f>
        <v>100663380</v>
      </c>
      <c r="C147" s="43" t="s">
        <v>838</v>
      </c>
      <c r="D147" s="43" t="s">
        <v>839</v>
      </c>
      <c r="E147" s="43" t="str">
        <f>VLOOKUP(F147,CHOOSE({2,1},Attributes!B$3:B$130,Attributes!C$3:C$129),2,FALSE)</f>
        <v>DungeonSiegeDamageAttributeSet</v>
      </c>
      <c r="F147" s="43" t="str">
        <f>Attributes!C32</f>
        <v>ChanceToBlockMeleeAttack</v>
      </c>
      <c r="G147" s="43" t="str">
        <f t="shared" si="6"/>
        <v>(AttributeName="ChanceToBlockMeleeAttack",Attribute=/Script/DSAbilitySystem.DungeonSiegeDamageAttributeSet:ChanceToBlockMeleeAttack,AttributeOwner=Class'"/Script/DSAbilitySystem.DungeonSiegeDamageAttributeSet"')</v>
      </c>
      <c r="H147" s="43">
        <v>16</v>
      </c>
      <c r="I147" s="43" t="str">
        <f t="shared" si="7"/>
        <v>GE_Prefix_Uncompromising</v>
      </c>
      <c r="J147" s="43" t="str">
        <f t="shared" si="8"/>
        <v>/Game/DungeonSiege/Blueprints/GameplayAbilities/Affixes/GE_Prefix_Uncompromising</v>
      </c>
    </row>
    <row r="148" spans="1:10" ht="33.75" x14ac:dyDescent="0.25">
      <c r="A148" s="43">
        <v>146</v>
      </c>
      <c r="B148" s="43">
        <f>VLOOKUP(C148,CHOOSE({2,1},Prefix!B$2:B$256,Prefix!C$2:C$256),2,FALSE)</f>
        <v>100663381</v>
      </c>
      <c r="C148" s="43" t="s">
        <v>318</v>
      </c>
      <c r="D148" s="43" t="s">
        <v>317</v>
      </c>
      <c r="E148" s="43" t="str">
        <f>VLOOKUP(F148,CHOOSE({2,1},Attributes!B$3:B$130,Attributes!C$3:C$129),2,FALSE)</f>
        <v>DungeonSiegeExperienceAttributeSet</v>
      </c>
      <c r="F148" s="43" t="str">
        <f>Attributes!C7</f>
        <v>NatureMagic</v>
      </c>
      <c r="G148" s="43" t="str">
        <f t="shared" si="6"/>
        <v>(AttributeName="NatureMagic",Attribute=/Script/DSAbilitySystem.DungeonSiegeExperienceAttributeSet:NatureMagic,AttributeOwner=Class'"/Script/DSAbilitySystem.DungeonSiegeExperienceAttributeSet"')</v>
      </c>
      <c r="H148" s="43">
        <v>6</v>
      </c>
      <c r="I148" s="43" t="str">
        <f t="shared" si="7"/>
        <v>GE_Prefix_Natural</v>
      </c>
      <c r="J148" s="43" t="str">
        <f t="shared" si="8"/>
        <v>/Game/DungeonSiege/Blueprints/GameplayAbilities/Affixes/GE_Prefix_Natural</v>
      </c>
    </row>
    <row r="149" spans="1:10" ht="33.75" x14ac:dyDescent="0.25">
      <c r="A149" s="43">
        <v>147</v>
      </c>
      <c r="B149" s="43">
        <f>VLOOKUP(C149,CHOOSE({2,1},Prefix!B$2:B$256,Prefix!C$2:C$256),2,FALSE)</f>
        <v>100663382</v>
      </c>
      <c r="C149" s="43" t="s">
        <v>315</v>
      </c>
      <c r="D149" s="43" t="s">
        <v>314</v>
      </c>
      <c r="E149" s="43" t="str">
        <f>VLOOKUP(F149,CHOOSE({2,1},Attributes!B$3:B$130,Attributes!C$3:C$129),2,FALSE)</f>
        <v>DungeonSiegeExperienceAttributeSet</v>
      </c>
      <c r="F149" s="43" t="str">
        <f>Attributes!C6</f>
        <v>CombatMagic</v>
      </c>
      <c r="G149" s="43" t="str">
        <f t="shared" si="6"/>
        <v>(AttributeName="CombatMagic",Attribute=/Script/DSAbilitySystem.DungeonSiegeExperienceAttributeSet:CombatMagic,AttributeOwner=Class'"/Script/DSAbilitySystem.DungeonSiegeExperienceAttributeSet"')</v>
      </c>
      <c r="H149" s="43">
        <v>6</v>
      </c>
      <c r="I149" s="43" t="str">
        <f t="shared" si="7"/>
        <v>GE_Prefix_Manufactured</v>
      </c>
      <c r="J149" s="43" t="str">
        <f t="shared" si="8"/>
        <v>/Game/DungeonSiege/Blueprints/GameplayAbilities/Affixes/GE_Prefix_Manufactured</v>
      </c>
    </row>
    <row r="150" spans="1:10" ht="33.75" x14ac:dyDescent="0.25">
      <c r="A150" s="43">
        <v>148</v>
      </c>
      <c r="B150" s="43">
        <f>VLOOKUP(C150,CHOOSE({2,1},Prefix!B$2:B$256,Prefix!C$2:C$256),2,FALSE)</f>
        <v>100663383</v>
      </c>
      <c r="C150" s="43" t="s">
        <v>841</v>
      </c>
      <c r="D150" s="43" t="s">
        <v>842</v>
      </c>
      <c r="E150" s="43" t="str">
        <f>VLOOKUP(F150,CHOOSE({2,1},Attributes!B$3:B$130,Attributes!C$3:C$129),2,FALSE)</f>
        <v>DungeonSiegeDamageAttributeSet</v>
      </c>
      <c r="F150" s="43" t="str">
        <f>Attributes!C28</f>
        <v>ChanceToBlockRangedAttack</v>
      </c>
      <c r="G150" s="43" t="str">
        <f t="shared" si="6"/>
        <v>(AttributeName="ChanceToBlockRangedAttack",Attribute=/Script/DSAbilitySystem.DungeonSiegeDamageAttributeSet:ChanceToBlockRangedAttack,AttributeOwner=Class'"/Script/DSAbilitySystem.DungeonSiegeDamageAttributeSet"')</v>
      </c>
      <c r="H150" s="43">
        <v>18</v>
      </c>
      <c r="I150" s="43" t="str">
        <f t="shared" si="7"/>
        <v>GE_Prefix_Strategic</v>
      </c>
      <c r="J150" s="43" t="str">
        <f t="shared" si="8"/>
        <v>/Game/DungeonSiege/Blueprints/GameplayAbilities/Affixes/GE_Prefix_Strategic</v>
      </c>
    </row>
    <row r="151" spans="1:10" ht="33.75" x14ac:dyDescent="0.25">
      <c r="A151" s="43">
        <v>149</v>
      </c>
      <c r="B151" s="43">
        <f>VLOOKUP(C151,CHOOSE({2,1},Prefix!B$2:B$256,Prefix!C$2:C$256),2,FALSE)</f>
        <v>100663384</v>
      </c>
      <c r="C151" s="43" t="s">
        <v>312</v>
      </c>
      <c r="D151" s="43" t="s">
        <v>311</v>
      </c>
      <c r="E151" s="43" t="str">
        <f>VLOOKUP(F151,CHOOSE({2,1},Attributes!B$3:B$130,Attributes!C$3:C$129),2,FALSE)</f>
        <v>DungeonSiegeMagicAttributeSet</v>
      </c>
      <c r="F151" s="43" t="str">
        <f>Attributes!C51</f>
        <v>ChanceToBlockMagicAttack</v>
      </c>
      <c r="G151" s="43" t="str">
        <f t="shared" si="6"/>
        <v>(AttributeName="ChanceToBlockMagicAttack",Attribute=/Script/DSAbilitySystem.DungeonSiegeMagicAttributeSet:ChanceToBlockMagicAttack,AttributeOwner=Class'"/Script/DSAbilitySystem.DungeonSiegeMagicAttributeSet"')</v>
      </c>
      <c r="H151" s="43">
        <v>15</v>
      </c>
      <c r="I151" s="43" t="str">
        <f t="shared" si="7"/>
        <v>GE_Prefix_Unwavering</v>
      </c>
      <c r="J151" s="43" t="str">
        <f t="shared" si="8"/>
        <v>/Game/DungeonSiege/Blueprints/GameplayAbilities/Affixes/GE_Prefix_Unwavering</v>
      </c>
    </row>
    <row r="152" spans="1:10" s="23" customFormat="1" ht="33.75" x14ac:dyDescent="0.25">
      <c r="A152" s="43">
        <v>150</v>
      </c>
      <c r="B152" s="43">
        <f>VLOOKUP(C152,CHOOSE({2,1},Prefix!B$2:B$256,Prefix!C$2:C$256),2,FALSE)</f>
        <v>100663385</v>
      </c>
      <c r="C152" s="43" t="s">
        <v>845</v>
      </c>
      <c r="D152" s="43" t="s">
        <v>3165</v>
      </c>
      <c r="E152" s="43" t="str">
        <f>VLOOKUP(F152,CHOOSE({2,1},Attributes!B$3:B$130,Attributes!C$3:C$129),2,FALSE)</f>
        <v>DungeonSiegeHealthAttributeSet</v>
      </c>
      <c r="F152" s="43" t="str">
        <f>Attributes!C82</f>
        <v>BaseHealthBonus</v>
      </c>
      <c r="G152" s="43" t="str">
        <f t="shared" si="6"/>
        <v>(AttributeName="BaseHealthBonus",Attribute=/Script/DSAbilitySystem.DungeonSiegeHealthAttributeSet:BaseHealthBonus,AttributeOwner=Class'"/Script/DSAbilitySystem.DungeonSiegeHealthAttributeSet"')</v>
      </c>
      <c r="H152" s="43">
        <v>97</v>
      </c>
      <c r="I152" s="43" t="str">
        <f t="shared" si="7"/>
        <v>GE_Prefix_Excessive</v>
      </c>
      <c r="J152" s="43" t="str">
        <f t="shared" si="8"/>
        <v>/Game/DungeonSiege/Blueprints/GameplayAbilities/Affixes/GE_Prefix_Excessive</v>
      </c>
    </row>
    <row r="153" spans="1:10" s="23" customFormat="1" ht="33.75" x14ac:dyDescent="0.25">
      <c r="A153" s="43">
        <v>151</v>
      </c>
      <c r="B153" s="43">
        <f>VLOOKUP(C153,CHOOSE({2,1},Prefix!B$2:B$256,Prefix!C$2:C$256),2,FALSE)</f>
        <v>100663385</v>
      </c>
      <c r="C153" s="43" t="s">
        <v>845</v>
      </c>
      <c r="D153" s="43" t="s">
        <v>824</v>
      </c>
      <c r="E153" s="43" t="str">
        <f>VLOOKUP(F153,CHOOSE({2,1},Attributes!B$3:B$130,Attributes!C$3:C$129),2,FALSE)</f>
        <v>DungeonSiegeDamageAttributeSet</v>
      </c>
      <c r="F153" s="43" t="str">
        <f>Attributes!C30</f>
        <v>ChanceToDodgeRangeAttack</v>
      </c>
      <c r="G153" s="43" t="str">
        <f t="shared" si="6"/>
        <v>(AttributeName="ChanceToDodgeRangeAttack",Attribute=/Script/DSAbilitySystem.DungeonSiegeDamageAttributeSet:ChanceToDodgeRangeAttack,AttributeOwner=Class'"/Script/DSAbilitySystem.DungeonSiegeDamageAttributeSet"')</v>
      </c>
      <c r="H153" s="43">
        <v>5</v>
      </c>
      <c r="I153" s="43" t="str">
        <f t="shared" si="7"/>
        <v>GE_Prefix_Excessive</v>
      </c>
      <c r="J153" s="43" t="str">
        <f t="shared" si="8"/>
        <v>/Game/DungeonSiege/Blueprints/GameplayAbilities/Affixes/GE_Prefix_Excessive</v>
      </c>
    </row>
    <row r="154" spans="1:10" s="23" customFormat="1" ht="45" x14ac:dyDescent="0.25">
      <c r="A154" s="43">
        <v>152</v>
      </c>
      <c r="B154" s="43">
        <f>VLOOKUP(C154,CHOOSE({2,1},Prefix!B$2:B$256,Prefix!C$2:C$256),2,FALSE)</f>
        <v>100663385</v>
      </c>
      <c r="C154" s="43" t="s">
        <v>845</v>
      </c>
      <c r="D154" s="43" t="s">
        <v>715</v>
      </c>
      <c r="E154" s="43" t="str">
        <f>VLOOKUP(F154,CHOOSE({2,1},Attributes!B$3:B$130,Attributes!C$3:C$129),2,FALSE)</f>
        <v>DungeonSiegeDamageAttributeSet</v>
      </c>
      <c r="F154" s="43" t="str">
        <f>Attributes!C21</f>
        <v>PercentDamageReflectedToEnemy</v>
      </c>
      <c r="G154" s="43" t="str">
        <f t="shared" si="6"/>
        <v>(AttributeName="PercentDamageReflectedToEnemy",Attribute=/Script/DSAbilitySystem.DungeonSiegeDamageAttributeSet:PercentDamageReflectedToEnemy,AttributeOwner=Class'"/Script/DSAbilitySystem.DungeonSiegeDamageAttributeSet"')</v>
      </c>
      <c r="H154" s="43">
        <v>3</v>
      </c>
      <c r="I154" s="43" t="str">
        <f t="shared" si="7"/>
        <v>GE_Prefix_Excessive</v>
      </c>
      <c r="J154" s="43" t="str">
        <f t="shared" si="8"/>
        <v>/Game/DungeonSiege/Blueprints/GameplayAbilities/Affixes/GE_Prefix_Excessive</v>
      </c>
    </row>
    <row r="155" spans="1:10" ht="33.75" x14ac:dyDescent="0.25">
      <c r="A155" s="43">
        <v>153</v>
      </c>
      <c r="B155" s="43">
        <f>VLOOKUP(C155,CHOOSE({2,1},Prefix!B$2:B$256,Prefix!C$2:C$256),2,FALSE)</f>
        <v>100663385</v>
      </c>
      <c r="C155" s="43" t="s">
        <v>845</v>
      </c>
      <c r="D155" s="43" t="s">
        <v>846</v>
      </c>
      <c r="E155" s="43" t="str">
        <f>VLOOKUP(F155,CHOOSE({2,1},Attributes!B$3:B$130,Attributes!C$3:C$129),2,FALSE)</f>
        <v>DungeonSiegeDamageAttributeSet</v>
      </c>
      <c r="F155" s="43" t="str">
        <f>Attributes!C24</f>
        <v>PercentPiercingDamageReduction</v>
      </c>
      <c r="G155" s="43" t="str">
        <f t="shared" si="6"/>
        <v>(AttributeName="PercentPiercingDamageReduction",Attribute=/Script/DSAbilitySystem.DungeonSiegeDamageAttributeSet:PercentPiercingDamageReduction,AttributeOwner=Class'"/Script/DSAbilitySystem.DungeonSiegeDamageAttributeSet"')</v>
      </c>
      <c r="H155" s="43">
        <v>9</v>
      </c>
      <c r="I155" s="43" t="str">
        <f t="shared" si="7"/>
        <v>GE_Prefix_Excessive</v>
      </c>
      <c r="J155" s="43" t="str">
        <f t="shared" si="8"/>
        <v>/Game/DungeonSiege/Blueprints/GameplayAbilities/Affixes/GE_Prefix_Excessive</v>
      </c>
    </row>
    <row r="156" spans="1:10" s="23" customFormat="1" ht="33.75" x14ac:dyDescent="0.25">
      <c r="A156" s="43">
        <v>154</v>
      </c>
      <c r="B156" s="43">
        <f>VLOOKUP(C156,CHOOSE({2,1},Prefix!B$2:B$256,Prefix!C$2:C$256),2,FALSE)</f>
        <v>100663392</v>
      </c>
      <c r="C156" s="43" t="s">
        <v>848</v>
      </c>
      <c r="D156" s="43" t="s">
        <v>753</v>
      </c>
      <c r="E156" s="43" t="str">
        <f>VLOOKUP(F156,CHOOSE({2,1},Attributes!B$3:B$130,Attributes!C$3:C$129),2,FALSE)</f>
        <v>DungeonSiegeExperienceAttributeSet</v>
      </c>
      <c r="F156" s="43" t="str">
        <f>Attributes!C8</f>
        <v>Ranged</v>
      </c>
      <c r="G156" s="43" t="str">
        <f t="shared" si="6"/>
        <v>(AttributeName="Ranged",Attribute=/Script/DSAbilitySystem.DungeonSiegeExperienceAttributeSet:Ranged,AttributeOwner=Class'"/Script/DSAbilitySystem.DungeonSiegeExperienceAttributeSet"')</v>
      </c>
      <c r="H156" s="43">
        <v>4</v>
      </c>
      <c r="I156" s="43" t="str">
        <f t="shared" si="7"/>
        <v>GE_Prefix_Outlandish</v>
      </c>
      <c r="J156" s="43" t="str">
        <f t="shared" si="8"/>
        <v>/Game/DungeonSiege/Blueprints/GameplayAbilities/Affixes/GE_Prefix_Outlandish</v>
      </c>
    </row>
    <row r="157" spans="1:10" s="23" customFormat="1" ht="33.75" x14ac:dyDescent="0.25">
      <c r="A157" s="43">
        <v>155</v>
      </c>
      <c r="B157" s="43">
        <f>VLOOKUP(C157,CHOOSE({2,1},Prefix!B$2:B$256,Prefix!C$2:C$256),2,FALSE)</f>
        <v>100663392</v>
      </c>
      <c r="C157" s="43" t="s">
        <v>848</v>
      </c>
      <c r="D157" s="43" t="s">
        <v>849</v>
      </c>
      <c r="E157" s="43" t="str">
        <f>VLOOKUP(F157,CHOOSE({2,1},Attributes!B$3:B$130,Attributes!C$3:C$129),2,FALSE)</f>
        <v>DungeonSiegeDamageAttributeSet</v>
      </c>
      <c r="F157" s="43" t="str">
        <f>Attributes!C30</f>
        <v>ChanceToDodgeRangeAttack</v>
      </c>
      <c r="G157" s="43" t="str">
        <f t="shared" si="6"/>
        <v>(AttributeName="ChanceToDodgeRangeAttack",Attribute=/Script/DSAbilitySystem.DungeonSiegeDamageAttributeSet:ChanceToDodgeRangeAttack,AttributeOwner=Class'"/Script/DSAbilitySystem.DungeonSiegeDamageAttributeSet"')</v>
      </c>
      <c r="H157" s="43">
        <v>10</v>
      </c>
      <c r="I157" s="43" t="str">
        <f t="shared" si="7"/>
        <v>GE_Prefix_Outlandish</v>
      </c>
      <c r="J157" s="43" t="str">
        <f t="shared" si="8"/>
        <v>/Game/DungeonSiege/Blueprints/GameplayAbilities/Affixes/GE_Prefix_Outlandish</v>
      </c>
    </row>
    <row r="158" spans="1:10" ht="33.75" x14ac:dyDescent="0.25">
      <c r="A158" s="43">
        <v>156</v>
      </c>
      <c r="B158" s="43">
        <f>VLOOKUP(C158,CHOOSE({2,1},Prefix!B$2:B$256,Prefix!C$2:C$256),2,FALSE)</f>
        <v>100663392</v>
      </c>
      <c r="C158" s="43" t="s">
        <v>848</v>
      </c>
      <c r="D158" s="43" t="s">
        <v>3166</v>
      </c>
      <c r="E158" s="43" t="str">
        <f>VLOOKUP(F158,CHOOSE({2,1},Attributes!B$3:B$130,Attributes!C$3:C$129),2,FALSE)</f>
        <v>DungeonSiegeDamageAttributeSet</v>
      </c>
      <c r="F158" s="43" t="str">
        <f>Attributes!C24</f>
        <v>PercentPiercingDamageReduction</v>
      </c>
      <c r="G158" s="43" t="str">
        <f t="shared" si="6"/>
        <v>(AttributeName="PercentPiercingDamageReduction",Attribute=/Script/DSAbilitySystem.DungeonSiegeDamageAttributeSet:PercentPiercingDamageReduction,AttributeOwner=Class'"/Script/DSAbilitySystem.DungeonSiegeDamageAttributeSet"')</v>
      </c>
      <c r="H158" s="43">
        <v>5</v>
      </c>
      <c r="I158" s="43" t="str">
        <f t="shared" si="7"/>
        <v>GE_Prefix_Outlandish</v>
      </c>
      <c r="J158" s="43" t="str">
        <f t="shared" si="8"/>
        <v>/Game/DungeonSiege/Blueprints/GameplayAbilities/Affixes/GE_Prefix_Outlandish</v>
      </c>
    </row>
    <row r="159" spans="1:10" s="23" customFormat="1" ht="33.75" x14ac:dyDescent="0.25">
      <c r="A159" s="43">
        <v>157</v>
      </c>
      <c r="B159" s="43">
        <f>VLOOKUP(C159,CHOOSE({2,1},Prefix!B$2:B$256,Prefix!C$2:C$256),2,FALSE)</f>
        <v>100663393</v>
      </c>
      <c r="C159" s="43" t="s">
        <v>852</v>
      </c>
      <c r="D159" s="43" t="s">
        <v>3214</v>
      </c>
      <c r="E159" s="43" t="str">
        <f>VLOOKUP(F159,CHOOSE({2,1},Attributes!B$3:B$130,Attributes!C$3:C$129),2,FALSE)</f>
        <v>DungeonSiegeStatusEffectAttributeSet</v>
      </c>
      <c r="F159" s="43" t="str">
        <f>Attributes!C60</f>
        <v>ChanceToFlee</v>
      </c>
      <c r="G159" s="43" t="str">
        <f t="shared" si="6"/>
        <v>(AttributeName="ChanceToFlee",Attribute=/Script/DSAbilitySystem.DungeonSiegeStatusEffectAttributeSet:ChanceToFlee,AttributeOwner=Class'"/Script/DSAbilitySystem.DungeonSiegeStatusEffectAttributeSet"')</v>
      </c>
      <c r="H159" s="43">
        <v>20</v>
      </c>
      <c r="I159" s="43" t="str">
        <f t="shared" si="7"/>
        <v>GE_Prefix_Frightening</v>
      </c>
      <c r="J159" s="43" t="str">
        <f t="shared" si="8"/>
        <v>/Game/DungeonSiege/Blueprints/GameplayAbilities/Affixes/GE_Prefix_Frightening</v>
      </c>
    </row>
    <row r="160" spans="1:10" s="23" customFormat="1" ht="33.75" x14ac:dyDescent="0.25">
      <c r="A160" s="43">
        <v>158</v>
      </c>
      <c r="B160" s="43">
        <f>VLOOKUP(C160,CHOOSE({2,1},Prefix!B$2:B$256,Prefix!C$2:C$256),2,FALSE)</f>
        <v>100663393</v>
      </c>
      <c r="C160" s="43" t="s">
        <v>852</v>
      </c>
      <c r="D160" s="43" t="s">
        <v>3167</v>
      </c>
      <c r="E160" s="43" t="str">
        <f>VLOOKUP(F160,CHOOSE({2,1},Attributes!B$3:B$130,Attributes!C$3:C$129),2,FALSE)</f>
        <v>DungeonSiegeStatusEffectAttributeSet</v>
      </c>
      <c r="F160" s="43" t="str">
        <f>Attributes!C61</f>
        <v>FleeMinDamageMod</v>
      </c>
      <c r="G160" s="43" t="str">
        <f t="shared" si="6"/>
        <v>(AttributeName="FleeMinDamageMod",Attribute=/Script/DSAbilitySystem.DungeonSiegeStatusEffectAttributeSet:FleeMinDamageMod,AttributeOwner=Class'"/Script/DSAbilitySystem.DungeonSiegeStatusEffectAttributeSet"')</v>
      </c>
      <c r="H160" s="43">
        <v>15</v>
      </c>
      <c r="I160" s="43" t="str">
        <f t="shared" si="7"/>
        <v>GE_Prefix_Frightening</v>
      </c>
      <c r="J160" s="43" t="str">
        <f t="shared" si="8"/>
        <v>/Game/DungeonSiege/Blueprints/GameplayAbilities/Affixes/GE_Prefix_Frightening</v>
      </c>
    </row>
    <row r="161" spans="1:10" ht="33.75" x14ac:dyDescent="0.25">
      <c r="A161" s="43">
        <v>159</v>
      </c>
      <c r="B161" s="43">
        <f>VLOOKUP(C161,CHOOSE({2,1},Prefix!B$2:B$256,Prefix!C$2:C$256),2,FALSE)</f>
        <v>100663393</v>
      </c>
      <c r="C161" s="43" t="s">
        <v>852</v>
      </c>
      <c r="D161" s="43" t="s">
        <v>3167</v>
      </c>
      <c r="E161" s="43" t="str">
        <f>VLOOKUP(F161,CHOOSE({2,1},Attributes!B$3:B$130,Attributes!C$3:C$129),2,FALSE)</f>
        <v>DungeonSiegeStatusEffectAttributeSet</v>
      </c>
      <c r="F161" s="43" t="str">
        <f>Attributes!C62</f>
        <v>FleeMaxDamageMod</v>
      </c>
      <c r="G161" s="43" t="str">
        <f t="shared" si="6"/>
        <v>(AttributeName="FleeMaxDamageMod",Attribute=/Script/DSAbilitySystem.DungeonSiegeStatusEffectAttributeSet:FleeMaxDamageMod,AttributeOwner=Class'"/Script/DSAbilitySystem.DungeonSiegeStatusEffectAttributeSet"')</v>
      </c>
      <c r="H161" s="43">
        <v>25</v>
      </c>
      <c r="I161" s="43" t="str">
        <f t="shared" si="7"/>
        <v>GE_Prefix_Frightening</v>
      </c>
      <c r="J161" s="43" t="str">
        <f t="shared" si="8"/>
        <v>/Game/DungeonSiege/Blueprints/GameplayAbilities/Affixes/GE_Prefix_Frightening</v>
      </c>
    </row>
    <row r="162" spans="1:10" s="23" customFormat="1" ht="15.75" customHeight="1" x14ac:dyDescent="0.25">
      <c r="A162" s="43">
        <v>160</v>
      </c>
      <c r="B162" s="43">
        <f>VLOOKUP(C162,CHOOSE({2,1},Prefix!B$2:B$256,Prefix!C$2:C$256),2,FALSE)</f>
        <v>100663394</v>
      </c>
      <c r="C162" s="43" t="s">
        <v>854</v>
      </c>
      <c r="D162" s="43" t="s">
        <v>855</v>
      </c>
      <c r="E162" s="43" t="str">
        <f>VLOOKUP(F162,CHOOSE({2,1},Attributes!B$3:B$130,Attributes!C$3:C$129),2,FALSE)</f>
        <v>DungeonSiegeExperienceAttributeSet</v>
      </c>
      <c r="F162" s="43" t="str">
        <f>Attributes!C9</f>
        <v>Melee</v>
      </c>
      <c r="G162" s="43" t="str">
        <f t="shared" si="6"/>
        <v>(AttributeName="Melee",Attribute=/Script/DSAbilitySystem.DungeonSiegeExperienceAttributeSet:Melee,AttributeOwner=Class'"/Script/DSAbilitySystem.DungeonSiegeExperienceAttributeSet"')</v>
      </c>
      <c r="H162" s="43">
        <v>4</v>
      </c>
      <c r="I162" s="43" t="str">
        <f t="shared" si="7"/>
        <v>GE_Prefix_Tremendous</v>
      </c>
      <c r="J162" s="43" t="str">
        <f t="shared" si="8"/>
        <v>/Game/DungeonSiege/Blueprints/GameplayAbilities/Affixes/GE_Prefix_Tremendous</v>
      </c>
    </row>
    <row r="163" spans="1:10" s="23" customFormat="1" ht="33.75" x14ac:dyDescent="0.25">
      <c r="A163" s="43">
        <v>161</v>
      </c>
      <c r="B163" s="43">
        <f>VLOOKUP(C163,CHOOSE({2,1},Prefix!B$2:B$256,Prefix!C$2:C$256),2,FALSE)</f>
        <v>100663394</v>
      </c>
      <c r="C163" s="43" t="s">
        <v>854</v>
      </c>
      <c r="D163" s="43" t="s">
        <v>3168</v>
      </c>
      <c r="E163" s="43" t="str">
        <f>VLOOKUP(F163,CHOOSE({2,1},Attributes!B$3:B$130,Attributes!C$3:C$129),2,FALSE)</f>
        <v>DungeonSiegeDamageAttributeSet</v>
      </c>
      <c r="F163" s="43" t="str">
        <f>Attributes!C35</f>
        <v>MeleeMinDamageMod</v>
      </c>
      <c r="G163" s="43" t="str">
        <f t="shared" si="6"/>
        <v>(AttributeName="MeleeMinDamageMod",Attribute=/Script/DSAbilitySystem.DungeonSiegeDamageAttributeSet:MeleeMinDamageMod,AttributeOwner=Class'"/Script/DSAbilitySystem.DungeonSiegeDamageAttributeSet"')</v>
      </c>
      <c r="H163" s="43">
        <v>12</v>
      </c>
      <c r="I163" s="43" t="str">
        <f t="shared" si="7"/>
        <v>GE_Prefix_Tremendous</v>
      </c>
      <c r="J163" s="43" t="str">
        <f t="shared" si="8"/>
        <v>/Game/DungeonSiege/Blueprints/GameplayAbilities/Affixes/GE_Prefix_Tremendous</v>
      </c>
    </row>
    <row r="164" spans="1:10" ht="33.75" x14ac:dyDescent="0.25">
      <c r="A164" s="43">
        <v>162</v>
      </c>
      <c r="B164" s="43">
        <f>VLOOKUP(C164,CHOOSE({2,1},Prefix!B$2:B$256,Prefix!C$2:C$256),2,FALSE)</f>
        <v>100663394</v>
      </c>
      <c r="C164" s="43" t="s">
        <v>854</v>
      </c>
      <c r="D164" s="43" t="s">
        <v>3168</v>
      </c>
      <c r="E164" s="43" t="str">
        <f>VLOOKUP(F164,CHOOSE({2,1},Attributes!B$3:B$130,Attributes!C$3:C$129),2,FALSE)</f>
        <v>DungeonSiegeDamageAttributeSet</v>
      </c>
      <c r="F164" s="43" t="str">
        <f>Attributes!C36</f>
        <v>MeleeMaxDamageMod</v>
      </c>
      <c r="G164" s="43" t="str">
        <f t="shared" si="6"/>
        <v>(AttributeName="MeleeMaxDamageMod",Attribute=/Script/DSAbilitySystem.DungeonSiegeDamageAttributeSet:MeleeMaxDamageMod,AttributeOwner=Class'"/Script/DSAbilitySystem.DungeonSiegeDamageAttributeSet"')</v>
      </c>
      <c r="H164" s="43">
        <v>20</v>
      </c>
      <c r="I164" s="43" t="str">
        <f t="shared" si="7"/>
        <v>GE_Prefix_Tremendous</v>
      </c>
      <c r="J164" s="43" t="str">
        <f t="shared" si="8"/>
        <v>/Game/DungeonSiege/Blueprints/GameplayAbilities/Affixes/GE_Prefix_Tremendous</v>
      </c>
    </row>
    <row r="165" spans="1:10" s="23" customFormat="1" ht="33.75" x14ac:dyDescent="0.25">
      <c r="A165" s="43">
        <v>163</v>
      </c>
      <c r="B165" s="43">
        <f>VLOOKUP(C165,CHOOSE({2,1},Prefix!B$2:B$256,Prefix!C$2:C$256),2,FALSE)</f>
        <v>100663395</v>
      </c>
      <c r="C165" s="43" t="s">
        <v>857</v>
      </c>
      <c r="D165" s="43" t="s">
        <v>753</v>
      </c>
      <c r="E165" s="43" t="str">
        <f>VLOOKUP(F165,CHOOSE({2,1},Attributes!B$3:B$130,Attributes!C$3:C$129),2,FALSE)</f>
        <v>DungeonSiegeExperienceAttributeSet</v>
      </c>
      <c r="F165" s="43" t="str">
        <f>Attributes!C8</f>
        <v>Ranged</v>
      </c>
      <c r="G165" s="43" t="str">
        <f t="shared" si="6"/>
        <v>(AttributeName="Ranged",Attribute=/Script/DSAbilitySystem.DungeonSiegeExperienceAttributeSet:Ranged,AttributeOwner=Class'"/Script/DSAbilitySystem.DungeonSiegeExperienceAttributeSet"')</v>
      </c>
      <c r="H165" s="43">
        <v>4</v>
      </c>
      <c r="I165" s="43" t="str">
        <f t="shared" si="7"/>
        <v>GE_Prefix_Adroit</v>
      </c>
      <c r="J165" s="43" t="str">
        <f t="shared" si="8"/>
        <v>/Game/DungeonSiege/Blueprints/GameplayAbilities/Affixes/GE_Prefix_Adroit</v>
      </c>
    </row>
    <row r="166" spans="1:10" s="23" customFormat="1" ht="33.75" x14ac:dyDescent="0.25">
      <c r="A166" s="43">
        <v>164</v>
      </c>
      <c r="B166" s="43">
        <f>VLOOKUP(C166,CHOOSE({2,1},Prefix!B$2:B$256,Prefix!C$2:C$256),2,FALSE)</f>
        <v>100663395</v>
      </c>
      <c r="C166" s="43" t="s">
        <v>857</v>
      </c>
      <c r="D166" s="43" t="s">
        <v>858</v>
      </c>
      <c r="E166" s="43" t="str">
        <f>VLOOKUP(F166,CHOOSE({2,1},Attributes!B$3:B$130,Attributes!C$3:C$129),2,FALSE)</f>
        <v>DungeonSiegeDamageAttributeSet</v>
      </c>
      <c r="F166" s="43" t="str">
        <f>Attributes!C19</f>
        <v>MinDamageMod</v>
      </c>
      <c r="G166" s="43" t="str">
        <f t="shared" si="6"/>
        <v>(AttributeName="MinDamageMod",Attribute=/Script/DSAbilitySystem.DungeonSiegeDamageAttributeSet:MinDamageMod,AttributeOwner=Class'"/Script/DSAbilitySystem.DungeonSiegeDamageAttributeSet"')</v>
      </c>
      <c r="H166" s="43">
        <v>5</v>
      </c>
      <c r="I166" s="43" t="str">
        <f t="shared" si="7"/>
        <v>GE_Prefix_Adroit</v>
      </c>
      <c r="J166" s="43" t="str">
        <f t="shared" si="8"/>
        <v>/Game/DungeonSiege/Blueprints/GameplayAbilities/Affixes/GE_Prefix_Adroit</v>
      </c>
    </row>
    <row r="167" spans="1:10" ht="33.75" x14ac:dyDescent="0.25">
      <c r="A167" s="43">
        <v>165</v>
      </c>
      <c r="B167" s="43">
        <f>VLOOKUP(C167,CHOOSE({2,1},Prefix!B$2:B$256,Prefix!C$2:C$256),2,FALSE)</f>
        <v>100663395</v>
      </c>
      <c r="C167" s="43" t="s">
        <v>857</v>
      </c>
      <c r="D167" s="43" t="s">
        <v>858</v>
      </c>
      <c r="E167" s="43" t="str">
        <f>VLOOKUP(F167,CHOOSE({2,1},Attributes!B$3:B$130,Attributes!C$3:C$129),2,FALSE)</f>
        <v>DungeonSiegeDamageAttributeSet</v>
      </c>
      <c r="F167" s="43" t="str">
        <f>Attributes!C20</f>
        <v>MaxDamageMod</v>
      </c>
      <c r="G167" s="43" t="str">
        <f t="shared" si="6"/>
        <v>(AttributeName="MaxDamageMod",Attribute=/Script/DSAbilitySystem.DungeonSiegeDamageAttributeSet:MaxDamageMod,AttributeOwner=Class'"/Script/DSAbilitySystem.DungeonSiegeDamageAttributeSet"')</v>
      </c>
      <c r="H167" s="43">
        <v>11</v>
      </c>
      <c r="I167" s="43" t="str">
        <f t="shared" si="7"/>
        <v>GE_Prefix_Adroit</v>
      </c>
      <c r="J167" s="43" t="str">
        <f t="shared" si="8"/>
        <v>/Game/DungeonSiege/Blueprints/GameplayAbilities/Affixes/GE_Prefix_Adroit</v>
      </c>
    </row>
    <row r="168" spans="1:10" s="23" customFormat="1" ht="33.75" x14ac:dyDescent="0.25">
      <c r="A168" s="43">
        <v>166</v>
      </c>
      <c r="B168" s="43">
        <f>VLOOKUP(C168,CHOOSE({2,1},Prefix!B$2:B$256,Prefix!C$2:C$256),2,FALSE)</f>
        <v>100663396</v>
      </c>
      <c r="C168" s="43" t="s">
        <v>860</v>
      </c>
      <c r="D168" s="43" t="s">
        <v>242</v>
      </c>
      <c r="E168" s="43" t="str">
        <f>VLOOKUP(F168,CHOOSE({2,1},Attributes!B$3:B$130,Attributes!C$3:C$129),2,FALSE)</f>
        <v>DungeonSiegeExperienceAttributeSet</v>
      </c>
      <c r="F168" s="43" t="str">
        <f>Attributes!C3</f>
        <v>Strength</v>
      </c>
      <c r="G168" s="43" t="str">
        <f t="shared" si="6"/>
        <v>(AttributeName="Strength",Attribute=/Script/DSAbilitySystem.DungeonSiegeExperienceAttributeSet:Strength,AttributeOwner=Class'"/Script/DSAbilitySystem.DungeonSiegeExperienceAttributeSet"')</v>
      </c>
      <c r="H168" s="43">
        <v>2</v>
      </c>
      <c r="I168" s="43" t="str">
        <f t="shared" si="7"/>
        <v>GE_Prefix_Unfathomable</v>
      </c>
      <c r="J168" s="43" t="str">
        <f t="shared" si="8"/>
        <v>/Game/DungeonSiege/Blueprints/GameplayAbilities/Affixes/GE_Prefix_Unfathomable</v>
      </c>
    </row>
    <row r="169" spans="1:10" s="23" customFormat="1" ht="33.75" x14ac:dyDescent="0.25">
      <c r="A169" s="43">
        <v>167</v>
      </c>
      <c r="B169" s="43">
        <f>VLOOKUP(C169,CHOOSE({2,1},Prefix!B$2:B$256,Prefix!C$2:C$256),2,FALSE)</f>
        <v>100663396</v>
      </c>
      <c r="C169" s="43" t="s">
        <v>860</v>
      </c>
      <c r="D169" s="43" t="s">
        <v>861</v>
      </c>
      <c r="E169" s="43" t="str">
        <f>VLOOKUP(F169,CHOOSE({2,1},Attributes!B$3:B$130,Attributes!C$3:C$129),2,FALSE)</f>
        <v>DungeonSiegePerHitAttributeSet</v>
      </c>
      <c r="F169" s="43" t="str">
        <f>Attributes!C13</f>
        <v>HealthStealPerHit</v>
      </c>
      <c r="G169" s="43" t="str">
        <f t="shared" si="6"/>
        <v>(AttributeName="HealthStealPerHit",Attribute=/Script/DSAbilitySystem.DungeonSiegePerHitAttributeSet:HealthStealPerHit,AttributeOwner=Class'"/Script/DSAbilitySystem.DungeonSiegePerHitAttributeSet"')</v>
      </c>
      <c r="H169" s="43">
        <v>1</v>
      </c>
      <c r="I169" s="43" t="str">
        <f t="shared" si="7"/>
        <v>GE_Prefix_Unfathomable</v>
      </c>
      <c r="J169" s="43" t="str">
        <f t="shared" si="8"/>
        <v>/Game/DungeonSiege/Blueprints/GameplayAbilities/Affixes/GE_Prefix_Unfathomable</v>
      </c>
    </row>
    <row r="170" spans="1:10" s="23" customFormat="1" ht="33.75" x14ac:dyDescent="0.25">
      <c r="A170" s="43">
        <v>168</v>
      </c>
      <c r="B170" s="43">
        <f>VLOOKUP(C170,CHOOSE({2,1},Prefix!B$2:B$256,Prefix!C$2:C$256),2,FALSE)</f>
        <v>100663396</v>
      </c>
      <c r="C170" s="43" t="s">
        <v>860</v>
      </c>
      <c r="D170" s="43" t="s">
        <v>747</v>
      </c>
      <c r="E170" s="43" t="str">
        <f>VLOOKUP(F170,CHOOSE({2,1},Attributes!B$3:B$130,Attributes!C$3:C$129),2,FALSE)</f>
        <v>DungeonSiegeDamageAttributeSet</v>
      </c>
      <c r="F170" s="43" t="str">
        <f>Attributes!C34</f>
        <v>ChanceToDodgeMeleeAttack</v>
      </c>
      <c r="G170" s="43" t="str">
        <f t="shared" si="6"/>
        <v>(AttributeName="ChanceToDodgeMeleeAttack",Attribute=/Script/DSAbilitySystem.DungeonSiegeDamageAttributeSet:ChanceToDodgeMeleeAttack,AttributeOwner=Class'"/Script/DSAbilitySystem.DungeonSiegeDamageAttributeSet"')</v>
      </c>
      <c r="H170" s="43">
        <v>5</v>
      </c>
      <c r="I170" s="43" t="str">
        <f t="shared" si="7"/>
        <v>GE_Prefix_Unfathomable</v>
      </c>
      <c r="J170" s="43" t="str">
        <f t="shared" si="8"/>
        <v>/Game/DungeonSiege/Blueprints/GameplayAbilities/Affixes/GE_Prefix_Unfathomable</v>
      </c>
    </row>
    <row r="171" spans="1:10" s="23" customFormat="1" ht="45" x14ac:dyDescent="0.25">
      <c r="A171" s="43">
        <v>169</v>
      </c>
      <c r="B171" s="43">
        <f>VLOOKUP(C171,CHOOSE({2,1},Prefix!B$2:B$256,Prefix!C$2:C$256),2,FALSE)</f>
        <v>100663396</v>
      </c>
      <c r="C171" s="43" t="s">
        <v>860</v>
      </c>
      <c r="D171" s="43" t="s">
        <v>715</v>
      </c>
      <c r="E171" s="43" t="str">
        <f>VLOOKUP(F171,CHOOSE({2,1},Attributes!B$3:B$130,Attributes!C$3:C$129),2,FALSE)</f>
        <v>DungeonSiegeDamageAttributeSet</v>
      </c>
      <c r="F171" s="43" t="str">
        <f>Attributes!C21</f>
        <v>PercentDamageReflectedToEnemy</v>
      </c>
      <c r="G171" s="43" t="str">
        <f t="shared" si="6"/>
        <v>(AttributeName="PercentDamageReflectedToEnemy",Attribute=/Script/DSAbilitySystem.DungeonSiegeDamageAttributeSet:PercentDamageReflectedToEnemy,AttributeOwner=Class'"/Script/DSAbilitySystem.DungeonSiegeDamageAttributeSet"')</v>
      </c>
      <c r="H171" s="43">
        <v>3</v>
      </c>
      <c r="I171" s="43" t="str">
        <f t="shared" si="7"/>
        <v>GE_Prefix_Unfathomable</v>
      </c>
      <c r="J171" s="43" t="str">
        <f t="shared" si="8"/>
        <v>/Game/DungeonSiege/Blueprints/GameplayAbilities/Affixes/GE_Prefix_Unfathomable</v>
      </c>
    </row>
    <row r="172" spans="1:10" ht="33.75" x14ac:dyDescent="0.25">
      <c r="A172" s="43">
        <v>170</v>
      </c>
      <c r="B172" s="43">
        <f>VLOOKUP(C172,CHOOSE({2,1},Prefix!B$2:B$256,Prefix!C$2:C$256),2,FALSE)</f>
        <v>100663396</v>
      </c>
      <c r="C172" s="43" t="s">
        <v>860</v>
      </c>
      <c r="D172" s="43" t="s">
        <v>93</v>
      </c>
      <c r="E172" s="43" t="str">
        <f>VLOOKUP(F172,CHOOSE({2,1},Attributes!B$3:B$130,Attributes!C$3:C$129),2,FALSE)</f>
        <v>DungeonSiegeExperienceAttributeSet</v>
      </c>
      <c r="F172" s="43" t="str">
        <f>Attributes!C5</f>
        <v>Intelligence</v>
      </c>
      <c r="G172" s="43" t="str">
        <f t="shared" si="6"/>
        <v>(AttributeName="Intelligence",Attribute=/Script/DSAbilitySystem.DungeonSiegeExperienceAttributeSet:Intelligence,AttributeOwner=Class'"/Script/DSAbilitySystem.DungeonSiegeExperienceAttributeSet"')</v>
      </c>
      <c r="H172" s="43">
        <v>2</v>
      </c>
      <c r="I172" s="43" t="str">
        <f t="shared" si="7"/>
        <v>GE_Prefix_Unfathomable</v>
      </c>
      <c r="J172" s="43" t="str">
        <f t="shared" si="8"/>
        <v>/Game/DungeonSiege/Blueprints/GameplayAbilities/Affixes/GE_Prefix_Unfathomable</v>
      </c>
    </row>
    <row r="173" spans="1:10" ht="33.75" x14ac:dyDescent="0.25">
      <c r="A173" s="43">
        <v>171</v>
      </c>
      <c r="B173" s="43">
        <f>VLOOKUP(C173,CHOOSE({2,1},Prefix!B$2:B$256,Prefix!C$2:C$256),2,FALSE)</f>
        <v>100663397</v>
      </c>
      <c r="C173" s="43" t="s">
        <v>863</v>
      </c>
      <c r="D173" s="43" t="s">
        <v>864</v>
      </c>
      <c r="E173" s="43" t="str">
        <f>VLOOKUP(F173,CHOOSE({2,1},Attributes!B$3:B$130,Attributes!C$3:C$129),2,FALSE)</f>
        <v>DungeonSiegeDamageAttributeSet</v>
      </c>
      <c r="F173" s="43" t="str">
        <f>Attributes!C31</f>
        <v>PercentMeleeDamageReduction</v>
      </c>
      <c r="G173" s="43" t="str">
        <f t="shared" si="6"/>
        <v>(AttributeName="PercentMeleeDamageReduction",Attribute=/Script/DSAbilitySystem.DungeonSiegeDamageAttributeSet:PercentMeleeDamageReduction,AttributeOwner=Class'"/Script/DSAbilitySystem.DungeonSiegeDamageAttributeSet"')</v>
      </c>
      <c r="H173" s="43">
        <v>17</v>
      </c>
      <c r="I173" s="43" t="str">
        <f t="shared" si="7"/>
        <v>GE_Prefix_Diverting</v>
      </c>
      <c r="J173" s="43" t="str">
        <f t="shared" si="8"/>
        <v>/Game/DungeonSiege/Blueprints/GameplayAbilities/Affixes/GE_Prefix_Diverting</v>
      </c>
    </row>
    <row r="174" spans="1:10" s="23" customFormat="1" ht="33.75" x14ac:dyDescent="0.25">
      <c r="A174" s="43">
        <v>172</v>
      </c>
      <c r="B174" s="43">
        <f>VLOOKUP(C174,CHOOSE({2,1},Prefix!B$2:B$256,Prefix!C$2:C$256),2,FALSE)</f>
        <v>100663398</v>
      </c>
      <c r="C174" s="43" t="s">
        <v>866</v>
      </c>
      <c r="D174" s="43" t="s">
        <v>75</v>
      </c>
      <c r="E174" s="43" t="str">
        <f>VLOOKUP(F174,CHOOSE({2,1},Attributes!B$3:B$130,Attributes!C$3:C$129),2,FALSE)</f>
        <v>DungeonSiegeExperienceAttributeSet</v>
      </c>
      <c r="F174" s="43" t="str">
        <f>Attributes!C5</f>
        <v>Intelligence</v>
      </c>
      <c r="G174" s="43" t="str">
        <f t="shared" si="6"/>
        <v>(AttributeName="Intelligence",Attribute=/Script/DSAbilitySystem.DungeonSiegeExperienceAttributeSet:Intelligence,AttributeOwner=Class'"/Script/DSAbilitySystem.DungeonSiegeExperienceAttributeSet"')</v>
      </c>
      <c r="H174" s="43">
        <v>1</v>
      </c>
      <c r="I174" s="43" t="str">
        <f t="shared" si="7"/>
        <v>GE_Prefix_Splendorous</v>
      </c>
      <c r="J174" s="43" t="str">
        <f t="shared" si="8"/>
        <v>/Game/DungeonSiege/Blueprints/GameplayAbilities/Affixes/GE_Prefix_Splendorous</v>
      </c>
    </row>
    <row r="175" spans="1:10" s="23" customFormat="1" ht="33.75" x14ac:dyDescent="0.25">
      <c r="A175" s="43">
        <v>173</v>
      </c>
      <c r="B175" s="43">
        <f>VLOOKUP(C175,CHOOSE({2,1},Prefix!B$2:B$256,Prefix!C$2:C$256),2,FALSE)</f>
        <v>100663398</v>
      </c>
      <c r="C175" s="43" t="s">
        <v>866</v>
      </c>
      <c r="D175" s="43" t="s">
        <v>855</v>
      </c>
      <c r="E175" s="43" t="str">
        <f>VLOOKUP(F175,CHOOSE({2,1},Attributes!B$3:B$130,Attributes!C$3:C$129),2,FALSE)</f>
        <v>DungeonSiegeExperienceAttributeSet</v>
      </c>
      <c r="F175" s="43" t="str">
        <f>Attributes!C9</f>
        <v>Melee</v>
      </c>
      <c r="G175" s="43" t="str">
        <f t="shared" si="6"/>
        <v>(AttributeName="Melee",Attribute=/Script/DSAbilitySystem.DungeonSiegeExperienceAttributeSet:Melee,AttributeOwner=Class'"/Script/DSAbilitySystem.DungeonSiegeExperienceAttributeSet"')</v>
      </c>
      <c r="H175" s="43">
        <v>4</v>
      </c>
      <c r="I175" s="43" t="str">
        <f t="shared" si="7"/>
        <v>GE_Prefix_Splendorous</v>
      </c>
      <c r="J175" s="43" t="str">
        <f t="shared" si="8"/>
        <v>/Game/DungeonSiege/Blueprints/GameplayAbilities/Affixes/GE_Prefix_Splendorous</v>
      </c>
    </row>
    <row r="176" spans="1:10" s="23" customFormat="1" ht="33.75" x14ac:dyDescent="0.25">
      <c r="A176" s="43">
        <v>174</v>
      </c>
      <c r="B176" s="43">
        <f>VLOOKUP(C176,CHOOSE({2,1},Prefix!B$2:B$256,Prefix!C$2:C$256),2,FALSE)</f>
        <v>100663398</v>
      </c>
      <c r="C176" s="43" t="s">
        <v>866</v>
      </c>
      <c r="D176" s="43" t="s">
        <v>846</v>
      </c>
      <c r="E176" s="43" t="str">
        <f>VLOOKUP(F176,CHOOSE({2,1},Attributes!B$3:B$130,Attributes!C$3:C$129),2,FALSE)</f>
        <v>DungeonSiegeDamageAttributeSet</v>
      </c>
      <c r="F176" s="43" t="str">
        <f>Attributes!C24</f>
        <v>PercentPiercingDamageReduction</v>
      </c>
      <c r="G176" s="43" t="str">
        <f t="shared" si="6"/>
        <v>(AttributeName="PercentPiercingDamageReduction",Attribute=/Script/DSAbilitySystem.DungeonSiegeDamageAttributeSet:PercentPiercingDamageReduction,AttributeOwner=Class'"/Script/DSAbilitySystem.DungeonSiegeDamageAttributeSet"')</v>
      </c>
      <c r="H176" s="43">
        <v>9</v>
      </c>
      <c r="I176" s="43" t="str">
        <f t="shared" si="7"/>
        <v>GE_Prefix_Splendorous</v>
      </c>
      <c r="J176" s="43" t="str">
        <f t="shared" si="8"/>
        <v>/Game/DungeonSiege/Blueprints/GameplayAbilities/Affixes/GE_Prefix_Splendorous</v>
      </c>
    </row>
    <row r="177" spans="1:10" s="23" customFormat="1" ht="33.75" x14ac:dyDescent="0.25">
      <c r="A177" s="43">
        <v>175</v>
      </c>
      <c r="B177" s="43">
        <f>VLOOKUP(C177,CHOOSE({2,1},Prefix!B$2:B$256,Prefix!C$2:C$256),2,FALSE)</f>
        <v>100663398</v>
      </c>
      <c r="C177" s="43" t="s">
        <v>866</v>
      </c>
      <c r="D177" s="43" t="s">
        <v>867</v>
      </c>
      <c r="E177" s="43" t="str">
        <f>VLOOKUP(F177,CHOOSE({2,1},Attributes!B$3:B$130,Attributes!C$3:C$129),2,FALSE)</f>
        <v>DungeonSiegeDamageAttributeSet</v>
      </c>
      <c r="F177" s="43" t="str">
        <f>Attributes!C27</f>
        <v>PercentRangedDamageReduction</v>
      </c>
      <c r="G177" s="43" t="str">
        <f t="shared" si="6"/>
        <v>(AttributeName="PercentRangedDamageReduction",Attribute=/Script/DSAbilitySystem.DungeonSiegeDamageAttributeSet:PercentRangedDamageReduction,AttributeOwner=Class'"/Script/DSAbilitySystem.DungeonSiegeDamageAttributeSet"')</v>
      </c>
      <c r="H177" s="43">
        <v>3</v>
      </c>
      <c r="I177" s="43" t="str">
        <f t="shared" si="7"/>
        <v>GE_Prefix_Splendorous</v>
      </c>
      <c r="J177" s="43" t="str">
        <f t="shared" si="8"/>
        <v>/Game/DungeonSiege/Blueprints/GameplayAbilities/Affixes/GE_Prefix_Splendorous</v>
      </c>
    </row>
    <row r="178" spans="1:10" ht="33.75" x14ac:dyDescent="0.25">
      <c r="A178" s="43">
        <v>176</v>
      </c>
      <c r="B178" s="43">
        <f>VLOOKUP(C178,CHOOSE({2,1},Prefix!B$2:B$256,Prefix!C$2:C$256),2,FALSE)</f>
        <v>100663398</v>
      </c>
      <c r="C178" s="43" t="s">
        <v>866</v>
      </c>
      <c r="D178" s="43" t="s">
        <v>746</v>
      </c>
      <c r="E178" s="43" t="str">
        <f>VLOOKUP(F178,CHOOSE({2,1},Attributes!B$3:B$130,Attributes!C$3:C$129),2,FALSE)</f>
        <v>DungeonSiegeDamageAttributeSet</v>
      </c>
      <c r="F178" s="43" t="str">
        <f>Attributes!C32</f>
        <v>ChanceToBlockMeleeAttack</v>
      </c>
      <c r="G178" s="43" t="str">
        <f t="shared" si="6"/>
        <v>(AttributeName="ChanceToBlockMeleeAttack",Attribute=/Script/DSAbilitySystem.DungeonSiegeDamageAttributeSet:ChanceToBlockMeleeAttack,AttributeOwner=Class'"/Script/DSAbilitySystem.DungeonSiegeDamageAttributeSet"')</v>
      </c>
      <c r="H178" s="43">
        <v>2</v>
      </c>
      <c r="I178" s="43" t="str">
        <f t="shared" si="7"/>
        <v>GE_Prefix_Splendorous</v>
      </c>
      <c r="J178" s="43" t="str">
        <f t="shared" si="8"/>
        <v>/Game/DungeonSiege/Blueprints/GameplayAbilities/Affixes/GE_Prefix_Splendorous</v>
      </c>
    </row>
    <row r="179" spans="1:10" s="23" customFormat="1" ht="33.75" x14ac:dyDescent="0.25">
      <c r="A179" s="43">
        <v>177</v>
      </c>
      <c r="B179" s="43">
        <f>VLOOKUP(C179,CHOOSE({2,1},Prefix!B$2:B$256,Prefix!C$2:C$256),2,FALSE)</f>
        <v>100663399</v>
      </c>
      <c r="C179" s="43" t="s">
        <v>869</v>
      </c>
      <c r="D179" s="43" t="s">
        <v>266</v>
      </c>
      <c r="E179" s="43" t="str">
        <f>VLOOKUP(F179,CHOOSE({2,1},Attributes!B$3:B$130,Attributes!C$3:C$129),2,FALSE)</f>
        <v>DungeonSiegeExperienceAttributeSet</v>
      </c>
      <c r="F179" s="43" t="str">
        <f>Attributes!C6</f>
        <v>CombatMagic</v>
      </c>
      <c r="G179" s="43" t="str">
        <f t="shared" si="6"/>
        <v>(AttributeName="CombatMagic",Attribute=/Script/DSAbilitySystem.DungeonSiegeExperienceAttributeSet:CombatMagic,AttributeOwner=Class'"/Script/DSAbilitySystem.DungeonSiegeExperienceAttributeSet"')</v>
      </c>
      <c r="H179" s="43">
        <v>3</v>
      </c>
      <c r="I179" s="43" t="str">
        <f t="shared" si="7"/>
        <v>GE_Prefix_Eccentric</v>
      </c>
      <c r="J179" s="43" t="str">
        <f t="shared" si="8"/>
        <v>/Game/DungeonSiege/Blueprints/GameplayAbilities/Affixes/GE_Prefix_Eccentric</v>
      </c>
    </row>
    <row r="180" spans="1:10" s="23" customFormat="1" ht="33.75" x14ac:dyDescent="0.25">
      <c r="A180" s="43">
        <v>178</v>
      </c>
      <c r="B180" s="43">
        <f>VLOOKUP(C180,CHOOSE({2,1},Prefix!B$2:B$256,Prefix!C$2:C$256),2,FALSE)</f>
        <v>100663399</v>
      </c>
      <c r="C180" s="43" t="s">
        <v>869</v>
      </c>
      <c r="D180" s="43" t="s">
        <v>870</v>
      </c>
      <c r="E180" s="43" t="str">
        <f>VLOOKUP(F180,CHOOSE({2,1},Attributes!B$3:B$130,Attributes!C$3:C$129),2,FALSE)</f>
        <v>DungeonSiegeDamageAttributeSet</v>
      </c>
      <c r="F180" s="43" t="str">
        <f>Attributes!C32</f>
        <v>ChanceToBlockMeleeAttack</v>
      </c>
      <c r="G180" s="43" t="str">
        <f t="shared" si="6"/>
        <v>(AttributeName="ChanceToBlockMeleeAttack",Attribute=/Script/DSAbilitySystem.DungeonSiegeDamageAttributeSet:ChanceToBlockMeleeAttack,AttributeOwner=Class'"/Script/DSAbilitySystem.DungeonSiegeDamageAttributeSet"')</v>
      </c>
      <c r="H180" s="43">
        <v>5</v>
      </c>
      <c r="I180" s="43" t="str">
        <f t="shared" si="7"/>
        <v>GE_Prefix_Eccentric</v>
      </c>
      <c r="J180" s="43" t="str">
        <f t="shared" si="8"/>
        <v>/Game/DungeonSiege/Blueprints/GameplayAbilities/Affixes/GE_Prefix_Eccentric</v>
      </c>
    </row>
    <row r="181" spans="1:10" ht="33.75" x14ac:dyDescent="0.25">
      <c r="A181" s="43">
        <v>179</v>
      </c>
      <c r="B181" s="43">
        <f>VLOOKUP(C181,CHOOSE({2,1},Prefix!B$2:B$256,Prefix!C$2:C$256),2,FALSE)</f>
        <v>100663399</v>
      </c>
      <c r="C181" s="43" t="s">
        <v>869</v>
      </c>
      <c r="D181" s="43" t="s">
        <v>871</v>
      </c>
      <c r="E181" s="43" t="str">
        <f>VLOOKUP(F181,CHOOSE({2,1},Attributes!B$3:B$130,Attributes!C$3:C$129),2,FALSE)</f>
        <v>DungeonSiegeDamageAttributeSet</v>
      </c>
      <c r="F181" s="43" t="str">
        <f>Attributes!C28</f>
        <v>ChanceToBlockRangedAttack</v>
      </c>
      <c r="G181" s="43" t="str">
        <f t="shared" si="6"/>
        <v>(AttributeName="ChanceToBlockRangedAttack",Attribute=/Script/DSAbilitySystem.DungeonSiegeDamageAttributeSet:ChanceToBlockRangedAttack,AttributeOwner=Class'"/Script/DSAbilitySystem.DungeonSiegeDamageAttributeSet"')</v>
      </c>
      <c r="H181" s="43">
        <v>9</v>
      </c>
      <c r="I181" s="43" t="str">
        <f t="shared" si="7"/>
        <v>GE_Prefix_Eccentric</v>
      </c>
      <c r="J181" s="43" t="str">
        <f t="shared" si="8"/>
        <v>/Game/DungeonSiege/Blueprints/GameplayAbilities/Affixes/GE_Prefix_Eccentric</v>
      </c>
    </row>
    <row r="182" spans="1:10" ht="33.75" x14ac:dyDescent="0.25">
      <c r="A182" s="43">
        <v>180</v>
      </c>
      <c r="B182" s="43">
        <f>VLOOKUP(C182,CHOOSE({2,1},Prefix!B$2:B$256,Prefix!C$2:C$256),2,FALSE)</f>
        <v>100663400</v>
      </c>
      <c r="C182" s="43" t="s">
        <v>873</v>
      </c>
      <c r="D182" s="43" t="s">
        <v>874</v>
      </c>
      <c r="E182" s="43" t="str">
        <f>VLOOKUP(F182,CHOOSE({2,1},Attributes!B$3:B$130,Attributes!C$3:C$129),2,FALSE)</f>
        <v>DungeonSiegeDefenseAttributeSet</v>
      </c>
      <c r="F182" s="43" t="str">
        <f>Attributes!C10</f>
        <v>ArmorRating</v>
      </c>
      <c r="G182" s="43" t="str">
        <f t="shared" si="6"/>
        <v>(AttributeName="ArmorRating",Attribute=/Script/DSAbilitySystem.DungeonSiegeDefenseAttributeSet:ArmorRating,AttributeOwner=Class'"/Script/DSAbilitySystem.DungeonSiegeDefenseAttributeSet"')</v>
      </c>
      <c r="H182" s="43">
        <v>70</v>
      </c>
      <c r="I182" s="43" t="str">
        <f t="shared" si="7"/>
        <v>GE_Prefix_Rugged</v>
      </c>
      <c r="J182" s="43" t="str">
        <f t="shared" si="8"/>
        <v>/Game/DungeonSiege/Blueprints/GameplayAbilities/Affixes/GE_Prefix_Rugged</v>
      </c>
    </row>
    <row r="183" spans="1:10" s="23" customFormat="1" ht="33.75" x14ac:dyDescent="0.25">
      <c r="A183" s="43">
        <v>181</v>
      </c>
      <c r="B183" s="43">
        <f>VLOOKUP(C183,CHOOSE({2,1},Prefix!B$2:B$256,Prefix!C$2:C$256),2,FALSE)</f>
        <v>100663401</v>
      </c>
      <c r="C183" s="43" t="s">
        <v>876</v>
      </c>
      <c r="D183" s="43" t="s">
        <v>93</v>
      </c>
      <c r="E183" s="43" t="str">
        <f>VLOOKUP(F183,CHOOSE({2,1},Attributes!B$3:B$130,Attributes!C$3:C$129),2,FALSE)</f>
        <v>DungeonSiegeExperienceAttributeSet</v>
      </c>
      <c r="F183" s="43" t="str">
        <f>Attributes!C5</f>
        <v>Intelligence</v>
      </c>
      <c r="G183" s="43" t="str">
        <f t="shared" si="6"/>
        <v>(AttributeName="Intelligence",Attribute=/Script/DSAbilitySystem.DungeonSiegeExperienceAttributeSet:Intelligence,AttributeOwner=Class'"/Script/DSAbilitySystem.DungeonSiegeExperienceAttributeSet"')</v>
      </c>
      <c r="H183" s="43">
        <v>2</v>
      </c>
      <c r="I183" s="43" t="str">
        <f t="shared" si="7"/>
        <v>GE_Prefix_Supreme</v>
      </c>
      <c r="J183" s="43" t="str">
        <f t="shared" si="8"/>
        <v>/Game/DungeonSiege/Blueprints/GameplayAbilities/Affixes/GE_Prefix_Supreme</v>
      </c>
    </row>
    <row r="184" spans="1:10" s="23" customFormat="1" ht="33.75" x14ac:dyDescent="0.25">
      <c r="A184" s="43">
        <v>182</v>
      </c>
      <c r="B184" s="43">
        <f>VLOOKUP(C184,CHOOSE({2,1},Prefix!B$2:B$256,Prefix!C$2:C$256),2,FALSE)</f>
        <v>100663401</v>
      </c>
      <c r="C184" s="43" t="s">
        <v>876</v>
      </c>
      <c r="D184" s="43" t="s">
        <v>3169</v>
      </c>
      <c r="E184" s="43" t="str">
        <f>VLOOKUP(F184,CHOOSE({2,1},Attributes!B$3:B$130,Attributes!C$3:C$129),2,FALSE)</f>
        <v>DungeonSiegeDamageAttributeSet</v>
      </c>
      <c r="F184" s="43" t="str">
        <f>Attributes!C33</f>
        <v>MeleeHitChance</v>
      </c>
      <c r="G184" s="43" t="str">
        <f t="shared" si="6"/>
        <v>(AttributeName="MeleeHitChance",Attribute=/Script/DSAbilitySystem.DungeonSiegeDamageAttributeSet:MeleeHitChance,AttributeOwner=Class'"/Script/DSAbilitySystem.DungeonSiegeDamageAttributeSet"')</v>
      </c>
      <c r="H184" s="43">
        <v>6</v>
      </c>
      <c r="I184" s="43" t="str">
        <f t="shared" si="7"/>
        <v>GE_Prefix_Supreme</v>
      </c>
      <c r="J184" s="43" t="str">
        <f t="shared" si="8"/>
        <v>/Game/DungeonSiege/Blueprints/GameplayAbilities/Affixes/GE_Prefix_Supreme</v>
      </c>
    </row>
    <row r="185" spans="1:10" s="23" customFormat="1" ht="33.75" x14ac:dyDescent="0.25">
      <c r="A185" s="43">
        <v>183</v>
      </c>
      <c r="B185" s="43">
        <f>VLOOKUP(C185,CHOOSE({2,1},Prefix!B$2:B$256,Prefix!C$2:C$256),2,FALSE)</f>
        <v>100663401</v>
      </c>
      <c r="C185" s="43" t="s">
        <v>876</v>
      </c>
      <c r="D185" s="43" t="s">
        <v>3170</v>
      </c>
      <c r="E185" s="43" t="str">
        <f>VLOOKUP(F185,CHOOSE({2,1},Attributes!B$3:B$130,Attributes!C$3:C$129),2,FALSE)</f>
        <v>DungeonSiegeElementalAttributeSet</v>
      </c>
      <c r="F185" s="43" t="str">
        <f>Attributes!C78</f>
        <v>LightningMinDamageMod</v>
      </c>
      <c r="G185" s="43" t="str">
        <f t="shared" si="6"/>
        <v>(AttributeName="LightningMinDamageMod",Attribute=/Script/DSAbilitySystem.DungeonSiegeElementalAttributeSet:LightningMinDamageMod,AttributeOwner=Class'"/Script/DSAbilitySystem.DungeonSiegeElementalAttributeSet"')</v>
      </c>
      <c r="H185" s="43">
        <v>3</v>
      </c>
      <c r="I185" s="43" t="str">
        <f t="shared" si="7"/>
        <v>GE_Prefix_Supreme</v>
      </c>
      <c r="J185" s="43" t="str">
        <f t="shared" si="8"/>
        <v>/Game/DungeonSiege/Blueprints/GameplayAbilities/Affixes/GE_Prefix_Supreme</v>
      </c>
    </row>
    <row r="186" spans="1:10" s="23" customFormat="1" ht="33.75" x14ac:dyDescent="0.25">
      <c r="A186" s="43">
        <v>184</v>
      </c>
      <c r="B186" s="43">
        <f>VLOOKUP(C186,CHOOSE({2,1},Prefix!B$2:B$256,Prefix!C$2:C$256),2,FALSE)</f>
        <v>100663401</v>
      </c>
      <c r="C186" s="43" t="s">
        <v>876</v>
      </c>
      <c r="D186" s="43" t="s">
        <v>3170</v>
      </c>
      <c r="E186" s="43" t="str">
        <f>VLOOKUP(F186,CHOOSE({2,1},Attributes!B$3:B$130,Attributes!C$3:C$129),2,FALSE)</f>
        <v>DungeonSiegeElementalAttributeSet</v>
      </c>
      <c r="F186" s="43" t="str">
        <f>Attributes!C79</f>
        <v>LightningMaxDamageMod</v>
      </c>
      <c r="G186" s="43" t="str">
        <f t="shared" si="6"/>
        <v>(AttributeName="LightningMaxDamageMod",Attribute=/Script/DSAbilitySystem.DungeonSiegeElementalAttributeSet:LightningMaxDamageMod,AttributeOwner=Class'"/Script/DSAbilitySystem.DungeonSiegeElementalAttributeSet"')</v>
      </c>
      <c r="H186" s="43">
        <v>5</v>
      </c>
      <c r="I186" s="43" t="str">
        <f t="shared" si="7"/>
        <v>GE_Prefix_Supreme</v>
      </c>
      <c r="J186" s="43" t="str">
        <f t="shared" si="8"/>
        <v>/Game/DungeonSiege/Blueprints/GameplayAbilities/Affixes/GE_Prefix_Supreme</v>
      </c>
    </row>
    <row r="187" spans="1:10" ht="33.75" x14ac:dyDescent="0.25">
      <c r="A187" s="43">
        <v>185</v>
      </c>
      <c r="B187" s="43">
        <f>VLOOKUP(C187,CHOOSE({2,1},Prefix!B$2:B$256,Prefix!C$2:C$256),2,FALSE)</f>
        <v>100663401</v>
      </c>
      <c r="C187" s="43" t="s">
        <v>876</v>
      </c>
      <c r="D187" s="43" t="s">
        <v>242</v>
      </c>
      <c r="E187" s="43" t="str">
        <f>VLOOKUP(F187,CHOOSE({2,1},Attributes!B$3:B$130,Attributes!C$3:C$129),2,FALSE)</f>
        <v>DungeonSiegeExperienceAttributeSet</v>
      </c>
      <c r="F187" s="43" t="str">
        <f>Attributes!C3</f>
        <v>Strength</v>
      </c>
      <c r="G187" s="43" t="str">
        <f t="shared" si="6"/>
        <v>(AttributeName="Strength",Attribute=/Script/DSAbilitySystem.DungeonSiegeExperienceAttributeSet:Strength,AttributeOwner=Class'"/Script/DSAbilitySystem.DungeonSiegeExperienceAttributeSet"')</v>
      </c>
      <c r="H187" s="43">
        <v>2</v>
      </c>
      <c r="I187" s="43" t="str">
        <f t="shared" si="7"/>
        <v>GE_Prefix_Supreme</v>
      </c>
      <c r="J187" s="43" t="str">
        <f t="shared" si="8"/>
        <v>/Game/DungeonSiege/Blueprints/GameplayAbilities/Affixes/GE_Prefix_Supreme</v>
      </c>
    </row>
    <row r="188" spans="1:10" ht="33.75" x14ac:dyDescent="0.25">
      <c r="A188" s="43">
        <v>186</v>
      </c>
      <c r="B188" s="43">
        <f>VLOOKUP(C188,CHOOSE({2,1},Prefix!B$2:B$256,Prefix!C$2:C$256),2,FALSE)</f>
        <v>100663408</v>
      </c>
      <c r="C188" s="43" t="s">
        <v>878</v>
      </c>
      <c r="D188" s="43" t="s">
        <v>3216</v>
      </c>
      <c r="E188" s="43" t="str">
        <f>VLOOKUP(F188,CHOOSE({2,1},Attributes!B$3:B$130,Attributes!C$3:C$129),2,FALSE)</f>
        <v>DungeonSiegeStatusEffectAttributeSet</v>
      </c>
      <c r="F188" s="43" t="str">
        <f>Attributes!C55</f>
        <v>ChanceToPoison</v>
      </c>
      <c r="G188" s="43" t="str">
        <f t="shared" si="6"/>
        <v>(AttributeName="ChanceToPoison",Attribute=/Script/DSAbilitySystem.DungeonSiegeStatusEffectAttributeSet:ChanceToPoison,AttributeOwner=Class'"/Script/DSAbilitySystem.DungeonSiegeStatusEffectAttributeSet"')</v>
      </c>
      <c r="H188" s="43">
        <v>15</v>
      </c>
      <c r="I188" s="43" t="str">
        <f t="shared" si="7"/>
        <v>GE_Prefix_Toxic</v>
      </c>
      <c r="J188" s="43" t="str">
        <f t="shared" si="8"/>
        <v>/Game/DungeonSiege/Blueprints/GameplayAbilities/Affixes/GE_Prefix_Toxic</v>
      </c>
    </row>
    <row r="189" spans="1:10" s="23" customFormat="1" ht="33.75" x14ac:dyDescent="0.25">
      <c r="A189" s="43">
        <v>187</v>
      </c>
      <c r="B189" s="43">
        <f>VLOOKUP(C189,CHOOSE({2,1},Prefix!B$2:B$256,Prefix!C$2:C$256),2,FALSE)</f>
        <v>100663408</v>
      </c>
      <c r="C189" s="43" t="s">
        <v>878</v>
      </c>
      <c r="D189" s="43" t="s">
        <v>3171</v>
      </c>
      <c r="E189" s="43" t="str">
        <f>VLOOKUP(F189,CHOOSE({2,1},Attributes!B$3:B$130,Attributes!C$3:C$129),2,FALSE)</f>
        <v>DungeonSiegeStatusEffectAttributeSet</v>
      </c>
      <c r="F189" s="43" t="str">
        <f>Attributes!C56</f>
        <v>PoisonMinDamageMod</v>
      </c>
      <c r="G189" s="43" t="str">
        <f t="shared" si="6"/>
        <v>(AttributeName="PoisonMinDamageMod",Attribute=/Script/DSAbilitySystem.DungeonSiegeStatusEffectAttributeSet:PoisonMinDamageMod,AttributeOwner=Class'"/Script/DSAbilitySystem.DungeonSiegeStatusEffectAttributeSet"')</v>
      </c>
      <c r="H189" s="43">
        <v>10</v>
      </c>
      <c r="I189" s="43" t="str">
        <f t="shared" si="7"/>
        <v>GE_Prefix_Toxic</v>
      </c>
      <c r="J189" s="43" t="str">
        <f t="shared" si="8"/>
        <v>/Game/DungeonSiege/Blueprints/GameplayAbilities/Affixes/GE_Prefix_Toxic</v>
      </c>
    </row>
    <row r="190" spans="1:10" ht="33.75" x14ac:dyDescent="0.25">
      <c r="A190" s="43">
        <v>188</v>
      </c>
      <c r="B190" s="43">
        <f>VLOOKUP(C190,CHOOSE({2,1},Prefix!B$2:B$256,Prefix!C$2:C$256),2,FALSE)</f>
        <v>100663408</v>
      </c>
      <c r="C190" s="43" t="s">
        <v>878</v>
      </c>
      <c r="D190" s="43" t="s">
        <v>3171</v>
      </c>
      <c r="E190" s="43" t="str">
        <f>VLOOKUP(F190,CHOOSE({2,1},Attributes!B$3:B$130,Attributes!C$3:C$129),2,FALSE)</f>
        <v>DungeonSiegeStatusEffectAttributeSet</v>
      </c>
      <c r="F190" s="43" t="str">
        <f>Attributes!C57</f>
        <v>PoisonMaxDamageMod</v>
      </c>
      <c r="G190" s="43" t="str">
        <f t="shared" si="6"/>
        <v>(AttributeName="PoisonMaxDamageMod",Attribute=/Script/DSAbilitySystem.DungeonSiegeStatusEffectAttributeSet:PoisonMaxDamageMod,AttributeOwner=Class'"/Script/DSAbilitySystem.DungeonSiegeStatusEffectAttributeSet"')</v>
      </c>
      <c r="H190" s="43">
        <v>20</v>
      </c>
      <c r="I190" s="43" t="str">
        <f t="shared" si="7"/>
        <v>GE_Prefix_Toxic</v>
      </c>
      <c r="J190" s="43" t="str">
        <f t="shared" si="8"/>
        <v>/Game/DungeonSiege/Blueprints/GameplayAbilities/Affixes/GE_Prefix_Toxic</v>
      </c>
    </row>
    <row r="191" spans="1:10" ht="33.75" x14ac:dyDescent="0.25">
      <c r="A191" s="43">
        <v>189</v>
      </c>
      <c r="B191" s="43">
        <f>VLOOKUP(C191,CHOOSE({2,1},Prefix!B$2:B$256,Prefix!C$2:C$256),2,FALSE)</f>
        <v>100663409</v>
      </c>
      <c r="C191" s="43" t="s">
        <v>879</v>
      </c>
      <c r="D191" s="43" t="s">
        <v>3218</v>
      </c>
      <c r="E191" s="43" t="str">
        <f>VLOOKUP(F191,CHOOSE({2,1},Attributes!B$3:B$130,Attributes!C$3:C$129),2,FALSE)</f>
        <v>DungeonSiegeStatusEffectAttributeSet</v>
      </c>
      <c r="F191" s="43" t="str">
        <f>Attributes!C69</f>
        <v>ChanceToTurnToStone</v>
      </c>
      <c r="G191" s="43" t="str">
        <f t="shared" si="6"/>
        <v>(AttributeName="ChanceToTurnToStone",Attribute=/Script/DSAbilitySystem.DungeonSiegeStatusEffectAttributeSet:ChanceToTurnToStone,AttributeOwner=Class'"/Script/DSAbilitySystem.DungeonSiegeStatusEffectAttributeSet"')</v>
      </c>
      <c r="H191" s="43">
        <v>20</v>
      </c>
      <c r="I191" s="43" t="str">
        <f t="shared" si="7"/>
        <v>GE_Prefix_Stoning</v>
      </c>
      <c r="J191" s="43" t="str">
        <f t="shared" si="8"/>
        <v>/Game/DungeonSiege/Blueprints/GameplayAbilities/Affixes/GE_Prefix_Stoning</v>
      </c>
    </row>
    <row r="192" spans="1:10" s="23" customFormat="1" ht="33.75" x14ac:dyDescent="0.25">
      <c r="A192" s="43">
        <v>190</v>
      </c>
      <c r="B192" s="43">
        <f>VLOOKUP(C192,CHOOSE({2,1},Prefix!B$2:B$256,Prefix!C$2:C$256),2,FALSE)</f>
        <v>100663409</v>
      </c>
      <c r="C192" s="43" t="s">
        <v>879</v>
      </c>
      <c r="D192" s="43" t="s">
        <v>3172</v>
      </c>
      <c r="E192" s="43" t="str">
        <f>VLOOKUP(F192,CHOOSE({2,1},Attributes!B$3:B$130,Attributes!C$3:C$129),2,FALSE)</f>
        <v>DungeonSiegeStatusEffectAttributeSet</v>
      </c>
      <c r="F192" s="43" t="str">
        <f>Attributes!C70</f>
        <v>StoningMinDamageMod</v>
      </c>
      <c r="G192" s="43" t="str">
        <f t="shared" si="6"/>
        <v>(AttributeName="StoningMinDamageMod",Attribute=/Script/DSAbilitySystem.DungeonSiegeStatusEffectAttributeSet:StoningMinDamageMod,AttributeOwner=Class'"/Script/DSAbilitySystem.DungeonSiegeStatusEffectAttributeSet"')</v>
      </c>
      <c r="H192" s="43">
        <v>5</v>
      </c>
      <c r="I192" s="43" t="str">
        <f t="shared" si="7"/>
        <v>GE_Prefix_Stoning</v>
      </c>
      <c r="J192" s="43" t="str">
        <f t="shared" si="8"/>
        <v>/Game/DungeonSiege/Blueprints/GameplayAbilities/Affixes/GE_Prefix_Stoning</v>
      </c>
    </row>
    <row r="193" spans="1:10" ht="33.75" x14ac:dyDescent="0.25">
      <c r="A193" s="43">
        <v>191</v>
      </c>
      <c r="B193" s="43">
        <f>VLOOKUP(C193,CHOOSE({2,1},Prefix!B$2:B$256,Prefix!C$2:C$256),2,FALSE)</f>
        <v>100663409</v>
      </c>
      <c r="C193" s="43" t="s">
        <v>879</v>
      </c>
      <c r="D193" s="43" t="s">
        <v>3172</v>
      </c>
      <c r="E193" s="43" t="str">
        <f>VLOOKUP(F193,CHOOSE({2,1},Attributes!B$3:B$130,Attributes!C$3:C$129),2,FALSE)</f>
        <v>DungeonSiegeStatusEffectAttributeSet</v>
      </c>
      <c r="F193" s="43" t="str">
        <f>Attributes!C71</f>
        <v>StoningMaxDamageMod</v>
      </c>
      <c r="G193" s="43" t="str">
        <f t="shared" si="6"/>
        <v>(AttributeName="StoningMaxDamageMod",Attribute=/Script/DSAbilitySystem.DungeonSiegeStatusEffectAttributeSet:StoningMaxDamageMod,AttributeOwner=Class'"/Script/DSAbilitySystem.DungeonSiegeStatusEffectAttributeSet"')</v>
      </c>
      <c r="H193" s="43">
        <v>15</v>
      </c>
      <c r="I193" s="43" t="str">
        <f t="shared" si="7"/>
        <v>GE_Prefix_Stoning</v>
      </c>
      <c r="J193" s="43" t="str">
        <f t="shared" si="8"/>
        <v>/Game/DungeonSiege/Blueprints/GameplayAbilities/Affixes/GE_Prefix_Stoning</v>
      </c>
    </row>
    <row r="194" spans="1:10" s="23" customFormat="1" ht="33.75" x14ac:dyDescent="0.25">
      <c r="A194" s="43">
        <v>192</v>
      </c>
      <c r="B194" s="43">
        <f>VLOOKUP(C194,CHOOSE({2,1},Prefix!B$2:B$256,Prefix!C$2:C$256),2,FALSE)</f>
        <v>100663410</v>
      </c>
      <c r="C194" s="43" t="s">
        <v>880</v>
      </c>
      <c r="D194" s="43" t="s">
        <v>135</v>
      </c>
      <c r="E194" s="43" t="str">
        <f>VLOOKUP(F194,CHOOSE({2,1},Attributes!B$3:B$130,Attributes!C$3:C$129),2,FALSE)</f>
        <v>DungeonSiegeExperienceAttributeSet</v>
      </c>
      <c r="F194" s="43" t="str">
        <f>Attributes!C5</f>
        <v>Intelligence</v>
      </c>
      <c r="G194" s="43" t="str">
        <f t="shared" si="6"/>
        <v>(AttributeName="Intelligence",Attribute=/Script/DSAbilitySystem.DungeonSiegeExperienceAttributeSet:Intelligence,AttributeOwner=Class'"/Script/DSAbilitySystem.DungeonSiegeExperienceAttributeSet"')</v>
      </c>
      <c r="H194" s="43">
        <v>3</v>
      </c>
      <c r="I194" s="43" t="str">
        <f t="shared" si="7"/>
        <v>GE_Prefix_Valued</v>
      </c>
      <c r="J194" s="43" t="str">
        <f t="shared" si="8"/>
        <v>/Game/DungeonSiege/Blueprints/GameplayAbilities/Affixes/GE_Prefix_Valued</v>
      </c>
    </row>
    <row r="195" spans="1:10" s="23" customFormat="1" ht="33.75" x14ac:dyDescent="0.25">
      <c r="A195" s="43">
        <v>193</v>
      </c>
      <c r="B195" s="43">
        <f>VLOOKUP(C195,CHOOSE({2,1},Prefix!B$2:B$256,Prefix!C$2:C$256),2,FALSE)</f>
        <v>100663410</v>
      </c>
      <c r="C195" s="43" t="s">
        <v>880</v>
      </c>
      <c r="D195" s="43" t="s">
        <v>3173</v>
      </c>
      <c r="E195" s="43" t="str">
        <f>VLOOKUP(F195,CHOOSE({2,1},Attributes!B$3:B$130,Attributes!C$3:C$129),2,FALSE)</f>
        <v>DungeonSiegeHealthAttributeSet</v>
      </c>
      <c r="F195" s="43" t="str">
        <f>Attributes!C82</f>
        <v>BaseHealthBonus</v>
      </c>
      <c r="G195" s="43" t="str">
        <f t="shared" ref="G195:G258" si="9">CONCATENATE("(AttributeName=""",F195,""",Attribute=/Script/DSAbilitySystem." &amp; E195 &amp;":",F195,",AttributeOwner=Class'""/Script/DSAbilitySystem." &amp; E195 &amp;"""')")</f>
        <v>(AttributeName="BaseHealthBonus",Attribute=/Script/DSAbilitySystem.DungeonSiegeHealthAttributeSet:BaseHealthBonus,AttributeOwner=Class'"/Script/DSAbilitySystem.DungeonSiegeHealthAttributeSet"')</v>
      </c>
      <c r="H195" s="43">
        <v>47</v>
      </c>
      <c r="I195" s="43" t="str">
        <f t="shared" ref="I195:I258" si="10">CONCATENATE("GE_Prefix_",SUBSTITUTE(C195," ","_"))</f>
        <v>GE_Prefix_Valued</v>
      </c>
      <c r="J195" s="43" t="str">
        <f t="shared" ref="J195:J258" si="11">"/Game/DungeonSiege/Blueprints/GameplayAbilities/Affixes/" &amp;I195</f>
        <v>/Game/DungeonSiege/Blueprints/GameplayAbilities/Affixes/GE_Prefix_Valued</v>
      </c>
    </row>
    <row r="196" spans="1:10" s="23" customFormat="1" ht="33.75" x14ac:dyDescent="0.25">
      <c r="A196" s="43">
        <v>194</v>
      </c>
      <c r="B196" s="43">
        <f>VLOOKUP(C196,CHOOSE({2,1},Prefix!B$2:B$256,Prefix!C$2:C$256),2,FALSE)</f>
        <v>100663410</v>
      </c>
      <c r="C196" s="43" t="s">
        <v>880</v>
      </c>
      <c r="D196" s="43" t="s">
        <v>881</v>
      </c>
      <c r="E196" s="43" t="str">
        <f>VLOOKUP(F196,CHOOSE({2,1},Attributes!B$3:B$130,Attributes!C$3:C$129),2,FALSE)</f>
        <v>DungeonSiegePerHitAttributeSet</v>
      </c>
      <c r="F196" s="43" t="str">
        <f>Attributes!C14</f>
        <v>ManaStealPerHit</v>
      </c>
      <c r="G196" s="43" t="str">
        <f t="shared" si="9"/>
        <v>(AttributeName="ManaStealPerHit",Attribute=/Script/DSAbilitySystem.DungeonSiegePerHitAttributeSet:ManaStealPerHit,AttributeOwner=Class'"/Script/DSAbilitySystem.DungeonSiegePerHitAttributeSet"')</v>
      </c>
      <c r="H196" s="43">
        <v>1</v>
      </c>
      <c r="I196" s="43" t="str">
        <f t="shared" si="10"/>
        <v>GE_Prefix_Valued</v>
      </c>
      <c r="J196" s="43" t="str">
        <f t="shared" si="11"/>
        <v>/Game/DungeonSiege/Blueprints/GameplayAbilities/Affixes/GE_Prefix_Valued</v>
      </c>
    </row>
    <row r="197" spans="1:10" ht="33.75" x14ac:dyDescent="0.25">
      <c r="A197" s="43">
        <v>195</v>
      </c>
      <c r="B197" s="43">
        <f>VLOOKUP(C197,CHOOSE({2,1},Prefix!B$2:B$256,Prefix!C$2:C$256),2,FALSE)</f>
        <v>100663410</v>
      </c>
      <c r="C197" s="43" t="s">
        <v>880</v>
      </c>
      <c r="D197" s="43" t="s">
        <v>3161</v>
      </c>
      <c r="E197" s="43" t="str">
        <f>VLOOKUP(F197,CHOOSE({2,1},Attributes!B$3:B$130,Attributes!C$3:C$129),2,FALSE)</f>
        <v>DungeonSiegeDamageAttributeSet</v>
      </c>
      <c r="F197" s="43" t="str">
        <f>Attributes!C29</f>
        <v>RangedHitChance</v>
      </c>
      <c r="G197" s="43" t="str">
        <f t="shared" si="9"/>
        <v>(AttributeName="RangedHitChance",Attribute=/Script/DSAbilitySystem.DungeonSiegeDamageAttributeSet:RangedHitChance,AttributeOwner=Class'"/Script/DSAbilitySystem.DungeonSiegeDamageAttributeSet"')</v>
      </c>
      <c r="H197" s="43">
        <v>7</v>
      </c>
      <c r="I197" s="43" t="str">
        <f t="shared" si="10"/>
        <v>GE_Prefix_Valued</v>
      </c>
      <c r="J197" s="43" t="str">
        <f t="shared" si="11"/>
        <v>/Game/DungeonSiege/Blueprints/GameplayAbilities/Affixes/GE_Prefix_Valued</v>
      </c>
    </row>
    <row r="198" spans="1:10" s="23" customFormat="1" ht="33.75" x14ac:dyDescent="0.25">
      <c r="A198" s="43">
        <v>196</v>
      </c>
      <c r="B198" s="43">
        <f>VLOOKUP(C198,CHOOSE({2,1},Prefix!B$2:B$256,Prefix!C$2:C$256),2,FALSE)</f>
        <v>100663411</v>
      </c>
      <c r="C198" s="43" t="s">
        <v>883</v>
      </c>
      <c r="D198" s="43" t="s">
        <v>700</v>
      </c>
      <c r="E198" s="43" t="str">
        <f>VLOOKUP(F198,CHOOSE({2,1},Attributes!B$3:B$130,Attributes!C$3:C$129),2,FALSE)</f>
        <v>DungeonSiegePerHitAttributeSet</v>
      </c>
      <c r="F198" s="43" t="str">
        <f>Attributes!C11</f>
        <v>HealthPerHit</v>
      </c>
      <c r="G198" s="43" t="str">
        <f t="shared" si="9"/>
        <v>(AttributeName="HealthPerHit",Attribute=/Script/DSAbilitySystem.DungeonSiegePerHitAttributeSet:HealthPerHit,AttributeOwner=Class'"/Script/DSAbilitySystem.DungeonSiegePerHitAttributeSet"')</v>
      </c>
      <c r="H198" s="43">
        <v>3</v>
      </c>
      <c r="I198" s="43" t="str">
        <f t="shared" si="10"/>
        <v>GE_Prefix_Incomparable</v>
      </c>
      <c r="J198" s="43" t="str">
        <f t="shared" si="11"/>
        <v>/Game/DungeonSiege/Blueprints/GameplayAbilities/Affixes/GE_Prefix_Incomparable</v>
      </c>
    </row>
    <row r="199" spans="1:10" s="23" customFormat="1" ht="33.75" x14ac:dyDescent="0.25">
      <c r="A199" s="43">
        <v>197</v>
      </c>
      <c r="B199" s="43">
        <f>VLOOKUP(C199,CHOOSE({2,1},Prefix!B$2:B$256,Prefix!C$2:C$256),2,FALSE)</f>
        <v>100663411</v>
      </c>
      <c r="C199" s="43" t="s">
        <v>883</v>
      </c>
      <c r="D199" s="43" t="s">
        <v>884</v>
      </c>
      <c r="E199" s="43" t="str">
        <f>VLOOKUP(F199,CHOOSE({2,1},Attributes!B$3:B$130,Attributes!C$3:C$129),2,FALSE)</f>
        <v>DungeonSiegePerHitAttributeSet</v>
      </c>
      <c r="F199" s="43" t="str">
        <f>Attributes!C12</f>
        <v>ManaPerHit</v>
      </c>
      <c r="G199" s="43" t="str">
        <f t="shared" si="9"/>
        <v>(AttributeName="ManaPerHit",Attribute=/Script/DSAbilitySystem.DungeonSiegePerHitAttributeSet:ManaPerHit,AttributeOwner=Class'"/Script/DSAbilitySystem.DungeonSiegePerHitAttributeSet"')</v>
      </c>
      <c r="H199" s="43">
        <v>1</v>
      </c>
      <c r="I199" s="43" t="str">
        <f t="shared" si="10"/>
        <v>GE_Prefix_Incomparable</v>
      </c>
      <c r="J199" s="43" t="str">
        <f t="shared" si="11"/>
        <v>/Game/DungeonSiege/Blueprints/GameplayAbilities/Affixes/GE_Prefix_Incomparable</v>
      </c>
    </row>
    <row r="200" spans="1:10" s="23" customFormat="1" ht="33.75" x14ac:dyDescent="0.25">
      <c r="A200" s="43">
        <v>198</v>
      </c>
      <c r="B200" s="43">
        <f>VLOOKUP(C200,CHOOSE({2,1},Prefix!B$2:B$256,Prefix!C$2:C$256),2,FALSE)</f>
        <v>100663411</v>
      </c>
      <c r="C200" s="43" t="s">
        <v>883</v>
      </c>
      <c r="D200" s="43" t="s">
        <v>753</v>
      </c>
      <c r="E200" s="43" t="str">
        <f>VLOOKUP(F200,CHOOSE({2,1},Attributes!B$3:B$130,Attributes!C$3:C$129),2,FALSE)</f>
        <v>DungeonSiegeExperienceAttributeSet</v>
      </c>
      <c r="F200" s="43" t="str">
        <f>Attributes!C8</f>
        <v>Ranged</v>
      </c>
      <c r="G200" s="43" t="str">
        <f t="shared" si="9"/>
        <v>(AttributeName="Ranged",Attribute=/Script/DSAbilitySystem.DungeonSiegeExperienceAttributeSet:Ranged,AttributeOwner=Class'"/Script/DSAbilitySystem.DungeonSiegeExperienceAttributeSet"')</v>
      </c>
      <c r="H200" s="43">
        <v>4</v>
      </c>
      <c r="I200" s="43" t="str">
        <f t="shared" si="10"/>
        <v>GE_Prefix_Incomparable</v>
      </c>
      <c r="J200" s="43" t="str">
        <f t="shared" si="11"/>
        <v>/Game/DungeonSiege/Blueprints/GameplayAbilities/Affixes/GE_Prefix_Incomparable</v>
      </c>
    </row>
    <row r="201" spans="1:10" s="23" customFormat="1" ht="45" x14ac:dyDescent="0.25">
      <c r="A201" s="43">
        <v>199</v>
      </c>
      <c r="B201" s="43">
        <f>VLOOKUP(C201,CHOOSE({2,1},Prefix!B$2:B$256,Prefix!C$2:C$256),2,FALSE)</f>
        <v>100663411</v>
      </c>
      <c r="C201" s="43" t="s">
        <v>883</v>
      </c>
      <c r="D201" s="43" t="s">
        <v>715</v>
      </c>
      <c r="E201" s="43" t="str">
        <f>VLOOKUP(F201,CHOOSE({2,1},Attributes!B$3:B$130,Attributes!C$3:C$129),2,FALSE)</f>
        <v>DungeonSiegeDamageAttributeSet</v>
      </c>
      <c r="F201" s="43" t="str">
        <f>Attributes!C21</f>
        <v>PercentDamageReflectedToEnemy</v>
      </c>
      <c r="G201" s="43" t="str">
        <f t="shared" si="9"/>
        <v>(AttributeName="PercentDamageReflectedToEnemy",Attribute=/Script/DSAbilitySystem.DungeonSiegeDamageAttributeSet:PercentDamageReflectedToEnemy,AttributeOwner=Class'"/Script/DSAbilitySystem.DungeonSiegeDamageAttributeSet"')</v>
      </c>
      <c r="H201" s="43">
        <v>3</v>
      </c>
      <c r="I201" s="43" t="str">
        <f t="shared" si="10"/>
        <v>GE_Prefix_Incomparable</v>
      </c>
      <c r="J201" s="43" t="str">
        <f t="shared" si="11"/>
        <v>/Game/DungeonSiege/Blueprints/GameplayAbilities/Affixes/GE_Prefix_Incomparable</v>
      </c>
    </row>
    <row r="202" spans="1:10" ht="33.75" x14ac:dyDescent="0.25">
      <c r="A202" s="43">
        <v>200</v>
      </c>
      <c r="B202" s="43">
        <f>VLOOKUP(C202,CHOOSE({2,1},Prefix!B$2:B$256,Prefix!C$2:C$256),2,FALSE)</f>
        <v>100663411</v>
      </c>
      <c r="C202" s="43" t="s">
        <v>883</v>
      </c>
      <c r="D202" s="43" t="s">
        <v>3174</v>
      </c>
      <c r="E202" s="43" t="str">
        <f>VLOOKUP(F202,CHOOSE({2,1},Attributes!B$3:B$130,Attributes!C$3:C$129),2,FALSE)</f>
        <v>DungeonSiegeDamageAttributeSet</v>
      </c>
      <c r="F202" s="43" t="str">
        <f>Attributes!C30</f>
        <v>ChanceToDodgeRangeAttack</v>
      </c>
      <c r="G202" s="43" t="str">
        <f t="shared" si="9"/>
        <v>(AttributeName="ChanceToDodgeRangeAttack",Attribute=/Script/DSAbilitySystem.DungeonSiegeDamageAttributeSet:ChanceToDodgeRangeAttack,AttributeOwner=Class'"/Script/DSAbilitySystem.DungeonSiegeDamageAttributeSet"')</v>
      </c>
      <c r="H202" s="43">
        <v>4</v>
      </c>
      <c r="I202" s="43" t="str">
        <f t="shared" si="10"/>
        <v>GE_Prefix_Incomparable</v>
      </c>
      <c r="J202" s="43" t="str">
        <f t="shared" si="11"/>
        <v>/Game/DungeonSiege/Blueprints/GameplayAbilities/Affixes/GE_Prefix_Incomparable</v>
      </c>
    </row>
    <row r="203" spans="1:10" s="23" customFormat="1" ht="33.75" x14ac:dyDescent="0.25">
      <c r="A203" s="43">
        <v>201</v>
      </c>
      <c r="B203" s="43">
        <f>VLOOKUP(C203,CHOOSE({2,1},Prefix!B$2:B$256,Prefix!C$2:C$256),2,FALSE)</f>
        <v>100663412</v>
      </c>
      <c r="C203" s="43" t="s">
        <v>886</v>
      </c>
      <c r="D203" s="43" t="s">
        <v>855</v>
      </c>
      <c r="E203" s="43" t="str">
        <f>VLOOKUP(F203,CHOOSE({2,1},Attributes!B$3:B$130,Attributes!C$3:C$129),2,FALSE)</f>
        <v>DungeonSiegeExperienceAttributeSet</v>
      </c>
      <c r="F203" s="43" t="str">
        <f>Attributes!C9</f>
        <v>Melee</v>
      </c>
      <c r="G203" s="43" t="str">
        <f t="shared" si="9"/>
        <v>(AttributeName="Melee",Attribute=/Script/DSAbilitySystem.DungeonSiegeExperienceAttributeSet:Melee,AttributeOwner=Class'"/Script/DSAbilitySystem.DungeonSiegeExperienceAttributeSet"')</v>
      </c>
      <c r="H203" s="43">
        <v>4</v>
      </c>
      <c r="I203" s="43" t="str">
        <f t="shared" si="10"/>
        <v>GE_Prefix_Informal</v>
      </c>
      <c r="J203" s="43" t="str">
        <f t="shared" si="11"/>
        <v>/Game/DungeonSiege/Blueprints/GameplayAbilities/Affixes/GE_Prefix_Informal</v>
      </c>
    </row>
    <row r="204" spans="1:10" s="23" customFormat="1" ht="33.75" x14ac:dyDescent="0.25">
      <c r="A204" s="43">
        <v>202</v>
      </c>
      <c r="B204" s="43">
        <f>VLOOKUP(C204,CHOOSE({2,1},Prefix!B$2:B$256,Prefix!C$2:C$256),2,FALSE)</f>
        <v>100663412</v>
      </c>
      <c r="C204" s="43" t="s">
        <v>886</v>
      </c>
      <c r="D204" s="43" t="s">
        <v>3175</v>
      </c>
      <c r="E204" s="43" t="str">
        <f>VLOOKUP(F204,CHOOSE({2,1},Attributes!B$3:B$130,Attributes!C$3:C$129),2,FALSE)</f>
        <v>DungeonSiegeDamageAttributeSet</v>
      </c>
      <c r="F204" s="43" t="str">
        <f>Attributes!C31</f>
        <v>PercentMeleeDamageReduction</v>
      </c>
      <c r="G204" s="43" t="str">
        <f t="shared" si="9"/>
        <v>(AttributeName="PercentMeleeDamageReduction",Attribute=/Script/DSAbilitySystem.DungeonSiegeDamageAttributeSet:PercentMeleeDamageReduction,AttributeOwner=Class'"/Script/DSAbilitySystem.DungeonSiegeDamageAttributeSet"')</v>
      </c>
      <c r="H204" s="43">
        <v>4</v>
      </c>
      <c r="I204" s="43" t="str">
        <f t="shared" si="10"/>
        <v>GE_Prefix_Informal</v>
      </c>
      <c r="J204" s="43" t="str">
        <f t="shared" si="11"/>
        <v>/Game/DungeonSiege/Blueprints/GameplayAbilities/Affixes/GE_Prefix_Informal</v>
      </c>
    </row>
    <row r="205" spans="1:10" ht="33.75" x14ac:dyDescent="0.25">
      <c r="A205" s="43">
        <v>203</v>
      </c>
      <c r="B205" s="43">
        <f>VLOOKUP(C205,CHOOSE({2,1},Prefix!B$2:B$256,Prefix!C$2:C$256),2,FALSE)</f>
        <v>100663412</v>
      </c>
      <c r="C205" s="43" t="s">
        <v>886</v>
      </c>
      <c r="D205" s="43" t="s">
        <v>3176</v>
      </c>
      <c r="E205" s="43" t="str">
        <f>VLOOKUP(F205,CHOOSE({2,1},Attributes!B$3:B$130,Attributes!C$3:C$129),2,FALSE)</f>
        <v>DungeonSiegeDamageAttributeSet</v>
      </c>
      <c r="F205" s="43" t="str">
        <f>Attributes!C34</f>
        <v>ChanceToDodgeMeleeAttack</v>
      </c>
      <c r="G205" s="43" t="str">
        <f t="shared" si="9"/>
        <v>(AttributeName="ChanceToDodgeMeleeAttack",Attribute=/Script/DSAbilitySystem.DungeonSiegeDamageAttributeSet:ChanceToDodgeMeleeAttack,AttributeOwner=Class'"/Script/DSAbilitySystem.DungeonSiegeDamageAttributeSet"')</v>
      </c>
      <c r="H205" s="43">
        <v>6</v>
      </c>
      <c r="I205" s="43" t="str">
        <f t="shared" si="10"/>
        <v>GE_Prefix_Informal</v>
      </c>
      <c r="J205" s="43" t="str">
        <f t="shared" si="11"/>
        <v>/Game/DungeonSiege/Blueprints/GameplayAbilities/Affixes/GE_Prefix_Informal</v>
      </c>
    </row>
    <row r="206" spans="1:10" ht="33.75" x14ac:dyDescent="0.25">
      <c r="A206" s="43">
        <v>204</v>
      </c>
      <c r="B206" s="43">
        <f>VLOOKUP(C206,CHOOSE({2,1},Prefix!B$2:B$256,Prefix!C$2:C$256),2,FALSE)</f>
        <v>100663413</v>
      </c>
      <c r="C206" s="43" t="s">
        <v>309</v>
      </c>
      <c r="D206" s="43" t="s">
        <v>308</v>
      </c>
      <c r="E206" s="43" t="str">
        <f>VLOOKUP(F206,CHOOSE({2,1},Attributes!B$3:B$130,Attributes!C$3:C$129),2,FALSE)</f>
        <v>DungeonSiegeMagicAttributeSet</v>
      </c>
      <c r="F206" s="43" t="str">
        <f>Attributes!C43</f>
        <v>PercentMagicDamageReduction</v>
      </c>
      <c r="G206" s="43" t="str">
        <f t="shared" si="9"/>
        <v>(AttributeName="PercentMagicDamageReduction",Attribute=/Script/DSAbilitySystem.DungeonSiegeMagicAttributeSet:PercentMagicDamageReduction,AttributeOwner=Class'"/Script/DSAbilitySystem.DungeonSiegeMagicAttributeSet"')</v>
      </c>
      <c r="H206" s="43">
        <v>20</v>
      </c>
      <c r="I206" s="43" t="str">
        <f t="shared" si="10"/>
        <v>GE_Prefix_Ruthless</v>
      </c>
      <c r="J206" s="43" t="str">
        <f t="shared" si="11"/>
        <v>/Game/DungeonSiege/Blueprints/GameplayAbilities/Affixes/GE_Prefix_Ruthless</v>
      </c>
    </row>
    <row r="207" spans="1:10" ht="33.75" x14ac:dyDescent="0.25">
      <c r="A207" s="43">
        <v>205</v>
      </c>
      <c r="B207" s="43">
        <f>VLOOKUP(C207,CHOOSE({2,1},Prefix!B$2:B$256,Prefix!C$2:C$256),2,FALSE)</f>
        <v>100663414</v>
      </c>
      <c r="C207" s="43" t="s">
        <v>888</v>
      </c>
      <c r="D207" s="43" t="s">
        <v>889</v>
      </c>
      <c r="E207" s="43" t="str">
        <f>VLOOKUP(F207,CHOOSE({2,1},Attributes!B$3:B$130,Attributes!C$3:C$129),2,FALSE)</f>
        <v>DungeonSiegeDamageAttributeSet</v>
      </c>
      <c r="F207" s="43" t="str">
        <f>Attributes!C32</f>
        <v>ChanceToBlockMeleeAttack</v>
      </c>
      <c r="G207" s="43" t="str">
        <f t="shared" si="9"/>
        <v>(AttributeName="ChanceToBlockMeleeAttack",Attribute=/Script/DSAbilitySystem.DungeonSiegeDamageAttributeSet:ChanceToBlockMeleeAttack,AttributeOwner=Class'"/Script/DSAbilitySystem.DungeonSiegeDamageAttributeSet"')</v>
      </c>
      <c r="H207" s="43">
        <v>13</v>
      </c>
      <c r="I207" s="43" t="str">
        <f t="shared" si="10"/>
        <v>GE_Prefix_Steadfast</v>
      </c>
      <c r="J207" s="43" t="str">
        <f t="shared" si="11"/>
        <v>/Game/DungeonSiege/Blueprints/GameplayAbilities/Affixes/GE_Prefix_Steadfast</v>
      </c>
    </row>
    <row r="208" spans="1:10" ht="33.75" x14ac:dyDescent="0.25">
      <c r="A208" s="43">
        <v>206</v>
      </c>
      <c r="B208" s="43">
        <f>VLOOKUP(C208,CHOOSE({2,1},Prefix!B$2:B$256,Prefix!C$2:C$256),2,FALSE)</f>
        <v>100663415</v>
      </c>
      <c r="C208" s="43" t="s">
        <v>891</v>
      </c>
      <c r="D208" s="43" t="s">
        <v>3219</v>
      </c>
      <c r="E208" s="43" t="str">
        <f>VLOOKUP(F208,CHOOSE({2,1},Attributes!B$3:B$130,Attributes!C$3:C$129),2,FALSE)</f>
        <v>DungeonSiegeStatusEffectAttributeSet</v>
      </c>
      <c r="F208" s="43" t="str">
        <f>Attributes!C52</f>
        <v>ChanceToAcidify</v>
      </c>
      <c r="G208" s="43" t="str">
        <f t="shared" si="9"/>
        <v>(AttributeName="ChanceToAcidify",Attribute=/Script/DSAbilitySystem.DungeonSiegeStatusEffectAttributeSet:ChanceToAcidify,AttributeOwner=Class'"/Script/DSAbilitySystem.DungeonSiegeStatusEffectAttributeSet"')</v>
      </c>
      <c r="H208" s="43">
        <v>15</v>
      </c>
      <c r="I208" s="43" t="str">
        <f t="shared" si="10"/>
        <v>GE_Prefix_Vaporizing</v>
      </c>
      <c r="J208" s="43" t="str">
        <f t="shared" si="11"/>
        <v>/Game/DungeonSiege/Blueprints/GameplayAbilities/Affixes/GE_Prefix_Vaporizing</v>
      </c>
    </row>
    <row r="209" spans="1:10" s="23" customFormat="1" ht="33.75" x14ac:dyDescent="0.25">
      <c r="A209" s="43">
        <v>207</v>
      </c>
      <c r="B209" s="43">
        <f>VLOOKUP(C209,CHOOSE({2,1},Prefix!B$2:B$256,Prefix!C$2:C$256),2,FALSE)</f>
        <v>100663415</v>
      </c>
      <c r="C209" s="43" t="s">
        <v>891</v>
      </c>
      <c r="D209" s="43" t="s">
        <v>3164</v>
      </c>
      <c r="E209" s="43" t="str">
        <f>VLOOKUP(F209,CHOOSE({2,1},Attributes!B$3:B$130,Attributes!C$3:C$129),2,FALSE)</f>
        <v>DungeonSiegeStatusEffectAttributeSet</v>
      </c>
      <c r="F209" s="43" t="str">
        <f>Attributes!C53</f>
        <v>AcidMinDamageMod</v>
      </c>
      <c r="G209" s="43" t="str">
        <f t="shared" si="9"/>
        <v>(AttributeName="AcidMinDamageMod",Attribute=/Script/DSAbilitySystem.DungeonSiegeStatusEffectAttributeSet:AcidMinDamageMod,AttributeOwner=Class'"/Script/DSAbilitySystem.DungeonSiegeStatusEffectAttributeSet"')</v>
      </c>
      <c r="H209" s="43">
        <v>10</v>
      </c>
      <c r="I209" s="43" t="str">
        <f t="shared" si="10"/>
        <v>GE_Prefix_Vaporizing</v>
      </c>
      <c r="J209" s="43" t="str">
        <f t="shared" si="11"/>
        <v>/Game/DungeonSiege/Blueprints/GameplayAbilities/Affixes/GE_Prefix_Vaporizing</v>
      </c>
    </row>
    <row r="210" spans="1:10" ht="33.75" x14ac:dyDescent="0.25">
      <c r="A210" s="43">
        <v>208</v>
      </c>
      <c r="B210" s="43">
        <f>VLOOKUP(C210,CHOOSE({2,1},Prefix!B$2:B$256,Prefix!C$2:C$256),2,FALSE)</f>
        <v>100663415</v>
      </c>
      <c r="C210" s="43" t="s">
        <v>891</v>
      </c>
      <c r="D210" s="43" t="s">
        <v>3164</v>
      </c>
      <c r="E210" s="43" t="str">
        <f>VLOOKUP(F210,CHOOSE({2,1},Attributes!B$3:B$130,Attributes!C$3:C$129),2,FALSE)</f>
        <v>DungeonSiegeStatusEffectAttributeSet</v>
      </c>
      <c r="F210" s="43" t="str">
        <f>Attributes!C54</f>
        <v>AcidMaxDamageMod</v>
      </c>
      <c r="G210" s="43" t="str">
        <f t="shared" si="9"/>
        <v>(AttributeName="AcidMaxDamageMod",Attribute=/Script/DSAbilitySystem.DungeonSiegeStatusEffectAttributeSet:AcidMaxDamageMod,AttributeOwner=Class'"/Script/DSAbilitySystem.DungeonSiegeStatusEffectAttributeSet"')</v>
      </c>
      <c r="H210" s="43">
        <v>20</v>
      </c>
      <c r="I210" s="43" t="str">
        <f t="shared" si="10"/>
        <v>GE_Prefix_Vaporizing</v>
      </c>
      <c r="J210" s="43" t="str">
        <f t="shared" si="11"/>
        <v>/Game/DungeonSiege/Blueprints/GameplayAbilities/Affixes/GE_Prefix_Vaporizing</v>
      </c>
    </row>
    <row r="211" spans="1:10" ht="33.75" x14ac:dyDescent="0.25">
      <c r="A211" s="43">
        <v>209</v>
      </c>
      <c r="B211" s="43">
        <f>VLOOKUP(C211,CHOOSE({2,1},Prefix!B$2:B$256,Prefix!C$2:C$256),2,FALSE)</f>
        <v>100663416</v>
      </c>
      <c r="C211" s="43" t="s">
        <v>306</v>
      </c>
      <c r="D211" s="43" t="s">
        <v>305</v>
      </c>
      <c r="E211" s="43" t="str">
        <f>VLOOKUP(F211,CHOOSE({2,1},Attributes!B$3:B$130,Attributes!C$3:C$129),2,FALSE)</f>
        <v>DungeonSiegeMagicAttributeSet</v>
      </c>
      <c r="F211" s="43" t="str">
        <f>Attributes!C45</f>
        <v>ColdDamageAmplification</v>
      </c>
      <c r="G211" s="43" t="str">
        <f t="shared" si="9"/>
        <v>(AttributeName="ColdDamageAmplification",Attribute=/Script/DSAbilitySystem.DungeonSiegeMagicAttributeSet:ColdDamageAmplification,AttributeOwner=Class'"/Script/DSAbilitySystem.DungeonSiegeMagicAttributeSet"')</v>
      </c>
      <c r="H211" s="43">
        <v>20</v>
      </c>
      <c r="I211" s="43" t="str">
        <f t="shared" si="10"/>
        <v>GE_Prefix_Wintry</v>
      </c>
      <c r="J211" s="43" t="str">
        <f t="shared" si="11"/>
        <v>/Game/DungeonSiege/Blueprints/GameplayAbilities/Affixes/GE_Prefix_Wintry</v>
      </c>
    </row>
    <row r="212" spans="1:10" ht="33.75" x14ac:dyDescent="0.25">
      <c r="A212" s="43">
        <v>210</v>
      </c>
      <c r="B212" s="43">
        <f>VLOOKUP(C212,CHOOSE({2,1},Prefix!B$2:B$256,Prefix!C$2:C$256),2,FALSE)</f>
        <v>100663417</v>
      </c>
      <c r="C212" s="43" t="s">
        <v>892</v>
      </c>
      <c r="D212" s="43" t="s">
        <v>302</v>
      </c>
      <c r="E212" s="43" t="str">
        <f>VLOOKUP(F212,CHOOSE({2,1},Attributes!B$3:B$130,Attributes!C$3:C$129),2,FALSE)</f>
        <v>DungeonSiegeMagicAttributeSet</v>
      </c>
      <c r="F212" s="43" t="str">
        <f>Attributes!C47</f>
        <v>FireDamageAmplification</v>
      </c>
      <c r="G212" s="43" t="str">
        <f t="shared" si="9"/>
        <v>(AttributeName="FireDamageAmplification",Attribute=/Script/DSAbilitySystem.DungeonSiegeMagicAttributeSet:FireDamageAmplification,AttributeOwner=Class'"/Script/DSAbilitySystem.DungeonSiegeMagicAttributeSet"')</v>
      </c>
      <c r="H212" s="43">
        <v>20</v>
      </c>
      <c r="I212" s="43" t="str">
        <f t="shared" si="10"/>
        <v>GE_Prefix_smoldering</v>
      </c>
      <c r="J212" s="43" t="str">
        <f t="shared" si="11"/>
        <v>/Game/DungeonSiege/Blueprints/GameplayAbilities/Affixes/GE_Prefix_smoldering</v>
      </c>
    </row>
    <row r="213" spans="1:10" ht="33.75" x14ac:dyDescent="0.25">
      <c r="A213" s="43">
        <v>211</v>
      </c>
      <c r="B213" s="43">
        <f>VLOOKUP(C213,CHOOSE({2,1},Prefix!B$2:B$256,Prefix!C$2:C$256),2,FALSE)</f>
        <v>100663424</v>
      </c>
      <c r="C213" s="43" t="s">
        <v>893</v>
      </c>
      <c r="D213" s="43" t="s">
        <v>299</v>
      </c>
      <c r="E213" s="43" t="str">
        <f>VLOOKUP(F213,CHOOSE({2,1},Attributes!B$3:B$130,Attributes!C$3:C$129),2,FALSE)</f>
        <v>DungeonSiegeMagicAttributeSet</v>
      </c>
      <c r="F213" s="43" t="str">
        <f>Attributes!C48</f>
        <v>ElectricDamageAmplification</v>
      </c>
      <c r="G213" s="43" t="str">
        <f t="shared" si="9"/>
        <v>(AttributeName="ElectricDamageAmplification",Attribute=/Script/DSAbilitySystem.DungeonSiegeMagicAttributeSet:ElectricDamageAmplification,AttributeOwner=Class'"/Script/DSAbilitySystem.DungeonSiegeMagicAttributeSet"')</v>
      </c>
      <c r="H213" s="43">
        <v>20</v>
      </c>
      <c r="I213" s="43" t="str">
        <f t="shared" si="10"/>
        <v>GE_Prefix_electric</v>
      </c>
      <c r="J213" s="43" t="str">
        <f t="shared" si="11"/>
        <v>/Game/DungeonSiege/Blueprints/GameplayAbilities/Affixes/GE_Prefix_electric</v>
      </c>
    </row>
    <row r="214" spans="1:10" ht="33.75" x14ac:dyDescent="0.25">
      <c r="A214" s="43">
        <v>212</v>
      </c>
      <c r="B214" s="43">
        <f>VLOOKUP(C214,CHOOSE({2,1},Prefix!B$2:B$256,Prefix!C$2:C$256),2,FALSE)</f>
        <v>100663425</v>
      </c>
      <c r="C214" s="43" t="s">
        <v>894</v>
      </c>
      <c r="D214" s="43" t="s">
        <v>726</v>
      </c>
      <c r="E214" s="43" t="str">
        <f>VLOOKUP(F214,CHOOSE({2,1},Attributes!B$3:B$130,Attributes!C$3:C$129),2,FALSE)</f>
        <v>DungeonSiegeExperienceAttributeSet</v>
      </c>
      <c r="F214" s="43" t="str">
        <f>Attributes!C9</f>
        <v>Melee</v>
      </c>
      <c r="G214" s="43" t="str">
        <f t="shared" si="9"/>
        <v>(AttributeName="Melee",Attribute=/Script/DSAbilitySystem.DungeonSiegeExperienceAttributeSet:Melee,AttributeOwner=Class'"/Script/DSAbilitySystem.DungeonSiegeExperienceAttributeSet"')</v>
      </c>
      <c r="H214" s="43">
        <v>5</v>
      </c>
      <c r="I214" s="43" t="str">
        <f t="shared" si="10"/>
        <v>GE_Prefix_Devastating</v>
      </c>
      <c r="J214" s="43" t="str">
        <f t="shared" si="11"/>
        <v>/Game/DungeonSiege/Blueprints/GameplayAbilities/Affixes/GE_Prefix_Devastating</v>
      </c>
    </row>
    <row r="215" spans="1:10" ht="33.75" x14ac:dyDescent="0.25">
      <c r="A215" s="43">
        <v>213</v>
      </c>
      <c r="B215" s="43">
        <f>VLOOKUP(C215,CHOOSE({2,1},Prefix!B$2:B$256,Prefix!C$2:C$256),2,FALSE)</f>
        <v>100663426</v>
      </c>
      <c r="C215" s="43" t="s">
        <v>896</v>
      </c>
      <c r="D215" s="43" t="s">
        <v>702</v>
      </c>
      <c r="E215" s="43" t="str">
        <f>VLOOKUP(F215,CHOOSE({2,1},Attributes!B$3:B$130,Attributes!C$3:C$129),2,FALSE)</f>
        <v>DungeonSiegeDamageAttributeSet</v>
      </c>
      <c r="F215" s="43" t="str">
        <f>Attributes!C24</f>
        <v>PercentPiercingDamageReduction</v>
      </c>
      <c r="G215" s="43" t="str">
        <f t="shared" si="9"/>
        <v>(AttributeName="PercentPiercingDamageReduction",Attribute=/Script/DSAbilitySystem.DungeonSiegeDamageAttributeSet:PercentPiercingDamageReduction,AttributeOwner=Class'"/Script/DSAbilitySystem.DungeonSiegeDamageAttributeSet"')</v>
      </c>
      <c r="H215" s="43">
        <v>16</v>
      </c>
      <c r="I215" s="43" t="str">
        <f t="shared" si="10"/>
        <v>GE_Prefix_Resilient</v>
      </c>
      <c r="J215" s="43" t="str">
        <f t="shared" si="11"/>
        <v>/Game/DungeonSiege/Blueprints/GameplayAbilities/Affixes/GE_Prefix_Resilient</v>
      </c>
    </row>
    <row r="216" spans="1:10" ht="33.75" x14ac:dyDescent="0.25">
      <c r="A216" s="43">
        <v>214</v>
      </c>
      <c r="B216" s="43">
        <f>VLOOKUP(C216,CHOOSE({2,1},Prefix!B$2:B$256,Prefix!C$2:C$256),2,FALSE)</f>
        <v>100663427</v>
      </c>
      <c r="C216" s="43" t="s">
        <v>297</v>
      </c>
      <c r="D216" s="43" t="s">
        <v>296</v>
      </c>
      <c r="E216" s="43" t="str">
        <f>VLOOKUP(F216,CHOOSE({2,1},Attributes!B$3:B$130,Attributes!C$3:C$129),2,FALSE)</f>
        <v>DungeonSiegeExperienceAttributeSet</v>
      </c>
      <c r="F216" s="43" t="str">
        <f>Attributes!C3</f>
        <v>Strength</v>
      </c>
      <c r="G216" s="43" t="str">
        <f t="shared" si="9"/>
        <v>(AttributeName="Strength",Attribute=/Script/DSAbilitySystem.DungeonSiegeExperienceAttributeSet:Strength,AttributeOwner=Class'"/Script/DSAbilitySystem.DungeonSiegeExperienceAttributeSet"')</v>
      </c>
      <c r="H216" s="43">
        <v>4</v>
      </c>
      <c r="I216" s="43" t="str">
        <f t="shared" si="10"/>
        <v>GE_Prefix_Iron_Bound</v>
      </c>
      <c r="J216" s="43" t="str">
        <f t="shared" si="11"/>
        <v>/Game/DungeonSiege/Blueprints/GameplayAbilities/Affixes/GE_Prefix_Iron_Bound</v>
      </c>
    </row>
    <row r="217" spans="1:10" ht="33.75" x14ac:dyDescent="0.25">
      <c r="A217" s="43">
        <v>215</v>
      </c>
      <c r="B217" s="43">
        <f>VLOOKUP(C217,CHOOSE({2,1},Prefix!B$2:B$256,Prefix!C$2:C$256),2,FALSE)</f>
        <v>100663428</v>
      </c>
      <c r="C217" s="43" t="s">
        <v>898</v>
      </c>
      <c r="D217" s="43" t="s">
        <v>729</v>
      </c>
      <c r="E217" s="43" t="str">
        <f>VLOOKUP(F217,CHOOSE({2,1},Attributes!B$3:B$130,Attributes!C$3:C$129),2,FALSE)</f>
        <v>DungeonSiegeExperienceAttributeSet</v>
      </c>
      <c r="F217" s="43" t="str">
        <f>Attributes!C8</f>
        <v>Ranged</v>
      </c>
      <c r="G217" s="43" t="str">
        <f t="shared" si="9"/>
        <v>(AttributeName="Ranged",Attribute=/Script/DSAbilitySystem.DungeonSiegeExperienceAttributeSet:Ranged,AttributeOwner=Class'"/Script/DSAbilitySystem.DungeonSiegeExperienceAttributeSet"')</v>
      </c>
      <c r="H217" s="43">
        <v>5</v>
      </c>
      <c r="I217" s="43" t="str">
        <f t="shared" si="10"/>
        <v>GE_Prefix_Soaring</v>
      </c>
      <c r="J217" s="43" t="str">
        <f t="shared" si="11"/>
        <v>/Game/DungeonSiege/Blueprints/GameplayAbilities/Affixes/GE_Prefix_Soaring</v>
      </c>
    </row>
    <row r="218" spans="1:10" ht="33.75" x14ac:dyDescent="0.25">
      <c r="A218" s="43">
        <v>216</v>
      </c>
      <c r="B218" s="43">
        <f>VLOOKUP(C218,CHOOSE({2,1},Prefix!B$2:B$256,Prefix!C$2:C$256),2,FALSE)</f>
        <v>100663429</v>
      </c>
      <c r="C218" s="43" t="s">
        <v>900</v>
      </c>
      <c r="D218" s="43" t="s">
        <v>293</v>
      </c>
      <c r="E218" s="43" t="str">
        <f>VLOOKUP(F218,CHOOSE({2,1},Attributes!B$3:B$130,Attributes!C$3:C$129),2,FALSE)</f>
        <v>DungeonSiegeExperienceAttributeSet</v>
      </c>
      <c r="F218" s="43" t="str">
        <f>Attributes!C7</f>
        <v>NatureMagic</v>
      </c>
      <c r="G218" s="43" t="str">
        <f t="shared" si="9"/>
        <v>(AttributeName="NatureMagic",Attribute=/Script/DSAbilitySystem.DungeonSiegeExperienceAttributeSet:NatureMagic,AttributeOwner=Class'"/Script/DSAbilitySystem.DungeonSiegeExperienceAttributeSet"')</v>
      </c>
      <c r="H218" s="43">
        <v>4</v>
      </c>
      <c r="I218" s="43" t="str">
        <f t="shared" si="10"/>
        <v>GE_Prefix_Terranean</v>
      </c>
      <c r="J218" s="43" t="str">
        <f t="shared" si="11"/>
        <v>/Game/DungeonSiege/Blueprints/GameplayAbilities/Affixes/GE_Prefix_Terranean</v>
      </c>
    </row>
    <row r="219" spans="1:10" ht="33.75" x14ac:dyDescent="0.25">
      <c r="A219" s="43">
        <v>217</v>
      </c>
      <c r="B219" s="43">
        <f>VLOOKUP(C219,CHOOSE({2,1},Prefix!B$2:B$256,Prefix!C$2:C$256),2,FALSE)</f>
        <v>100663430</v>
      </c>
      <c r="C219" s="43" t="s">
        <v>902</v>
      </c>
      <c r="D219" s="43" t="s">
        <v>903</v>
      </c>
      <c r="E219" s="43" t="str">
        <f>VLOOKUP(F219,CHOOSE({2,1},Attributes!B$3:B$130,Attributes!C$3:C$129),2,FALSE)</f>
        <v>DungeonSiegeDamageAttributeSet</v>
      </c>
      <c r="F219" s="43" t="str">
        <f>Attributes!C27</f>
        <v>PercentRangedDamageReduction</v>
      </c>
      <c r="G219" s="43" t="str">
        <f t="shared" si="9"/>
        <v>(AttributeName="PercentRangedDamageReduction",Attribute=/Script/DSAbilitySystem.DungeonSiegeDamageAttributeSet:PercentRangedDamageReduction,AttributeOwner=Class'"/Script/DSAbilitySystem.DungeonSiegeDamageAttributeSet"')</v>
      </c>
      <c r="H219" s="43">
        <v>15</v>
      </c>
      <c r="I219" s="43" t="str">
        <f t="shared" si="10"/>
        <v>GE_Prefix_Obstructing</v>
      </c>
      <c r="J219" s="43" t="str">
        <f t="shared" si="11"/>
        <v>/Game/DungeonSiege/Blueprints/GameplayAbilities/Affixes/GE_Prefix_Obstructing</v>
      </c>
    </row>
    <row r="220" spans="1:10" ht="33.75" x14ac:dyDescent="0.25">
      <c r="A220" s="43">
        <v>218</v>
      </c>
      <c r="B220" s="43">
        <f>VLOOKUP(C220,CHOOSE({2,1},Prefix!B$2:B$256,Prefix!C$2:C$256),2,FALSE)</f>
        <v>100663431</v>
      </c>
      <c r="C220" s="43" t="s">
        <v>905</v>
      </c>
      <c r="D220" s="43" t="s">
        <v>906</v>
      </c>
      <c r="E220" s="43" t="str">
        <f>VLOOKUP(F220,CHOOSE({2,1},Attributes!B$3:B$130,Attributes!C$3:C$129),2,FALSE)</f>
        <v>DungeonSiegeDamageAttributeSet</v>
      </c>
      <c r="F220" s="43" t="str">
        <f>Attributes!C28</f>
        <v>ChanceToBlockRangedAttack</v>
      </c>
      <c r="G220" s="43" t="str">
        <f t="shared" si="9"/>
        <v>(AttributeName="ChanceToBlockRangedAttack",Attribute=/Script/DSAbilitySystem.DungeonSiegeDamageAttributeSet:ChanceToBlockRangedAttack,AttributeOwner=Class'"/Script/DSAbilitySystem.DungeonSiegeDamageAttributeSet"')</v>
      </c>
      <c r="H220" s="43">
        <v>15</v>
      </c>
      <c r="I220" s="43" t="str">
        <f t="shared" si="10"/>
        <v>GE_Prefix_Conserving</v>
      </c>
      <c r="J220" s="43" t="str">
        <f t="shared" si="11"/>
        <v>/Game/DungeonSiege/Blueprints/GameplayAbilities/Affixes/GE_Prefix_Conserving</v>
      </c>
    </row>
    <row r="221" spans="1:10" s="23" customFormat="1" ht="33.75" x14ac:dyDescent="0.25">
      <c r="A221" s="43">
        <v>219</v>
      </c>
      <c r="B221" s="43">
        <f>VLOOKUP(C221,CHOOSE({2,1},Prefix!B$2:B$256,Prefix!C$2:C$256),2,FALSE)</f>
        <v>100663432</v>
      </c>
      <c r="C221" s="43" t="s">
        <v>908</v>
      </c>
      <c r="D221" s="43" t="s">
        <v>227</v>
      </c>
      <c r="E221" s="43" t="str">
        <f>VLOOKUP(F221,CHOOSE({2,1},Attributes!B$3:B$130,Attributes!C$3:C$129),2,FALSE)</f>
        <v>DungeonSiegeExperienceAttributeSet</v>
      </c>
      <c r="F221" s="43" t="str">
        <f>Attributes!C3</f>
        <v>Strength</v>
      </c>
      <c r="G221" s="43" t="str">
        <f t="shared" si="9"/>
        <v>(AttributeName="Strength",Attribute=/Script/DSAbilitySystem.DungeonSiegeExperienceAttributeSet:Strength,AttributeOwner=Class'"/Script/DSAbilitySystem.DungeonSiegeExperienceAttributeSet"')</v>
      </c>
      <c r="H221" s="43">
        <v>1</v>
      </c>
      <c r="I221" s="43" t="str">
        <f t="shared" si="10"/>
        <v>GE_Prefix_Respected</v>
      </c>
      <c r="J221" s="43" t="str">
        <f t="shared" si="11"/>
        <v>/Game/DungeonSiege/Blueprints/GameplayAbilities/Affixes/GE_Prefix_Respected</v>
      </c>
    </row>
    <row r="222" spans="1:10" s="23" customFormat="1" ht="33.75" x14ac:dyDescent="0.25">
      <c r="A222" s="43">
        <v>220</v>
      </c>
      <c r="B222" s="43">
        <f>VLOOKUP(C222,CHOOSE({2,1},Prefix!B$2:B$256,Prefix!C$2:C$256),2,FALSE)</f>
        <v>100663432</v>
      </c>
      <c r="C222" s="43" t="s">
        <v>908</v>
      </c>
      <c r="D222" s="43" t="s">
        <v>87</v>
      </c>
      <c r="E222" s="43" t="str">
        <f>VLOOKUP(F222,CHOOSE({2,1},Attributes!B$3:B$130,Attributes!C$3:C$129),2,FALSE)</f>
        <v>DungeonSiegeExperienceAttributeSet</v>
      </c>
      <c r="F222" s="43" t="str">
        <f>Attributes!C4</f>
        <v>Dexterity</v>
      </c>
      <c r="G222" s="43" t="str">
        <f t="shared" si="9"/>
        <v>(AttributeName="Dexterity",Attribute=/Script/DSAbilitySystem.DungeonSiegeExperienceAttributeSet:Dexterity,AttributeOwner=Class'"/Script/DSAbilitySystem.DungeonSiegeExperienceAttributeSet"')</v>
      </c>
      <c r="H222" s="43">
        <v>2</v>
      </c>
      <c r="I222" s="43" t="str">
        <f t="shared" si="10"/>
        <v>GE_Prefix_Respected</v>
      </c>
      <c r="J222" s="43" t="str">
        <f t="shared" si="11"/>
        <v>/Game/DungeonSiege/Blueprints/GameplayAbilities/Affixes/GE_Prefix_Respected</v>
      </c>
    </row>
    <row r="223" spans="1:10" s="23" customFormat="1" ht="33.75" x14ac:dyDescent="0.25">
      <c r="A223" s="43">
        <v>221</v>
      </c>
      <c r="B223" s="43">
        <f>VLOOKUP(C223,CHOOSE({2,1},Prefix!B$2:B$256,Prefix!C$2:C$256),2,FALSE)</f>
        <v>100663432</v>
      </c>
      <c r="C223" s="43" t="s">
        <v>908</v>
      </c>
      <c r="D223" s="43" t="s">
        <v>3177</v>
      </c>
      <c r="E223" s="43" t="str">
        <f>VLOOKUP(F223,CHOOSE({2,1},Attributes!B$3:B$130,Attributes!C$3:C$129),2,FALSE)</f>
        <v>DungeonSiegeDamageAttributeSet</v>
      </c>
      <c r="F223" s="43" t="str">
        <f>Attributes!C32</f>
        <v>ChanceToBlockMeleeAttack</v>
      </c>
      <c r="G223" s="43" t="str">
        <f t="shared" si="9"/>
        <v>(AttributeName="ChanceToBlockMeleeAttack",Attribute=/Script/DSAbilitySystem.DungeonSiegeDamageAttributeSet:ChanceToBlockMeleeAttack,AttributeOwner=Class'"/Script/DSAbilitySystem.DungeonSiegeDamageAttributeSet"')</v>
      </c>
      <c r="H223" s="43">
        <v>9</v>
      </c>
      <c r="I223" s="43" t="str">
        <f t="shared" si="10"/>
        <v>GE_Prefix_Respected</v>
      </c>
      <c r="J223" s="43" t="str">
        <f t="shared" si="11"/>
        <v>/Game/DungeonSiege/Blueprints/GameplayAbilities/Affixes/GE_Prefix_Respected</v>
      </c>
    </row>
    <row r="224" spans="1:10" ht="45" x14ac:dyDescent="0.25">
      <c r="A224" s="43">
        <v>222</v>
      </c>
      <c r="B224" s="43">
        <f>VLOOKUP(C224,CHOOSE({2,1},Prefix!B$2:B$256,Prefix!C$2:C$256),2,FALSE)</f>
        <v>100663432</v>
      </c>
      <c r="C224" s="43" t="s">
        <v>908</v>
      </c>
      <c r="D224" s="43" t="s">
        <v>715</v>
      </c>
      <c r="E224" s="43" t="str">
        <f>VLOOKUP(F224,CHOOSE({2,1},Attributes!B$3:B$130,Attributes!C$3:C$129),2,FALSE)</f>
        <v>DungeonSiegeDamageAttributeSet</v>
      </c>
      <c r="F224" s="43" t="str">
        <f>Attributes!C21</f>
        <v>PercentDamageReflectedToEnemy</v>
      </c>
      <c r="G224" s="43" t="str">
        <f t="shared" si="9"/>
        <v>(AttributeName="PercentDamageReflectedToEnemy",Attribute=/Script/DSAbilitySystem.DungeonSiegeDamageAttributeSet:PercentDamageReflectedToEnemy,AttributeOwner=Class'"/Script/DSAbilitySystem.DungeonSiegeDamageAttributeSet"')</v>
      </c>
      <c r="H224" s="43">
        <v>3</v>
      </c>
      <c r="I224" s="43" t="str">
        <f t="shared" si="10"/>
        <v>GE_Prefix_Respected</v>
      </c>
      <c r="J224" s="43" t="str">
        <f t="shared" si="11"/>
        <v>/Game/DungeonSiege/Blueprints/GameplayAbilities/Affixes/GE_Prefix_Respected</v>
      </c>
    </row>
    <row r="225" spans="1:10" ht="33.75" x14ac:dyDescent="0.25">
      <c r="A225" s="43">
        <v>223</v>
      </c>
      <c r="B225" s="43">
        <f>VLOOKUP(C225,CHOOSE({2,1},Prefix!B$2:B$256,Prefix!C$2:C$256),2,FALSE)</f>
        <v>100663433</v>
      </c>
      <c r="C225" s="43" t="s">
        <v>294</v>
      </c>
      <c r="D225" s="43" t="s">
        <v>293</v>
      </c>
      <c r="E225" s="43" t="str">
        <f>VLOOKUP(F225,CHOOSE({2,1},Attributes!B$3:B$130,Attributes!C$3:C$129),2,FALSE)</f>
        <v>DungeonSiegeExperienceAttributeSet</v>
      </c>
      <c r="F225" s="43" t="str">
        <f>Attributes!C7</f>
        <v>NatureMagic</v>
      </c>
      <c r="G225" s="43" t="str">
        <f t="shared" si="9"/>
        <v>(AttributeName="NatureMagic",Attribute=/Script/DSAbilitySystem.DungeonSiegeExperienceAttributeSet:NatureMagic,AttributeOwner=Class'"/Script/DSAbilitySystem.DungeonSiegeExperienceAttributeSet"')</v>
      </c>
      <c r="H225" s="43">
        <v>4</v>
      </c>
      <c r="I225" s="43" t="str">
        <f t="shared" si="10"/>
        <v>GE_Prefix_Idyllic</v>
      </c>
      <c r="J225" s="43" t="str">
        <f t="shared" si="11"/>
        <v>/Game/DungeonSiege/Blueprints/GameplayAbilities/Affixes/GE_Prefix_Idyllic</v>
      </c>
    </row>
    <row r="226" spans="1:10" s="23" customFormat="1" ht="33.75" x14ac:dyDescent="0.25">
      <c r="A226" s="43">
        <v>224</v>
      </c>
      <c r="B226" s="43">
        <f>VLOOKUP(C226,CHOOSE({2,1},Prefix!B$2:B$256,Prefix!C$2:C$256),2,FALSE)</f>
        <v>100663440</v>
      </c>
      <c r="C226" s="43" t="s">
        <v>910</v>
      </c>
      <c r="D226" s="43" t="s">
        <v>911</v>
      </c>
      <c r="E226" s="43" t="str">
        <f>VLOOKUP(F226,CHOOSE({2,1},Attributes!B$3:B$130,Attributes!C$3:C$129),2,FALSE)</f>
        <v>DungeonSiegePerHitAttributeSet</v>
      </c>
      <c r="F226" s="43" t="str">
        <f>Attributes!C13</f>
        <v>HealthStealPerHit</v>
      </c>
      <c r="G226" s="43" t="str">
        <f t="shared" si="9"/>
        <v>(AttributeName="HealthStealPerHit",Attribute=/Script/DSAbilitySystem.DungeonSiegePerHitAttributeSet:HealthStealPerHit,AttributeOwner=Class'"/Script/DSAbilitySystem.DungeonSiegePerHitAttributeSet"')</v>
      </c>
      <c r="H226" s="43">
        <v>2</v>
      </c>
      <c r="I226" s="43" t="str">
        <f t="shared" si="10"/>
        <v>GE_Prefix_Superlative</v>
      </c>
      <c r="J226" s="43" t="str">
        <f t="shared" si="11"/>
        <v>/Game/DungeonSiege/Blueprints/GameplayAbilities/Affixes/GE_Prefix_Superlative</v>
      </c>
    </row>
    <row r="227" spans="1:10" s="23" customFormat="1" ht="33.75" x14ac:dyDescent="0.25">
      <c r="A227" s="43">
        <v>225</v>
      </c>
      <c r="B227" s="43">
        <f>VLOOKUP(C227,CHOOSE({2,1},Prefix!B$2:B$256,Prefix!C$2:C$256),2,FALSE)</f>
        <v>100663440</v>
      </c>
      <c r="C227" s="43" t="s">
        <v>910</v>
      </c>
      <c r="D227" s="43" t="s">
        <v>745</v>
      </c>
      <c r="E227" s="43" t="str">
        <f>VLOOKUP(F227,CHOOSE({2,1},Attributes!B$3:B$130,Attributes!C$3:C$129),2,FALSE)</f>
        <v>DungeonSiegeExperienceAttributeSet</v>
      </c>
      <c r="F227" s="43" t="str">
        <f>Attributes!C9</f>
        <v>Melee</v>
      </c>
      <c r="G227" s="43" t="str">
        <f t="shared" si="9"/>
        <v>(AttributeName="Melee",Attribute=/Script/DSAbilitySystem.DungeonSiegeExperienceAttributeSet:Melee,AttributeOwner=Class'"/Script/DSAbilitySystem.DungeonSiegeExperienceAttributeSet"')</v>
      </c>
      <c r="H227" s="43">
        <v>1</v>
      </c>
      <c r="I227" s="43" t="str">
        <f t="shared" si="10"/>
        <v>GE_Prefix_Superlative</v>
      </c>
      <c r="J227" s="43" t="str">
        <f t="shared" si="11"/>
        <v>/Game/DungeonSiege/Blueprints/GameplayAbilities/Affixes/GE_Prefix_Superlative</v>
      </c>
    </row>
    <row r="228" spans="1:10" s="23" customFormat="1" ht="33.75" x14ac:dyDescent="0.25">
      <c r="A228" s="43">
        <v>226</v>
      </c>
      <c r="B228" s="43">
        <f>VLOOKUP(C228,CHOOSE({2,1},Prefix!B$2:B$256,Prefix!C$2:C$256),2,FALSE)</f>
        <v>100663440</v>
      </c>
      <c r="C228" s="43" t="s">
        <v>910</v>
      </c>
      <c r="D228" s="43" t="s">
        <v>912</v>
      </c>
      <c r="E228" s="43" t="str">
        <f>VLOOKUP(F228,CHOOSE({2,1},Attributes!B$3:B$130,Attributes!C$3:C$129),2,FALSE)</f>
        <v>DungeonSiegeDamageAttributeSet</v>
      </c>
      <c r="F228" s="43" t="str">
        <f>Attributes!C25</f>
        <v>MinPiercingDamageMod</v>
      </c>
      <c r="G228" s="43" t="str">
        <f t="shared" si="9"/>
        <v>(AttributeName="MinPiercingDamageMod",Attribute=/Script/DSAbilitySystem.DungeonSiegeDamageAttributeSet:MinPiercingDamageMod,AttributeOwner=Class'"/Script/DSAbilitySystem.DungeonSiegeDamageAttributeSet"')</v>
      </c>
      <c r="H228" s="43">
        <v>4</v>
      </c>
      <c r="I228" s="43" t="str">
        <f t="shared" si="10"/>
        <v>GE_Prefix_Superlative</v>
      </c>
      <c r="J228" s="43" t="str">
        <f t="shared" si="11"/>
        <v>/Game/DungeonSiege/Blueprints/GameplayAbilities/Affixes/GE_Prefix_Superlative</v>
      </c>
    </row>
    <row r="229" spans="1:10" s="23" customFormat="1" ht="33.75" x14ac:dyDescent="0.25">
      <c r="A229" s="43">
        <v>227</v>
      </c>
      <c r="B229" s="43">
        <f>VLOOKUP(C229,CHOOSE({2,1},Prefix!B$2:B$256,Prefix!C$2:C$256),2,FALSE)</f>
        <v>100663440</v>
      </c>
      <c r="C229" s="43" t="s">
        <v>910</v>
      </c>
      <c r="D229" s="43" t="s">
        <v>912</v>
      </c>
      <c r="E229" s="43" t="str">
        <f>VLOOKUP(F229,CHOOSE({2,1},Attributes!B$3:B$130,Attributes!C$3:C$129),2,FALSE)</f>
        <v>DungeonSiegeDamageAttributeSet</v>
      </c>
      <c r="F229" s="43" t="str">
        <f>Attributes!C26</f>
        <v>MaxPiercingDamageMod</v>
      </c>
      <c r="G229" s="43" t="str">
        <f t="shared" si="9"/>
        <v>(AttributeName="MaxPiercingDamageMod",Attribute=/Script/DSAbilitySystem.DungeonSiegeDamageAttributeSet:MaxPiercingDamageMod,AttributeOwner=Class'"/Script/DSAbilitySystem.DungeonSiegeDamageAttributeSet"')</v>
      </c>
      <c r="H229" s="43">
        <v>10</v>
      </c>
      <c r="I229" s="43" t="str">
        <f t="shared" si="10"/>
        <v>GE_Prefix_Superlative</v>
      </c>
      <c r="J229" s="43" t="str">
        <f t="shared" si="11"/>
        <v>/Game/DungeonSiege/Blueprints/GameplayAbilities/Affixes/GE_Prefix_Superlative</v>
      </c>
    </row>
    <row r="230" spans="1:10" s="23" customFormat="1" ht="33.75" x14ac:dyDescent="0.25">
      <c r="A230" s="43">
        <v>228</v>
      </c>
      <c r="B230" s="43">
        <f>VLOOKUP(C230,CHOOSE({2,1},Prefix!B$2:B$256,Prefix!C$2:C$256),2,FALSE)</f>
        <v>100663440</v>
      </c>
      <c r="C230" s="43" t="s">
        <v>910</v>
      </c>
      <c r="D230" s="43" t="s">
        <v>3160</v>
      </c>
      <c r="E230" s="43" t="str">
        <f>VLOOKUP(F230,CHOOSE({2,1},Attributes!B$3:B$130,Attributes!C$3:C$129),2,FALSE)</f>
        <v>DungeonSiegeDamageAttributeSet</v>
      </c>
      <c r="F230" s="43" t="str">
        <f>Attributes!C33</f>
        <v>MeleeHitChance</v>
      </c>
      <c r="G230" s="43" t="str">
        <f t="shared" si="9"/>
        <v>(AttributeName="MeleeHitChance",Attribute=/Script/DSAbilitySystem.DungeonSiegeDamageAttributeSet:MeleeHitChance,AttributeOwner=Class'"/Script/DSAbilitySystem.DungeonSiegeDamageAttributeSet"')</v>
      </c>
      <c r="H230" s="43">
        <v>4</v>
      </c>
      <c r="I230" s="43" t="str">
        <f t="shared" si="10"/>
        <v>GE_Prefix_Superlative</v>
      </c>
      <c r="J230" s="43" t="str">
        <f t="shared" si="11"/>
        <v>/Game/DungeonSiege/Blueprints/GameplayAbilities/Affixes/GE_Prefix_Superlative</v>
      </c>
    </row>
    <row r="231" spans="1:10" s="23" customFormat="1" ht="33.75" x14ac:dyDescent="0.25">
      <c r="A231" s="43">
        <v>229</v>
      </c>
      <c r="B231" s="43">
        <f>VLOOKUP(C231,CHOOSE({2,1},Prefix!B$2:B$256,Prefix!C$2:C$256),2,FALSE)</f>
        <v>100663440</v>
      </c>
      <c r="C231" s="43" t="s">
        <v>910</v>
      </c>
      <c r="D231" s="43" t="s">
        <v>913</v>
      </c>
      <c r="E231" s="43" t="str">
        <f>VLOOKUP(F231,CHOOSE({2,1},Attributes!B$3:B$130,Attributes!C$3:C$129),2,FALSE)</f>
        <v>DungeonSiegeDamageAttributeSet</v>
      </c>
      <c r="F231" s="43" t="str">
        <f>Attributes!C19</f>
        <v>MinDamageMod</v>
      </c>
      <c r="G231" s="43" t="str">
        <f t="shared" si="9"/>
        <v>(AttributeName="MinDamageMod",Attribute=/Script/DSAbilitySystem.DungeonSiegeDamageAttributeSet:MinDamageMod,AttributeOwner=Class'"/Script/DSAbilitySystem.DungeonSiegeDamageAttributeSet"')</v>
      </c>
      <c r="H231" s="43">
        <v>8</v>
      </c>
      <c r="I231" s="43" t="str">
        <f t="shared" si="10"/>
        <v>GE_Prefix_Superlative</v>
      </c>
      <c r="J231" s="43" t="str">
        <f t="shared" si="11"/>
        <v>/Game/DungeonSiege/Blueprints/GameplayAbilities/Affixes/GE_Prefix_Superlative</v>
      </c>
    </row>
    <row r="232" spans="1:10" ht="33.75" x14ac:dyDescent="0.25">
      <c r="A232" s="43">
        <v>230</v>
      </c>
      <c r="B232" s="43">
        <f>VLOOKUP(C232,CHOOSE({2,1},Prefix!B$2:B$256,Prefix!C$2:C$256),2,FALSE)</f>
        <v>100663440</v>
      </c>
      <c r="C232" s="43" t="s">
        <v>910</v>
      </c>
      <c r="D232" s="43" t="s">
        <v>913</v>
      </c>
      <c r="E232" s="43" t="str">
        <f>VLOOKUP(F232,CHOOSE({2,1},Attributes!B$3:B$130,Attributes!C$3:C$129),2,FALSE)</f>
        <v>DungeonSiegeDamageAttributeSet</v>
      </c>
      <c r="F232" s="43" t="str">
        <f>Attributes!C20</f>
        <v>MaxDamageMod</v>
      </c>
      <c r="G232" s="43" t="str">
        <f t="shared" si="9"/>
        <v>(AttributeName="MaxDamageMod",Attribute=/Script/DSAbilitySystem.DungeonSiegeDamageAttributeSet:MaxDamageMod,AttributeOwner=Class'"/Script/DSAbilitySystem.DungeonSiegeDamageAttributeSet"')</v>
      </c>
      <c r="H232" s="43">
        <v>13</v>
      </c>
      <c r="I232" s="43" t="str">
        <f t="shared" si="10"/>
        <v>GE_Prefix_Superlative</v>
      </c>
      <c r="J232" s="43" t="str">
        <f t="shared" si="11"/>
        <v>/Game/DungeonSiege/Blueprints/GameplayAbilities/Affixes/GE_Prefix_Superlative</v>
      </c>
    </row>
    <row r="233" spans="1:10" s="23" customFormat="1" ht="33.75" x14ac:dyDescent="0.25">
      <c r="A233" s="43">
        <v>231</v>
      </c>
      <c r="B233" s="43">
        <f>VLOOKUP(C233,CHOOSE({2,1},Prefix!B$2:B$256,Prefix!C$2:C$256),2,FALSE)</f>
        <v>100663441</v>
      </c>
      <c r="C233" s="43" t="s">
        <v>915</v>
      </c>
      <c r="D233" s="43" t="s">
        <v>3178</v>
      </c>
      <c r="E233" s="43" t="str">
        <f>VLOOKUP(F233,CHOOSE({2,1},Attributes!B$3:B$130,Attributes!C$3:C$129),2,FALSE)</f>
        <v>DungeonSiegeDefenseAttributeSet</v>
      </c>
      <c r="F233" s="43" t="str">
        <f>Attributes!C10</f>
        <v>ArmorRating</v>
      </c>
      <c r="G233" s="43" t="str">
        <f t="shared" si="9"/>
        <v>(AttributeName="ArmorRating",Attribute=/Script/DSAbilitySystem.DungeonSiegeDefenseAttributeSet:ArmorRating,AttributeOwner=Class'"/Script/DSAbilitySystem.DungeonSiegeDefenseAttributeSet"')</v>
      </c>
      <c r="H233" s="43">
        <v>36</v>
      </c>
      <c r="I233" s="43" t="str">
        <f t="shared" si="10"/>
        <v>GE_Prefix_Talismanic</v>
      </c>
      <c r="J233" s="43" t="str">
        <f t="shared" si="11"/>
        <v>/Game/DungeonSiege/Blueprints/GameplayAbilities/Affixes/GE_Prefix_Talismanic</v>
      </c>
    </row>
    <row r="234" spans="1:10" s="23" customFormat="1" ht="33.75" x14ac:dyDescent="0.25">
      <c r="A234" s="43">
        <v>232</v>
      </c>
      <c r="B234" s="43">
        <f>VLOOKUP(C234,CHOOSE({2,1},Prefix!B$2:B$256,Prefix!C$2:C$256),2,FALSE)</f>
        <v>100663441</v>
      </c>
      <c r="C234" s="43" t="s">
        <v>915</v>
      </c>
      <c r="D234" s="43" t="s">
        <v>805</v>
      </c>
      <c r="E234" s="43" t="str">
        <f>VLOOKUP(F234,CHOOSE({2,1},Attributes!B$3:B$130,Attributes!C$3:C$129),2,FALSE)</f>
        <v>DungeonSiegeDamageAttributeSet</v>
      </c>
      <c r="F234" s="43" t="str">
        <f>Attributes!C31</f>
        <v>PercentMeleeDamageReduction</v>
      </c>
      <c r="G234" s="43" t="str">
        <f t="shared" si="9"/>
        <v>(AttributeName="PercentMeleeDamageReduction",Attribute=/Script/DSAbilitySystem.DungeonSiegeDamageAttributeSet:PercentMeleeDamageReduction,AttributeOwner=Class'"/Script/DSAbilitySystem.DungeonSiegeDamageAttributeSet"')</v>
      </c>
      <c r="H234" s="43">
        <v>5</v>
      </c>
      <c r="I234" s="43" t="str">
        <f t="shared" si="10"/>
        <v>GE_Prefix_Talismanic</v>
      </c>
      <c r="J234" s="43" t="str">
        <f t="shared" si="11"/>
        <v>/Game/DungeonSiege/Blueprints/GameplayAbilities/Affixes/GE_Prefix_Talismanic</v>
      </c>
    </row>
    <row r="235" spans="1:10" s="23" customFormat="1" ht="33.75" x14ac:dyDescent="0.25">
      <c r="A235" s="43">
        <v>233</v>
      </c>
      <c r="B235" s="43">
        <f>VLOOKUP(C235,CHOOSE({2,1},Prefix!B$2:B$256,Prefix!C$2:C$256),2,FALSE)</f>
        <v>100663441</v>
      </c>
      <c r="C235" s="43" t="s">
        <v>915</v>
      </c>
      <c r="D235" s="43" t="s">
        <v>738</v>
      </c>
      <c r="E235" s="43" t="str">
        <f>VLOOKUP(F235,CHOOSE({2,1},Attributes!B$3:B$130,Attributes!C$3:C$129),2,FALSE)</f>
        <v>DungeonSiegeDamageAttributeSet</v>
      </c>
      <c r="F235" s="43" t="str">
        <f>Attributes!C27</f>
        <v>PercentRangedDamageReduction</v>
      </c>
      <c r="G235" s="43" t="str">
        <f t="shared" si="9"/>
        <v>(AttributeName="PercentRangedDamageReduction",Attribute=/Script/DSAbilitySystem.DungeonSiegeDamageAttributeSet:PercentRangedDamageReduction,AttributeOwner=Class'"/Script/DSAbilitySystem.DungeonSiegeDamageAttributeSet"')</v>
      </c>
      <c r="H235" s="43">
        <v>8</v>
      </c>
      <c r="I235" s="43" t="str">
        <f t="shared" si="10"/>
        <v>GE_Prefix_Talismanic</v>
      </c>
      <c r="J235" s="43" t="str">
        <f t="shared" si="11"/>
        <v>/Game/DungeonSiege/Blueprints/GameplayAbilities/Affixes/GE_Prefix_Talismanic</v>
      </c>
    </row>
    <row r="236" spans="1:10" ht="33.75" x14ac:dyDescent="0.25">
      <c r="A236" s="43">
        <v>234</v>
      </c>
      <c r="B236" s="43">
        <f>VLOOKUP(C236,CHOOSE({2,1},Prefix!B$2:B$256,Prefix!C$2:C$256),2,FALSE)</f>
        <v>100663441</v>
      </c>
      <c r="C236" s="43" t="s">
        <v>915</v>
      </c>
      <c r="D236" s="43" t="s">
        <v>3179</v>
      </c>
      <c r="E236" s="43" t="str">
        <f>VLOOKUP(F236,CHOOSE({2,1},Attributes!B$3:B$130,Attributes!C$3:C$129),2,FALSE)</f>
        <v>DungeonSiegeDamageAttributeSet</v>
      </c>
      <c r="F236" s="43" t="str">
        <f>Attributes!C24</f>
        <v>PercentPiercingDamageReduction</v>
      </c>
      <c r="G236" s="43" t="str">
        <f t="shared" si="9"/>
        <v>(AttributeName="PercentPiercingDamageReduction",Attribute=/Script/DSAbilitySystem.DungeonSiegeDamageAttributeSet:PercentPiercingDamageReduction,AttributeOwner=Class'"/Script/DSAbilitySystem.DungeonSiegeDamageAttributeSet"')</v>
      </c>
      <c r="H236" s="43">
        <v>3</v>
      </c>
      <c r="I236" s="43" t="str">
        <f t="shared" si="10"/>
        <v>GE_Prefix_Talismanic</v>
      </c>
      <c r="J236" s="43" t="str">
        <f t="shared" si="11"/>
        <v>/Game/DungeonSiege/Blueprints/GameplayAbilities/Affixes/GE_Prefix_Talismanic</v>
      </c>
    </row>
    <row r="237" spans="1:10" ht="33.75" x14ac:dyDescent="0.25">
      <c r="A237" s="43">
        <v>235</v>
      </c>
      <c r="B237" s="43">
        <f>VLOOKUP(C237,CHOOSE({2,1},Prefix!B$2:B$256,Prefix!C$2:C$256),2,FALSE)</f>
        <v>100663442</v>
      </c>
      <c r="C237" s="43" t="s">
        <v>917</v>
      </c>
      <c r="D237" s="43" t="s">
        <v>287</v>
      </c>
      <c r="E237" s="43" t="str">
        <f>VLOOKUP(F237,CHOOSE({2,1},Attributes!B$3:B$130,Attributes!C$3:C$129),2,FALSE)</f>
        <v>DungeonSiegeExperienceAttributeSet</v>
      </c>
      <c r="F237" s="43" t="str">
        <f>Attributes!C6</f>
        <v>CombatMagic</v>
      </c>
      <c r="G237" s="43" t="str">
        <f t="shared" si="9"/>
        <v>(AttributeName="CombatMagic",Attribute=/Script/DSAbilitySystem.DungeonSiegeExperienceAttributeSet:CombatMagic,AttributeOwner=Class'"/Script/DSAbilitySystem.DungeonSiegeExperienceAttributeSet"')</v>
      </c>
      <c r="H237" s="43">
        <v>4</v>
      </c>
      <c r="I237" s="43" t="str">
        <f t="shared" si="10"/>
        <v>GE_Prefix_Fighting</v>
      </c>
      <c r="J237" s="43" t="str">
        <f t="shared" si="11"/>
        <v>/Game/DungeonSiege/Blueprints/GameplayAbilities/Affixes/GE_Prefix_Fighting</v>
      </c>
    </row>
    <row r="238" spans="1:10" ht="33.75" x14ac:dyDescent="0.25">
      <c r="A238" s="43">
        <v>236</v>
      </c>
      <c r="B238" s="43">
        <f>VLOOKUP(C238,CHOOSE({2,1},Prefix!B$2:B$256,Prefix!C$2:C$256),2,FALSE)</f>
        <v>100663443</v>
      </c>
      <c r="C238" s="43" t="s">
        <v>919</v>
      </c>
      <c r="D238" s="43" t="s">
        <v>920</v>
      </c>
      <c r="E238" s="43" t="str">
        <f>VLOOKUP(F238,CHOOSE({2,1},Attributes!B$3:B$130,Attributes!C$3:C$129),2,FALSE)</f>
        <v>DungeonSiegeDamageAttributeSet</v>
      </c>
      <c r="F238" s="43" t="str">
        <f>Attributes!C31</f>
        <v>PercentMeleeDamageReduction</v>
      </c>
      <c r="G238" s="43" t="str">
        <f t="shared" si="9"/>
        <v>(AttributeName="PercentMeleeDamageReduction",Attribute=/Script/DSAbilitySystem.DungeonSiegeDamageAttributeSet:PercentMeleeDamageReduction,AttributeOwner=Class'"/Script/DSAbilitySystem.DungeonSiegeDamageAttributeSet"')</v>
      </c>
      <c r="H238" s="43">
        <v>14</v>
      </c>
      <c r="I238" s="43" t="str">
        <f t="shared" si="10"/>
        <v>GE_Prefix_Deflecting</v>
      </c>
      <c r="J238" s="43" t="str">
        <f t="shared" si="11"/>
        <v>/Game/DungeonSiege/Blueprints/GameplayAbilities/Affixes/GE_Prefix_Deflecting</v>
      </c>
    </row>
    <row r="239" spans="1:10" ht="33.75" x14ac:dyDescent="0.25">
      <c r="A239" s="43">
        <v>237</v>
      </c>
      <c r="B239" s="43">
        <f>VLOOKUP(C239,CHOOSE({2,1},Prefix!B$2:B$256,Prefix!C$2:C$256),2,FALSE)</f>
        <v>100663444</v>
      </c>
      <c r="C239" s="43" t="s">
        <v>922</v>
      </c>
      <c r="D239" s="43" t="s">
        <v>923</v>
      </c>
      <c r="E239" s="43" t="str">
        <f>VLOOKUP(F239,CHOOSE({2,1},Attributes!B$3:B$130,Attributes!C$3:C$129),2,FALSE)</f>
        <v>DungeonSiegeDamageAttributeSet</v>
      </c>
      <c r="F239" s="43" t="str">
        <f>Attributes!C34</f>
        <v>ChanceToDodgeMeleeAttack</v>
      </c>
      <c r="G239" s="43" t="str">
        <f t="shared" si="9"/>
        <v>(AttributeName="ChanceToDodgeMeleeAttack",Attribute=/Script/DSAbilitySystem.DungeonSiegeDamageAttributeSet:ChanceToDodgeMeleeAttack,AttributeOwner=Class'"/Script/DSAbilitySystem.DungeonSiegeDamageAttributeSet"')</v>
      </c>
      <c r="H239" s="43">
        <v>15</v>
      </c>
      <c r="I239" s="43" t="str">
        <f t="shared" si="10"/>
        <v>GE_Prefix_Wiley</v>
      </c>
      <c r="J239" s="43" t="str">
        <f t="shared" si="11"/>
        <v>/Game/DungeonSiege/Blueprints/GameplayAbilities/Affixes/GE_Prefix_Wiley</v>
      </c>
    </row>
    <row r="240" spans="1:10" ht="33.75" x14ac:dyDescent="0.25">
      <c r="A240" s="43">
        <v>238</v>
      </c>
      <c r="B240" s="43">
        <f>VLOOKUP(C240,CHOOSE({2,1},Prefix!B$2:B$256,Prefix!C$2:C$256),2,FALSE)</f>
        <v>100663445</v>
      </c>
      <c r="C240" s="43" t="s">
        <v>925</v>
      </c>
      <c r="D240" s="43" t="s">
        <v>926</v>
      </c>
      <c r="E240" s="43" t="str">
        <f>VLOOKUP(F240,CHOOSE({2,1},Attributes!B$3:B$130,Attributes!C$3:C$129),2,FALSE)</f>
        <v>DungeonSiegeDamageAttributeSet</v>
      </c>
      <c r="F240" s="43" t="str">
        <f>Attributes!C30</f>
        <v>ChanceToDodgeRangeAttack</v>
      </c>
      <c r="G240" s="43" t="str">
        <f t="shared" si="9"/>
        <v>(AttributeName="ChanceToDodgeRangeAttack",Attribute=/Script/DSAbilitySystem.DungeonSiegeDamageAttributeSet:ChanceToDodgeRangeAttack,AttributeOwner=Class'"/Script/DSAbilitySystem.DungeonSiegeDamageAttributeSet"')</v>
      </c>
      <c r="H240" s="43">
        <v>15</v>
      </c>
      <c r="I240" s="43" t="str">
        <f t="shared" si="10"/>
        <v>GE_Prefix_Recoiling</v>
      </c>
      <c r="J240" s="43" t="str">
        <f t="shared" si="11"/>
        <v>/Game/DungeonSiege/Blueprints/GameplayAbilities/Affixes/GE_Prefix_Recoiling</v>
      </c>
    </row>
    <row r="241" spans="1:10" ht="33.75" x14ac:dyDescent="0.25">
      <c r="A241" s="43">
        <v>239</v>
      </c>
      <c r="B241" s="43">
        <f>VLOOKUP(C241,CHOOSE({2,1},Prefix!B$2:B$256,Prefix!C$2:C$256),2,FALSE)</f>
        <v>100663446</v>
      </c>
      <c r="C241" s="43" t="s">
        <v>291</v>
      </c>
      <c r="D241" s="43" t="s">
        <v>290</v>
      </c>
      <c r="E241" s="43" t="str">
        <f>VLOOKUP(F241,CHOOSE({2,1},Attributes!B$3:B$130,Attributes!C$3:C$129),2,FALSE)</f>
        <v>DungeonSiegeMagicAttributeSet</v>
      </c>
      <c r="F241" s="43" t="str">
        <f>Attributes!C51</f>
        <v>ChanceToBlockMagicAttack</v>
      </c>
      <c r="G241" s="43" t="str">
        <f t="shared" si="9"/>
        <v>(AttributeName="ChanceToBlockMagicAttack",Attribute=/Script/DSAbilitySystem.DungeonSiegeMagicAttributeSet:ChanceToBlockMagicAttack,AttributeOwner=Class'"/Script/DSAbilitySystem.DungeonSiegeMagicAttributeSet"')</v>
      </c>
      <c r="H241" s="43">
        <v>13</v>
      </c>
      <c r="I241" s="43" t="str">
        <f t="shared" si="10"/>
        <v>GE_Prefix_Unwearied</v>
      </c>
      <c r="J241" s="43" t="str">
        <f t="shared" si="11"/>
        <v>/Game/DungeonSiege/Blueprints/GameplayAbilities/Affixes/GE_Prefix_Unwearied</v>
      </c>
    </row>
    <row r="242" spans="1:10" s="23" customFormat="1" ht="33.75" x14ac:dyDescent="0.25">
      <c r="A242" s="43">
        <v>240</v>
      </c>
      <c r="B242" s="43">
        <f>VLOOKUP(C242,CHOOSE({2,1},Prefix!B$2:B$256,Prefix!C$2:C$256),2,FALSE)</f>
        <v>100663447</v>
      </c>
      <c r="C242" s="43" t="s">
        <v>928</v>
      </c>
      <c r="D242" s="43" t="s">
        <v>39</v>
      </c>
      <c r="E242" s="43" t="str">
        <f>VLOOKUP(F242,CHOOSE({2,1},Attributes!B$3:B$130,Attributes!C$3:C$129),2,FALSE)</f>
        <v>DungeonSiegeHealthAttributeSet</v>
      </c>
      <c r="F242" s="43" t="str">
        <f>Attributes!C82</f>
        <v>BaseHealthBonus</v>
      </c>
      <c r="G242" s="43" t="str">
        <f t="shared" si="9"/>
        <v>(AttributeName="BaseHealthBonus",Attribute=/Script/DSAbilitySystem.DungeonSiegeHealthAttributeSet:BaseHealthBonus,AttributeOwner=Class'"/Script/DSAbilitySystem.DungeonSiegeHealthAttributeSet"')</v>
      </c>
      <c r="H242" s="43">
        <v>12</v>
      </c>
      <c r="I242" s="43" t="str">
        <f t="shared" si="10"/>
        <v>GE_Prefix_Dignified</v>
      </c>
      <c r="J242" s="43" t="str">
        <f t="shared" si="11"/>
        <v>/Game/DungeonSiege/Blueprints/GameplayAbilities/Affixes/GE_Prefix_Dignified</v>
      </c>
    </row>
    <row r="243" spans="1:10" s="23" customFormat="1" ht="33.75" x14ac:dyDescent="0.25">
      <c r="A243" s="43">
        <v>241</v>
      </c>
      <c r="B243" s="43">
        <f>VLOOKUP(C243,CHOOSE({2,1},Prefix!B$2:B$256,Prefix!C$2:C$256),2,FALSE)</f>
        <v>100663447</v>
      </c>
      <c r="C243" s="43" t="s">
        <v>928</v>
      </c>
      <c r="D243" s="43" t="s">
        <v>3142</v>
      </c>
      <c r="E243" s="43" t="str">
        <f>VLOOKUP(F243,CHOOSE({2,1},Attributes!B$3:B$130,Attributes!C$3:C$129),2,FALSE)</f>
        <v>DungeonSiegeDefenseAttributeSet</v>
      </c>
      <c r="F243" s="43" t="str">
        <f>Attributes!C10</f>
        <v>ArmorRating</v>
      </c>
      <c r="G243" s="43" t="str">
        <f t="shared" si="9"/>
        <v>(AttributeName="ArmorRating",Attribute=/Script/DSAbilitySystem.DungeonSiegeDefenseAttributeSet:ArmorRating,AttributeOwner=Class'"/Script/DSAbilitySystem.DungeonSiegeDefenseAttributeSet"')</v>
      </c>
      <c r="H243" s="43">
        <v>23</v>
      </c>
      <c r="I243" s="43" t="str">
        <f t="shared" si="10"/>
        <v>GE_Prefix_Dignified</v>
      </c>
      <c r="J243" s="43" t="str">
        <f t="shared" si="11"/>
        <v>/Game/DungeonSiege/Blueprints/GameplayAbilities/Affixes/GE_Prefix_Dignified</v>
      </c>
    </row>
    <row r="244" spans="1:10" s="23" customFormat="1" ht="33.75" x14ac:dyDescent="0.25">
      <c r="A244" s="43">
        <v>242</v>
      </c>
      <c r="B244" s="43">
        <f>VLOOKUP(C244,CHOOSE({2,1},Prefix!B$2:B$256,Prefix!C$2:C$256),2,FALSE)</f>
        <v>100663447</v>
      </c>
      <c r="C244" s="43" t="s">
        <v>928</v>
      </c>
      <c r="D244" s="43" t="s">
        <v>213</v>
      </c>
      <c r="E244" s="43" t="str">
        <f>VLOOKUP(F244,CHOOSE({2,1},Attributes!B$3:B$130,Attributes!C$3:C$129),2,FALSE)</f>
        <v>DungeonSiegeMagicAttributeSet</v>
      </c>
      <c r="F244" s="43" t="str">
        <f>Attributes!C51</f>
        <v>ChanceToBlockMagicAttack</v>
      </c>
      <c r="G244" s="43" t="str">
        <f t="shared" si="9"/>
        <v>(AttributeName="ChanceToBlockMagicAttack",Attribute=/Script/DSAbilitySystem.DungeonSiegeMagicAttributeSet:ChanceToBlockMagicAttack,AttributeOwner=Class'"/Script/DSAbilitySystem.DungeonSiegeMagicAttributeSet"')</v>
      </c>
      <c r="H244" s="43">
        <v>5</v>
      </c>
      <c r="I244" s="43" t="str">
        <f t="shared" si="10"/>
        <v>GE_Prefix_Dignified</v>
      </c>
      <c r="J244" s="43" t="str">
        <f t="shared" si="11"/>
        <v>/Game/DungeonSiege/Blueprints/GameplayAbilities/Affixes/GE_Prefix_Dignified</v>
      </c>
    </row>
    <row r="245" spans="1:10" ht="33.75" x14ac:dyDescent="0.25">
      <c r="A245" s="43">
        <v>243</v>
      </c>
      <c r="B245" s="43">
        <f>VLOOKUP(C245,CHOOSE({2,1},Prefix!B$2:B$256,Prefix!C$2:C$256),2,FALSE)</f>
        <v>100663447</v>
      </c>
      <c r="C245" s="43" t="s">
        <v>928</v>
      </c>
      <c r="D245" s="43" t="s">
        <v>849</v>
      </c>
      <c r="E245" s="43" t="str">
        <f>VLOOKUP(F245,CHOOSE({2,1},Attributes!B$3:B$130,Attributes!C$3:C$129),2,FALSE)</f>
        <v>DungeonSiegeDamageAttributeSet</v>
      </c>
      <c r="F245" s="43" t="str">
        <f>Attributes!C30</f>
        <v>ChanceToDodgeRangeAttack</v>
      </c>
      <c r="G245" s="43" t="str">
        <f t="shared" si="9"/>
        <v>(AttributeName="ChanceToDodgeRangeAttack",Attribute=/Script/DSAbilitySystem.DungeonSiegeDamageAttributeSet:ChanceToDodgeRangeAttack,AttributeOwner=Class'"/Script/DSAbilitySystem.DungeonSiegeDamageAttributeSet"')</v>
      </c>
      <c r="H245" s="43">
        <v>10</v>
      </c>
      <c r="I245" s="43" t="str">
        <f t="shared" si="10"/>
        <v>GE_Prefix_Dignified</v>
      </c>
      <c r="J245" s="43" t="str">
        <f t="shared" si="11"/>
        <v>/Game/DungeonSiege/Blueprints/GameplayAbilities/Affixes/GE_Prefix_Dignified</v>
      </c>
    </row>
    <row r="246" spans="1:10" ht="33.75" x14ac:dyDescent="0.25">
      <c r="A246" s="43">
        <v>244</v>
      </c>
      <c r="B246" s="43">
        <f>VLOOKUP(C246,CHOOSE({2,1},Prefix!B$2:B$256,Prefix!C$2:C$256),2,FALSE)</f>
        <v>100663448</v>
      </c>
      <c r="C246" s="43" t="s">
        <v>288</v>
      </c>
      <c r="D246" s="43" t="s">
        <v>287</v>
      </c>
      <c r="E246" s="43" t="str">
        <f>VLOOKUP(F246,CHOOSE({2,1},Attributes!B$3:B$130,Attributes!C$3:C$129),2,FALSE)</f>
        <v>DungeonSiegeExperienceAttributeSet</v>
      </c>
      <c r="F246" s="43" t="str">
        <f>Attributes!C6</f>
        <v>CombatMagic</v>
      </c>
      <c r="G246" s="43" t="str">
        <f t="shared" si="9"/>
        <v>(AttributeName="CombatMagic",Attribute=/Script/DSAbilitySystem.DungeonSiegeExperienceAttributeSet:CombatMagic,AttributeOwner=Class'"/Script/DSAbilitySystem.DungeonSiegeExperienceAttributeSet"')</v>
      </c>
      <c r="H246" s="43">
        <v>4</v>
      </c>
      <c r="I246" s="43" t="str">
        <f t="shared" si="10"/>
        <v>GE_Prefix_Forged</v>
      </c>
      <c r="J246" s="43" t="str">
        <f t="shared" si="11"/>
        <v>/Game/DungeonSiege/Blueprints/GameplayAbilities/Affixes/GE_Prefix_Forged</v>
      </c>
    </row>
    <row r="247" spans="1:10" s="23" customFormat="1" ht="33.75" x14ac:dyDescent="0.25">
      <c r="A247" s="43">
        <v>245</v>
      </c>
      <c r="B247" s="43">
        <f>VLOOKUP(C247,CHOOSE({2,1},Prefix!B$2:B$256,Prefix!C$2:C$256),2,FALSE)</f>
        <v>100663449</v>
      </c>
      <c r="C247" s="43" t="s">
        <v>930</v>
      </c>
      <c r="D247" s="43" t="s">
        <v>745</v>
      </c>
      <c r="E247" s="43" t="str">
        <f>VLOOKUP(F247,CHOOSE({2,1},Attributes!B$3:B$130,Attributes!C$3:C$129),2,FALSE)</f>
        <v>DungeonSiegeExperienceAttributeSet</v>
      </c>
      <c r="F247" s="43" t="str">
        <f>Attributes!C9</f>
        <v>Melee</v>
      </c>
      <c r="G247" s="43" t="str">
        <f t="shared" si="9"/>
        <v>(AttributeName="Melee",Attribute=/Script/DSAbilitySystem.DungeonSiegeExperienceAttributeSet:Melee,AttributeOwner=Class'"/Script/DSAbilitySystem.DungeonSiegeExperienceAttributeSet"')</v>
      </c>
      <c r="H247" s="43">
        <v>1</v>
      </c>
      <c r="I247" s="43" t="str">
        <f t="shared" si="10"/>
        <v>GE_Prefix_Obscure</v>
      </c>
      <c r="J247" s="43" t="str">
        <f t="shared" si="11"/>
        <v>/Game/DungeonSiege/Blueprints/GameplayAbilities/Affixes/GE_Prefix_Obscure</v>
      </c>
    </row>
    <row r="248" spans="1:10" ht="33.75" x14ac:dyDescent="0.25">
      <c r="A248" s="43">
        <v>246</v>
      </c>
      <c r="B248" s="43">
        <f>VLOOKUP(C248,CHOOSE({2,1},Prefix!B$2:B$256,Prefix!C$2:C$256),2,FALSE)</f>
        <v>100663449</v>
      </c>
      <c r="C248" s="43" t="s">
        <v>930</v>
      </c>
      <c r="D248" s="43" t="s">
        <v>931</v>
      </c>
      <c r="E248" s="43" t="str">
        <f>VLOOKUP(F248,CHOOSE({2,1},Attributes!B$3:B$130,Attributes!C$3:C$129),2,FALSE)</f>
        <v>DungeonSiegeDamageAttributeSet</v>
      </c>
      <c r="F248" s="43" t="str">
        <f>Attributes!C32</f>
        <v>ChanceToBlockMeleeAttack</v>
      </c>
      <c r="G248" s="43" t="str">
        <f t="shared" si="9"/>
        <v>(AttributeName="ChanceToBlockMeleeAttack",Attribute=/Script/DSAbilitySystem.DungeonSiegeDamageAttributeSet:ChanceToBlockMeleeAttack,AttributeOwner=Class'"/Script/DSAbilitySystem.DungeonSiegeDamageAttributeSet"')</v>
      </c>
      <c r="H248" s="43">
        <v>10</v>
      </c>
      <c r="I248" s="43" t="str">
        <f t="shared" si="10"/>
        <v>GE_Prefix_Obscure</v>
      </c>
      <c r="J248" s="43" t="str">
        <f t="shared" si="11"/>
        <v>/Game/DungeonSiege/Blueprints/GameplayAbilities/Affixes/GE_Prefix_Obscure</v>
      </c>
    </row>
    <row r="249" spans="1:10" s="23" customFormat="1" ht="33.75" x14ac:dyDescent="0.25">
      <c r="A249" s="43">
        <v>247</v>
      </c>
      <c r="B249" s="43">
        <f>VLOOKUP(C249,CHOOSE({2,1},Prefix!B$2:B$256,Prefix!C$2:C$256),2,FALSE)</f>
        <v>100663552</v>
      </c>
      <c r="C249" s="43" t="s">
        <v>933</v>
      </c>
      <c r="D249" s="43" t="s">
        <v>934</v>
      </c>
      <c r="E249" s="43" t="str">
        <f>VLOOKUP(F249,CHOOSE({2,1},Attributes!B$3:B$130,Attributes!C$3:C$129),2,FALSE)</f>
        <v>DungeonSiegePerHitAttributeSet</v>
      </c>
      <c r="F249" s="43" t="str">
        <f>Attributes!C11</f>
        <v>HealthPerHit</v>
      </c>
      <c r="G249" s="43" t="str">
        <f t="shared" si="9"/>
        <v>(AttributeName="HealthPerHit",Attribute=/Script/DSAbilitySystem.DungeonSiegePerHitAttributeSet:HealthPerHit,AttributeOwner=Class'"/Script/DSAbilitySystem.DungeonSiegePerHitAttributeSet"')</v>
      </c>
      <c r="H249" s="43">
        <v>1</v>
      </c>
      <c r="I249" s="43" t="str">
        <f t="shared" si="10"/>
        <v>GE_Prefix_Illustrious</v>
      </c>
      <c r="J249" s="43" t="str">
        <f t="shared" si="11"/>
        <v>/Game/DungeonSiege/Blueprints/GameplayAbilities/Affixes/GE_Prefix_Illustrious</v>
      </c>
    </row>
    <row r="250" spans="1:10" s="23" customFormat="1" ht="33.75" x14ac:dyDescent="0.25">
      <c r="A250" s="43">
        <v>248</v>
      </c>
      <c r="B250" s="43">
        <f>VLOOKUP(C250,CHOOSE({2,1},Prefix!B$2:B$256,Prefix!C$2:C$256),2,FALSE)</f>
        <v>100663552</v>
      </c>
      <c r="C250" s="43" t="s">
        <v>933</v>
      </c>
      <c r="D250" s="43" t="s">
        <v>3180</v>
      </c>
      <c r="E250" s="43" t="str">
        <f>VLOOKUP(F250,CHOOSE({2,1},Attributes!B$3:B$130,Attributes!C$3:C$129),2,FALSE)</f>
        <v>DungeonSiegeManaAttributeSet</v>
      </c>
      <c r="F250" s="43" t="str">
        <f>Attributes!C90</f>
        <v>BaseManaBonus</v>
      </c>
      <c r="G250" s="43" t="str">
        <f t="shared" si="9"/>
        <v>(AttributeName="BaseManaBonus",Attribute=/Script/DSAbilitySystem.DungeonSiegeManaAttributeSet:BaseManaBonus,AttributeOwner=Class'"/Script/DSAbilitySystem.DungeonSiegeManaAttributeSet"')</v>
      </c>
      <c r="H250" s="43">
        <v>25</v>
      </c>
      <c r="I250" s="43" t="str">
        <f t="shared" si="10"/>
        <v>GE_Prefix_Illustrious</v>
      </c>
      <c r="J250" s="43" t="str">
        <f t="shared" si="11"/>
        <v>/Game/DungeonSiege/Blueprints/GameplayAbilities/Affixes/GE_Prefix_Illustrious</v>
      </c>
    </row>
    <row r="251" spans="1:10" s="23" customFormat="1" ht="33.75" x14ac:dyDescent="0.25">
      <c r="A251" s="43">
        <v>249</v>
      </c>
      <c r="B251" s="43">
        <f>VLOOKUP(C251,CHOOSE({2,1},Prefix!B$2:B$256,Prefix!C$2:C$256),2,FALSE)</f>
        <v>100663552</v>
      </c>
      <c r="C251" s="43" t="s">
        <v>933</v>
      </c>
      <c r="D251" s="43" t="s">
        <v>239</v>
      </c>
      <c r="E251" s="43" t="str">
        <f>VLOOKUP(F251,CHOOSE({2,1},Attributes!B$3:B$130,Attributes!C$3:C$129),2,FALSE)</f>
        <v>DungeonSiegeExperienceAttributeSet</v>
      </c>
      <c r="F251" s="43" t="str">
        <f>Attributes!C7</f>
        <v>NatureMagic</v>
      </c>
      <c r="G251" s="43" t="str">
        <f t="shared" si="9"/>
        <v>(AttributeName="NatureMagic",Attribute=/Script/DSAbilitySystem.DungeonSiegeExperienceAttributeSet:NatureMagic,AttributeOwner=Class'"/Script/DSAbilitySystem.DungeonSiegeExperienceAttributeSet"')</v>
      </c>
      <c r="H251" s="43">
        <v>2</v>
      </c>
      <c r="I251" s="43" t="str">
        <f t="shared" si="10"/>
        <v>GE_Prefix_Illustrious</v>
      </c>
      <c r="J251" s="43" t="str">
        <f t="shared" si="11"/>
        <v>/Game/DungeonSiege/Blueprints/GameplayAbilities/Affixes/GE_Prefix_Illustrious</v>
      </c>
    </row>
    <row r="252" spans="1:10" s="23" customFormat="1" ht="33.75" x14ac:dyDescent="0.25">
      <c r="A252" s="43">
        <v>250</v>
      </c>
      <c r="B252" s="43">
        <f>VLOOKUP(C252,CHOOSE({2,1},Prefix!B$2:B$256,Prefix!C$2:C$256),2,FALSE)</f>
        <v>100663552</v>
      </c>
      <c r="C252" s="43" t="s">
        <v>933</v>
      </c>
      <c r="D252" s="43" t="s">
        <v>236</v>
      </c>
      <c r="E252" s="43" t="str">
        <f>VLOOKUP(F252,CHOOSE({2,1},Attributes!B$3:B$130,Attributes!C$3:C$129),2,FALSE)</f>
        <v>DungeonSiegeExperienceAttributeSet</v>
      </c>
      <c r="F252" s="43" t="str">
        <f>Attributes!C6</f>
        <v>CombatMagic</v>
      </c>
      <c r="G252" s="43" t="str">
        <f t="shared" si="9"/>
        <v>(AttributeName="CombatMagic",Attribute=/Script/DSAbilitySystem.DungeonSiegeExperienceAttributeSet:CombatMagic,AttributeOwner=Class'"/Script/DSAbilitySystem.DungeonSiegeExperienceAttributeSet"')</v>
      </c>
      <c r="H252" s="43">
        <v>2</v>
      </c>
      <c r="I252" s="43" t="str">
        <f t="shared" si="10"/>
        <v>GE_Prefix_Illustrious</v>
      </c>
      <c r="J252" s="43" t="str">
        <f t="shared" si="11"/>
        <v>/Game/DungeonSiege/Blueprints/GameplayAbilities/Affixes/GE_Prefix_Illustrious</v>
      </c>
    </row>
    <row r="253" spans="1:10" ht="33.75" x14ac:dyDescent="0.25">
      <c r="A253" s="43">
        <v>251</v>
      </c>
      <c r="B253" s="43">
        <f>VLOOKUP(C253,CHOOSE({2,1},Prefix!B$2:B$256,Prefix!C$2:C$256),2,FALSE)</f>
        <v>100663552</v>
      </c>
      <c r="C253" s="43" t="s">
        <v>933</v>
      </c>
      <c r="D253" s="43" t="s">
        <v>935</v>
      </c>
      <c r="E253" s="43" t="str">
        <f>VLOOKUP(F253,CHOOSE({2,1},Attributes!B$3:B$130,Attributes!C$3:C$129),2,FALSE)</f>
        <v>DungeonSiegeDamageAttributeSet</v>
      </c>
      <c r="F253" s="43" t="str">
        <f>Attributes!C29</f>
        <v>RangedHitChance</v>
      </c>
      <c r="G253" s="43" t="str">
        <f t="shared" si="9"/>
        <v>(AttributeName="RangedHitChance",Attribute=/Script/DSAbilitySystem.DungeonSiegeDamageAttributeSet:RangedHitChance,AttributeOwner=Class'"/Script/DSAbilitySystem.DungeonSiegeDamageAttributeSet"')</v>
      </c>
      <c r="H253" s="43">
        <v>5</v>
      </c>
      <c r="I253" s="43" t="str">
        <f t="shared" si="10"/>
        <v>GE_Prefix_Illustrious</v>
      </c>
      <c r="J253" s="43" t="str">
        <f t="shared" si="11"/>
        <v>/Game/DungeonSiege/Blueprints/GameplayAbilities/Affixes/GE_Prefix_Illustrious</v>
      </c>
    </row>
    <row r="254" spans="1:10" s="23" customFormat="1" ht="33.75" x14ac:dyDescent="0.25">
      <c r="A254" s="43">
        <v>252</v>
      </c>
      <c r="B254" s="43">
        <f>VLOOKUP(C254,CHOOSE({2,1},Prefix!B$2:B$256,Prefix!C$2:C$256),2,FALSE)</f>
        <v>100663553</v>
      </c>
      <c r="C254" s="43" t="s">
        <v>937</v>
      </c>
      <c r="D254" s="43" t="s">
        <v>207</v>
      </c>
      <c r="E254" s="43" t="str">
        <f>VLOOKUP(F254,CHOOSE({2,1},Attributes!B$3:B$130,Attributes!C$3:C$129),2,FALSE)</f>
        <v>DungeonSiegeExperienceAttributeSet</v>
      </c>
      <c r="F254" s="43" t="str">
        <f>Attributes!C7</f>
        <v>NatureMagic</v>
      </c>
      <c r="G254" s="43" t="str">
        <f t="shared" si="9"/>
        <v>(AttributeName="NatureMagic",Attribute=/Script/DSAbilitySystem.DungeonSiegeExperienceAttributeSet:NatureMagic,AttributeOwner=Class'"/Script/DSAbilitySystem.DungeonSiegeExperienceAttributeSet"')</v>
      </c>
      <c r="H254" s="43">
        <v>1</v>
      </c>
      <c r="I254" s="43" t="str">
        <f t="shared" si="10"/>
        <v>GE_Prefix_Solemn</v>
      </c>
      <c r="J254" s="43" t="str">
        <f t="shared" si="11"/>
        <v>/Game/DungeonSiege/Blueprints/GameplayAbilities/Affixes/GE_Prefix_Solemn</v>
      </c>
    </row>
    <row r="255" spans="1:10" s="23" customFormat="1" ht="33.75" x14ac:dyDescent="0.25">
      <c r="A255" s="43">
        <v>253</v>
      </c>
      <c r="B255" s="43">
        <f>VLOOKUP(C255,CHOOSE({2,1},Prefix!B$2:B$256,Prefix!C$2:C$256),2,FALSE)</f>
        <v>100663553</v>
      </c>
      <c r="C255" s="43" t="s">
        <v>937</v>
      </c>
      <c r="D255" s="43" t="s">
        <v>3181</v>
      </c>
      <c r="E255" s="43" t="str">
        <f>VLOOKUP(F255,CHOOSE({2,1},Attributes!B$3:B$130,Attributes!C$3:C$129),2,FALSE)</f>
        <v>DungeonSiegeMagicAttributeSet</v>
      </c>
      <c r="F255" s="43" t="str">
        <f>Attributes!C43</f>
        <v>PercentMagicDamageReduction</v>
      </c>
      <c r="G255" s="43" t="str">
        <f t="shared" si="9"/>
        <v>(AttributeName="PercentMagicDamageReduction",Attribute=/Script/DSAbilitySystem.DungeonSiegeMagicAttributeSet:PercentMagicDamageReduction,AttributeOwner=Class'"/Script/DSAbilitySystem.DungeonSiegeMagicAttributeSet"')</v>
      </c>
      <c r="H255" s="43">
        <v>7</v>
      </c>
      <c r="I255" s="43" t="str">
        <f t="shared" si="10"/>
        <v>GE_Prefix_Solemn</v>
      </c>
      <c r="J255" s="43" t="str">
        <f t="shared" si="11"/>
        <v>/Game/DungeonSiege/Blueprints/GameplayAbilities/Affixes/GE_Prefix_Solemn</v>
      </c>
    </row>
    <row r="256" spans="1:10" ht="33.75" x14ac:dyDescent="0.25">
      <c r="A256" s="43">
        <v>254</v>
      </c>
      <c r="B256" s="43">
        <f>VLOOKUP(C256,CHOOSE({2,1},Prefix!B$2:B$256,Prefix!C$2:C$256),2,FALSE)</f>
        <v>100663553</v>
      </c>
      <c r="C256" s="43" t="s">
        <v>937</v>
      </c>
      <c r="D256" s="43" t="s">
        <v>849</v>
      </c>
      <c r="E256" s="43" t="str">
        <f>VLOOKUP(F256,CHOOSE({2,1},Attributes!B$3:B$130,Attributes!C$3:C$129),2,FALSE)</f>
        <v>DungeonSiegeDamageAttributeSet</v>
      </c>
      <c r="F256" s="43" t="str">
        <f>Attributes!C30</f>
        <v>ChanceToDodgeRangeAttack</v>
      </c>
      <c r="G256" s="43" t="str">
        <f t="shared" si="9"/>
        <v>(AttributeName="ChanceToDodgeRangeAttack",Attribute=/Script/DSAbilitySystem.DungeonSiegeDamageAttributeSet:ChanceToDodgeRangeAttack,AttributeOwner=Class'"/Script/DSAbilitySystem.DungeonSiegeDamageAttributeSet"')</v>
      </c>
      <c r="H256" s="43">
        <v>10</v>
      </c>
      <c r="I256" s="43" t="str">
        <f t="shared" si="10"/>
        <v>GE_Prefix_Solemn</v>
      </c>
      <c r="J256" s="43" t="str">
        <f t="shared" si="11"/>
        <v>/Game/DungeonSiege/Blueprints/GameplayAbilities/Affixes/GE_Prefix_Solemn</v>
      </c>
    </row>
    <row r="257" spans="1:10" s="23" customFormat="1" ht="33.75" x14ac:dyDescent="0.25">
      <c r="A257" s="43">
        <v>255</v>
      </c>
      <c r="B257" s="43">
        <f>VLOOKUP(C257,CHOOSE({2,1},Prefix!B$2:B$256,Prefix!C$2:C$256),2,FALSE)</f>
        <v>100663554</v>
      </c>
      <c r="C257" s="43" t="s">
        <v>939</v>
      </c>
      <c r="D257" s="43" t="s">
        <v>3182</v>
      </c>
      <c r="E257" s="43" t="str">
        <f>VLOOKUP(F257,CHOOSE({2,1},Attributes!B$3:B$130,Attributes!C$3:C$129),2,FALSE)</f>
        <v>DungeonSiegeExperienceAttributeSet</v>
      </c>
      <c r="F257" s="43" t="str">
        <f>Attributes!C7</f>
        <v>NatureMagic</v>
      </c>
      <c r="G257" s="43" t="str">
        <f t="shared" si="9"/>
        <v>(AttributeName="NatureMagic",Attribute=/Script/DSAbilitySystem.DungeonSiegeExperienceAttributeSet:NatureMagic,AttributeOwner=Class'"/Script/DSAbilitySystem.DungeonSiegeExperienceAttributeSet"')</v>
      </c>
      <c r="H257" s="43">
        <v>-2</v>
      </c>
      <c r="I257" s="43" t="str">
        <f t="shared" si="10"/>
        <v>GE_Prefix_Pummeling</v>
      </c>
      <c r="J257" s="43" t="str">
        <f t="shared" si="11"/>
        <v>/Game/DungeonSiege/Blueprints/GameplayAbilities/Affixes/GE_Prefix_Pummeling</v>
      </c>
    </row>
    <row r="258" spans="1:10" ht="33.75" x14ac:dyDescent="0.25">
      <c r="A258" s="43">
        <v>256</v>
      </c>
      <c r="B258" s="43">
        <f>VLOOKUP(C258,CHOOSE({2,1},Prefix!B$2:B$256,Prefix!C$2:C$256),2,FALSE)</f>
        <v>100663554</v>
      </c>
      <c r="C258" s="43" t="s">
        <v>939</v>
      </c>
      <c r="D258" s="43" t="s">
        <v>940</v>
      </c>
      <c r="E258" s="43" t="str">
        <f>VLOOKUP(F258,CHOOSE({2,1},Attributes!B$3:B$130,Attributes!C$3:C$129),2,FALSE)</f>
        <v>DungeonSiegeDamageAttributeSet</v>
      </c>
      <c r="F258" s="43" t="str">
        <f>Attributes!C34</f>
        <v>ChanceToDodgeMeleeAttack</v>
      </c>
      <c r="G258" s="43" t="str">
        <f t="shared" si="9"/>
        <v>(AttributeName="ChanceToDodgeMeleeAttack",Attribute=/Script/DSAbilitySystem.DungeonSiegeDamageAttributeSet:ChanceToDodgeMeleeAttack,AttributeOwner=Class'"/Script/DSAbilitySystem.DungeonSiegeDamageAttributeSet"')</v>
      </c>
      <c r="H258" s="43">
        <v>10</v>
      </c>
      <c r="I258" s="43" t="str">
        <f t="shared" si="10"/>
        <v>GE_Prefix_Pummeling</v>
      </c>
      <c r="J258" s="43" t="str">
        <f t="shared" si="11"/>
        <v>/Game/DungeonSiege/Blueprints/GameplayAbilities/Affixes/GE_Prefix_Pummeling</v>
      </c>
    </row>
    <row r="259" spans="1:10" s="23" customFormat="1" ht="33.75" x14ac:dyDescent="0.25">
      <c r="A259" s="43">
        <v>257</v>
      </c>
      <c r="B259" s="43">
        <f>VLOOKUP(C259,CHOOSE({2,1},Prefix!B$2:B$256,Prefix!C$2:C$256),2,FALSE)</f>
        <v>100663555</v>
      </c>
      <c r="C259" s="43" t="s">
        <v>942</v>
      </c>
      <c r="D259" s="43" t="s">
        <v>713</v>
      </c>
      <c r="E259" s="43" t="str">
        <f>VLOOKUP(F259,CHOOSE({2,1},Attributes!B$3:B$130,Attributes!C$3:C$129),2,FALSE)</f>
        <v>DungeonSiegeExperienceAttributeSet</v>
      </c>
      <c r="F259" s="43" t="str">
        <f>Attributes!C8</f>
        <v>Ranged</v>
      </c>
      <c r="G259" s="43" t="str">
        <f t="shared" ref="G259:G322" si="12">CONCATENATE("(AttributeName=""",F259,""",Attribute=/Script/DSAbilitySystem." &amp; E259 &amp;":",F259,",AttributeOwner=Class'""/Script/DSAbilitySystem." &amp; E259 &amp;"""')")</f>
        <v>(AttributeName="Ranged",Attribute=/Script/DSAbilitySystem.DungeonSiegeExperienceAttributeSet:Ranged,AttributeOwner=Class'"/Script/DSAbilitySystem.DungeonSiegeExperienceAttributeSet"')</v>
      </c>
      <c r="H259" s="43">
        <v>1</v>
      </c>
      <c r="I259" s="43" t="str">
        <f t="shared" ref="I259:I322" si="13">CONCATENATE("GE_Prefix_",SUBSTITUTE(C259," ","_"))</f>
        <v>GE_Prefix_Incredible</v>
      </c>
      <c r="J259" s="43" t="str">
        <f t="shared" ref="J259:J322" si="14">"/Game/DungeonSiege/Blueprints/GameplayAbilities/Affixes/" &amp;I259</f>
        <v>/Game/DungeonSiege/Blueprints/GameplayAbilities/Affixes/GE_Prefix_Incredible</v>
      </c>
    </row>
    <row r="260" spans="1:10" s="23" customFormat="1" ht="33.75" x14ac:dyDescent="0.25">
      <c r="A260" s="43">
        <v>258</v>
      </c>
      <c r="B260" s="43">
        <f>VLOOKUP(C260,CHOOSE({2,1},Prefix!B$2:B$256,Prefix!C$2:C$256),2,FALSE)</f>
        <v>100663555</v>
      </c>
      <c r="C260" s="43" t="s">
        <v>942</v>
      </c>
      <c r="D260" s="43" t="s">
        <v>943</v>
      </c>
      <c r="E260" s="43" t="str">
        <f>VLOOKUP(F260,CHOOSE({2,1},Attributes!B$3:B$130,Attributes!C$3:C$129),2,FALSE)</f>
        <v>DungeonSiegeDamageAttributeSet</v>
      </c>
      <c r="F260" s="43" t="str">
        <f>Attributes!C25</f>
        <v>MinPiercingDamageMod</v>
      </c>
      <c r="G260" s="43" t="str">
        <f t="shared" si="12"/>
        <v>(AttributeName="MinPiercingDamageMod",Attribute=/Script/DSAbilitySystem.DungeonSiegeDamageAttributeSet:MinPiercingDamageMod,AttributeOwner=Class'"/Script/DSAbilitySystem.DungeonSiegeDamageAttributeSet"')</v>
      </c>
      <c r="H260" s="43">
        <v>1</v>
      </c>
      <c r="I260" s="43" t="str">
        <f t="shared" si="13"/>
        <v>GE_Prefix_Incredible</v>
      </c>
      <c r="J260" s="43" t="str">
        <f t="shared" si="14"/>
        <v>/Game/DungeonSiege/Blueprints/GameplayAbilities/Affixes/GE_Prefix_Incredible</v>
      </c>
    </row>
    <row r="261" spans="1:10" s="23" customFormat="1" ht="33.75" x14ac:dyDescent="0.25">
      <c r="A261" s="43">
        <v>259</v>
      </c>
      <c r="B261" s="43">
        <f>VLOOKUP(C261,CHOOSE({2,1},Prefix!B$2:B$256,Prefix!C$2:C$256),2,FALSE)</f>
        <v>100663555</v>
      </c>
      <c r="C261" s="43" t="s">
        <v>942</v>
      </c>
      <c r="D261" s="43" t="s">
        <v>943</v>
      </c>
      <c r="E261" s="43" t="str">
        <f>VLOOKUP(F261,CHOOSE({2,1},Attributes!B$3:B$130,Attributes!C$3:C$129),2,FALSE)</f>
        <v>DungeonSiegeDamageAttributeSet</v>
      </c>
      <c r="F261" s="43" t="str">
        <f>Attributes!C26</f>
        <v>MaxPiercingDamageMod</v>
      </c>
      <c r="G261" s="43" t="str">
        <f t="shared" si="12"/>
        <v>(AttributeName="MaxPiercingDamageMod",Attribute=/Script/DSAbilitySystem.DungeonSiegeDamageAttributeSet:MaxPiercingDamageMod,AttributeOwner=Class'"/Script/DSAbilitySystem.DungeonSiegeDamageAttributeSet"')</v>
      </c>
      <c r="H261" s="43">
        <v>4</v>
      </c>
      <c r="I261" s="43" t="str">
        <f t="shared" si="13"/>
        <v>GE_Prefix_Incredible</v>
      </c>
      <c r="J261" s="43" t="str">
        <f t="shared" si="14"/>
        <v>/Game/DungeonSiege/Blueprints/GameplayAbilities/Affixes/GE_Prefix_Incredible</v>
      </c>
    </row>
    <row r="262" spans="1:10" s="23" customFormat="1" ht="33.75" x14ac:dyDescent="0.25">
      <c r="A262" s="43">
        <v>260</v>
      </c>
      <c r="B262" s="43">
        <f>VLOOKUP(C262,CHOOSE({2,1},Prefix!B$2:B$256,Prefix!C$2:C$256),2,FALSE)</f>
        <v>100663555</v>
      </c>
      <c r="C262" s="43" t="s">
        <v>942</v>
      </c>
      <c r="D262" s="43" t="s">
        <v>230</v>
      </c>
      <c r="E262" s="43" t="str">
        <f>VLOOKUP(F262,CHOOSE({2,1},Attributes!B$3:B$130,Attributes!C$3:C$129),2,FALSE)</f>
        <v>DungeonSiegeMagicAttributeSet</v>
      </c>
      <c r="F262" s="43" t="str">
        <f>Attributes!C43</f>
        <v>PercentMagicDamageReduction</v>
      </c>
      <c r="G262" s="43" t="str">
        <f t="shared" si="12"/>
        <v>(AttributeName="PercentMagicDamageReduction",Attribute=/Script/DSAbilitySystem.DungeonSiegeMagicAttributeSet:PercentMagicDamageReduction,AttributeOwner=Class'"/Script/DSAbilitySystem.DungeonSiegeMagicAttributeSet"')</v>
      </c>
      <c r="H262" s="43">
        <v>5</v>
      </c>
      <c r="I262" s="43" t="str">
        <f t="shared" si="13"/>
        <v>GE_Prefix_Incredible</v>
      </c>
      <c r="J262" s="43" t="str">
        <f t="shared" si="14"/>
        <v>/Game/DungeonSiege/Blueprints/GameplayAbilities/Affixes/GE_Prefix_Incredible</v>
      </c>
    </row>
    <row r="263" spans="1:10" s="23" customFormat="1" ht="33.75" x14ac:dyDescent="0.25">
      <c r="A263" s="43">
        <v>261</v>
      </c>
      <c r="B263" s="43">
        <f>VLOOKUP(C263,CHOOSE({2,1},Prefix!B$2:B$256,Prefix!C$2:C$256),2,FALSE)</f>
        <v>100663555</v>
      </c>
      <c r="C263" s="43" t="s">
        <v>942</v>
      </c>
      <c r="D263" s="43" t="s">
        <v>747</v>
      </c>
      <c r="E263" s="43" t="str">
        <f>VLOOKUP(F263,CHOOSE({2,1},Attributes!B$3:B$130,Attributes!C$3:C$129),2,FALSE)</f>
        <v>DungeonSiegeDamageAttributeSet</v>
      </c>
      <c r="F263" s="43" t="str">
        <f>Attributes!C34</f>
        <v>ChanceToDodgeMeleeAttack</v>
      </c>
      <c r="G263" s="43" t="str">
        <f t="shared" si="12"/>
        <v>(AttributeName="ChanceToDodgeMeleeAttack",Attribute=/Script/DSAbilitySystem.DungeonSiegeDamageAttributeSet:ChanceToDodgeMeleeAttack,AttributeOwner=Class'"/Script/DSAbilitySystem.DungeonSiegeDamageAttributeSet"')</v>
      </c>
      <c r="H263" s="43">
        <v>5</v>
      </c>
      <c r="I263" s="43" t="str">
        <f t="shared" si="13"/>
        <v>GE_Prefix_Incredible</v>
      </c>
      <c r="J263" s="43" t="str">
        <f t="shared" si="14"/>
        <v>/Game/DungeonSiege/Blueprints/GameplayAbilities/Affixes/GE_Prefix_Incredible</v>
      </c>
    </row>
    <row r="264" spans="1:10" ht="33.75" x14ac:dyDescent="0.25">
      <c r="A264" s="43">
        <v>262</v>
      </c>
      <c r="B264" s="43">
        <f>VLOOKUP(C264,CHOOSE({2,1},Prefix!B$2:B$256,Prefix!C$2:C$256),2,FALSE)</f>
        <v>100663555</v>
      </c>
      <c r="C264" s="43" t="s">
        <v>942</v>
      </c>
      <c r="D264" s="43" t="s">
        <v>3161</v>
      </c>
      <c r="E264" s="43" t="str">
        <f>VLOOKUP(F264,CHOOSE({2,1},Attributes!B$3:B$130,Attributes!C$3:C$129),2,FALSE)</f>
        <v>DungeonSiegeDamageAttributeSet</v>
      </c>
      <c r="F264" s="43" t="str">
        <f>Attributes!C29</f>
        <v>RangedHitChance</v>
      </c>
      <c r="G264" s="43" t="str">
        <f t="shared" si="12"/>
        <v>(AttributeName="RangedHitChance",Attribute=/Script/DSAbilitySystem.DungeonSiegeDamageAttributeSet:RangedHitChance,AttributeOwner=Class'"/Script/DSAbilitySystem.DungeonSiegeDamageAttributeSet"')</v>
      </c>
      <c r="H264" s="43">
        <v>7</v>
      </c>
      <c r="I264" s="43" t="str">
        <f t="shared" si="13"/>
        <v>GE_Prefix_Incredible</v>
      </c>
      <c r="J264" s="43" t="str">
        <f t="shared" si="14"/>
        <v>/Game/DungeonSiege/Blueprints/GameplayAbilities/Affixes/GE_Prefix_Incredible</v>
      </c>
    </row>
    <row r="265" spans="1:10" s="23" customFormat="1" ht="33.75" x14ac:dyDescent="0.25">
      <c r="A265" s="43">
        <v>263</v>
      </c>
      <c r="B265" s="43">
        <f>VLOOKUP(C265,CHOOSE({2,1},Prefix!B$2:B$256,Prefix!C$2:C$256),2,FALSE)</f>
        <v>100663556</v>
      </c>
      <c r="C265" s="43" t="s">
        <v>945</v>
      </c>
      <c r="D265" s="43" t="s">
        <v>712</v>
      </c>
      <c r="E265" s="43" t="str">
        <f>VLOOKUP(F265,CHOOSE({2,1},Attributes!B$3:B$130,Attributes!C$3:C$129),2,FALSE)</f>
        <v>DungeonSiegeExperienceAttributeSet</v>
      </c>
      <c r="F265" s="43" t="str">
        <f>Attributes!C9</f>
        <v>Melee</v>
      </c>
      <c r="G265" s="43" t="str">
        <f t="shared" si="12"/>
        <v>(AttributeName="Melee",Attribute=/Script/DSAbilitySystem.DungeonSiegeExperienceAttributeSet:Melee,AttributeOwner=Class'"/Script/DSAbilitySystem.DungeonSiegeExperienceAttributeSet"')</v>
      </c>
      <c r="H265" s="43">
        <v>2</v>
      </c>
      <c r="I265" s="43" t="str">
        <f t="shared" si="13"/>
        <v>GE_Prefix_Hallowed</v>
      </c>
      <c r="J265" s="43" t="str">
        <f t="shared" si="14"/>
        <v>/Game/DungeonSiege/Blueprints/GameplayAbilities/Affixes/GE_Prefix_Hallowed</v>
      </c>
    </row>
    <row r="266" spans="1:10" s="23" customFormat="1" ht="33.75" x14ac:dyDescent="0.25">
      <c r="A266" s="43">
        <v>264</v>
      </c>
      <c r="B266" s="43">
        <f>VLOOKUP(C266,CHOOSE({2,1},Prefix!B$2:B$256,Prefix!C$2:C$256),2,FALSE)</f>
        <v>100663556</v>
      </c>
      <c r="C266" s="43" t="s">
        <v>945</v>
      </c>
      <c r="D266" s="43" t="s">
        <v>846</v>
      </c>
      <c r="E266" s="43" t="str">
        <f>VLOOKUP(F266,CHOOSE({2,1},Attributes!B$3:B$130,Attributes!C$3:C$129),2,FALSE)</f>
        <v>DungeonSiegeDamageAttributeSet</v>
      </c>
      <c r="F266" s="43" t="str">
        <f>Attributes!C24</f>
        <v>PercentPiercingDamageReduction</v>
      </c>
      <c r="G266" s="43" t="str">
        <f t="shared" si="12"/>
        <v>(AttributeName="PercentPiercingDamageReduction",Attribute=/Script/DSAbilitySystem.DungeonSiegeDamageAttributeSet:PercentPiercingDamageReduction,AttributeOwner=Class'"/Script/DSAbilitySystem.DungeonSiegeDamageAttributeSet"')</v>
      </c>
      <c r="H266" s="43">
        <v>9</v>
      </c>
      <c r="I266" s="43" t="str">
        <f t="shared" si="13"/>
        <v>GE_Prefix_Hallowed</v>
      </c>
      <c r="J266" s="43" t="str">
        <f t="shared" si="14"/>
        <v>/Game/DungeonSiege/Blueprints/GameplayAbilities/Affixes/GE_Prefix_Hallowed</v>
      </c>
    </row>
    <row r="267" spans="1:10" ht="33.75" x14ac:dyDescent="0.25">
      <c r="A267" s="43">
        <v>265</v>
      </c>
      <c r="B267" s="43">
        <f>VLOOKUP(C267,CHOOSE({2,1},Prefix!B$2:B$256,Prefix!C$2:C$256),2,FALSE)</f>
        <v>100663556</v>
      </c>
      <c r="C267" s="43" t="s">
        <v>945</v>
      </c>
      <c r="D267" s="43" t="s">
        <v>747</v>
      </c>
      <c r="E267" s="43" t="str">
        <f>VLOOKUP(F267,CHOOSE({2,1},Attributes!B$3:B$130,Attributes!C$3:C$129),2,FALSE)</f>
        <v>DungeonSiegeDamageAttributeSet</v>
      </c>
      <c r="F267" s="43" t="str">
        <f>Attributes!C34</f>
        <v>ChanceToDodgeMeleeAttack</v>
      </c>
      <c r="G267" s="43" t="str">
        <f t="shared" si="12"/>
        <v>(AttributeName="ChanceToDodgeMeleeAttack",Attribute=/Script/DSAbilitySystem.DungeonSiegeDamageAttributeSet:ChanceToDodgeMeleeAttack,AttributeOwner=Class'"/Script/DSAbilitySystem.DungeonSiegeDamageAttributeSet"')</v>
      </c>
      <c r="H267" s="43">
        <v>5</v>
      </c>
      <c r="I267" s="43" t="str">
        <f t="shared" si="13"/>
        <v>GE_Prefix_Hallowed</v>
      </c>
      <c r="J267" s="43" t="str">
        <f t="shared" si="14"/>
        <v>/Game/DungeonSiege/Blueprints/GameplayAbilities/Affixes/GE_Prefix_Hallowed</v>
      </c>
    </row>
    <row r="268" spans="1:10" ht="33.75" x14ac:dyDescent="0.25">
      <c r="A268" s="43">
        <v>266</v>
      </c>
      <c r="B268" s="43">
        <f>VLOOKUP(C268,CHOOSE({2,1},Prefix!B$2:B$256,Prefix!C$2:C$256),2,FALSE)</f>
        <v>100663557</v>
      </c>
      <c r="C268" s="43" t="s">
        <v>947</v>
      </c>
      <c r="D268" s="43" t="s">
        <v>931</v>
      </c>
      <c r="E268" s="43" t="str">
        <f>VLOOKUP(F268,CHOOSE({2,1},Attributes!B$3:B$130,Attributes!C$3:C$129),2,FALSE)</f>
        <v>DungeonSiegeDamageAttributeSet</v>
      </c>
      <c r="F268" s="43" t="str">
        <f>Attributes!C32</f>
        <v>ChanceToBlockMeleeAttack</v>
      </c>
      <c r="G268" s="43" t="str">
        <f t="shared" si="12"/>
        <v>(AttributeName="ChanceToBlockMeleeAttack",Attribute=/Script/DSAbilitySystem.DungeonSiegeDamageAttributeSet:ChanceToBlockMeleeAttack,AttributeOwner=Class'"/Script/DSAbilitySystem.DungeonSiegeDamageAttributeSet"')</v>
      </c>
      <c r="H268" s="43">
        <v>10</v>
      </c>
      <c r="I268" s="43" t="str">
        <f t="shared" si="13"/>
        <v>GE_Prefix_Constant</v>
      </c>
      <c r="J268" s="43" t="str">
        <f t="shared" si="14"/>
        <v>/Game/DungeonSiege/Blueprints/GameplayAbilities/Affixes/GE_Prefix_Constant</v>
      </c>
    </row>
    <row r="269" spans="1:10" s="23" customFormat="1" ht="33.75" x14ac:dyDescent="0.25">
      <c r="A269" s="43">
        <v>267</v>
      </c>
      <c r="B269" s="43">
        <f>VLOOKUP(C269,CHOOSE({2,1},Prefix!B$2:B$256,Prefix!C$2:C$256),2,FALSE)</f>
        <v>100663558</v>
      </c>
      <c r="C269" s="43" t="s">
        <v>949</v>
      </c>
      <c r="D269" s="43" t="s">
        <v>881</v>
      </c>
      <c r="E269" s="43" t="str">
        <f>VLOOKUP(F269,CHOOSE({2,1},Attributes!B$3:B$130,Attributes!C$3:C$129),2,FALSE)</f>
        <v>DungeonSiegePerHitAttributeSet</v>
      </c>
      <c r="F269" s="43" t="str">
        <f>Attributes!C14</f>
        <v>ManaStealPerHit</v>
      </c>
      <c r="G269" s="43" t="str">
        <f t="shared" si="12"/>
        <v>(AttributeName="ManaStealPerHit",Attribute=/Script/DSAbilitySystem.DungeonSiegePerHitAttributeSet:ManaStealPerHit,AttributeOwner=Class'"/Script/DSAbilitySystem.DungeonSiegePerHitAttributeSet"')</v>
      </c>
      <c r="H269" s="43">
        <v>1</v>
      </c>
      <c r="I269" s="43" t="str">
        <f t="shared" si="13"/>
        <v>GE_Prefix_Noble</v>
      </c>
      <c r="J269" s="43" t="str">
        <f t="shared" si="14"/>
        <v>/Game/DungeonSiege/Blueprints/GameplayAbilities/Affixes/GE_Prefix_Noble</v>
      </c>
    </row>
    <row r="270" spans="1:10" s="23" customFormat="1" ht="33.75" x14ac:dyDescent="0.25">
      <c r="A270" s="43">
        <v>268</v>
      </c>
      <c r="B270" s="43">
        <f>VLOOKUP(C270,CHOOSE({2,1},Prefix!B$2:B$256,Prefix!C$2:C$256),2,FALSE)</f>
        <v>100663558</v>
      </c>
      <c r="C270" s="43" t="s">
        <v>949</v>
      </c>
      <c r="D270" s="43" t="s">
        <v>713</v>
      </c>
      <c r="E270" s="43" t="str">
        <f>VLOOKUP(F270,CHOOSE({2,1},Attributes!B$3:B$130,Attributes!C$3:C$129),2,FALSE)</f>
        <v>DungeonSiegeExperienceAttributeSet</v>
      </c>
      <c r="F270" s="43" t="str">
        <f>Attributes!C8</f>
        <v>Ranged</v>
      </c>
      <c r="G270" s="43" t="str">
        <f t="shared" si="12"/>
        <v>(AttributeName="Ranged",Attribute=/Script/DSAbilitySystem.DungeonSiegeExperienceAttributeSet:Ranged,AttributeOwner=Class'"/Script/DSAbilitySystem.DungeonSiegeExperienceAttributeSet"')</v>
      </c>
      <c r="H270" s="43">
        <v>1</v>
      </c>
      <c r="I270" s="43" t="str">
        <f t="shared" si="13"/>
        <v>GE_Prefix_Noble</v>
      </c>
      <c r="J270" s="43" t="str">
        <f t="shared" si="14"/>
        <v>/Game/DungeonSiege/Blueprints/GameplayAbilities/Affixes/GE_Prefix_Noble</v>
      </c>
    </row>
    <row r="271" spans="1:10" s="23" customFormat="1" ht="33.75" x14ac:dyDescent="0.25">
      <c r="A271" s="43">
        <v>269</v>
      </c>
      <c r="B271" s="43">
        <f>VLOOKUP(C271,CHOOSE({2,1},Prefix!B$2:B$256,Prefix!C$2:C$256),2,FALSE)</f>
        <v>100663558</v>
      </c>
      <c r="C271" s="43" t="s">
        <v>949</v>
      </c>
      <c r="D271" s="43" t="s">
        <v>804</v>
      </c>
      <c r="E271" s="43" t="str">
        <f>VLOOKUP(F271,CHOOSE({2,1},Attributes!B$3:B$130,Attributes!C$3:C$129),2,FALSE)</f>
        <v>DungeonSiegeDamageAttributeSet</v>
      </c>
      <c r="F271" s="43" t="str">
        <f>Attributes!C23</f>
        <v>ChanceToInflictPiercingHit</v>
      </c>
      <c r="G271" s="43" t="str">
        <f t="shared" si="12"/>
        <v>(AttributeName="ChanceToInflictPiercingHit",Attribute=/Script/DSAbilitySystem.DungeonSiegeDamageAttributeSet:ChanceToInflictPiercingHit,AttributeOwner=Class'"/Script/DSAbilitySystem.DungeonSiegeDamageAttributeSet"')</v>
      </c>
      <c r="H271" s="43">
        <v>4</v>
      </c>
      <c r="I271" s="43" t="str">
        <f t="shared" si="13"/>
        <v>GE_Prefix_Noble</v>
      </c>
      <c r="J271" s="43" t="str">
        <f t="shared" si="14"/>
        <v>/Game/DungeonSiege/Blueprints/GameplayAbilities/Affixes/GE_Prefix_Noble</v>
      </c>
    </row>
    <row r="272" spans="1:10" s="23" customFormat="1" ht="33.75" x14ac:dyDescent="0.25">
      <c r="A272" s="43">
        <v>270</v>
      </c>
      <c r="B272" s="43">
        <f>VLOOKUP(C272,CHOOSE({2,1},Prefix!B$2:B$256,Prefix!C$2:C$256),2,FALSE)</f>
        <v>100663558</v>
      </c>
      <c r="C272" s="43" t="s">
        <v>949</v>
      </c>
      <c r="D272" s="43" t="s">
        <v>870</v>
      </c>
      <c r="E272" s="43" t="str">
        <f>VLOOKUP(F272,CHOOSE({2,1},Attributes!B$3:B$130,Attributes!C$3:C$129),2,FALSE)</f>
        <v>DungeonSiegeDamageAttributeSet</v>
      </c>
      <c r="F272" s="43" t="str">
        <f>Attributes!C32</f>
        <v>ChanceToBlockMeleeAttack</v>
      </c>
      <c r="G272" s="43" t="str">
        <f t="shared" si="12"/>
        <v>(AttributeName="ChanceToBlockMeleeAttack",Attribute=/Script/DSAbilitySystem.DungeonSiegeDamageAttributeSet:ChanceToBlockMeleeAttack,AttributeOwner=Class'"/Script/DSAbilitySystem.DungeonSiegeDamageAttributeSet"')</v>
      </c>
      <c r="H272" s="43">
        <v>5</v>
      </c>
      <c r="I272" s="43" t="str">
        <f t="shared" si="13"/>
        <v>GE_Prefix_Noble</v>
      </c>
      <c r="J272" s="43" t="str">
        <f t="shared" si="14"/>
        <v>/Game/DungeonSiege/Blueprints/GameplayAbilities/Affixes/GE_Prefix_Noble</v>
      </c>
    </row>
    <row r="273" spans="1:10" ht="33.75" x14ac:dyDescent="0.25">
      <c r="A273" s="43">
        <v>271</v>
      </c>
      <c r="B273" s="43">
        <f>VLOOKUP(C273,CHOOSE({2,1},Prefix!B$2:B$256,Prefix!C$2:C$256),2,FALSE)</f>
        <v>100663558</v>
      </c>
      <c r="C273" s="43" t="s">
        <v>949</v>
      </c>
      <c r="D273" s="43" t="s">
        <v>950</v>
      </c>
      <c r="E273" s="43" t="str">
        <f>VLOOKUP(F273,CHOOSE({2,1},Attributes!B$3:B$130,Attributes!C$3:C$129),2,FALSE)</f>
        <v>DungeonSiegeDamageAttributeSet</v>
      </c>
      <c r="F273" s="43" t="str">
        <f>Attributes!C19</f>
        <v>MinDamageMod</v>
      </c>
      <c r="G273" s="43" t="str">
        <f t="shared" si="12"/>
        <v>(AttributeName="MinDamageMod",Attribute=/Script/DSAbilitySystem.DungeonSiegeDamageAttributeSet:MinDamageMod,AttributeOwner=Class'"/Script/DSAbilitySystem.DungeonSiegeDamageAttributeSet"')</v>
      </c>
      <c r="H273" s="43">
        <v>1</v>
      </c>
      <c r="I273" s="43" t="str">
        <f t="shared" si="13"/>
        <v>GE_Prefix_Noble</v>
      </c>
      <c r="J273" s="43" t="str">
        <f t="shared" si="14"/>
        <v>/Game/DungeonSiege/Blueprints/GameplayAbilities/Affixes/GE_Prefix_Noble</v>
      </c>
    </row>
    <row r="274" spans="1:10" s="23" customFormat="1" ht="33.75" x14ac:dyDescent="0.25">
      <c r="A274" s="43">
        <v>272</v>
      </c>
      <c r="B274" s="43">
        <f>VLOOKUP(C274,CHOOSE({2,1},Prefix!B$2:B$256,Prefix!C$2:C$256),2,FALSE)</f>
        <v>100663559</v>
      </c>
      <c r="C274" s="43" t="s">
        <v>952</v>
      </c>
      <c r="D274" s="43" t="s">
        <v>712</v>
      </c>
      <c r="E274" s="43" t="str">
        <f>VLOOKUP(F274,CHOOSE({2,1},Attributes!B$3:B$130,Attributes!C$3:C$129),2,FALSE)</f>
        <v>DungeonSiegeExperienceAttributeSet</v>
      </c>
      <c r="F274" s="43" t="str">
        <f>Attributes!C9</f>
        <v>Melee</v>
      </c>
      <c r="G274" s="43" t="str">
        <f t="shared" si="12"/>
        <v>(AttributeName="Melee",Attribute=/Script/DSAbilitySystem.DungeonSiegeExperienceAttributeSet:Melee,AttributeOwner=Class'"/Script/DSAbilitySystem.DungeonSiegeExperienceAttributeSet"')</v>
      </c>
      <c r="H274" s="43">
        <v>2</v>
      </c>
      <c r="I274" s="43" t="str">
        <f t="shared" si="13"/>
        <v>GE_Prefix_Gleaming</v>
      </c>
      <c r="J274" s="43" t="str">
        <f t="shared" si="14"/>
        <v>/Game/DungeonSiege/Blueprints/GameplayAbilities/Affixes/GE_Prefix_Gleaming</v>
      </c>
    </row>
    <row r="275" spans="1:10" s="23" customFormat="1" ht="33.75" x14ac:dyDescent="0.25">
      <c r="A275" s="43">
        <v>273</v>
      </c>
      <c r="B275" s="43">
        <f>VLOOKUP(C275,CHOOSE({2,1},Prefix!B$2:B$256,Prefix!C$2:C$256),2,FALSE)</f>
        <v>100663559</v>
      </c>
      <c r="C275" s="43" t="s">
        <v>952</v>
      </c>
      <c r="D275" s="43" t="s">
        <v>747</v>
      </c>
      <c r="E275" s="43" t="str">
        <f>VLOOKUP(F275,CHOOSE({2,1},Attributes!B$3:B$130,Attributes!C$3:C$129),2,FALSE)</f>
        <v>DungeonSiegeDamageAttributeSet</v>
      </c>
      <c r="F275" s="43" t="str">
        <f>Attributes!C34</f>
        <v>ChanceToDodgeMeleeAttack</v>
      </c>
      <c r="G275" s="43" t="str">
        <f t="shared" si="12"/>
        <v>(AttributeName="ChanceToDodgeMeleeAttack",Attribute=/Script/DSAbilitySystem.DungeonSiegeDamageAttributeSet:ChanceToDodgeMeleeAttack,AttributeOwner=Class'"/Script/DSAbilitySystem.DungeonSiegeDamageAttributeSet"')</v>
      </c>
      <c r="H275" s="43">
        <v>5</v>
      </c>
      <c r="I275" s="43" t="str">
        <f t="shared" si="13"/>
        <v>GE_Prefix_Gleaming</v>
      </c>
      <c r="J275" s="43" t="str">
        <f t="shared" si="14"/>
        <v>/Game/DungeonSiege/Blueprints/GameplayAbilities/Affixes/GE_Prefix_Gleaming</v>
      </c>
    </row>
    <row r="276" spans="1:10" ht="33.75" x14ac:dyDescent="0.25">
      <c r="A276" s="43">
        <v>274</v>
      </c>
      <c r="B276" s="43">
        <f>VLOOKUP(C276,CHOOSE({2,1},Prefix!B$2:B$256,Prefix!C$2:C$256),2,FALSE)</f>
        <v>100663559</v>
      </c>
      <c r="C276" s="43" t="s">
        <v>952</v>
      </c>
      <c r="D276" s="43" t="s">
        <v>871</v>
      </c>
      <c r="E276" s="43" t="str">
        <f>VLOOKUP(F276,CHOOSE({2,1},Attributes!B$3:B$130,Attributes!C$3:C$129),2,FALSE)</f>
        <v>DungeonSiegeDamageAttributeSet</v>
      </c>
      <c r="F276" s="43" t="str">
        <f>Attributes!C28</f>
        <v>ChanceToBlockRangedAttack</v>
      </c>
      <c r="G276" s="43" t="str">
        <f t="shared" si="12"/>
        <v>(AttributeName="ChanceToBlockRangedAttack",Attribute=/Script/DSAbilitySystem.DungeonSiegeDamageAttributeSet:ChanceToBlockRangedAttack,AttributeOwner=Class'"/Script/DSAbilitySystem.DungeonSiegeDamageAttributeSet"')</v>
      </c>
      <c r="H276" s="43">
        <v>9</v>
      </c>
      <c r="I276" s="43" t="str">
        <f t="shared" si="13"/>
        <v>GE_Prefix_Gleaming</v>
      </c>
      <c r="J276" s="43" t="str">
        <f t="shared" si="14"/>
        <v>/Game/DungeonSiege/Blueprints/GameplayAbilities/Affixes/GE_Prefix_Gleaming</v>
      </c>
    </row>
    <row r="277" spans="1:10" s="23" customFormat="1" ht="33.75" x14ac:dyDescent="0.25">
      <c r="A277" s="43">
        <v>275</v>
      </c>
      <c r="B277" s="43">
        <f>VLOOKUP(C277,CHOOSE({2,1},Prefix!B$2:B$256,Prefix!C$2:C$256),2,FALSE)</f>
        <v>100663560</v>
      </c>
      <c r="C277" s="43" t="s">
        <v>954</v>
      </c>
      <c r="D277" s="43" t="s">
        <v>207</v>
      </c>
      <c r="E277" s="43" t="str">
        <f>VLOOKUP(F277,CHOOSE({2,1},Attributes!B$3:B$130,Attributes!C$3:C$129),2,FALSE)</f>
        <v>DungeonSiegeExperienceAttributeSet</v>
      </c>
      <c r="F277" s="43" t="str">
        <f>Attributes!C7</f>
        <v>NatureMagic</v>
      </c>
      <c r="G277" s="43" t="str">
        <f t="shared" si="12"/>
        <v>(AttributeName="NatureMagic",Attribute=/Script/DSAbilitySystem.DungeonSiegeExperienceAttributeSet:NatureMagic,AttributeOwner=Class'"/Script/DSAbilitySystem.DungeonSiegeExperienceAttributeSet"')</v>
      </c>
      <c r="H277" s="43">
        <v>1</v>
      </c>
      <c r="I277" s="43" t="str">
        <f t="shared" si="13"/>
        <v>GE_Prefix_Loyal</v>
      </c>
      <c r="J277" s="43" t="str">
        <f t="shared" si="14"/>
        <v>/Game/DungeonSiege/Blueprints/GameplayAbilities/Affixes/GE_Prefix_Loyal</v>
      </c>
    </row>
    <row r="278" spans="1:10" s="23" customFormat="1" ht="33.75" x14ac:dyDescent="0.25">
      <c r="A278" s="43">
        <v>276</v>
      </c>
      <c r="B278" s="43">
        <f>VLOOKUP(C278,CHOOSE({2,1},Prefix!B$2:B$256,Prefix!C$2:C$256),2,FALSE)</f>
        <v>100663560</v>
      </c>
      <c r="C278" s="43" t="s">
        <v>954</v>
      </c>
      <c r="D278" s="43" t="s">
        <v>204</v>
      </c>
      <c r="E278" s="43" t="str">
        <f>VLOOKUP(F278,CHOOSE({2,1},Attributes!B$3:B$130,Attributes!C$3:C$129),2,FALSE)</f>
        <v>DungeonSiegeExperienceAttributeSet</v>
      </c>
      <c r="F278" s="43" t="str">
        <f>Attributes!C6</f>
        <v>CombatMagic</v>
      </c>
      <c r="G278" s="43" t="str">
        <f t="shared" si="12"/>
        <v>(AttributeName="CombatMagic",Attribute=/Script/DSAbilitySystem.DungeonSiegeExperienceAttributeSet:CombatMagic,AttributeOwner=Class'"/Script/DSAbilitySystem.DungeonSiegeExperienceAttributeSet"')</v>
      </c>
      <c r="H278" s="43">
        <v>1</v>
      </c>
      <c r="I278" s="43" t="str">
        <f t="shared" si="13"/>
        <v>GE_Prefix_Loyal</v>
      </c>
      <c r="J278" s="43" t="str">
        <f t="shared" si="14"/>
        <v>/Game/DungeonSiege/Blueprints/GameplayAbilities/Affixes/GE_Prefix_Loyal</v>
      </c>
    </row>
    <row r="279" spans="1:10" ht="33.75" x14ac:dyDescent="0.25">
      <c r="A279" s="43">
        <v>277</v>
      </c>
      <c r="B279" s="43">
        <f>VLOOKUP(C279,CHOOSE({2,1},Prefix!B$2:B$256,Prefix!C$2:C$256),2,FALSE)</f>
        <v>100663560</v>
      </c>
      <c r="C279" s="43" t="s">
        <v>954</v>
      </c>
      <c r="D279" s="43" t="s">
        <v>955</v>
      </c>
      <c r="E279" s="43" t="str">
        <f>VLOOKUP(F279,CHOOSE({2,1},Attributes!B$3:B$130,Attributes!C$3:C$129),2,FALSE)</f>
        <v>DungeonSiegeDamageAttributeSet</v>
      </c>
      <c r="F279" s="43" t="str">
        <f>Attributes!C28</f>
        <v>ChanceToBlockRangedAttack</v>
      </c>
      <c r="G279" s="43" t="str">
        <f t="shared" si="12"/>
        <v>(AttributeName="ChanceToBlockRangedAttack",Attribute=/Script/DSAbilitySystem.DungeonSiegeDamageAttributeSet:ChanceToBlockRangedAttack,AttributeOwner=Class'"/Script/DSAbilitySystem.DungeonSiegeDamageAttributeSet"')</v>
      </c>
      <c r="H279" s="43">
        <v>13</v>
      </c>
      <c r="I279" s="43" t="str">
        <f t="shared" si="13"/>
        <v>GE_Prefix_Loyal</v>
      </c>
      <c r="J279" s="43" t="str">
        <f t="shared" si="14"/>
        <v>/Game/DungeonSiege/Blueprints/GameplayAbilities/Affixes/GE_Prefix_Loyal</v>
      </c>
    </row>
    <row r="280" spans="1:10" s="23" customFormat="1" ht="33.75" x14ac:dyDescent="0.25">
      <c r="A280" s="43">
        <v>278</v>
      </c>
      <c r="B280" s="43">
        <f>VLOOKUP(C280,CHOOSE({2,1},Prefix!B$2:B$256,Prefix!C$2:C$256),2,FALSE)</f>
        <v>100663561</v>
      </c>
      <c r="C280" s="43" t="s">
        <v>957</v>
      </c>
      <c r="D280" s="43" t="s">
        <v>239</v>
      </c>
      <c r="E280" s="43" t="str">
        <f>VLOOKUP(F280,CHOOSE({2,1},Attributes!B$3:B$130,Attributes!C$3:C$129),2,FALSE)</f>
        <v>DungeonSiegeExperienceAttributeSet</v>
      </c>
      <c r="F280" s="43" t="str">
        <f>Attributes!C7</f>
        <v>NatureMagic</v>
      </c>
      <c r="G280" s="43" t="str">
        <f t="shared" si="12"/>
        <v>(AttributeName="NatureMagic",Attribute=/Script/DSAbilitySystem.DungeonSiegeExperienceAttributeSet:NatureMagic,AttributeOwner=Class'"/Script/DSAbilitySystem.DungeonSiegeExperienceAttributeSet"')</v>
      </c>
      <c r="H280" s="43">
        <v>2</v>
      </c>
      <c r="I280" s="43" t="str">
        <f t="shared" si="13"/>
        <v>GE_Prefix_Fantastic</v>
      </c>
      <c r="J280" s="43" t="str">
        <f t="shared" si="14"/>
        <v>/Game/DungeonSiege/Blueprints/GameplayAbilities/Affixes/GE_Prefix_Fantastic</v>
      </c>
    </row>
    <row r="281" spans="1:10" s="23" customFormat="1" ht="33.75" x14ac:dyDescent="0.25">
      <c r="A281" s="43">
        <v>279</v>
      </c>
      <c r="B281" s="43">
        <f>VLOOKUP(C281,CHOOSE({2,1},Prefix!B$2:B$256,Prefix!C$2:C$256),2,FALSE)</f>
        <v>100663561</v>
      </c>
      <c r="C281" s="43" t="s">
        <v>957</v>
      </c>
      <c r="D281" s="43" t="s">
        <v>805</v>
      </c>
      <c r="E281" s="43" t="str">
        <f>VLOOKUP(F281,CHOOSE({2,1},Attributes!B$3:B$130,Attributes!C$3:C$129),2,FALSE)</f>
        <v>DungeonSiegeDamageAttributeSet</v>
      </c>
      <c r="F281" s="43" t="str">
        <f>Attributes!C31</f>
        <v>PercentMeleeDamageReduction</v>
      </c>
      <c r="G281" s="43" t="str">
        <f t="shared" si="12"/>
        <v>(AttributeName="PercentMeleeDamageReduction",Attribute=/Script/DSAbilitySystem.DungeonSiegeDamageAttributeSet:PercentMeleeDamageReduction,AttributeOwner=Class'"/Script/DSAbilitySystem.DungeonSiegeDamageAttributeSet"')</v>
      </c>
      <c r="H281" s="43">
        <v>5</v>
      </c>
      <c r="I281" s="43" t="str">
        <f t="shared" si="13"/>
        <v>GE_Prefix_Fantastic</v>
      </c>
      <c r="J281" s="43" t="str">
        <f t="shared" si="14"/>
        <v>/Game/DungeonSiege/Blueprints/GameplayAbilities/Affixes/GE_Prefix_Fantastic</v>
      </c>
    </row>
    <row r="282" spans="1:10" s="23" customFormat="1" ht="33.75" x14ac:dyDescent="0.25">
      <c r="A282" s="43">
        <v>280</v>
      </c>
      <c r="B282" s="43">
        <f>VLOOKUP(C282,CHOOSE({2,1},Prefix!B$2:B$256,Prefix!C$2:C$256),2,FALSE)</f>
        <v>100663561</v>
      </c>
      <c r="C282" s="43" t="s">
        <v>957</v>
      </c>
      <c r="D282" s="43" t="s">
        <v>824</v>
      </c>
      <c r="E282" s="43" t="str">
        <f>VLOOKUP(F282,CHOOSE({2,1},Attributes!B$3:B$130,Attributes!C$3:C$129),2,FALSE)</f>
        <v>DungeonSiegeDamageAttributeSet</v>
      </c>
      <c r="F282" s="43" t="str">
        <f>Attributes!C30</f>
        <v>ChanceToDodgeRangeAttack</v>
      </c>
      <c r="G282" s="43" t="str">
        <f t="shared" si="12"/>
        <v>(AttributeName="ChanceToDodgeRangeAttack",Attribute=/Script/DSAbilitySystem.DungeonSiegeDamageAttributeSet:ChanceToDodgeRangeAttack,AttributeOwner=Class'"/Script/DSAbilitySystem.DungeonSiegeDamageAttributeSet"')</v>
      </c>
      <c r="H282" s="43">
        <v>5</v>
      </c>
      <c r="I282" s="43" t="str">
        <f t="shared" si="13"/>
        <v>GE_Prefix_Fantastic</v>
      </c>
      <c r="J282" s="43" t="str">
        <f t="shared" si="14"/>
        <v>/Game/DungeonSiege/Blueprints/GameplayAbilities/Affixes/GE_Prefix_Fantastic</v>
      </c>
    </row>
    <row r="283" spans="1:10" ht="33.75" x14ac:dyDescent="0.25">
      <c r="A283" s="43">
        <v>281</v>
      </c>
      <c r="B283" s="43">
        <f>VLOOKUP(C283,CHOOSE({2,1},Prefix!B$2:B$256,Prefix!C$2:C$256),2,FALSE)</f>
        <v>100663561</v>
      </c>
      <c r="C283" s="43" t="s">
        <v>957</v>
      </c>
      <c r="D283" s="43" t="s">
        <v>958</v>
      </c>
      <c r="E283" s="43" t="str">
        <f>VLOOKUP(F283,CHOOSE({2,1},Attributes!B$3:B$130,Attributes!C$3:C$129),2,FALSE)</f>
        <v>DungeonSiegeMagicAttributeSet</v>
      </c>
      <c r="F283" s="43" t="str">
        <f>Attributes!C41</f>
        <v>CombatMagicMinDamageMod</v>
      </c>
      <c r="G283" s="43" t="str">
        <f t="shared" si="12"/>
        <v>(AttributeName="CombatMagicMinDamageMod",Attribute=/Script/DSAbilitySystem.DungeonSiegeMagicAttributeSet:CombatMagicMinDamageMod,AttributeOwner=Class'"/Script/DSAbilitySystem.DungeonSiegeMagicAttributeSet"')</v>
      </c>
      <c r="H283" s="43">
        <v>1</v>
      </c>
      <c r="I283" s="43" t="str">
        <f t="shared" si="13"/>
        <v>GE_Prefix_Fantastic</v>
      </c>
      <c r="J283" s="43" t="str">
        <f t="shared" si="14"/>
        <v>/Game/DungeonSiege/Blueprints/GameplayAbilities/Affixes/GE_Prefix_Fantastic</v>
      </c>
    </row>
    <row r="284" spans="1:10" ht="33.75" x14ac:dyDescent="0.25">
      <c r="A284" s="43">
        <v>282</v>
      </c>
      <c r="B284" s="43">
        <f>VLOOKUP(C284,CHOOSE({2,1},Prefix!B$2:B$256,Prefix!C$2:C$256),2,FALSE)</f>
        <v>100663568</v>
      </c>
      <c r="C284" s="43" t="s">
        <v>960</v>
      </c>
      <c r="D284" s="43" t="s">
        <v>281</v>
      </c>
      <c r="E284" s="43" t="str">
        <f>VLOOKUP(F284,CHOOSE({2,1},Attributes!B$3:B$130,Attributes!C$3:C$129),2,FALSE)</f>
        <v>DungeonSiegeDefenseAttributeSet</v>
      </c>
      <c r="F284" s="43" t="str">
        <f>Attributes!C10</f>
        <v>ArmorRating</v>
      </c>
      <c r="G284" s="43" t="str">
        <f t="shared" si="12"/>
        <v>(AttributeName="ArmorRating",Attribute=/Script/DSAbilitySystem.DungeonSiegeDefenseAttributeSet:ArmorRating,AttributeOwner=Class'"/Script/DSAbilitySystem.DungeonSiegeDefenseAttributeSet"')</v>
      </c>
      <c r="H284" s="43">
        <v>40</v>
      </c>
      <c r="I284" s="43" t="str">
        <f t="shared" si="13"/>
        <v>GE_Prefix_Hefty</v>
      </c>
      <c r="J284" s="43" t="str">
        <f t="shared" si="14"/>
        <v>/Game/DungeonSiege/Blueprints/GameplayAbilities/Affixes/GE_Prefix_Hefty</v>
      </c>
    </row>
    <row r="285" spans="1:10" ht="33.75" x14ac:dyDescent="0.25">
      <c r="A285" s="43">
        <v>283</v>
      </c>
      <c r="B285" s="43">
        <f>VLOOKUP(C285,CHOOSE({2,1},Prefix!B$2:B$256,Prefix!C$2:C$256),2,FALSE)</f>
        <v>100663569</v>
      </c>
      <c r="C285" s="43" t="s">
        <v>285</v>
      </c>
      <c r="D285" s="43" t="s">
        <v>284</v>
      </c>
      <c r="E285" s="43" t="str">
        <f>VLOOKUP(F285,CHOOSE({2,1},Attributes!B$3:B$130,Attributes!C$3:C$129),2,FALSE)</f>
        <v>DungeonSiegeMagicAttributeSet</v>
      </c>
      <c r="F285" s="43" t="str">
        <f>Attributes!C43</f>
        <v>PercentMagicDamageReduction</v>
      </c>
      <c r="G285" s="43" t="str">
        <f t="shared" si="12"/>
        <v>(AttributeName="PercentMagicDamageReduction",Attribute=/Script/DSAbilitySystem.DungeonSiegeMagicAttributeSet:PercentMagicDamageReduction,AttributeOwner=Class'"/Script/DSAbilitySystem.DungeonSiegeMagicAttributeSet"')</v>
      </c>
      <c r="H285" s="43">
        <v>15</v>
      </c>
      <c r="I285" s="43" t="str">
        <f t="shared" si="13"/>
        <v>GE_Prefix_Stringent</v>
      </c>
      <c r="J285" s="43" t="str">
        <f t="shared" si="14"/>
        <v>/Game/DungeonSiege/Blueprints/GameplayAbilities/Affixes/GE_Prefix_Stringent</v>
      </c>
    </row>
    <row r="286" spans="1:10" ht="33.75" x14ac:dyDescent="0.25">
      <c r="A286" s="43">
        <v>284</v>
      </c>
      <c r="B286" s="43">
        <f>VLOOKUP(C286,CHOOSE({2,1},Prefix!B$2:B$256,Prefix!C$2:C$256),2,FALSE)</f>
        <v>100663570</v>
      </c>
      <c r="C286" s="43" t="s">
        <v>282</v>
      </c>
      <c r="D286" s="43" t="s">
        <v>281</v>
      </c>
      <c r="E286" s="43" t="str">
        <f>VLOOKUP(F286,CHOOSE({2,1},Attributes!B$3:B$130,Attributes!C$3:C$129),2,FALSE)</f>
        <v>DungeonSiegeDefenseAttributeSet</v>
      </c>
      <c r="F286" s="43" t="str">
        <f>Attributes!C10</f>
        <v>ArmorRating</v>
      </c>
      <c r="G286" s="43" t="str">
        <f t="shared" si="12"/>
        <v>(AttributeName="ArmorRating",Attribute=/Script/DSAbilitySystem.DungeonSiegeDefenseAttributeSet:ArmorRating,AttributeOwner=Class'"/Script/DSAbilitySystem.DungeonSiegeDefenseAttributeSet"')</v>
      </c>
      <c r="H286" s="43">
        <v>40</v>
      </c>
      <c r="I286" s="43" t="str">
        <f t="shared" si="13"/>
        <v>GE_Prefix_Supernatural</v>
      </c>
      <c r="J286" s="43" t="str">
        <f t="shared" si="14"/>
        <v>/Game/DungeonSiege/Blueprints/GameplayAbilities/Affixes/GE_Prefix_Supernatural</v>
      </c>
    </row>
    <row r="287" spans="1:10" s="23" customFormat="1" ht="33.75" x14ac:dyDescent="0.25">
      <c r="A287" s="43">
        <v>285</v>
      </c>
      <c r="B287" s="43">
        <f>VLOOKUP(C287,CHOOSE({2,1},Prefix!B$2:B$256,Prefix!C$2:C$256),2,FALSE)</f>
        <v>100663571</v>
      </c>
      <c r="C287" s="43" t="s">
        <v>962</v>
      </c>
      <c r="D287" s="43" t="s">
        <v>75</v>
      </c>
      <c r="E287" s="43" t="str">
        <f>VLOOKUP(F287,CHOOSE({2,1},Attributes!B$3:B$130,Attributes!C$3:C$129),2,FALSE)</f>
        <v>DungeonSiegeExperienceAttributeSet</v>
      </c>
      <c r="F287" s="43" t="str">
        <f>Attributes!C5</f>
        <v>Intelligence</v>
      </c>
      <c r="G287" s="43" t="str">
        <f t="shared" si="12"/>
        <v>(AttributeName="Intelligence",Attribute=/Script/DSAbilitySystem.DungeonSiegeExperienceAttributeSet:Intelligence,AttributeOwner=Class'"/Script/DSAbilitySystem.DungeonSiegeExperienceAttributeSet"')</v>
      </c>
      <c r="H287" s="43">
        <v>1</v>
      </c>
      <c r="I287" s="43" t="str">
        <f t="shared" si="13"/>
        <v>GE_Prefix_Stately</v>
      </c>
      <c r="J287" s="43" t="str">
        <f t="shared" si="14"/>
        <v>/Game/DungeonSiege/Blueprints/GameplayAbilities/Affixes/GE_Prefix_Stately</v>
      </c>
    </row>
    <row r="288" spans="1:10" s="23" customFormat="1" ht="33.75" x14ac:dyDescent="0.25">
      <c r="A288" s="43">
        <v>286</v>
      </c>
      <c r="B288" s="43">
        <f>VLOOKUP(C288,CHOOSE({2,1},Prefix!B$2:B$256,Prefix!C$2:C$256),2,FALSE)</f>
        <v>100663571</v>
      </c>
      <c r="C288" s="43" t="s">
        <v>962</v>
      </c>
      <c r="D288" s="43" t="s">
        <v>884</v>
      </c>
      <c r="E288" s="43" t="str">
        <f>VLOOKUP(F288,CHOOSE({2,1},Attributes!B$3:B$130,Attributes!C$3:C$129),2,FALSE)</f>
        <v>DungeonSiegePerHitAttributeSet</v>
      </c>
      <c r="F288" s="43" t="str">
        <f>Attributes!C12</f>
        <v>ManaPerHit</v>
      </c>
      <c r="G288" s="43" t="str">
        <f t="shared" si="12"/>
        <v>(AttributeName="ManaPerHit",Attribute=/Script/DSAbilitySystem.DungeonSiegePerHitAttributeSet:ManaPerHit,AttributeOwner=Class'"/Script/DSAbilitySystem.DungeonSiegePerHitAttributeSet"')</v>
      </c>
      <c r="H288" s="43">
        <v>1</v>
      </c>
      <c r="I288" s="43" t="str">
        <f t="shared" si="13"/>
        <v>GE_Prefix_Stately</v>
      </c>
      <c r="J288" s="43" t="str">
        <f t="shared" si="14"/>
        <v>/Game/DungeonSiege/Blueprints/GameplayAbilities/Affixes/GE_Prefix_Stately</v>
      </c>
    </row>
    <row r="289" spans="1:10" s="23" customFormat="1" ht="33.75" x14ac:dyDescent="0.25">
      <c r="A289" s="43">
        <v>287</v>
      </c>
      <c r="B289" s="43">
        <f>VLOOKUP(C289,CHOOSE({2,1},Prefix!B$2:B$256,Prefix!C$2:C$256),2,FALSE)</f>
        <v>100663571</v>
      </c>
      <c r="C289" s="43" t="s">
        <v>962</v>
      </c>
      <c r="D289" s="43" t="s">
        <v>738</v>
      </c>
      <c r="E289" s="43" t="str">
        <f>VLOOKUP(F289,CHOOSE({2,1},Attributes!B$3:B$130,Attributes!C$3:C$129),2,FALSE)</f>
        <v>DungeonSiegeDamageAttributeSet</v>
      </c>
      <c r="F289" s="43" t="str">
        <f>Attributes!C27</f>
        <v>PercentRangedDamageReduction</v>
      </c>
      <c r="G289" s="43" t="str">
        <f t="shared" si="12"/>
        <v>(AttributeName="PercentRangedDamageReduction",Attribute=/Script/DSAbilitySystem.DungeonSiegeDamageAttributeSet:PercentRangedDamageReduction,AttributeOwner=Class'"/Script/DSAbilitySystem.DungeonSiegeDamageAttributeSet"')</v>
      </c>
      <c r="H289" s="43">
        <v>8</v>
      </c>
      <c r="I289" s="43" t="str">
        <f t="shared" si="13"/>
        <v>GE_Prefix_Stately</v>
      </c>
      <c r="J289" s="43" t="str">
        <f t="shared" si="14"/>
        <v>/Game/DungeonSiege/Blueprints/GameplayAbilities/Affixes/GE_Prefix_Stately</v>
      </c>
    </row>
    <row r="290" spans="1:10" ht="33.75" x14ac:dyDescent="0.25">
      <c r="A290" s="43">
        <v>288</v>
      </c>
      <c r="B290" s="43">
        <f>VLOOKUP(C290,CHOOSE({2,1},Prefix!B$2:B$256,Prefix!C$2:C$256),2,FALSE)</f>
        <v>100663571</v>
      </c>
      <c r="C290" s="43" t="s">
        <v>962</v>
      </c>
      <c r="D290" s="43" t="s">
        <v>747</v>
      </c>
      <c r="E290" s="43" t="str">
        <f>VLOOKUP(F290,CHOOSE({2,1},Attributes!B$3:B$130,Attributes!C$3:C$129),2,FALSE)</f>
        <v>DungeonSiegeDamageAttributeSet</v>
      </c>
      <c r="F290" s="43" t="str">
        <f>Attributes!C34</f>
        <v>ChanceToDodgeMeleeAttack</v>
      </c>
      <c r="G290" s="43" t="str">
        <f t="shared" si="12"/>
        <v>(AttributeName="ChanceToDodgeMeleeAttack",Attribute=/Script/DSAbilitySystem.DungeonSiegeDamageAttributeSet:ChanceToDodgeMeleeAttack,AttributeOwner=Class'"/Script/DSAbilitySystem.DungeonSiegeDamageAttributeSet"')</v>
      </c>
      <c r="H290" s="43">
        <v>5</v>
      </c>
      <c r="I290" s="43" t="str">
        <f t="shared" si="13"/>
        <v>GE_Prefix_Stately</v>
      </c>
      <c r="J290" s="43" t="str">
        <f t="shared" si="14"/>
        <v>/Game/DungeonSiege/Blueprints/GameplayAbilities/Affixes/GE_Prefix_Stately</v>
      </c>
    </row>
    <row r="291" spans="1:10" s="23" customFormat="1" ht="33.75" x14ac:dyDescent="0.25">
      <c r="A291" s="43">
        <v>289</v>
      </c>
      <c r="B291" s="43">
        <f>VLOOKUP(C291,CHOOSE({2,1},Prefix!B$2:B$256,Prefix!C$2:C$256),2,FALSE)</f>
        <v>100663572</v>
      </c>
      <c r="C291" s="43" t="s">
        <v>964</v>
      </c>
      <c r="D291" s="43" t="s">
        <v>745</v>
      </c>
      <c r="E291" s="43" t="str">
        <f>VLOOKUP(F291,CHOOSE({2,1},Attributes!B$3:B$130,Attributes!C$3:C$129),2,FALSE)</f>
        <v>DungeonSiegeExperienceAttributeSet</v>
      </c>
      <c r="F291" s="43" t="str">
        <f>Attributes!C9</f>
        <v>Melee</v>
      </c>
      <c r="G291" s="43" t="str">
        <f t="shared" si="12"/>
        <v>(AttributeName="Melee",Attribute=/Script/DSAbilitySystem.DungeonSiegeExperienceAttributeSet:Melee,AttributeOwner=Class'"/Script/DSAbilitySystem.DungeonSiegeExperienceAttributeSet"')</v>
      </c>
      <c r="H291" s="43">
        <v>1</v>
      </c>
      <c r="I291" s="43" t="str">
        <f t="shared" si="13"/>
        <v>GE_Prefix_Notorious</v>
      </c>
      <c r="J291" s="43" t="str">
        <f t="shared" si="14"/>
        <v>/Game/DungeonSiege/Blueprints/GameplayAbilities/Affixes/GE_Prefix_Notorious</v>
      </c>
    </row>
    <row r="292" spans="1:10" s="23" customFormat="1" ht="33.75" x14ac:dyDescent="0.25">
      <c r="A292" s="43">
        <v>290</v>
      </c>
      <c r="B292" s="43">
        <f>VLOOKUP(C292,CHOOSE({2,1},Prefix!B$2:B$256,Prefix!C$2:C$256),2,FALSE)</f>
        <v>100663572</v>
      </c>
      <c r="C292" s="43" t="s">
        <v>964</v>
      </c>
      <c r="D292" s="43" t="s">
        <v>965</v>
      </c>
      <c r="E292" s="43" t="str">
        <f>VLOOKUP(F292,CHOOSE({2,1},Attributes!B$3:B$130,Attributes!C$3:C$129),2,FALSE)</f>
        <v>DungeonSiegeDamageAttributeSet</v>
      </c>
      <c r="F292" s="43" t="str">
        <f>Attributes!C24</f>
        <v>PercentPiercingDamageReduction</v>
      </c>
      <c r="G292" s="43" t="str">
        <f t="shared" si="12"/>
        <v>(AttributeName="PercentPiercingDamageReduction",Attribute=/Script/DSAbilitySystem.DungeonSiegeDamageAttributeSet:PercentPiercingDamageReduction,AttributeOwner=Class'"/Script/DSAbilitySystem.DungeonSiegeDamageAttributeSet"')</v>
      </c>
      <c r="H292" s="43">
        <v>4</v>
      </c>
      <c r="I292" s="43" t="str">
        <f t="shared" si="13"/>
        <v>GE_Prefix_Notorious</v>
      </c>
      <c r="J292" s="43" t="str">
        <f t="shared" si="14"/>
        <v>/Game/DungeonSiege/Blueprints/GameplayAbilities/Affixes/GE_Prefix_Notorious</v>
      </c>
    </row>
    <row r="293" spans="1:10" ht="33.75" x14ac:dyDescent="0.25">
      <c r="A293" s="43">
        <v>291</v>
      </c>
      <c r="B293" s="43">
        <f>VLOOKUP(C293,CHOOSE({2,1},Prefix!B$2:B$256,Prefix!C$2:C$256),2,FALSE)</f>
        <v>100663572</v>
      </c>
      <c r="C293" s="43" t="s">
        <v>964</v>
      </c>
      <c r="D293" s="43" t="s">
        <v>940</v>
      </c>
      <c r="E293" s="43" t="str">
        <f>VLOOKUP(F293,CHOOSE({2,1},Attributes!B$3:B$130,Attributes!C$3:C$129),2,FALSE)</f>
        <v>DungeonSiegeDamageAttributeSet</v>
      </c>
      <c r="F293" s="43" t="str">
        <f>Attributes!C34</f>
        <v>ChanceToDodgeMeleeAttack</v>
      </c>
      <c r="G293" s="43" t="str">
        <f t="shared" si="12"/>
        <v>(AttributeName="ChanceToDodgeMeleeAttack",Attribute=/Script/DSAbilitySystem.DungeonSiegeDamageAttributeSet:ChanceToDodgeMeleeAttack,AttributeOwner=Class'"/Script/DSAbilitySystem.DungeonSiegeDamageAttributeSet"')</v>
      </c>
      <c r="H293" s="43">
        <v>10</v>
      </c>
      <c r="I293" s="43" t="str">
        <f t="shared" si="13"/>
        <v>GE_Prefix_Notorious</v>
      </c>
      <c r="J293" s="43" t="str">
        <f t="shared" si="14"/>
        <v>/Game/DungeonSiege/Blueprints/GameplayAbilities/Affixes/GE_Prefix_Notorious</v>
      </c>
    </row>
    <row r="294" spans="1:10" s="23" customFormat="1" ht="33.75" x14ac:dyDescent="0.25">
      <c r="A294" s="43">
        <v>292</v>
      </c>
      <c r="B294" s="43">
        <f>VLOOKUP(C294,CHOOSE({2,1},Prefix!B$2:B$256,Prefix!C$2:C$256),2,FALSE)</f>
        <v>100663573</v>
      </c>
      <c r="C294" s="43" t="s">
        <v>967</v>
      </c>
      <c r="D294" s="43" t="s">
        <v>712</v>
      </c>
      <c r="E294" s="43" t="str">
        <f>VLOOKUP(F294,CHOOSE({2,1},Attributes!B$3:B$130,Attributes!C$3:C$129),2,FALSE)</f>
        <v>DungeonSiegeExperienceAttributeSet</v>
      </c>
      <c r="F294" s="43" t="str">
        <f>Attributes!C9</f>
        <v>Melee</v>
      </c>
      <c r="G294" s="43" t="str">
        <f t="shared" si="12"/>
        <v>(AttributeName="Melee",Attribute=/Script/DSAbilitySystem.DungeonSiegeExperienceAttributeSet:Melee,AttributeOwner=Class'"/Script/DSAbilitySystem.DungeonSiegeExperienceAttributeSet"')</v>
      </c>
      <c r="H294" s="43">
        <v>2</v>
      </c>
      <c r="I294" s="43" t="str">
        <f t="shared" si="13"/>
        <v>GE_Prefix_Enormous</v>
      </c>
      <c r="J294" s="43" t="str">
        <f t="shared" si="14"/>
        <v>/Game/DungeonSiege/Blueprints/GameplayAbilities/Affixes/GE_Prefix_Enormous</v>
      </c>
    </row>
    <row r="295" spans="1:10" s="23" customFormat="1" ht="33.75" x14ac:dyDescent="0.25">
      <c r="A295" s="43">
        <v>293</v>
      </c>
      <c r="B295" s="43">
        <f>VLOOKUP(C295,CHOOSE({2,1},Prefix!B$2:B$256,Prefix!C$2:C$256),2,FALSE)</f>
        <v>100663573</v>
      </c>
      <c r="C295" s="43" t="s">
        <v>967</v>
      </c>
      <c r="D295" s="43" t="s">
        <v>3183</v>
      </c>
      <c r="E295" s="43" t="str">
        <f>VLOOKUP(F295,CHOOSE({2,1},Attributes!B$3:B$130,Attributes!C$3:C$129),2,FALSE)</f>
        <v>DungeonSiegeDamageAttributeSet</v>
      </c>
      <c r="F295" s="43" t="str">
        <f>Attributes!C35</f>
        <v>MeleeMinDamageMod</v>
      </c>
      <c r="G295" s="43" t="str">
        <f t="shared" si="12"/>
        <v>(AttributeName="MeleeMinDamageMod",Attribute=/Script/DSAbilitySystem.DungeonSiegeDamageAttributeSet:MeleeMinDamageMod,AttributeOwner=Class'"/Script/DSAbilitySystem.DungeonSiegeDamageAttributeSet"')</v>
      </c>
      <c r="H295" s="43">
        <v>8</v>
      </c>
      <c r="I295" s="43" t="str">
        <f t="shared" si="13"/>
        <v>GE_Prefix_Enormous</v>
      </c>
      <c r="J295" s="43" t="str">
        <f t="shared" si="14"/>
        <v>/Game/DungeonSiege/Blueprints/GameplayAbilities/Affixes/GE_Prefix_Enormous</v>
      </c>
    </row>
    <row r="296" spans="1:10" ht="33.75" x14ac:dyDescent="0.25">
      <c r="A296" s="43">
        <v>294</v>
      </c>
      <c r="B296" s="43">
        <f>VLOOKUP(C296,CHOOSE({2,1},Prefix!B$2:B$256,Prefix!C$2:C$256),2,FALSE)</f>
        <v>100663573</v>
      </c>
      <c r="C296" s="43" t="s">
        <v>967</v>
      </c>
      <c r="D296" s="43" t="s">
        <v>3183</v>
      </c>
      <c r="E296" s="43" t="str">
        <f>VLOOKUP(F296,CHOOSE({2,1},Attributes!B$3:B$130,Attributes!C$3:C$129),2,FALSE)</f>
        <v>DungeonSiegeDamageAttributeSet</v>
      </c>
      <c r="F296" s="43" t="str">
        <f>Attributes!C36</f>
        <v>MeleeMaxDamageMod</v>
      </c>
      <c r="G296" s="43" t="str">
        <f t="shared" si="12"/>
        <v>(AttributeName="MeleeMaxDamageMod",Attribute=/Script/DSAbilitySystem.DungeonSiegeDamageAttributeSet:MeleeMaxDamageMod,AttributeOwner=Class'"/Script/DSAbilitySystem.DungeonSiegeDamageAttributeSet"')</v>
      </c>
      <c r="H296" s="43">
        <v>13</v>
      </c>
      <c r="I296" s="43" t="str">
        <f t="shared" si="13"/>
        <v>GE_Prefix_Enormous</v>
      </c>
      <c r="J296" s="43" t="str">
        <f t="shared" si="14"/>
        <v>/Game/DungeonSiege/Blueprints/GameplayAbilities/Affixes/GE_Prefix_Enormous</v>
      </c>
    </row>
    <row r="297" spans="1:10" s="23" customFormat="1" ht="33.75" x14ac:dyDescent="0.25">
      <c r="A297" s="43">
        <v>295</v>
      </c>
      <c r="B297" s="43">
        <f>VLOOKUP(C297,CHOOSE({2,1},Prefix!B$2:B$256,Prefix!C$2:C$256),2,FALSE)</f>
        <v>100663574</v>
      </c>
      <c r="C297" s="43" t="s">
        <v>969</v>
      </c>
      <c r="D297" s="43" t="s">
        <v>788</v>
      </c>
      <c r="E297" s="43" t="str">
        <f>VLOOKUP(F297,CHOOSE({2,1},Attributes!B$3:B$130,Attributes!C$3:C$129),2,FALSE)</f>
        <v>DungeonSiegeExperienceAttributeSet</v>
      </c>
      <c r="F297" s="43" t="str">
        <f>Attributes!C8</f>
        <v>Ranged</v>
      </c>
      <c r="G297" s="43" t="str">
        <f t="shared" si="12"/>
        <v>(AttributeName="Ranged",Attribute=/Script/DSAbilitySystem.DungeonSiegeExperienceAttributeSet:Ranged,AttributeOwner=Class'"/Script/DSAbilitySystem.DungeonSiegeExperienceAttributeSet"')</v>
      </c>
      <c r="H297" s="43">
        <v>2</v>
      </c>
      <c r="I297" s="43" t="str">
        <f t="shared" si="13"/>
        <v>GE_Prefix_Clever</v>
      </c>
      <c r="J297" s="43" t="str">
        <f t="shared" si="14"/>
        <v>/Game/DungeonSiege/Blueprints/GameplayAbilities/Affixes/GE_Prefix_Clever</v>
      </c>
    </row>
    <row r="298" spans="1:10" s="23" customFormat="1" ht="33.75" x14ac:dyDescent="0.25">
      <c r="A298" s="43">
        <v>296</v>
      </c>
      <c r="B298" s="43">
        <f>VLOOKUP(C298,CHOOSE({2,1},Prefix!B$2:B$256,Prefix!C$2:C$256),2,FALSE)</f>
        <v>100663574</v>
      </c>
      <c r="C298" s="43" t="s">
        <v>969</v>
      </c>
      <c r="D298" s="43" t="s">
        <v>970</v>
      </c>
      <c r="E298" s="43" t="str">
        <f>VLOOKUP(F298,CHOOSE({2,1},Attributes!B$3:B$130,Attributes!C$3:C$129),2,FALSE)</f>
        <v>DungeonSiegeDamageAttributeSet</v>
      </c>
      <c r="F298" s="43" t="str">
        <f>Attributes!C19</f>
        <v>MinDamageMod</v>
      </c>
      <c r="G298" s="43" t="str">
        <f t="shared" si="12"/>
        <v>(AttributeName="MinDamageMod",Attribute=/Script/DSAbilitySystem.DungeonSiegeDamageAttributeSet:MinDamageMod,AttributeOwner=Class'"/Script/DSAbilitySystem.DungeonSiegeDamageAttributeSet"')</v>
      </c>
      <c r="H298" s="43">
        <v>2</v>
      </c>
      <c r="I298" s="43" t="str">
        <f t="shared" si="13"/>
        <v>GE_Prefix_Clever</v>
      </c>
      <c r="J298" s="43" t="str">
        <f t="shared" si="14"/>
        <v>/Game/DungeonSiege/Blueprints/GameplayAbilities/Affixes/GE_Prefix_Clever</v>
      </c>
    </row>
    <row r="299" spans="1:10" ht="33.75" x14ac:dyDescent="0.25">
      <c r="A299" s="43">
        <v>297</v>
      </c>
      <c r="B299" s="43">
        <f>VLOOKUP(C299,CHOOSE({2,1},Prefix!B$2:B$256,Prefix!C$2:C$256),2,FALSE)</f>
        <v>100663574</v>
      </c>
      <c r="C299" s="43" t="s">
        <v>969</v>
      </c>
      <c r="D299" s="43" t="s">
        <v>970</v>
      </c>
      <c r="E299" s="43" t="str">
        <f>VLOOKUP(F299,CHOOSE({2,1},Attributes!B$3:B$130,Attributes!C$3:C$129),2,FALSE)</f>
        <v>DungeonSiegeDamageAttributeSet</v>
      </c>
      <c r="F299" s="43" t="str">
        <f>Attributes!C20</f>
        <v>MaxDamageMod</v>
      </c>
      <c r="G299" s="43" t="str">
        <f t="shared" si="12"/>
        <v>(AttributeName="MaxDamageMod",Attribute=/Script/DSAbilitySystem.DungeonSiegeDamageAttributeSet:MaxDamageMod,AttributeOwner=Class'"/Script/DSAbilitySystem.DungeonSiegeDamageAttributeSet"')</v>
      </c>
      <c r="H299" s="43">
        <v>6</v>
      </c>
      <c r="I299" s="43" t="str">
        <f t="shared" si="13"/>
        <v>GE_Prefix_Clever</v>
      </c>
      <c r="J299" s="43" t="str">
        <f t="shared" si="14"/>
        <v>/Game/DungeonSiege/Blueprints/GameplayAbilities/Affixes/GE_Prefix_Clever</v>
      </c>
    </row>
    <row r="300" spans="1:10" ht="33.75" x14ac:dyDescent="0.25">
      <c r="A300" s="43">
        <v>298</v>
      </c>
      <c r="B300" s="43">
        <f>VLOOKUP(C300,CHOOSE({2,1},Prefix!B$2:B$256,Prefix!C$2:C$256),2,FALSE)</f>
        <v>100663575</v>
      </c>
      <c r="C300" s="43" t="s">
        <v>972</v>
      </c>
      <c r="D300" s="43" t="s">
        <v>3220</v>
      </c>
      <c r="E300" s="43" t="str">
        <f>VLOOKUP(F300,CHOOSE({2,1},Attributes!B$3:B$130,Attributes!C$3:C$129),2,FALSE)</f>
        <v>DungeonSiegeStatusEffectAttributeSet</v>
      </c>
      <c r="F300" s="43" t="str">
        <f>Attributes!C55</f>
        <v>ChanceToPoison</v>
      </c>
      <c r="G300" s="43" t="str">
        <f t="shared" si="12"/>
        <v>(AttributeName="ChanceToPoison",Attribute=/Script/DSAbilitySystem.DungeonSiegeStatusEffectAttributeSet:ChanceToPoison,AttributeOwner=Class'"/Script/DSAbilitySystem.DungeonSiegeStatusEffectAttributeSet"')</v>
      </c>
      <c r="H300" s="43">
        <v>10</v>
      </c>
      <c r="I300" s="43" t="str">
        <f t="shared" si="13"/>
        <v>GE_Prefix_Diseased</v>
      </c>
      <c r="J300" s="43" t="str">
        <f t="shared" si="14"/>
        <v>/Game/DungeonSiege/Blueprints/GameplayAbilities/Affixes/GE_Prefix_Diseased</v>
      </c>
    </row>
    <row r="301" spans="1:10" s="23" customFormat="1" ht="33.75" x14ac:dyDescent="0.25">
      <c r="A301" s="43">
        <v>299</v>
      </c>
      <c r="B301" s="43">
        <f>VLOOKUP(C301,CHOOSE({2,1},Prefix!B$2:B$256,Prefix!C$2:C$256),2,FALSE)</f>
        <v>100663575</v>
      </c>
      <c r="C301" s="43" t="s">
        <v>972</v>
      </c>
      <c r="D301" s="43" t="s">
        <v>3171</v>
      </c>
      <c r="E301" s="43" t="str">
        <f>VLOOKUP(F301,CHOOSE({2,1},Attributes!B$3:B$130,Attributes!C$3:C$129),2,FALSE)</f>
        <v>DungeonSiegeStatusEffectAttributeSet</v>
      </c>
      <c r="F301" s="43" t="str">
        <f>Attributes!C56</f>
        <v>PoisonMinDamageMod</v>
      </c>
      <c r="G301" s="43" t="str">
        <f t="shared" si="12"/>
        <v>(AttributeName="PoisonMinDamageMod",Attribute=/Script/DSAbilitySystem.DungeonSiegeStatusEffectAttributeSet:PoisonMinDamageMod,AttributeOwner=Class'"/Script/DSAbilitySystem.DungeonSiegeStatusEffectAttributeSet"')</v>
      </c>
      <c r="H301" s="43">
        <v>10</v>
      </c>
      <c r="I301" s="43" t="str">
        <f t="shared" si="13"/>
        <v>GE_Prefix_Diseased</v>
      </c>
      <c r="J301" s="43" t="str">
        <f t="shared" si="14"/>
        <v>/Game/DungeonSiege/Blueprints/GameplayAbilities/Affixes/GE_Prefix_Diseased</v>
      </c>
    </row>
    <row r="302" spans="1:10" ht="33.75" x14ac:dyDescent="0.25">
      <c r="A302" s="43">
        <v>300</v>
      </c>
      <c r="B302" s="43">
        <f>VLOOKUP(C302,CHOOSE({2,1},Prefix!B$2:B$256,Prefix!C$2:C$256),2,FALSE)</f>
        <v>100663575</v>
      </c>
      <c r="C302" s="43" t="s">
        <v>972</v>
      </c>
      <c r="D302" s="43" t="s">
        <v>3171</v>
      </c>
      <c r="E302" s="43" t="str">
        <f>VLOOKUP(F302,CHOOSE({2,1},Attributes!B$3:B$130,Attributes!C$3:C$129),2,FALSE)</f>
        <v>DungeonSiegeStatusEffectAttributeSet</v>
      </c>
      <c r="F302" s="43" t="str">
        <f>Attributes!C57</f>
        <v>PoisonMaxDamageMod</v>
      </c>
      <c r="G302" s="43" t="str">
        <f t="shared" si="12"/>
        <v>(AttributeName="PoisonMaxDamageMod",Attribute=/Script/DSAbilitySystem.DungeonSiegeStatusEffectAttributeSet:PoisonMaxDamageMod,AttributeOwner=Class'"/Script/DSAbilitySystem.DungeonSiegeStatusEffectAttributeSet"')</v>
      </c>
      <c r="H302" s="43">
        <v>20</v>
      </c>
      <c r="I302" s="43" t="str">
        <f t="shared" si="13"/>
        <v>GE_Prefix_Diseased</v>
      </c>
      <c r="J302" s="43" t="str">
        <f t="shared" si="14"/>
        <v>/Game/DungeonSiege/Blueprints/GameplayAbilities/Affixes/GE_Prefix_Diseased</v>
      </c>
    </row>
    <row r="303" spans="1:10" ht="33.75" x14ac:dyDescent="0.25">
      <c r="A303" s="43">
        <v>301</v>
      </c>
      <c r="B303" s="43">
        <f>VLOOKUP(C303,CHOOSE({2,1},Prefix!B$2:B$256,Prefix!C$2:C$256),2,FALSE)</f>
        <v>100663576</v>
      </c>
      <c r="C303" s="43" t="s">
        <v>973</v>
      </c>
      <c r="D303" s="43" t="s">
        <v>3221</v>
      </c>
      <c r="E303" s="43" t="str">
        <f>VLOOKUP(F303,CHOOSE({2,1},Attributes!B$3:B$130,Attributes!C$3:C$129),2,FALSE)</f>
        <v>DungeonSiegeStatusEffectAttributeSet</v>
      </c>
      <c r="F303" s="43" t="str">
        <f>Attributes!C63</f>
        <v>ChanceToParalyze</v>
      </c>
      <c r="G303" s="43" t="str">
        <f t="shared" si="12"/>
        <v>(AttributeName="ChanceToParalyze",Attribute=/Script/DSAbilitySystem.DungeonSiegeStatusEffectAttributeSet:ChanceToParalyze,AttributeOwner=Class'"/Script/DSAbilitySystem.DungeonSiegeStatusEffectAttributeSet"')</v>
      </c>
      <c r="H303" s="43">
        <v>15</v>
      </c>
      <c r="I303" s="43" t="str">
        <f t="shared" si="13"/>
        <v>GE_Prefix_Paralyzing</v>
      </c>
      <c r="J303" s="43" t="str">
        <f t="shared" si="14"/>
        <v>/Game/DungeonSiege/Blueprints/GameplayAbilities/Affixes/GE_Prefix_Paralyzing</v>
      </c>
    </row>
    <row r="304" spans="1:10" s="23" customFormat="1" ht="33.75" x14ac:dyDescent="0.25">
      <c r="A304" s="43">
        <v>302</v>
      </c>
      <c r="B304" s="43">
        <f>VLOOKUP(C304,CHOOSE({2,1},Prefix!B$2:B$256,Prefix!C$2:C$256),2,FALSE)</f>
        <v>100663576</v>
      </c>
      <c r="C304" s="43" t="s">
        <v>973</v>
      </c>
      <c r="D304" s="43" t="s">
        <v>3184</v>
      </c>
      <c r="E304" s="43" t="str">
        <f>VLOOKUP(F304,CHOOSE({2,1},Attributes!B$3:B$130,Attributes!C$3:C$129),2,FALSE)</f>
        <v>DungeonSiegeStatusEffectAttributeSet</v>
      </c>
      <c r="F304" s="43" t="str">
        <f>Attributes!C64</f>
        <v>ParalyzeMinDamageMod</v>
      </c>
      <c r="G304" s="43" t="str">
        <f t="shared" si="12"/>
        <v>(AttributeName="ParalyzeMinDamageMod",Attribute=/Script/DSAbilitySystem.DungeonSiegeStatusEffectAttributeSet:ParalyzeMinDamageMod,AttributeOwner=Class'"/Script/DSAbilitySystem.DungeonSiegeStatusEffectAttributeSet"')</v>
      </c>
      <c r="H304" s="43">
        <v>5</v>
      </c>
      <c r="I304" s="43" t="str">
        <f t="shared" si="13"/>
        <v>GE_Prefix_Paralyzing</v>
      </c>
      <c r="J304" s="43" t="str">
        <f t="shared" si="14"/>
        <v>/Game/DungeonSiege/Blueprints/GameplayAbilities/Affixes/GE_Prefix_Paralyzing</v>
      </c>
    </row>
    <row r="305" spans="1:10" ht="33.75" x14ac:dyDescent="0.25">
      <c r="A305" s="43">
        <v>303</v>
      </c>
      <c r="B305" s="43">
        <f>VLOOKUP(C305,CHOOSE({2,1},Prefix!B$2:B$256,Prefix!C$2:C$256),2,FALSE)</f>
        <v>100663576</v>
      </c>
      <c r="C305" s="43" t="s">
        <v>973</v>
      </c>
      <c r="D305" s="43" t="s">
        <v>3184</v>
      </c>
      <c r="E305" s="43" t="str">
        <f>VLOOKUP(F305,CHOOSE({2,1},Attributes!B$3:B$130,Attributes!C$3:C$129),2,FALSE)</f>
        <v>DungeonSiegeStatusEffectAttributeSet</v>
      </c>
      <c r="F305" s="43" t="str">
        <f>Attributes!C65</f>
        <v>ParalyzeMaxDamageMod</v>
      </c>
      <c r="G305" s="43" t="str">
        <f t="shared" si="12"/>
        <v>(AttributeName="ParalyzeMaxDamageMod",Attribute=/Script/DSAbilitySystem.DungeonSiegeStatusEffectAttributeSet:ParalyzeMaxDamageMod,AttributeOwner=Class'"/Script/DSAbilitySystem.DungeonSiegeStatusEffectAttributeSet"')</v>
      </c>
      <c r="H305" s="43">
        <v>15</v>
      </c>
      <c r="I305" s="43" t="str">
        <f t="shared" si="13"/>
        <v>GE_Prefix_Paralyzing</v>
      </c>
      <c r="J305" s="43" t="str">
        <f t="shared" si="14"/>
        <v>/Game/DungeonSiege/Blueprints/GameplayAbilities/Affixes/GE_Prefix_Paralyzing</v>
      </c>
    </row>
    <row r="306" spans="1:10" s="23" customFormat="1" ht="33.75" x14ac:dyDescent="0.25">
      <c r="A306" s="43">
        <v>304</v>
      </c>
      <c r="B306" s="43">
        <f>VLOOKUP(C306,CHOOSE({2,1},Prefix!B$2:B$256,Prefix!C$2:C$256),2,FALSE)</f>
        <v>100663577</v>
      </c>
      <c r="C306" s="43" t="s">
        <v>974</v>
      </c>
      <c r="D306" s="43" t="s">
        <v>207</v>
      </c>
      <c r="E306" s="43" t="str">
        <f>VLOOKUP(F306,CHOOSE({2,1},Attributes!B$3:B$130,Attributes!C$3:C$129),2,FALSE)</f>
        <v>DungeonSiegeExperienceAttributeSet</v>
      </c>
      <c r="F306" s="43" t="str">
        <f>Attributes!C7</f>
        <v>NatureMagic</v>
      </c>
      <c r="G306" s="43" t="str">
        <f t="shared" si="12"/>
        <v>(AttributeName="NatureMagic",Attribute=/Script/DSAbilitySystem.DungeonSiegeExperienceAttributeSet:NatureMagic,AttributeOwner=Class'"/Script/DSAbilitySystem.DungeonSiegeExperienceAttributeSet"')</v>
      </c>
      <c r="H306" s="43">
        <v>1</v>
      </c>
      <c r="I306" s="43" t="str">
        <f t="shared" si="13"/>
        <v>GE_Prefix_Infused</v>
      </c>
      <c r="J306" s="43" t="str">
        <f t="shared" si="14"/>
        <v>/Game/DungeonSiege/Blueprints/GameplayAbilities/Affixes/GE_Prefix_Infused</v>
      </c>
    </row>
    <row r="307" spans="1:10" s="23" customFormat="1" ht="33.75" x14ac:dyDescent="0.25">
      <c r="A307" s="43">
        <v>305</v>
      </c>
      <c r="B307" s="43">
        <f>VLOOKUP(C307,CHOOSE({2,1},Prefix!B$2:B$256,Prefix!C$2:C$256),2,FALSE)</f>
        <v>100663577</v>
      </c>
      <c r="C307" s="43" t="s">
        <v>974</v>
      </c>
      <c r="D307" s="43" t="s">
        <v>3181</v>
      </c>
      <c r="E307" s="43" t="str">
        <f>VLOOKUP(F307,CHOOSE({2,1},Attributes!B$3:B$130,Attributes!C$3:C$129),2,FALSE)</f>
        <v>DungeonSiegeMagicAttributeSet</v>
      </c>
      <c r="F307" s="43" t="str">
        <f>Attributes!C43</f>
        <v>PercentMagicDamageReduction</v>
      </c>
      <c r="G307" s="43" t="str">
        <f t="shared" si="12"/>
        <v>(AttributeName="PercentMagicDamageReduction",Attribute=/Script/DSAbilitySystem.DungeonSiegeMagicAttributeSet:PercentMagicDamageReduction,AttributeOwner=Class'"/Script/DSAbilitySystem.DungeonSiegeMagicAttributeSet"')</v>
      </c>
      <c r="H307" s="43">
        <v>7</v>
      </c>
      <c r="I307" s="43" t="str">
        <f t="shared" si="13"/>
        <v>GE_Prefix_Infused</v>
      </c>
      <c r="J307" s="43" t="str">
        <f t="shared" si="14"/>
        <v>/Game/DungeonSiege/Blueprints/GameplayAbilities/Affixes/GE_Prefix_Infused</v>
      </c>
    </row>
    <row r="308" spans="1:10" ht="33.75" x14ac:dyDescent="0.25">
      <c r="A308" s="43">
        <v>306</v>
      </c>
      <c r="B308" s="43">
        <f>VLOOKUP(C308,CHOOSE({2,1},Prefix!B$2:B$256,Prefix!C$2:C$256),2,FALSE)</f>
        <v>100663577</v>
      </c>
      <c r="C308" s="43" t="s">
        <v>974</v>
      </c>
      <c r="D308" s="43" t="s">
        <v>3185</v>
      </c>
      <c r="E308" s="43" t="str">
        <f>VLOOKUP(F308,CHOOSE({2,1},Attributes!B$3:B$130,Attributes!C$3:C$129),2,FALSE)</f>
        <v>DungeonSiegeDamageAttributeSet</v>
      </c>
      <c r="F308" s="43" t="str">
        <f>Attributes!C24</f>
        <v>PercentPiercingDamageReduction</v>
      </c>
      <c r="G308" s="43" t="str">
        <f t="shared" si="12"/>
        <v>(AttributeName="PercentPiercingDamageReduction",Attribute=/Script/DSAbilitySystem.DungeonSiegeDamageAttributeSet:PercentPiercingDamageReduction,AttributeOwner=Class'"/Script/DSAbilitySystem.DungeonSiegeDamageAttributeSet"')</v>
      </c>
      <c r="H308" s="43">
        <v>10</v>
      </c>
      <c r="I308" s="43" t="str">
        <f t="shared" si="13"/>
        <v>GE_Prefix_Infused</v>
      </c>
      <c r="J308" s="43" t="str">
        <f t="shared" si="14"/>
        <v>/Game/DungeonSiege/Blueprints/GameplayAbilities/Affixes/GE_Prefix_Infused</v>
      </c>
    </row>
    <row r="309" spans="1:10" s="23" customFormat="1" ht="33.75" x14ac:dyDescent="0.25">
      <c r="A309" s="43">
        <v>307</v>
      </c>
      <c r="B309" s="43">
        <f>VLOOKUP(C309,CHOOSE({2,1},Prefix!B$2:B$256,Prefix!C$2:C$256),2,FALSE)</f>
        <v>100663584</v>
      </c>
      <c r="C309" s="43" t="s">
        <v>976</v>
      </c>
      <c r="D309" s="43" t="s">
        <v>805</v>
      </c>
      <c r="E309" s="43" t="str">
        <f>VLOOKUP(F309,CHOOSE({2,1},Attributes!B$3:B$130,Attributes!C$3:C$129),2,FALSE)</f>
        <v>DungeonSiegeDamageAttributeSet</v>
      </c>
      <c r="F309" s="43" t="str">
        <f>Attributes!C31</f>
        <v>PercentMeleeDamageReduction</v>
      </c>
      <c r="G309" s="43" t="str">
        <f t="shared" si="12"/>
        <v>(AttributeName="PercentMeleeDamageReduction",Attribute=/Script/DSAbilitySystem.DungeonSiegeDamageAttributeSet:PercentMeleeDamageReduction,AttributeOwner=Class'"/Script/DSAbilitySystem.DungeonSiegeDamageAttributeSet"')</v>
      </c>
      <c r="H309" s="43">
        <v>5</v>
      </c>
      <c r="I309" s="43" t="str">
        <f t="shared" si="13"/>
        <v>GE_Prefix_Glimmering</v>
      </c>
      <c r="J309" s="43" t="str">
        <f t="shared" si="14"/>
        <v>/Game/DungeonSiege/Blueprints/GameplayAbilities/Affixes/GE_Prefix_Glimmering</v>
      </c>
    </row>
    <row r="310" spans="1:10" ht="33.75" x14ac:dyDescent="0.25">
      <c r="A310" s="43">
        <v>308</v>
      </c>
      <c r="B310" s="43">
        <f>VLOOKUP(C310,CHOOSE({2,1},Prefix!B$2:B$256,Prefix!C$2:C$256),2,FALSE)</f>
        <v>100663584</v>
      </c>
      <c r="C310" s="43" t="s">
        <v>976</v>
      </c>
      <c r="D310" s="43" t="s">
        <v>245</v>
      </c>
      <c r="E310" s="43" t="str">
        <f>VLOOKUP(F310,CHOOSE({2,1},Attributes!B$3:B$130,Attributes!C$3:C$129),2,FALSE)</f>
        <v>DungeonSiegeMagicAttributeSet</v>
      </c>
      <c r="F310" s="43" t="str">
        <f>Attributes!C51</f>
        <v>ChanceToBlockMagicAttack</v>
      </c>
      <c r="G310" s="43" t="str">
        <f t="shared" si="12"/>
        <v>(AttributeName="ChanceToBlockMagicAttack",Attribute=/Script/DSAbilitySystem.DungeonSiegeMagicAttributeSet:ChanceToBlockMagicAttack,AttributeOwner=Class'"/Script/DSAbilitySystem.DungeonSiegeMagicAttributeSet"')</v>
      </c>
      <c r="H310" s="43">
        <v>8</v>
      </c>
      <c r="I310" s="43" t="str">
        <f t="shared" si="13"/>
        <v>GE_Prefix_Glimmering</v>
      </c>
      <c r="J310" s="43" t="str">
        <f t="shared" si="14"/>
        <v>/Game/DungeonSiege/Blueprints/GameplayAbilities/Affixes/GE_Prefix_Glimmering</v>
      </c>
    </row>
    <row r="311" spans="1:10" s="23" customFormat="1" ht="33.75" x14ac:dyDescent="0.25">
      <c r="A311" s="43">
        <v>309</v>
      </c>
      <c r="B311" s="43">
        <f>VLOOKUP(C311,CHOOSE({2,1},Prefix!B$2:B$256,Prefix!C$2:C$256),2,FALSE)</f>
        <v>100663585</v>
      </c>
      <c r="C311" s="43" t="s">
        <v>978</v>
      </c>
      <c r="D311" s="43" t="s">
        <v>861</v>
      </c>
      <c r="E311" s="43" t="str">
        <f>VLOOKUP(F311,CHOOSE({2,1},Attributes!B$3:B$130,Attributes!C$3:C$129),2,FALSE)</f>
        <v>DungeonSiegePerHitAttributeSet</v>
      </c>
      <c r="F311" s="43" t="str">
        <f>Attributes!C13</f>
        <v>HealthStealPerHit</v>
      </c>
      <c r="G311" s="43" t="str">
        <f t="shared" si="12"/>
        <v>(AttributeName="HealthStealPerHit",Attribute=/Script/DSAbilitySystem.DungeonSiegePerHitAttributeSet:HealthStealPerHit,AttributeOwner=Class'"/Script/DSAbilitySystem.DungeonSiegePerHitAttributeSet"')</v>
      </c>
      <c r="H311" s="43">
        <v>1</v>
      </c>
      <c r="I311" s="43" t="str">
        <f t="shared" si="13"/>
        <v>GE_Prefix_Superior</v>
      </c>
      <c r="J311" s="43" t="str">
        <f t="shared" si="14"/>
        <v>/Game/DungeonSiege/Blueprints/GameplayAbilities/Affixes/GE_Prefix_Superior</v>
      </c>
    </row>
    <row r="312" spans="1:10" s="23" customFormat="1" ht="33.75" x14ac:dyDescent="0.25">
      <c r="A312" s="43">
        <v>310</v>
      </c>
      <c r="B312" s="43">
        <f>VLOOKUP(C312,CHOOSE({2,1},Prefix!B$2:B$256,Prefix!C$2:C$256),2,FALSE)</f>
        <v>100663585</v>
      </c>
      <c r="C312" s="43" t="s">
        <v>978</v>
      </c>
      <c r="D312" s="43" t="s">
        <v>943</v>
      </c>
      <c r="E312" s="43" t="str">
        <f>VLOOKUP(F312,CHOOSE({2,1},Attributes!B$3:B$130,Attributes!C$3:C$129),2,FALSE)</f>
        <v>DungeonSiegeDamageAttributeSet</v>
      </c>
      <c r="F312" s="43" t="str">
        <f>Attributes!C25</f>
        <v>MinPiercingDamageMod</v>
      </c>
      <c r="G312" s="43" t="str">
        <f t="shared" si="12"/>
        <v>(AttributeName="MinPiercingDamageMod",Attribute=/Script/DSAbilitySystem.DungeonSiegeDamageAttributeSet:MinPiercingDamageMod,AttributeOwner=Class'"/Script/DSAbilitySystem.DungeonSiegeDamageAttributeSet"')</v>
      </c>
      <c r="H312" s="43">
        <v>1</v>
      </c>
      <c r="I312" s="43" t="str">
        <f t="shared" si="13"/>
        <v>GE_Prefix_Superior</v>
      </c>
      <c r="J312" s="43" t="str">
        <f t="shared" si="14"/>
        <v>/Game/DungeonSiege/Blueprints/GameplayAbilities/Affixes/GE_Prefix_Superior</v>
      </c>
    </row>
    <row r="313" spans="1:10" s="23" customFormat="1" ht="33.75" x14ac:dyDescent="0.25">
      <c r="A313" s="43">
        <v>311</v>
      </c>
      <c r="B313" s="43">
        <f>VLOOKUP(C313,CHOOSE({2,1},Prefix!B$2:B$256,Prefix!C$2:C$256),2,FALSE)</f>
        <v>100663585</v>
      </c>
      <c r="C313" s="43" t="s">
        <v>978</v>
      </c>
      <c r="D313" s="43" t="s">
        <v>943</v>
      </c>
      <c r="E313" s="43" t="str">
        <f>VLOOKUP(F313,CHOOSE({2,1},Attributes!B$3:B$130,Attributes!C$3:C$129),2,FALSE)</f>
        <v>DungeonSiegeDamageAttributeSet</v>
      </c>
      <c r="F313" s="43" t="str">
        <f>Attributes!C26</f>
        <v>MaxPiercingDamageMod</v>
      </c>
      <c r="G313" s="43" t="str">
        <f t="shared" si="12"/>
        <v>(AttributeName="MaxPiercingDamageMod",Attribute=/Script/DSAbilitySystem.DungeonSiegeDamageAttributeSet:MaxPiercingDamageMod,AttributeOwner=Class'"/Script/DSAbilitySystem.DungeonSiegeDamageAttributeSet"')</v>
      </c>
      <c r="H313" s="43">
        <v>4</v>
      </c>
      <c r="I313" s="43" t="str">
        <f t="shared" si="13"/>
        <v>GE_Prefix_Superior</v>
      </c>
      <c r="J313" s="43" t="str">
        <f t="shared" si="14"/>
        <v>/Game/DungeonSiege/Blueprints/GameplayAbilities/Affixes/GE_Prefix_Superior</v>
      </c>
    </row>
    <row r="314" spans="1:10" s="23" customFormat="1" ht="33.75" x14ac:dyDescent="0.25">
      <c r="A314" s="43">
        <v>312</v>
      </c>
      <c r="B314" s="43">
        <f>VLOOKUP(C314,CHOOSE({2,1},Prefix!B$2:B$256,Prefix!C$2:C$256),2,FALSE)</f>
        <v>100663585</v>
      </c>
      <c r="C314" s="43" t="s">
        <v>978</v>
      </c>
      <c r="D314" s="43" t="s">
        <v>824</v>
      </c>
      <c r="E314" s="43" t="str">
        <f>VLOOKUP(F314,CHOOSE({2,1},Attributes!B$3:B$130,Attributes!C$3:C$129),2,FALSE)</f>
        <v>DungeonSiegeDamageAttributeSet</v>
      </c>
      <c r="F314" s="43" t="str">
        <f>Attributes!C30</f>
        <v>ChanceToDodgeRangeAttack</v>
      </c>
      <c r="G314" s="43" t="str">
        <f t="shared" si="12"/>
        <v>(AttributeName="ChanceToDodgeRangeAttack",Attribute=/Script/DSAbilitySystem.DungeonSiegeDamageAttributeSet:ChanceToDodgeRangeAttack,AttributeOwner=Class'"/Script/DSAbilitySystem.DungeonSiegeDamageAttributeSet"')</v>
      </c>
      <c r="H314" s="43">
        <v>5</v>
      </c>
      <c r="I314" s="43" t="str">
        <f t="shared" si="13"/>
        <v>GE_Prefix_Superior</v>
      </c>
      <c r="J314" s="43" t="str">
        <f t="shared" si="14"/>
        <v>/Game/DungeonSiege/Blueprints/GameplayAbilities/Affixes/GE_Prefix_Superior</v>
      </c>
    </row>
    <row r="315" spans="1:10" s="23" customFormat="1" ht="33.75" x14ac:dyDescent="0.25">
      <c r="A315" s="43">
        <v>313</v>
      </c>
      <c r="B315" s="43">
        <f>VLOOKUP(C315,CHOOSE({2,1},Prefix!B$2:B$256,Prefix!C$2:C$256),2,FALSE)</f>
        <v>100663585</v>
      </c>
      <c r="C315" s="43" t="s">
        <v>978</v>
      </c>
      <c r="D315" s="43" t="s">
        <v>3169</v>
      </c>
      <c r="E315" s="43" t="str">
        <f>VLOOKUP(F315,CHOOSE({2,1},Attributes!B$3:B$130,Attributes!C$3:C$129),2,FALSE)</f>
        <v>DungeonSiegeDamageAttributeSet</v>
      </c>
      <c r="F315" s="43" t="str">
        <f>Attributes!C33</f>
        <v>MeleeHitChance</v>
      </c>
      <c r="G315" s="43" t="str">
        <f t="shared" si="12"/>
        <v>(AttributeName="MeleeHitChance",Attribute=/Script/DSAbilitySystem.DungeonSiegeDamageAttributeSet:MeleeHitChance,AttributeOwner=Class'"/Script/DSAbilitySystem.DungeonSiegeDamageAttributeSet"')</v>
      </c>
      <c r="H315" s="43">
        <v>6</v>
      </c>
      <c r="I315" s="43" t="str">
        <f t="shared" si="13"/>
        <v>GE_Prefix_Superior</v>
      </c>
      <c r="J315" s="43" t="str">
        <f t="shared" si="14"/>
        <v>/Game/DungeonSiege/Blueprints/GameplayAbilities/Affixes/GE_Prefix_Superior</v>
      </c>
    </row>
    <row r="316" spans="1:10" ht="33.75" x14ac:dyDescent="0.25">
      <c r="A316" s="43">
        <v>314</v>
      </c>
      <c r="B316" s="43">
        <f>VLOOKUP(C316,CHOOSE({2,1},Prefix!B$2:B$256,Prefix!C$2:C$256),2,FALSE)</f>
        <v>100663585</v>
      </c>
      <c r="C316" s="43" t="s">
        <v>978</v>
      </c>
      <c r="D316" s="43" t="s">
        <v>979</v>
      </c>
      <c r="E316" s="43" t="str">
        <f>VLOOKUP(F316,CHOOSE({2,1},Attributes!B$3:B$130,Attributes!C$3:C$129),2,FALSE)</f>
        <v>DungeonSiegeDamageAttributeSet</v>
      </c>
      <c r="F316" s="43" t="str">
        <f>Attributes!C20</f>
        <v>MaxDamageMod</v>
      </c>
      <c r="G316" s="43" t="str">
        <f t="shared" si="12"/>
        <v>(AttributeName="MaxDamageMod",Attribute=/Script/DSAbilitySystem.DungeonSiegeDamageAttributeSet:MaxDamageMod,AttributeOwner=Class'"/Script/DSAbilitySystem.DungeonSiegeDamageAttributeSet"')</v>
      </c>
      <c r="H316" s="43">
        <v>2</v>
      </c>
      <c r="I316" s="43" t="str">
        <f t="shared" si="13"/>
        <v>GE_Prefix_Superior</v>
      </c>
      <c r="J316" s="43" t="str">
        <f t="shared" si="14"/>
        <v>/Game/DungeonSiege/Blueprints/GameplayAbilities/Affixes/GE_Prefix_Superior</v>
      </c>
    </row>
    <row r="317" spans="1:10" s="23" customFormat="1" ht="33.75" x14ac:dyDescent="0.25">
      <c r="A317" s="43">
        <v>315</v>
      </c>
      <c r="B317" s="43">
        <f>VLOOKUP(C317,CHOOSE({2,1},Prefix!B$2:B$256,Prefix!C$2:C$256),2,FALSE)</f>
        <v>100663586</v>
      </c>
      <c r="C317" s="43" t="s">
        <v>981</v>
      </c>
      <c r="D317" s="43" t="s">
        <v>239</v>
      </c>
      <c r="E317" s="43" t="str">
        <f>VLOOKUP(F317,CHOOSE({2,1},Attributes!B$3:B$130,Attributes!C$3:C$129),2,FALSE)</f>
        <v>DungeonSiegeExperienceAttributeSet</v>
      </c>
      <c r="F317" s="43" t="str">
        <f>Attributes!C7</f>
        <v>NatureMagic</v>
      </c>
      <c r="G317" s="43" t="str">
        <f t="shared" si="12"/>
        <v>(AttributeName="NatureMagic",Attribute=/Script/DSAbilitySystem.DungeonSiegeExperienceAttributeSet:NatureMagic,AttributeOwner=Class'"/Script/DSAbilitySystem.DungeonSiegeExperienceAttributeSet"')</v>
      </c>
      <c r="H317" s="43">
        <v>2</v>
      </c>
      <c r="I317" s="43" t="str">
        <f t="shared" si="13"/>
        <v>GE_Prefix_Intense</v>
      </c>
      <c r="J317" s="43" t="str">
        <f t="shared" si="14"/>
        <v>/Game/DungeonSiege/Blueprints/GameplayAbilities/Affixes/GE_Prefix_Intense</v>
      </c>
    </row>
    <row r="318" spans="1:10" s="23" customFormat="1" ht="33.75" x14ac:dyDescent="0.25">
      <c r="A318" s="43">
        <v>316</v>
      </c>
      <c r="B318" s="43">
        <f>VLOOKUP(C318,CHOOSE({2,1},Prefix!B$2:B$256,Prefix!C$2:C$256),2,FALSE)</f>
        <v>100663586</v>
      </c>
      <c r="C318" s="43" t="s">
        <v>981</v>
      </c>
      <c r="D318" s="43" t="s">
        <v>204</v>
      </c>
      <c r="E318" s="43" t="str">
        <f>VLOOKUP(F318,CHOOSE({2,1},Attributes!B$3:B$130,Attributes!C$3:C$129),2,FALSE)</f>
        <v>DungeonSiegeExperienceAttributeSet</v>
      </c>
      <c r="F318" s="43" t="str">
        <f>Attributes!C6</f>
        <v>CombatMagic</v>
      </c>
      <c r="G318" s="43" t="str">
        <f t="shared" si="12"/>
        <v>(AttributeName="CombatMagic",Attribute=/Script/DSAbilitySystem.DungeonSiegeExperienceAttributeSet:CombatMagic,AttributeOwner=Class'"/Script/DSAbilitySystem.DungeonSiegeExperienceAttributeSet"')</v>
      </c>
      <c r="H318" s="43">
        <v>1</v>
      </c>
      <c r="I318" s="43" t="str">
        <f t="shared" si="13"/>
        <v>GE_Prefix_Intense</v>
      </c>
      <c r="J318" s="43" t="str">
        <f t="shared" si="14"/>
        <v>/Game/DungeonSiege/Blueprints/GameplayAbilities/Affixes/GE_Prefix_Intense</v>
      </c>
    </row>
    <row r="319" spans="1:10" ht="33.75" x14ac:dyDescent="0.25">
      <c r="A319" s="43">
        <v>317</v>
      </c>
      <c r="B319" s="43">
        <f>VLOOKUP(C319,CHOOSE({2,1},Prefix!B$2:B$256,Prefix!C$2:C$256),2,FALSE)</f>
        <v>100663586</v>
      </c>
      <c r="C319" s="43" t="s">
        <v>981</v>
      </c>
      <c r="D319" s="43" t="s">
        <v>870</v>
      </c>
      <c r="E319" s="43" t="str">
        <f>VLOOKUP(F319,CHOOSE({2,1},Attributes!B$3:B$130,Attributes!C$3:C$129),2,FALSE)</f>
        <v>DungeonSiegeDamageAttributeSet</v>
      </c>
      <c r="F319" s="43" t="str">
        <f>Attributes!C32</f>
        <v>ChanceToBlockMeleeAttack</v>
      </c>
      <c r="G319" s="43" t="str">
        <f t="shared" si="12"/>
        <v>(AttributeName="ChanceToBlockMeleeAttack",Attribute=/Script/DSAbilitySystem.DungeonSiegeDamageAttributeSet:ChanceToBlockMeleeAttack,AttributeOwner=Class'"/Script/DSAbilitySystem.DungeonSiegeDamageAttributeSet"')</v>
      </c>
      <c r="H319" s="43">
        <v>5</v>
      </c>
      <c r="I319" s="43" t="str">
        <f t="shared" si="13"/>
        <v>GE_Prefix_Intense</v>
      </c>
      <c r="J319" s="43" t="str">
        <f t="shared" si="14"/>
        <v>/Game/DungeonSiege/Blueprints/GameplayAbilities/Affixes/GE_Prefix_Intense</v>
      </c>
    </row>
    <row r="320" spans="1:10" s="23" customFormat="1" ht="33.75" x14ac:dyDescent="0.25">
      <c r="A320" s="43">
        <v>318</v>
      </c>
      <c r="B320" s="43">
        <f>VLOOKUP(C320,CHOOSE({2,1},Prefix!B$2:B$256,Prefix!C$2:C$256),2,FALSE)</f>
        <v>100663587</v>
      </c>
      <c r="C320" s="43" t="s">
        <v>983</v>
      </c>
      <c r="D320" s="43" t="s">
        <v>230</v>
      </c>
      <c r="E320" s="43" t="str">
        <f>VLOOKUP(F320,CHOOSE({2,1},Attributes!B$3:B$130,Attributes!C$3:C$129),2,FALSE)</f>
        <v>DungeonSiegeMagicAttributeSet</v>
      </c>
      <c r="F320" s="43" t="str">
        <f>Attributes!C43</f>
        <v>PercentMagicDamageReduction</v>
      </c>
      <c r="G320" s="43" t="str">
        <f t="shared" si="12"/>
        <v>(AttributeName="PercentMagicDamageReduction",Attribute=/Script/DSAbilitySystem.DungeonSiegeMagicAttributeSet:PercentMagicDamageReduction,AttributeOwner=Class'"/Script/DSAbilitySystem.DungeonSiegeMagicAttributeSet"')</v>
      </c>
      <c r="H320" s="43">
        <v>5</v>
      </c>
      <c r="I320" s="43" t="str">
        <f t="shared" si="13"/>
        <v>GE_Prefix_Mystic</v>
      </c>
      <c r="J320" s="43" t="str">
        <f t="shared" si="14"/>
        <v>/Game/DungeonSiege/Blueprints/GameplayAbilities/Affixes/GE_Prefix_Mystic</v>
      </c>
    </row>
    <row r="321" spans="1:10" s="23" customFormat="1" ht="33.75" x14ac:dyDescent="0.25">
      <c r="A321" s="43">
        <v>319</v>
      </c>
      <c r="B321" s="43">
        <f>VLOOKUP(C321,CHOOSE({2,1},Prefix!B$2:B$256,Prefix!C$2:C$256),2,FALSE)</f>
        <v>100663587</v>
      </c>
      <c r="C321" s="43" t="s">
        <v>983</v>
      </c>
      <c r="D321" s="43" t="s">
        <v>965</v>
      </c>
      <c r="E321" s="43" t="str">
        <f>VLOOKUP(F321,CHOOSE({2,1},Attributes!B$3:B$130,Attributes!C$3:C$129),2,FALSE)</f>
        <v>DungeonSiegeDamageAttributeSet</v>
      </c>
      <c r="F321" s="43" t="str">
        <f>Attributes!C24</f>
        <v>PercentPiercingDamageReduction</v>
      </c>
      <c r="G321" s="43" t="str">
        <f t="shared" si="12"/>
        <v>(AttributeName="PercentPiercingDamageReduction",Attribute=/Script/DSAbilitySystem.DungeonSiegeDamageAttributeSet:PercentPiercingDamageReduction,AttributeOwner=Class'"/Script/DSAbilitySystem.DungeonSiegeDamageAttributeSet"')</v>
      </c>
      <c r="H321" s="43">
        <v>4</v>
      </c>
      <c r="I321" s="43" t="str">
        <f t="shared" si="13"/>
        <v>GE_Prefix_Mystic</v>
      </c>
      <c r="J321" s="43" t="str">
        <f t="shared" si="14"/>
        <v>/Game/DungeonSiege/Blueprints/GameplayAbilities/Affixes/GE_Prefix_Mystic</v>
      </c>
    </row>
    <row r="322" spans="1:10" ht="33.75" x14ac:dyDescent="0.25">
      <c r="A322" s="43">
        <v>320</v>
      </c>
      <c r="B322" s="43">
        <f>VLOOKUP(C322,CHOOSE({2,1},Prefix!B$2:B$256,Prefix!C$2:C$256),2,FALSE)</f>
        <v>100663587</v>
      </c>
      <c r="C322" s="43" t="s">
        <v>983</v>
      </c>
      <c r="D322" s="43" t="s">
        <v>827</v>
      </c>
      <c r="E322" s="43" t="str">
        <f>VLOOKUP(F322,CHOOSE({2,1},Attributes!B$3:B$130,Attributes!C$3:C$129),2,FALSE)</f>
        <v>DungeonSiegeDamageAttributeSet</v>
      </c>
      <c r="F322" s="43" t="str">
        <f>Attributes!C31</f>
        <v>PercentMeleeDamageReduction</v>
      </c>
      <c r="G322" s="43" t="str">
        <f t="shared" si="12"/>
        <v>(AttributeName="PercentMeleeDamageReduction",Attribute=/Script/DSAbilitySystem.DungeonSiegeDamageAttributeSet:PercentMeleeDamageReduction,AttributeOwner=Class'"/Script/DSAbilitySystem.DungeonSiegeDamageAttributeSet"')</v>
      </c>
      <c r="H322" s="43">
        <v>10</v>
      </c>
      <c r="I322" s="43" t="str">
        <f t="shared" si="13"/>
        <v>GE_Prefix_Mystic</v>
      </c>
      <c r="J322" s="43" t="str">
        <f t="shared" si="14"/>
        <v>/Game/DungeonSiege/Blueprints/GameplayAbilities/Affixes/GE_Prefix_Mystic</v>
      </c>
    </row>
    <row r="323" spans="1:10" s="23" customFormat="1" ht="33.75" x14ac:dyDescent="0.25">
      <c r="A323" s="43">
        <v>321</v>
      </c>
      <c r="B323" s="43">
        <f>VLOOKUP(C323,CHOOSE({2,1},Prefix!B$2:B$256,Prefix!C$2:C$256),2,FALSE)</f>
        <v>100663588</v>
      </c>
      <c r="C323" s="43" t="s">
        <v>985</v>
      </c>
      <c r="D323" s="43" t="s">
        <v>245</v>
      </c>
      <c r="E323" s="43" t="str">
        <f>VLOOKUP(F323,CHOOSE({2,1},Attributes!B$3:B$130,Attributes!C$3:C$129),2,FALSE)</f>
        <v>DungeonSiegeMagicAttributeSet</v>
      </c>
      <c r="F323" s="43" t="str">
        <f>Attributes!C51</f>
        <v>ChanceToBlockMagicAttack</v>
      </c>
      <c r="G323" s="43" t="str">
        <f t="shared" ref="G323:G386" si="15">CONCATENATE("(AttributeName=""",F323,""",Attribute=/Script/DSAbilitySystem." &amp; E323 &amp;":",F323,",AttributeOwner=Class'""/Script/DSAbilitySystem." &amp; E323 &amp;"""')")</f>
        <v>(AttributeName="ChanceToBlockMagicAttack",Attribute=/Script/DSAbilitySystem.DungeonSiegeMagicAttributeSet:ChanceToBlockMagicAttack,AttributeOwner=Class'"/Script/DSAbilitySystem.DungeonSiegeMagicAttributeSet"')</v>
      </c>
      <c r="H323" s="43">
        <v>8</v>
      </c>
      <c r="I323" s="43" t="str">
        <f t="shared" ref="I323:I386" si="16">CONCATENATE("GE_Prefix_",SUBSTITUTE(C323," ","_"))</f>
        <v>GE_Prefix_Divine</v>
      </c>
      <c r="J323" s="43" t="str">
        <f t="shared" ref="J323:J386" si="17">"/Game/DungeonSiege/Blueprints/GameplayAbilities/Affixes/" &amp;I323</f>
        <v>/Game/DungeonSiege/Blueprints/GameplayAbilities/Affixes/GE_Prefix_Divine</v>
      </c>
    </row>
    <row r="324" spans="1:10" s="23" customFormat="1" ht="33.75" x14ac:dyDescent="0.25">
      <c r="A324" s="43">
        <v>322</v>
      </c>
      <c r="B324" s="43">
        <f>VLOOKUP(C324,CHOOSE({2,1},Prefix!B$2:B$256,Prefix!C$2:C$256),2,FALSE)</f>
        <v>100663588</v>
      </c>
      <c r="C324" s="43" t="s">
        <v>985</v>
      </c>
      <c r="D324" s="43" t="s">
        <v>747</v>
      </c>
      <c r="E324" s="43" t="str">
        <f>VLOOKUP(F324,CHOOSE({2,1},Attributes!B$3:B$130,Attributes!C$3:C$129),2,FALSE)</f>
        <v>DungeonSiegeDamageAttributeSet</v>
      </c>
      <c r="F324" s="43" t="str">
        <f>Attributes!C34</f>
        <v>ChanceToDodgeMeleeAttack</v>
      </c>
      <c r="G324" s="43" t="str">
        <f t="shared" si="15"/>
        <v>(AttributeName="ChanceToDodgeMeleeAttack",Attribute=/Script/DSAbilitySystem.DungeonSiegeDamageAttributeSet:ChanceToDodgeMeleeAttack,AttributeOwner=Class'"/Script/DSAbilitySystem.DungeonSiegeDamageAttributeSet"')</v>
      </c>
      <c r="H324" s="43">
        <v>5</v>
      </c>
      <c r="I324" s="43" t="str">
        <f t="shared" si="16"/>
        <v>GE_Prefix_Divine</v>
      </c>
      <c r="J324" s="43" t="str">
        <f t="shared" si="17"/>
        <v>/Game/DungeonSiege/Blueprints/GameplayAbilities/Affixes/GE_Prefix_Divine</v>
      </c>
    </row>
    <row r="325" spans="1:10" ht="33.75" x14ac:dyDescent="0.25">
      <c r="A325" s="43">
        <v>323</v>
      </c>
      <c r="B325" s="43">
        <f>VLOOKUP(C325,CHOOSE({2,1},Prefix!B$2:B$256,Prefix!C$2:C$256),2,FALSE)</f>
        <v>100663588</v>
      </c>
      <c r="C325" s="43" t="s">
        <v>985</v>
      </c>
      <c r="D325" s="43" t="s">
        <v>867</v>
      </c>
      <c r="E325" s="43" t="str">
        <f>VLOOKUP(F325,CHOOSE({2,1},Attributes!B$3:B$130,Attributes!C$3:C$129),2,FALSE)</f>
        <v>DungeonSiegeDamageAttributeSet</v>
      </c>
      <c r="F325" s="43" t="str">
        <f>Attributes!C27</f>
        <v>PercentRangedDamageReduction</v>
      </c>
      <c r="G325" s="43" t="str">
        <f t="shared" si="15"/>
        <v>(AttributeName="PercentRangedDamageReduction",Attribute=/Script/DSAbilitySystem.DungeonSiegeDamageAttributeSet:PercentRangedDamageReduction,AttributeOwner=Class'"/Script/DSAbilitySystem.DungeonSiegeDamageAttributeSet"')</v>
      </c>
      <c r="H325" s="43">
        <v>3</v>
      </c>
      <c r="I325" s="43" t="str">
        <f t="shared" si="16"/>
        <v>GE_Prefix_Divine</v>
      </c>
      <c r="J325" s="43" t="str">
        <f t="shared" si="17"/>
        <v>/Game/DungeonSiege/Blueprints/GameplayAbilities/Affixes/GE_Prefix_Divine</v>
      </c>
    </row>
    <row r="326" spans="1:10" s="23" customFormat="1" ht="33.75" x14ac:dyDescent="0.25">
      <c r="A326" s="43">
        <v>324</v>
      </c>
      <c r="B326" s="43">
        <f>VLOOKUP(C326,CHOOSE({2,1},Prefix!B$2:B$256,Prefix!C$2:C$256),2,FALSE)</f>
        <v>100663589</v>
      </c>
      <c r="C326" s="43" t="s">
        <v>987</v>
      </c>
      <c r="D326" s="43" t="s">
        <v>788</v>
      </c>
      <c r="E326" s="43" t="str">
        <f>VLOOKUP(F326,CHOOSE({2,1},Attributes!B$3:B$130,Attributes!C$3:C$129),2,FALSE)</f>
        <v>DungeonSiegeExperienceAttributeSet</v>
      </c>
      <c r="F326" s="43" t="str">
        <f>Attributes!C8</f>
        <v>Ranged</v>
      </c>
      <c r="G326" s="43" t="str">
        <f t="shared" si="15"/>
        <v>(AttributeName="Ranged",Attribute=/Script/DSAbilitySystem.DungeonSiegeExperienceAttributeSet:Ranged,AttributeOwner=Class'"/Script/DSAbilitySystem.DungeonSiegeExperienceAttributeSet"')</v>
      </c>
      <c r="H326" s="43">
        <v>2</v>
      </c>
      <c r="I326" s="43" t="str">
        <f t="shared" si="16"/>
        <v>GE_Prefix_Curious</v>
      </c>
      <c r="J326" s="43" t="str">
        <f t="shared" si="17"/>
        <v>/Game/DungeonSiege/Blueprints/GameplayAbilities/Affixes/GE_Prefix_Curious</v>
      </c>
    </row>
    <row r="327" spans="1:10" s="23" customFormat="1" ht="33.75" x14ac:dyDescent="0.25">
      <c r="A327" s="43">
        <v>325</v>
      </c>
      <c r="B327" s="43">
        <f>VLOOKUP(C327,CHOOSE({2,1},Prefix!B$2:B$256,Prefix!C$2:C$256),2,FALSE)</f>
        <v>100663589</v>
      </c>
      <c r="C327" s="43" t="s">
        <v>987</v>
      </c>
      <c r="D327" s="43" t="s">
        <v>805</v>
      </c>
      <c r="E327" s="43" t="str">
        <f>VLOOKUP(F327,CHOOSE({2,1},Attributes!B$3:B$130,Attributes!C$3:C$129),2,FALSE)</f>
        <v>DungeonSiegeDamageAttributeSet</v>
      </c>
      <c r="F327" s="43" t="str">
        <f>Attributes!C31</f>
        <v>PercentMeleeDamageReduction</v>
      </c>
      <c r="G327" s="43" t="str">
        <f t="shared" si="15"/>
        <v>(AttributeName="PercentMeleeDamageReduction",Attribute=/Script/DSAbilitySystem.DungeonSiegeDamageAttributeSet:PercentMeleeDamageReduction,AttributeOwner=Class'"/Script/DSAbilitySystem.DungeonSiegeDamageAttributeSet"')</v>
      </c>
      <c r="H327" s="43">
        <v>5</v>
      </c>
      <c r="I327" s="43" t="str">
        <f t="shared" si="16"/>
        <v>GE_Prefix_Curious</v>
      </c>
      <c r="J327" s="43" t="str">
        <f t="shared" si="17"/>
        <v>/Game/DungeonSiege/Blueprints/GameplayAbilities/Affixes/GE_Prefix_Curious</v>
      </c>
    </row>
    <row r="328" spans="1:10" s="23" customFormat="1" ht="33.75" x14ac:dyDescent="0.25">
      <c r="A328" s="43">
        <v>326</v>
      </c>
      <c r="B328" s="43">
        <f>VLOOKUP(C328,CHOOSE({2,1},Prefix!B$2:B$256,Prefix!C$2:C$256),2,FALSE)</f>
        <v>100663589</v>
      </c>
      <c r="C328" s="43" t="s">
        <v>987</v>
      </c>
      <c r="D328" s="43" t="s">
        <v>738</v>
      </c>
      <c r="E328" s="43" t="str">
        <f>VLOOKUP(F328,CHOOSE({2,1},Attributes!B$3:B$130,Attributes!C$3:C$129),2,FALSE)</f>
        <v>DungeonSiegeDamageAttributeSet</v>
      </c>
      <c r="F328" s="43" t="str">
        <f>Attributes!C27</f>
        <v>PercentRangedDamageReduction</v>
      </c>
      <c r="G328" s="43" t="str">
        <f t="shared" si="15"/>
        <v>(AttributeName="PercentRangedDamageReduction",Attribute=/Script/DSAbilitySystem.DungeonSiegeDamageAttributeSet:PercentRangedDamageReduction,AttributeOwner=Class'"/Script/DSAbilitySystem.DungeonSiegeDamageAttributeSet"')</v>
      </c>
      <c r="H328" s="43">
        <v>8</v>
      </c>
      <c r="I328" s="43" t="str">
        <f t="shared" si="16"/>
        <v>GE_Prefix_Curious</v>
      </c>
      <c r="J328" s="43" t="str">
        <f t="shared" si="17"/>
        <v>/Game/DungeonSiege/Blueprints/GameplayAbilities/Affixes/GE_Prefix_Curious</v>
      </c>
    </row>
    <row r="329" spans="1:10" ht="33.75" x14ac:dyDescent="0.25">
      <c r="A329" s="43">
        <v>327</v>
      </c>
      <c r="B329" s="43">
        <f>VLOOKUP(C329,CHOOSE({2,1},Prefix!B$2:B$256,Prefix!C$2:C$256),2,FALSE)</f>
        <v>100663589</v>
      </c>
      <c r="C329" s="43" t="s">
        <v>987</v>
      </c>
      <c r="D329" s="43" t="s">
        <v>3179</v>
      </c>
      <c r="E329" s="43" t="str">
        <f>VLOOKUP(F329,CHOOSE({2,1},Attributes!B$3:B$130,Attributes!C$3:C$129),2,FALSE)</f>
        <v>DungeonSiegeDamageAttributeSet</v>
      </c>
      <c r="F329" s="43" t="str">
        <f>Attributes!C24</f>
        <v>PercentPiercingDamageReduction</v>
      </c>
      <c r="G329" s="43" t="str">
        <f t="shared" si="15"/>
        <v>(AttributeName="PercentPiercingDamageReduction",Attribute=/Script/DSAbilitySystem.DungeonSiegeDamageAttributeSet:PercentPiercingDamageReduction,AttributeOwner=Class'"/Script/DSAbilitySystem.DungeonSiegeDamageAttributeSet"')</v>
      </c>
      <c r="H329" s="43">
        <v>3</v>
      </c>
      <c r="I329" s="43" t="str">
        <f t="shared" si="16"/>
        <v>GE_Prefix_Curious</v>
      </c>
      <c r="J329" s="43" t="str">
        <f t="shared" si="17"/>
        <v>/Game/DungeonSiege/Blueprints/GameplayAbilities/Affixes/GE_Prefix_Curious</v>
      </c>
    </row>
    <row r="330" spans="1:10" s="23" customFormat="1" ht="33.75" x14ac:dyDescent="0.25">
      <c r="A330" s="43">
        <v>328</v>
      </c>
      <c r="B330" s="43">
        <f>VLOOKUP(C330,CHOOSE({2,1},Prefix!B$2:B$256,Prefix!C$2:C$256),2,FALSE)</f>
        <v>100663590</v>
      </c>
      <c r="C330" s="43" t="s">
        <v>989</v>
      </c>
      <c r="D330" s="43" t="s">
        <v>3149</v>
      </c>
      <c r="E330" s="43" t="str">
        <f>VLOOKUP(F330,CHOOSE({2,1},Attributes!B$3:B$130,Attributes!C$3:C$129),2,FALSE)</f>
        <v>DungeonSiegeDefenseAttributeSet</v>
      </c>
      <c r="F330" s="43" t="str">
        <f>Attributes!C10</f>
        <v>ArmorRating</v>
      </c>
      <c r="G330" s="43" t="str">
        <f t="shared" si="15"/>
        <v>(AttributeName="ArmorRating",Attribute=/Script/DSAbilitySystem.DungeonSiegeDefenseAttributeSet:ArmorRating,AttributeOwner=Class'"/Script/DSAbilitySystem.DungeonSiegeDefenseAttributeSet"')</v>
      </c>
      <c r="H330" s="43">
        <v>7</v>
      </c>
      <c r="I330" s="43" t="str">
        <f t="shared" si="16"/>
        <v>GE_Prefix_Miraculous</v>
      </c>
      <c r="J330" s="43" t="str">
        <f t="shared" si="17"/>
        <v>/Game/DungeonSiege/Blueprints/GameplayAbilities/Affixes/GE_Prefix_Miraculous</v>
      </c>
    </row>
    <row r="331" spans="1:10" s="23" customFormat="1" ht="33.75" x14ac:dyDescent="0.25">
      <c r="A331" s="43">
        <v>329</v>
      </c>
      <c r="B331" s="43">
        <f>VLOOKUP(C331,CHOOSE({2,1},Prefix!B$2:B$256,Prefix!C$2:C$256),2,FALSE)</f>
        <v>100663590</v>
      </c>
      <c r="C331" s="43" t="s">
        <v>989</v>
      </c>
      <c r="D331" s="43" t="s">
        <v>230</v>
      </c>
      <c r="E331" s="43" t="str">
        <f>VLOOKUP(F331,CHOOSE({2,1},Attributes!B$3:B$130,Attributes!C$3:C$129),2,FALSE)</f>
        <v>DungeonSiegeMagicAttributeSet</v>
      </c>
      <c r="F331" s="43" t="str">
        <f>Attributes!C43</f>
        <v>PercentMagicDamageReduction</v>
      </c>
      <c r="G331" s="43" t="str">
        <f t="shared" si="15"/>
        <v>(AttributeName="PercentMagicDamageReduction",Attribute=/Script/DSAbilitySystem.DungeonSiegeMagicAttributeSet:PercentMagicDamageReduction,AttributeOwner=Class'"/Script/DSAbilitySystem.DungeonSiegeMagicAttributeSet"')</v>
      </c>
      <c r="H331" s="43">
        <v>5</v>
      </c>
      <c r="I331" s="43" t="str">
        <f t="shared" si="16"/>
        <v>GE_Prefix_Miraculous</v>
      </c>
      <c r="J331" s="43" t="str">
        <f t="shared" si="17"/>
        <v>/Game/DungeonSiege/Blueprints/GameplayAbilities/Affixes/GE_Prefix_Miraculous</v>
      </c>
    </row>
    <row r="332" spans="1:10" ht="33.75" x14ac:dyDescent="0.25">
      <c r="A332" s="43">
        <v>330</v>
      </c>
      <c r="B332" s="43">
        <f>VLOOKUP(C332,CHOOSE({2,1},Prefix!B$2:B$256,Prefix!C$2:C$256),2,FALSE)</f>
        <v>100663590</v>
      </c>
      <c r="C332" s="43" t="s">
        <v>989</v>
      </c>
      <c r="D332" s="43" t="s">
        <v>767</v>
      </c>
      <c r="E332" s="43" t="str">
        <f>VLOOKUP(F332,CHOOSE({2,1},Attributes!B$3:B$130,Attributes!C$3:C$129),2,FALSE)</f>
        <v>DungeonSiegeDamageAttributeSet</v>
      </c>
      <c r="F332" s="43" t="str">
        <f>Attributes!C32</f>
        <v>ChanceToBlockMeleeAttack</v>
      </c>
      <c r="G332" s="43" t="str">
        <f t="shared" si="15"/>
        <v>(AttributeName="ChanceToBlockMeleeAttack",Attribute=/Script/DSAbilitySystem.DungeonSiegeDamageAttributeSet:ChanceToBlockMeleeAttack,AttributeOwner=Class'"/Script/DSAbilitySystem.DungeonSiegeDamageAttributeSet"')</v>
      </c>
      <c r="H332" s="43">
        <v>8</v>
      </c>
      <c r="I332" s="43" t="str">
        <f t="shared" si="16"/>
        <v>GE_Prefix_Miraculous</v>
      </c>
      <c r="J332" s="43" t="str">
        <f t="shared" si="17"/>
        <v>/Game/DungeonSiege/Blueprints/GameplayAbilities/Affixes/GE_Prefix_Miraculous</v>
      </c>
    </row>
    <row r="333" spans="1:10" ht="33.75" x14ac:dyDescent="0.25">
      <c r="A333" s="43">
        <v>331</v>
      </c>
      <c r="B333" s="43">
        <f>VLOOKUP(C333,CHOOSE({2,1},Prefix!B$2:B$256,Prefix!C$2:C$256),2,FALSE)</f>
        <v>100663591</v>
      </c>
      <c r="C333" s="43" t="s">
        <v>991</v>
      </c>
      <c r="D333" s="43" t="s">
        <v>855</v>
      </c>
      <c r="E333" s="43" t="str">
        <f>VLOOKUP(F333,CHOOSE({2,1},Attributes!B$3:B$130,Attributes!C$3:C$129),2,FALSE)</f>
        <v>DungeonSiegeExperienceAttributeSet</v>
      </c>
      <c r="F333" s="43" t="str">
        <f>Attributes!C9</f>
        <v>Melee</v>
      </c>
      <c r="G333" s="43" t="str">
        <f t="shared" si="15"/>
        <v>(AttributeName="Melee",Attribute=/Script/DSAbilitySystem.DungeonSiegeExperienceAttributeSet:Melee,AttributeOwner=Class'"/Script/DSAbilitySystem.DungeonSiegeExperienceAttributeSet"')</v>
      </c>
      <c r="H333" s="43">
        <v>4</v>
      </c>
      <c r="I333" s="43" t="str">
        <f t="shared" si="16"/>
        <v>GE_Prefix_Ravaging</v>
      </c>
      <c r="J333" s="43" t="str">
        <f t="shared" si="17"/>
        <v>/Game/DungeonSiege/Blueprints/GameplayAbilities/Affixes/GE_Prefix_Ravaging</v>
      </c>
    </row>
    <row r="334" spans="1:10" ht="33.75" x14ac:dyDescent="0.25">
      <c r="A334" s="43">
        <v>332</v>
      </c>
      <c r="B334" s="43">
        <f>VLOOKUP(C334,CHOOSE({2,1},Prefix!B$2:B$256,Prefix!C$2:C$256),2,FALSE)</f>
        <v>100663592</v>
      </c>
      <c r="C334" s="43" t="s">
        <v>993</v>
      </c>
      <c r="D334" s="43" t="s">
        <v>723</v>
      </c>
      <c r="E334" s="43" t="str">
        <f>VLOOKUP(F334,CHOOSE({2,1},Attributes!B$3:B$130,Attributes!C$3:C$129),2,FALSE)</f>
        <v>DungeonSiegeDamageAttributeSet</v>
      </c>
      <c r="F334" s="43" t="str">
        <f>Attributes!C24</f>
        <v>PercentPiercingDamageReduction</v>
      </c>
      <c r="G334" s="43" t="str">
        <f t="shared" si="15"/>
        <v>(AttributeName="PercentPiercingDamageReduction",Attribute=/Script/DSAbilitySystem.DungeonSiegeDamageAttributeSet:PercentPiercingDamageReduction,AttributeOwner=Class'"/Script/DSAbilitySystem.DungeonSiegeDamageAttributeSet"')</v>
      </c>
      <c r="H334" s="43">
        <v>13</v>
      </c>
      <c r="I334" s="43" t="str">
        <f t="shared" si="16"/>
        <v>GE_Prefix_Unyielding</v>
      </c>
      <c r="J334" s="43" t="str">
        <f t="shared" si="17"/>
        <v>/Game/DungeonSiege/Blueprints/GameplayAbilities/Affixes/GE_Prefix_Unyielding</v>
      </c>
    </row>
    <row r="335" spans="1:10" ht="33.75" x14ac:dyDescent="0.25">
      <c r="A335" s="43">
        <v>333</v>
      </c>
      <c r="B335" s="43">
        <f>VLOOKUP(C335,CHOOSE({2,1},Prefix!B$2:B$256,Prefix!C$2:C$256),2,FALSE)</f>
        <v>100663593</v>
      </c>
      <c r="C335" s="43" t="s">
        <v>995</v>
      </c>
      <c r="D335" s="43" t="s">
        <v>955</v>
      </c>
      <c r="E335" s="43" t="str">
        <f>VLOOKUP(F335,CHOOSE({2,1},Attributes!B$3:B$130,Attributes!C$3:C$129),2,FALSE)</f>
        <v>DungeonSiegeDamageAttributeSet</v>
      </c>
      <c r="F335" s="43" t="str">
        <f>Attributes!C28</f>
        <v>ChanceToBlockRangedAttack</v>
      </c>
      <c r="G335" s="43" t="str">
        <f t="shared" si="15"/>
        <v>(AttributeName="ChanceToBlockRangedAttack",Attribute=/Script/DSAbilitySystem.DungeonSiegeDamageAttributeSet:ChanceToBlockRangedAttack,AttributeOwner=Class'"/Script/DSAbilitySystem.DungeonSiegeDamageAttributeSet"')</v>
      </c>
      <c r="H335" s="43">
        <v>13</v>
      </c>
      <c r="I335" s="43" t="str">
        <f t="shared" si="16"/>
        <v>GE_Prefix_Protective</v>
      </c>
      <c r="J335" s="43" t="str">
        <f t="shared" si="17"/>
        <v>/Game/DungeonSiege/Blueprints/GameplayAbilities/Affixes/GE_Prefix_Protective</v>
      </c>
    </row>
    <row r="336" spans="1:10" s="23" customFormat="1" ht="33.75" x14ac:dyDescent="0.25">
      <c r="A336" s="43">
        <v>334</v>
      </c>
      <c r="B336" s="43">
        <f>VLOOKUP(C336,CHOOSE({2,1},Prefix!B$2:B$256,Prefix!C$2:C$256),2,FALSE)</f>
        <v>100663600</v>
      </c>
      <c r="C336" s="43" t="s">
        <v>997</v>
      </c>
      <c r="D336" s="43" t="s">
        <v>227</v>
      </c>
      <c r="E336" s="43" t="str">
        <f>VLOOKUP(F336,CHOOSE({2,1},Attributes!B$3:B$130,Attributes!C$3:C$129),2,FALSE)</f>
        <v>DungeonSiegeExperienceAttributeSet</v>
      </c>
      <c r="F336" s="43" t="str">
        <f>Attributes!C3</f>
        <v>Strength</v>
      </c>
      <c r="G336" s="43" t="str">
        <f t="shared" si="15"/>
        <v>(AttributeName="Strength",Attribute=/Script/DSAbilitySystem.DungeonSiegeExperienceAttributeSet:Strength,AttributeOwner=Class'"/Script/DSAbilitySystem.DungeonSiegeExperienceAttributeSet"')</v>
      </c>
      <c r="H336" s="43">
        <v>1</v>
      </c>
      <c r="I336" s="43" t="str">
        <f t="shared" si="16"/>
        <v>GE_Prefix_Marvelous</v>
      </c>
      <c r="J336" s="43" t="str">
        <f t="shared" si="17"/>
        <v>/Game/DungeonSiege/Blueprints/GameplayAbilities/Affixes/GE_Prefix_Marvelous</v>
      </c>
    </row>
    <row r="337" spans="1:10" s="23" customFormat="1" ht="33.75" x14ac:dyDescent="0.25">
      <c r="A337" s="43">
        <v>335</v>
      </c>
      <c r="B337" s="43">
        <f>VLOOKUP(C337,CHOOSE({2,1},Prefix!B$2:B$256,Prefix!C$2:C$256),2,FALSE)</f>
        <v>100663600</v>
      </c>
      <c r="C337" s="43" t="s">
        <v>997</v>
      </c>
      <c r="D337" s="43" t="s">
        <v>3186</v>
      </c>
      <c r="E337" s="43" t="str">
        <f>VLOOKUP(F337,CHOOSE({2,1},Attributes!B$3:B$130,Attributes!C$3:C$129),2,FALSE)</f>
        <v>DungeonSiegeHealthAttributeSet</v>
      </c>
      <c r="F337" s="43" t="str">
        <f>Attributes!C82</f>
        <v>BaseHealthBonus</v>
      </c>
      <c r="G337" s="43" t="str">
        <f t="shared" si="15"/>
        <v>(AttributeName="BaseHealthBonus",Attribute=/Script/DSAbilitySystem.DungeonSiegeHealthAttributeSet:BaseHealthBonus,AttributeOwner=Class'"/Script/DSAbilitySystem.DungeonSiegeHealthAttributeSet"')</v>
      </c>
      <c r="H337" s="43">
        <v>48</v>
      </c>
      <c r="I337" s="43" t="str">
        <f t="shared" si="16"/>
        <v>GE_Prefix_Marvelous</v>
      </c>
      <c r="J337" s="43" t="str">
        <f t="shared" si="17"/>
        <v>/Game/DungeonSiege/Blueprints/GameplayAbilities/Affixes/GE_Prefix_Marvelous</v>
      </c>
    </row>
    <row r="338" spans="1:10" s="23" customFormat="1" ht="45" x14ac:dyDescent="0.25">
      <c r="A338" s="43">
        <v>336</v>
      </c>
      <c r="B338" s="43">
        <f>VLOOKUP(C338,CHOOSE({2,1},Prefix!B$2:B$256,Prefix!C$2:C$256),2,FALSE)</f>
        <v>100663600</v>
      </c>
      <c r="C338" s="43" t="s">
        <v>997</v>
      </c>
      <c r="D338" s="43" t="s">
        <v>715</v>
      </c>
      <c r="E338" s="43" t="str">
        <f>VLOOKUP(F338,CHOOSE({2,1},Attributes!B$3:B$130,Attributes!C$3:C$129),2,FALSE)</f>
        <v>DungeonSiegeDamageAttributeSet</v>
      </c>
      <c r="F338" s="43" t="str">
        <f>Attributes!C21</f>
        <v>PercentDamageReflectedToEnemy</v>
      </c>
      <c r="G338" s="43" t="str">
        <f t="shared" si="15"/>
        <v>(AttributeName="PercentDamageReflectedToEnemy",Attribute=/Script/DSAbilitySystem.DungeonSiegeDamageAttributeSet:PercentDamageReflectedToEnemy,AttributeOwner=Class'"/Script/DSAbilitySystem.DungeonSiegeDamageAttributeSet"')</v>
      </c>
      <c r="H338" s="43">
        <v>3</v>
      </c>
      <c r="I338" s="43" t="str">
        <f t="shared" si="16"/>
        <v>GE_Prefix_Marvelous</v>
      </c>
      <c r="J338" s="43" t="str">
        <f t="shared" si="17"/>
        <v>/Game/DungeonSiege/Blueprints/GameplayAbilities/Affixes/GE_Prefix_Marvelous</v>
      </c>
    </row>
    <row r="339" spans="1:10" ht="33.75" x14ac:dyDescent="0.25">
      <c r="A339" s="43">
        <v>337</v>
      </c>
      <c r="B339" s="43">
        <f>VLOOKUP(C339,CHOOSE({2,1},Prefix!B$2:B$256,Prefix!C$2:C$256),2,FALSE)</f>
        <v>100663600</v>
      </c>
      <c r="C339" s="43" t="s">
        <v>997</v>
      </c>
      <c r="D339" s="43" t="s">
        <v>3187</v>
      </c>
      <c r="E339" s="43" t="str">
        <f>VLOOKUP(F339,CHOOSE({2,1},Attributes!B$3:B$130,Attributes!C$3:C$129),2,FALSE)</f>
        <v>DungeonSiegeDefenseAttributeSet</v>
      </c>
      <c r="F339" s="43" t="str">
        <f>Attributes!C10</f>
        <v>ArmorRating</v>
      </c>
      <c r="G339" s="43" t="str">
        <f t="shared" si="15"/>
        <v>(AttributeName="ArmorRating",Attribute=/Script/DSAbilitySystem.DungeonSiegeDefenseAttributeSet:ArmorRating,AttributeOwner=Class'"/Script/DSAbilitySystem.DungeonSiegeDefenseAttributeSet"')</v>
      </c>
      <c r="H339" s="43">
        <v>17</v>
      </c>
      <c r="I339" s="43" t="str">
        <f t="shared" si="16"/>
        <v>GE_Prefix_Marvelous</v>
      </c>
      <c r="J339" s="43" t="str">
        <f t="shared" si="17"/>
        <v>/Game/DungeonSiege/Blueprints/GameplayAbilities/Affixes/GE_Prefix_Marvelous</v>
      </c>
    </row>
    <row r="340" spans="1:10" s="23" customFormat="1" ht="33.75" x14ac:dyDescent="0.25">
      <c r="A340" s="43">
        <v>338</v>
      </c>
      <c r="B340" s="43">
        <f>VLOOKUP(C340,CHOOSE({2,1},Prefix!B$2:B$256,Prefix!C$2:C$256),2,FALSE)</f>
        <v>100663601</v>
      </c>
      <c r="C340" s="43" t="s">
        <v>999</v>
      </c>
      <c r="D340" s="43" t="s">
        <v>3222</v>
      </c>
      <c r="E340" s="43" t="str">
        <f>VLOOKUP(F340,CHOOSE({2,1},Attributes!B$3:B$130,Attributes!C$3:C$129),2,FALSE)</f>
        <v>DungeonSiegeStatusEffectAttributeSet</v>
      </c>
      <c r="F340" s="43" t="str">
        <f>Attributes!C60</f>
        <v>ChanceToFlee</v>
      </c>
      <c r="G340" s="43" t="str">
        <f t="shared" si="15"/>
        <v>(AttributeName="ChanceToFlee",Attribute=/Script/DSAbilitySystem.DungeonSiegeStatusEffectAttributeSet:ChanceToFlee,AttributeOwner=Class'"/Script/DSAbilitySystem.DungeonSiegeStatusEffectAttributeSet"')</v>
      </c>
      <c r="H340" s="43">
        <v>15</v>
      </c>
      <c r="I340" s="43" t="str">
        <f t="shared" si="16"/>
        <v>GE_Prefix_Intimidating</v>
      </c>
      <c r="J340" s="43" t="str">
        <f t="shared" si="17"/>
        <v>/Game/DungeonSiege/Blueprints/GameplayAbilities/Affixes/GE_Prefix_Intimidating</v>
      </c>
    </row>
    <row r="341" spans="1:10" s="23" customFormat="1" ht="33.75" x14ac:dyDescent="0.25">
      <c r="A341" s="43">
        <v>339</v>
      </c>
      <c r="B341" s="43">
        <f>VLOOKUP(C341,CHOOSE({2,1},Prefix!B$2:B$256,Prefix!C$2:C$256),2,FALSE)</f>
        <v>100663601</v>
      </c>
      <c r="C341" s="43" t="s">
        <v>999</v>
      </c>
      <c r="D341" s="43" t="s">
        <v>3167</v>
      </c>
      <c r="E341" s="43" t="str">
        <f>VLOOKUP(F341,CHOOSE({2,1},Attributes!B$3:B$130,Attributes!C$3:C$129),2,FALSE)</f>
        <v>DungeonSiegeStatusEffectAttributeSet</v>
      </c>
      <c r="F341" s="43" t="str">
        <f>Attributes!C61</f>
        <v>FleeMinDamageMod</v>
      </c>
      <c r="G341" s="43" t="str">
        <f t="shared" si="15"/>
        <v>(AttributeName="FleeMinDamageMod",Attribute=/Script/DSAbilitySystem.DungeonSiegeStatusEffectAttributeSet:FleeMinDamageMod,AttributeOwner=Class'"/Script/DSAbilitySystem.DungeonSiegeStatusEffectAttributeSet"')</v>
      </c>
      <c r="H341" s="43">
        <v>15</v>
      </c>
      <c r="I341" s="43" t="str">
        <f t="shared" si="16"/>
        <v>GE_Prefix_Intimidating</v>
      </c>
      <c r="J341" s="43" t="str">
        <f t="shared" si="17"/>
        <v>/Game/DungeonSiege/Blueprints/GameplayAbilities/Affixes/GE_Prefix_Intimidating</v>
      </c>
    </row>
    <row r="342" spans="1:10" ht="33.75" x14ac:dyDescent="0.25">
      <c r="A342" s="43">
        <v>340</v>
      </c>
      <c r="B342" s="43">
        <f>VLOOKUP(C342,CHOOSE({2,1},Prefix!B$2:B$256,Prefix!C$2:C$256),2,FALSE)</f>
        <v>100663601</v>
      </c>
      <c r="C342" s="43" t="s">
        <v>999</v>
      </c>
      <c r="D342" s="43" t="s">
        <v>3167</v>
      </c>
      <c r="E342" s="43" t="str">
        <f>VLOOKUP(F342,CHOOSE({2,1},Attributes!B$3:B$130,Attributes!C$3:C$129),2,FALSE)</f>
        <v>DungeonSiegeStatusEffectAttributeSet</v>
      </c>
      <c r="F342" s="43" t="str">
        <f>Attributes!C62</f>
        <v>FleeMaxDamageMod</v>
      </c>
      <c r="G342" s="43" t="str">
        <f t="shared" si="15"/>
        <v>(AttributeName="FleeMaxDamageMod",Attribute=/Script/DSAbilitySystem.DungeonSiegeStatusEffectAttributeSet:FleeMaxDamageMod,AttributeOwner=Class'"/Script/DSAbilitySystem.DungeonSiegeStatusEffectAttributeSet"')</v>
      </c>
      <c r="H342" s="43">
        <v>25</v>
      </c>
      <c r="I342" s="43" t="str">
        <f t="shared" si="16"/>
        <v>GE_Prefix_Intimidating</v>
      </c>
      <c r="J342" s="43" t="str">
        <f t="shared" si="17"/>
        <v>/Game/DungeonSiege/Blueprints/GameplayAbilities/Affixes/GE_Prefix_Intimidating</v>
      </c>
    </row>
    <row r="343" spans="1:10" ht="33.75" x14ac:dyDescent="0.25">
      <c r="A343" s="43">
        <v>341</v>
      </c>
      <c r="B343" s="43">
        <f>VLOOKUP(C343,CHOOSE({2,1},Prefix!B$2:B$256,Prefix!C$2:C$256),2,FALSE)</f>
        <v>100663602</v>
      </c>
      <c r="C343" s="43" t="s">
        <v>1001</v>
      </c>
      <c r="D343" s="43" t="s">
        <v>1002</v>
      </c>
      <c r="E343" s="43" t="str">
        <f>VLOOKUP(F343,CHOOSE({2,1},Attributes!B$3:B$130,Attributes!C$3:C$129),2,FALSE)</f>
        <v>DungeonSiegeExperienceAttributeSet</v>
      </c>
      <c r="F343" s="43" t="str">
        <f>Attributes!C8</f>
        <v>Ranged</v>
      </c>
      <c r="G343" s="43" t="str">
        <f t="shared" si="15"/>
        <v>(AttributeName="Ranged",Attribute=/Script/DSAbilitySystem.DungeonSiegeExperienceAttributeSet:Ranged,AttributeOwner=Class'"/Script/DSAbilitySystem.DungeonSiegeExperienceAttributeSet"')</v>
      </c>
      <c r="H343" s="43">
        <v>3</v>
      </c>
      <c r="I343" s="43" t="str">
        <f t="shared" si="16"/>
        <v>GE_Prefix_Flying</v>
      </c>
      <c r="J343" s="43" t="str">
        <f t="shared" si="17"/>
        <v>/Game/DungeonSiege/Blueprints/GameplayAbilities/Affixes/GE_Prefix_Flying</v>
      </c>
    </row>
    <row r="344" spans="1:10" ht="33.75" x14ac:dyDescent="0.25">
      <c r="A344" s="43">
        <v>342</v>
      </c>
      <c r="B344" s="43">
        <f>VLOOKUP(C344,CHOOSE({2,1},Prefix!B$2:B$256,Prefix!C$2:C$256),2,FALSE)</f>
        <v>100663603</v>
      </c>
      <c r="C344" s="43" t="s">
        <v>1004</v>
      </c>
      <c r="D344" s="43" t="s">
        <v>3219</v>
      </c>
      <c r="E344" s="43" t="str">
        <f>VLOOKUP(F344,CHOOSE({2,1},Attributes!B$3:B$130,Attributes!C$3:C$129),2,FALSE)</f>
        <v>DungeonSiegeStatusEffectAttributeSet</v>
      </c>
      <c r="F344" s="43" t="str">
        <f>Attributes!C52</f>
        <v>ChanceToAcidify</v>
      </c>
      <c r="G344" s="43" t="str">
        <f t="shared" si="15"/>
        <v>(AttributeName="ChanceToAcidify",Attribute=/Script/DSAbilitySystem.DungeonSiegeStatusEffectAttributeSet:ChanceToAcidify,AttributeOwner=Class'"/Script/DSAbilitySystem.DungeonSiegeStatusEffectAttributeSet"')</v>
      </c>
      <c r="H344" s="43">
        <v>15</v>
      </c>
      <c r="I344" s="43" t="str">
        <f t="shared" si="16"/>
        <v>GE_Prefix_Spraying</v>
      </c>
      <c r="J344" s="43" t="str">
        <f t="shared" si="17"/>
        <v>/Game/DungeonSiege/Blueprints/GameplayAbilities/Affixes/GE_Prefix_Spraying</v>
      </c>
    </row>
    <row r="345" spans="1:10" s="23" customFormat="1" ht="33.75" x14ac:dyDescent="0.25">
      <c r="A345" s="43">
        <v>343</v>
      </c>
      <c r="B345" s="43">
        <f>VLOOKUP(C345,CHOOSE({2,1},Prefix!B$2:B$256,Prefix!C$2:C$256),2,FALSE)</f>
        <v>100663603</v>
      </c>
      <c r="C345" s="43" t="s">
        <v>1004</v>
      </c>
      <c r="D345" s="43" t="s">
        <v>3188</v>
      </c>
      <c r="E345" s="43" t="str">
        <f>VLOOKUP(F345,CHOOSE({2,1},Attributes!B$3:B$130,Attributes!C$3:C$129),2,FALSE)</f>
        <v>DungeonSiegeStatusEffectAttributeSet</v>
      </c>
      <c r="F345" s="43" t="str">
        <f>Attributes!C53</f>
        <v>AcidMinDamageMod</v>
      </c>
      <c r="G345" s="43" t="str">
        <f t="shared" si="15"/>
        <v>(AttributeName="AcidMinDamageMod",Attribute=/Script/DSAbilitySystem.DungeonSiegeStatusEffectAttributeSet:AcidMinDamageMod,AttributeOwner=Class'"/Script/DSAbilitySystem.DungeonSiegeStatusEffectAttributeSet"')</v>
      </c>
      <c r="H345" s="43">
        <v>5</v>
      </c>
      <c r="I345" s="43" t="str">
        <f t="shared" si="16"/>
        <v>GE_Prefix_Spraying</v>
      </c>
      <c r="J345" s="43" t="str">
        <f t="shared" si="17"/>
        <v>/Game/DungeonSiege/Blueprints/GameplayAbilities/Affixes/GE_Prefix_Spraying</v>
      </c>
    </row>
    <row r="346" spans="1:10" ht="33.75" x14ac:dyDescent="0.25">
      <c r="A346" s="43">
        <v>344</v>
      </c>
      <c r="B346" s="43">
        <f>VLOOKUP(C346,CHOOSE({2,1},Prefix!B$2:B$256,Prefix!C$2:C$256),2,FALSE)</f>
        <v>100663603</v>
      </c>
      <c r="C346" s="43" t="s">
        <v>1004</v>
      </c>
      <c r="D346" s="43" t="s">
        <v>3188</v>
      </c>
      <c r="E346" s="43" t="str">
        <f>VLOOKUP(F346,CHOOSE({2,1},Attributes!B$3:B$130,Attributes!C$3:C$129),2,FALSE)</f>
        <v>DungeonSiegeStatusEffectAttributeSet</v>
      </c>
      <c r="F346" s="43" t="str">
        <f>Attributes!C54</f>
        <v>AcidMaxDamageMod</v>
      </c>
      <c r="G346" s="43" t="str">
        <f t="shared" si="15"/>
        <v>(AttributeName="AcidMaxDamageMod",Attribute=/Script/DSAbilitySystem.DungeonSiegeStatusEffectAttributeSet:AcidMaxDamageMod,AttributeOwner=Class'"/Script/DSAbilitySystem.DungeonSiegeStatusEffectAttributeSet"')</v>
      </c>
      <c r="H346" s="43">
        <v>10</v>
      </c>
      <c r="I346" s="43" t="str">
        <f t="shared" si="16"/>
        <v>GE_Prefix_Spraying</v>
      </c>
      <c r="J346" s="43" t="str">
        <f t="shared" si="17"/>
        <v>/Game/DungeonSiege/Blueprints/GameplayAbilities/Affixes/GE_Prefix_Spraying</v>
      </c>
    </row>
    <row r="347" spans="1:10" ht="33.75" x14ac:dyDescent="0.25">
      <c r="A347" s="43">
        <v>345</v>
      </c>
      <c r="B347" s="43">
        <f>VLOOKUP(C347,CHOOSE({2,1},Prefix!B$2:B$256,Prefix!C$2:C$256),2,FALSE)</f>
        <v>100663604</v>
      </c>
      <c r="C347" s="43" t="s">
        <v>279</v>
      </c>
      <c r="D347" s="43" t="s">
        <v>278</v>
      </c>
      <c r="E347" s="43" t="str">
        <f>VLOOKUP(F347,CHOOSE({2,1},Attributes!B$3:B$130,Attributes!C$3:C$129),2,FALSE)</f>
        <v>DungeonSiegeExperienceAttributeSet</v>
      </c>
      <c r="F347" s="43" t="str">
        <f>Attributes!C3</f>
        <v>Strength</v>
      </c>
      <c r="G347" s="43" t="str">
        <f t="shared" si="15"/>
        <v>(AttributeName="Strength",Attribute=/Script/DSAbilitySystem.DungeonSiegeExperienceAttributeSet:Strength,AttributeOwner=Class'"/Script/DSAbilitySystem.DungeonSiegeExperienceAttributeSet"')</v>
      </c>
      <c r="H347" s="43">
        <v>3</v>
      </c>
      <c r="I347" s="43" t="str">
        <f t="shared" si="16"/>
        <v>GE_Prefix_Oak_Bound</v>
      </c>
      <c r="J347" s="43" t="str">
        <f t="shared" si="17"/>
        <v>/Game/DungeonSiege/Blueprints/GameplayAbilities/Affixes/GE_Prefix_Oak_Bound</v>
      </c>
    </row>
    <row r="348" spans="1:10" ht="33.75" x14ac:dyDescent="0.25">
      <c r="A348" s="43">
        <v>346</v>
      </c>
      <c r="B348" s="43">
        <f>VLOOKUP(C348,CHOOSE({2,1},Prefix!B$2:B$256,Prefix!C$2:C$256),2,FALSE)</f>
        <v>100663605</v>
      </c>
      <c r="C348" s="43" t="s">
        <v>1005</v>
      </c>
      <c r="D348" s="43" t="s">
        <v>275</v>
      </c>
      <c r="E348" s="43" t="str">
        <f>VLOOKUP(F348,CHOOSE({2,1},Attributes!B$3:B$130,Attributes!C$3:C$129),2,FALSE)</f>
        <v>DungeonSiegeMagicAttributeSet</v>
      </c>
      <c r="F348" s="43" t="str">
        <f>Attributes!C45</f>
        <v>ColdDamageAmplification</v>
      </c>
      <c r="G348" s="43" t="str">
        <f t="shared" si="15"/>
        <v>(AttributeName="ColdDamageAmplification",Attribute=/Script/DSAbilitySystem.DungeonSiegeMagicAttributeSet:ColdDamageAmplification,AttributeOwner=Class'"/Script/DSAbilitySystem.DungeonSiegeMagicAttributeSet"')</v>
      </c>
      <c r="H348" s="43">
        <v>15</v>
      </c>
      <c r="I348" s="43" t="str">
        <f t="shared" si="16"/>
        <v>GE_Prefix_icy</v>
      </c>
      <c r="J348" s="43" t="str">
        <f t="shared" si="17"/>
        <v>/Game/DungeonSiege/Blueprints/GameplayAbilities/Affixes/GE_Prefix_icy</v>
      </c>
    </row>
    <row r="349" spans="1:10" ht="33.75" x14ac:dyDescent="0.25">
      <c r="A349" s="43">
        <v>347</v>
      </c>
      <c r="B349" s="43">
        <f>VLOOKUP(C349,CHOOSE({2,1},Prefix!B$2:B$256,Prefix!C$2:C$256),2,FALSE)</f>
        <v>100663606</v>
      </c>
      <c r="C349" s="43" t="s">
        <v>1006</v>
      </c>
      <c r="D349" s="43" t="s">
        <v>272</v>
      </c>
      <c r="E349" s="43" t="str">
        <f>VLOOKUP(F349,CHOOSE({2,1},Attributes!B$3:B$130,Attributes!C$3:C$129),2,FALSE)</f>
        <v>DungeonSiegeMagicAttributeSet</v>
      </c>
      <c r="F349" s="43" t="str">
        <f>Attributes!C47</f>
        <v>FireDamageAmplification</v>
      </c>
      <c r="G349" s="43" t="str">
        <f t="shared" si="15"/>
        <v>(AttributeName="FireDamageAmplification",Attribute=/Script/DSAbilitySystem.DungeonSiegeMagicAttributeSet:FireDamageAmplification,AttributeOwner=Class'"/Script/DSAbilitySystem.DungeonSiegeMagicAttributeSet"')</v>
      </c>
      <c r="H349" s="43">
        <v>15</v>
      </c>
      <c r="I349" s="43" t="str">
        <f t="shared" si="16"/>
        <v>GE_Prefix_burnt</v>
      </c>
      <c r="J349" s="43" t="str">
        <f t="shared" si="17"/>
        <v>/Game/DungeonSiege/Blueprints/GameplayAbilities/Affixes/GE_Prefix_burnt</v>
      </c>
    </row>
    <row r="350" spans="1:10" ht="33.75" x14ac:dyDescent="0.25">
      <c r="A350" s="43">
        <v>348</v>
      </c>
      <c r="B350" s="43">
        <f>VLOOKUP(C350,CHOOSE({2,1},Prefix!B$2:B$256,Prefix!C$2:C$256),2,FALSE)</f>
        <v>100663607</v>
      </c>
      <c r="C350" s="43" t="s">
        <v>1007</v>
      </c>
      <c r="D350" s="43" t="s">
        <v>269</v>
      </c>
      <c r="E350" s="43" t="str">
        <f>VLOOKUP(F350,CHOOSE({2,1},Attributes!B$3:B$130,Attributes!C$3:C$129),2,FALSE)</f>
        <v>DungeonSiegeMagicAttributeSet</v>
      </c>
      <c r="F350" s="43" t="str">
        <f>Attributes!C48</f>
        <v>ElectricDamageAmplification</v>
      </c>
      <c r="G350" s="43" t="str">
        <f t="shared" si="15"/>
        <v>(AttributeName="ElectricDamageAmplification",Attribute=/Script/DSAbilitySystem.DungeonSiegeMagicAttributeSet:ElectricDamageAmplification,AttributeOwner=Class'"/Script/DSAbilitySystem.DungeonSiegeMagicAttributeSet"')</v>
      </c>
      <c r="H350" s="43">
        <v>15</v>
      </c>
      <c r="I350" s="43" t="str">
        <f t="shared" si="16"/>
        <v>GE_Prefix_sparking</v>
      </c>
      <c r="J350" s="43" t="str">
        <f t="shared" si="17"/>
        <v>/Game/DungeonSiege/Blueprints/GameplayAbilities/Affixes/GE_Prefix_sparking</v>
      </c>
    </row>
    <row r="351" spans="1:10" s="23" customFormat="1" ht="33.75" x14ac:dyDescent="0.25">
      <c r="A351" s="43">
        <v>349</v>
      </c>
      <c r="B351" s="43">
        <f>VLOOKUP(C351,CHOOSE({2,1},Prefix!B$2:B$256,Prefix!C$2:C$256),2,FALSE)</f>
        <v>100663608</v>
      </c>
      <c r="C351" s="43" t="s">
        <v>1008</v>
      </c>
      <c r="D351" s="43" t="s">
        <v>1009</v>
      </c>
      <c r="E351" s="43" t="str">
        <f>VLOOKUP(F351,CHOOSE({2,1},Attributes!B$3:B$130,Attributes!C$3:C$129),2,FALSE)</f>
        <v>DungeonSiegeDefenseAttributeSet</v>
      </c>
      <c r="F351" s="43" t="str">
        <f>Attributes!C10</f>
        <v>ArmorRating</v>
      </c>
      <c r="G351" s="43" t="str">
        <f t="shared" si="15"/>
        <v>(AttributeName="ArmorRating",Attribute=/Script/DSAbilitySystem.DungeonSiegeDefenseAttributeSet:ArmorRating,AttributeOwner=Class'"/Script/DSAbilitySystem.DungeonSiegeDefenseAttributeSet"')</v>
      </c>
      <c r="H351" s="43">
        <v>13</v>
      </c>
      <c r="I351" s="43" t="str">
        <f t="shared" si="16"/>
        <v>GE_Prefix_Peerless</v>
      </c>
      <c r="J351" s="43" t="str">
        <f t="shared" si="17"/>
        <v>/Game/DungeonSiege/Blueprints/GameplayAbilities/Affixes/GE_Prefix_Peerless</v>
      </c>
    </row>
    <row r="352" spans="1:10" s="23" customFormat="1" ht="33.75" x14ac:dyDescent="0.25">
      <c r="A352" s="43">
        <v>350</v>
      </c>
      <c r="B352" s="43">
        <f>VLOOKUP(C352,CHOOSE({2,1},Prefix!B$2:B$256,Prefix!C$2:C$256),2,FALSE)</f>
        <v>100663608</v>
      </c>
      <c r="C352" s="43" t="s">
        <v>1008</v>
      </c>
      <c r="D352" s="43" t="s">
        <v>746</v>
      </c>
      <c r="E352" s="43" t="str">
        <f>VLOOKUP(F352,CHOOSE({2,1},Attributes!B$3:B$130,Attributes!C$3:C$129),2,FALSE)</f>
        <v>DungeonSiegeDamageAttributeSet</v>
      </c>
      <c r="F352" s="43" t="str">
        <f>Attributes!C32</f>
        <v>ChanceToBlockMeleeAttack</v>
      </c>
      <c r="G352" s="43" t="str">
        <f t="shared" si="15"/>
        <v>(AttributeName="ChanceToBlockMeleeAttack",Attribute=/Script/DSAbilitySystem.DungeonSiegeDamageAttributeSet:ChanceToBlockMeleeAttack,AttributeOwner=Class'"/Script/DSAbilitySystem.DungeonSiegeDamageAttributeSet"')</v>
      </c>
      <c r="H352" s="43">
        <v>2</v>
      </c>
      <c r="I352" s="43" t="str">
        <f t="shared" si="16"/>
        <v>GE_Prefix_Peerless</v>
      </c>
      <c r="J352" s="43" t="str">
        <f t="shared" si="17"/>
        <v>/Game/DungeonSiege/Blueprints/GameplayAbilities/Affixes/GE_Prefix_Peerless</v>
      </c>
    </row>
    <row r="353" spans="1:10" s="23" customFormat="1" ht="33.75" x14ac:dyDescent="0.25">
      <c r="A353" s="43">
        <v>351</v>
      </c>
      <c r="B353" s="43">
        <f>VLOOKUP(C353,CHOOSE({2,1},Prefix!B$2:B$256,Prefix!C$2:C$256),2,FALSE)</f>
        <v>100663608</v>
      </c>
      <c r="C353" s="43" t="s">
        <v>1008</v>
      </c>
      <c r="D353" s="43" t="s">
        <v>213</v>
      </c>
      <c r="E353" s="43" t="str">
        <f>VLOOKUP(F353,CHOOSE({2,1},Attributes!B$3:B$130,Attributes!C$3:C$129),2,FALSE)</f>
        <v>DungeonSiegeMagicAttributeSet</v>
      </c>
      <c r="F353" s="43" t="str">
        <f>Attributes!C51</f>
        <v>ChanceToBlockMagicAttack</v>
      </c>
      <c r="G353" s="43" t="str">
        <f t="shared" si="15"/>
        <v>(AttributeName="ChanceToBlockMagicAttack",Attribute=/Script/DSAbilitySystem.DungeonSiegeMagicAttributeSet:ChanceToBlockMagicAttack,AttributeOwner=Class'"/Script/DSAbilitySystem.DungeonSiegeMagicAttributeSet"')</v>
      </c>
      <c r="H353" s="43">
        <v>5</v>
      </c>
      <c r="I353" s="43" t="str">
        <f t="shared" si="16"/>
        <v>GE_Prefix_Peerless</v>
      </c>
      <c r="J353" s="43" t="str">
        <f t="shared" si="17"/>
        <v>/Game/DungeonSiege/Blueprints/GameplayAbilities/Affixes/GE_Prefix_Peerless</v>
      </c>
    </row>
    <row r="354" spans="1:10" s="23" customFormat="1" ht="45" x14ac:dyDescent="0.25">
      <c r="A354" s="43">
        <v>352</v>
      </c>
      <c r="B354" s="43">
        <f>VLOOKUP(C354,CHOOSE({2,1},Prefix!B$2:B$256,Prefix!C$2:C$256),2,FALSE)</f>
        <v>100663608</v>
      </c>
      <c r="C354" s="43" t="s">
        <v>1008</v>
      </c>
      <c r="D354" s="43" t="s">
        <v>715</v>
      </c>
      <c r="E354" s="43" t="str">
        <f>VLOOKUP(F354,CHOOSE({2,1},Attributes!B$3:B$130,Attributes!C$3:C$129),2,FALSE)</f>
        <v>DungeonSiegeDamageAttributeSet</v>
      </c>
      <c r="F354" s="43" t="str">
        <f>Attributes!C21</f>
        <v>PercentDamageReflectedToEnemy</v>
      </c>
      <c r="G354" s="43" t="str">
        <f t="shared" si="15"/>
        <v>(AttributeName="PercentDamageReflectedToEnemy",Attribute=/Script/DSAbilitySystem.DungeonSiegeDamageAttributeSet:PercentDamageReflectedToEnemy,AttributeOwner=Class'"/Script/DSAbilitySystem.DungeonSiegeDamageAttributeSet"')</v>
      </c>
      <c r="H354" s="43">
        <v>3</v>
      </c>
      <c r="I354" s="43" t="str">
        <f t="shared" si="16"/>
        <v>GE_Prefix_Peerless</v>
      </c>
      <c r="J354" s="43" t="str">
        <f t="shared" si="17"/>
        <v>/Game/DungeonSiege/Blueprints/GameplayAbilities/Affixes/GE_Prefix_Peerless</v>
      </c>
    </row>
    <row r="355" spans="1:10" ht="33.75" x14ac:dyDescent="0.25">
      <c r="A355" s="43">
        <v>353</v>
      </c>
      <c r="B355" s="43">
        <f>VLOOKUP(C355,CHOOSE({2,1},Prefix!B$2:B$256,Prefix!C$2:C$256),2,FALSE)</f>
        <v>100663608</v>
      </c>
      <c r="C355" s="43" t="s">
        <v>1008</v>
      </c>
      <c r="D355" s="43" t="s">
        <v>207</v>
      </c>
      <c r="E355" s="43" t="str">
        <f>VLOOKUP(F355,CHOOSE({2,1},Attributes!B$3:B$130,Attributes!C$3:C$129),2,FALSE)</f>
        <v>DungeonSiegeExperienceAttributeSet</v>
      </c>
      <c r="F355" s="43" t="str">
        <f>Attributes!C7</f>
        <v>NatureMagic</v>
      </c>
      <c r="G355" s="43" t="str">
        <f t="shared" si="15"/>
        <v>(AttributeName="NatureMagic",Attribute=/Script/DSAbilitySystem.DungeonSiegeExperienceAttributeSet:NatureMagic,AttributeOwner=Class'"/Script/DSAbilitySystem.DungeonSiegeExperienceAttributeSet"')</v>
      </c>
      <c r="H355" s="43">
        <v>1</v>
      </c>
      <c r="I355" s="43" t="str">
        <f t="shared" si="16"/>
        <v>GE_Prefix_Peerless</v>
      </c>
      <c r="J355" s="43" t="str">
        <f t="shared" si="17"/>
        <v>/Game/DungeonSiege/Blueprints/GameplayAbilities/Affixes/GE_Prefix_Peerless</v>
      </c>
    </row>
    <row r="356" spans="1:10" s="23" customFormat="1" ht="33.75" x14ac:dyDescent="0.25">
      <c r="A356" s="43">
        <v>354</v>
      </c>
      <c r="B356" s="43">
        <f>VLOOKUP(C356,CHOOSE({2,1},Prefix!B$2:B$256,Prefix!C$2:C$256),2,FALSE)</f>
        <v>100663609</v>
      </c>
      <c r="C356" s="43" t="s">
        <v>1011</v>
      </c>
      <c r="D356" s="43" t="s">
        <v>788</v>
      </c>
      <c r="E356" s="43" t="str">
        <f>VLOOKUP(F356,CHOOSE({2,1},Attributes!B$3:B$130,Attributes!C$3:C$129),2,FALSE)</f>
        <v>DungeonSiegeExperienceAttributeSet</v>
      </c>
      <c r="F356" s="43" t="str">
        <f>Attributes!C8</f>
        <v>Ranged</v>
      </c>
      <c r="G356" s="43" t="str">
        <f t="shared" si="15"/>
        <v>(AttributeName="Ranged",Attribute=/Script/DSAbilitySystem.DungeonSiegeExperienceAttributeSet:Ranged,AttributeOwner=Class'"/Script/DSAbilitySystem.DungeonSiegeExperienceAttributeSet"')</v>
      </c>
      <c r="H356" s="43">
        <v>2</v>
      </c>
      <c r="I356" s="43" t="str">
        <f t="shared" si="16"/>
        <v>GE_Prefix_Bold</v>
      </c>
      <c r="J356" s="43" t="str">
        <f t="shared" si="17"/>
        <v>/Game/DungeonSiege/Blueprints/GameplayAbilities/Affixes/GE_Prefix_Bold</v>
      </c>
    </row>
    <row r="357" spans="1:10" s="23" customFormat="1" ht="33.75" x14ac:dyDescent="0.25">
      <c r="A357" s="43">
        <v>355</v>
      </c>
      <c r="B357" s="43">
        <f>VLOOKUP(C357,CHOOSE({2,1},Prefix!B$2:B$256,Prefix!C$2:C$256),2,FALSE)</f>
        <v>100663609</v>
      </c>
      <c r="C357" s="43" t="s">
        <v>1011</v>
      </c>
      <c r="D357" s="43" t="s">
        <v>965</v>
      </c>
      <c r="E357" s="43" t="str">
        <f>VLOOKUP(F357,CHOOSE({2,1},Attributes!B$3:B$130,Attributes!C$3:C$129),2,FALSE)</f>
        <v>DungeonSiegeDamageAttributeSet</v>
      </c>
      <c r="F357" s="43" t="str">
        <f>Attributes!C24</f>
        <v>PercentPiercingDamageReduction</v>
      </c>
      <c r="G357" s="43" t="str">
        <f t="shared" si="15"/>
        <v>(AttributeName="PercentPiercingDamageReduction",Attribute=/Script/DSAbilitySystem.DungeonSiegeDamageAttributeSet:PercentPiercingDamageReduction,AttributeOwner=Class'"/Script/DSAbilitySystem.DungeonSiegeDamageAttributeSet"')</v>
      </c>
      <c r="H357" s="43">
        <v>4</v>
      </c>
      <c r="I357" s="43" t="str">
        <f t="shared" si="16"/>
        <v>GE_Prefix_Bold</v>
      </c>
      <c r="J357" s="43" t="str">
        <f t="shared" si="17"/>
        <v>/Game/DungeonSiege/Blueprints/GameplayAbilities/Affixes/GE_Prefix_Bold</v>
      </c>
    </row>
    <row r="358" spans="1:10" ht="33.75" x14ac:dyDescent="0.25">
      <c r="A358" s="43">
        <v>356</v>
      </c>
      <c r="B358" s="43">
        <f>VLOOKUP(C358,CHOOSE({2,1},Prefix!B$2:B$256,Prefix!C$2:C$256),2,FALSE)</f>
        <v>100663609</v>
      </c>
      <c r="C358" s="43" t="s">
        <v>1011</v>
      </c>
      <c r="D358" s="43" t="s">
        <v>824</v>
      </c>
      <c r="E358" s="43" t="str">
        <f>VLOOKUP(F358,CHOOSE({2,1},Attributes!B$3:B$130,Attributes!C$3:C$129),2,FALSE)</f>
        <v>DungeonSiegeDamageAttributeSet</v>
      </c>
      <c r="F358" s="43" t="str">
        <f>Attributes!C30</f>
        <v>ChanceToDodgeRangeAttack</v>
      </c>
      <c r="G358" s="43" t="str">
        <f t="shared" si="15"/>
        <v>(AttributeName="ChanceToDodgeRangeAttack",Attribute=/Script/DSAbilitySystem.DungeonSiegeDamageAttributeSet:ChanceToDodgeRangeAttack,AttributeOwner=Class'"/Script/DSAbilitySystem.DungeonSiegeDamageAttributeSet"')</v>
      </c>
      <c r="H358" s="43">
        <v>5</v>
      </c>
      <c r="I358" s="43" t="str">
        <f t="shared" si="16"/>
        <v>GE_Prefix_Bold</v>
      </c>
      <c r="J358" s="43" t="str">
        <f t="shared" si="17"/>
        <v>/Game/DungeonSiege/Blueprints/GameplayAbilities/Affixes/GE_Prefix_Bold</v>
      </c>
    </row>
    <row r="359" spans="1:10" s="23" customFormat="1" ht="33.75" x14ac:dyDescent="0.25">
      <c r="A359" s="43">
        <v>357</v>
      </c>
      <c r="B359" s="43">
        <f>VLOOKUP(C359,CHOOSE({2,1},Prefix!B$2:B$256,Prefix!C$2:C$256),2,FALSE)</f>
        <v>100663616</v>
      </c>
      <c r="C359" s="43" t="s">
        <v>1013</v>
      </c>
      <c r="D359" s="43" t="s">
        <v>230</v>
      </c>
      <c r="E359" s="43" t="str">
        <f>VLOOKUP(F359,CHOOSE({2,1},Attributes!B$3:B$130,Attributes!C$3:C$129),2,FALSE)</f>
        <v>DungeonSiegeMagicAttributeSet</v>
      </c>
      <c r="F359" s="43" t="str">
        <f>Attributes!C43</f>
        <v>PercentMagicDamageReduction</v>
      </c>
      <c r="G359" s="43" t="str">
        <f t="shared" si="15"/>
        <v>(AttributeName="PercentMagicDamageReduction",Attribute=/Script/DSAbilitySystem.DungeonSiegeMagicAttributeSet:PercentMagicDamageReduction,AttributeOwner=Class'"/Script/DSAbilitySystem.DungeonSiegeMagicAttributeSet"')</v>
      </c>
      <c r="H359" s="43">
        <v>5</v>
      </c>
      <c r="I359" s="43" t="str">
        <f t="shared" si="16"/>
        <v>GE_Prefix_Clandestine</v>
      </c>
      <c r="J359" s="43" t="str">
        <f t="shared" si="17"/>
        <v>/Game/DungeonSiege/Blueprints/GameplayAbilities/Affixes/GE_Prefix_Clandestine</v>
      </c>
    </row>
    <row r="360" spans="1:10" s="23" customFormat="1" ht="33.75" x14ac:dyDescent="0.25">
      <c r="A360" s="43">
        <v>358</v>
      </c>
      <c r="B360" s="43">
        <f>VLOOKUP(C360,CHOOSE({2,1},Prefix!B$2:B$256,Prefix!C$2:C$256),2,FALSE)</f>
        <v>100663616</v>
      </c>
      <c r="C360" s="43" t="s">
        <v>1013</v>
      </c>
      <c r="D360" s="43" t="s">
        <v>746</v>
      </c>
      <c r="E360" s="43" t="str">
        <f>VLOOKUP(F360,CHOOSE({2,1},Attributes!B$3:B$130,Attributes!C$3:C$129),2,FALSE)</f>
        <v>DungeonSiegeDamageAttributeSet</v>
      </c>
      <c r="F360" s="43" t="str">
        <f>Attributes!C32</f>
        <v>ChanceToBlockMeleeAttack</v>
      </c>
      <c r="G360" s="43" t="str">
        <f t="shared" si="15"/>
        <v>(AttributeName="ChanceToBlockMeleeAttack",Attribute=/Script/DSAbilitySystem.DungeonSiegeDamageAttributeSet:ChanceToBlockMeleeAttack,AttributeOwner=Class'"/Script/DSAbilitySystem.DungeonSiegeDamageAttributeSet"')</v>
      </c>
      <c r="H360" s="43">
        <v>2</v>
      </c>
      <c r="I360" s="43" t="str">
        <f t="shared" si="16"/>
        <v>GE_Prefix_Clandestine</v>
      </c>
      <c r="J360" s="43" t="str">
        <f t="shared" si="17"/>
        <v>/Game/DungeonSiege/Blueprints/GameplayAbilities/Affixes/GE_Prefix_Clandestine</v>
      </c>
    </row>
    <row r="361" spans="1:10" ht="33.75" x14ac:dyDescent="0.25">
      <c r="A361" s="43">
        <v>359</v>
      </c>
      <c r="B361" s="43">
        <f>VLOOKUP(C361,CHOOSE({2,1},Prefix!B$2:B$256,Prefix!C$2:C$256),2,FALSE)</f>
        <v>100663616</v>
      </c>
      <c r="C361" s="43" t="s">
        <v>1013</v>
      </c>
      <c r="D361" s="43" t="s">
        <v>824</v>
      </c>
      <c r="E361" s="43" t="str">
        <f>VLOOKUP(F361,CHOOSE({2,1},Attributes!B$3:B$130,Attributes!C$3:C$129),2,FALSE)</f>
        <v>DungeonSiegeDamageAttributeSet</v>
      </c>
      <c r="F361" s="43" t="str">
        <f>Attributes!C30</f>
        <v>ChanceToDodgeRangeAttack</v>
      </c>
      <c r="G361" s="43" t="str">
        <f t="shared" si="15"/>
        <v>(AttributeName="ChanceToDodgeRangeAttack",Attribute=/Script/DSAbilitySystem.DungeonSiegeDamageAttributeSet:ChanceToDodgeRangeAttack,AttributeOwner=Class'"/Script/DSAbilitySystem.DungeonSiegeDamageAttributeSet"')</v>
      </c>
      <c r="H361" s="43">
        <v>5</v>
      </c>
      <c r="I361" s="43" t="str">
        <f t="shared" si="16"/>
        <v>GE_Prefix_Clandestine</v>
      </c>
      <c r="J361" s="43" t="str">
        <f t="shared" si="17"/>
        <v>/Game/DungeonSiege/Blueprints/GameplayAbilities/Affixes/GE_Prefix_Clandestine</v>
      </c>
    </row>
    <row r="362" spans="1:10" s="23" customFormat="1" ht="33.75" x14ac:dyDescent="0.25">
      <c r="A362" s="43">
        <v>360</v>
      </c>
      <c r="B362" s="43">
        <f>VLOOKUP(C362,CHOOSE({2,1},Prefix!B$2:B$256,Prefix!C$2:C$256),2,FALSE)</f>
        <v>100663617</v>
      </c>
      <c r="C362" s="43" t="s">
        <v>1015</v>
      </c>
      <c r="D362" s="43" t="s">
        <v>712</v>
      </c>
      <c r="E362" s="43" t="str">
        <f>VLOOKUP(F362,CHOOSE({2,1},Attributes!B$3:B$130,Attributes!C$3:C$129),2,FALSE)</f>
        <v>DungeonSiegeExperienceAttributeSet</v>
      </c>
      <c r="F362" s="43" t="str">
        <f>Attributes!C9</f>
        <v>Melee</v>
      </c>
      <c r="G362" s="43" t="str">
        <f t="shared" si="15"/>
        <v>(AttributeName="Melee",Attribute=/Script/DSAbilitySystem.DungeonSiegeExperienceAttributeSet:Melee,AttributeOwner=Class'"/Script/DSAbilitySystem.DungeonSiegeExperienceAttributeSet"')</v>
      </c>
      <c r="H362" s="43">
        <v>2</v>
      </c>
      <c r="I362" s="43" t="str">
        <f t="shared" si="16"/>
        <v>GE_Prefix_Anticipated</v>
      </c>
      <c r="J362" s="43" t="str">
        <f t="shared" si="17"/>
        <v>/Game/DungeonSiege/Blueprints/GameplayAbilities/Affixes/GE_Prefix_Anticipated</v>
      </c>
    </row>
    <row r="363" spans="1:10" s="23" customFormat="1" ht="33.75" x14ac:dyDescent="0.25">
      <c r="A363" s="43">
        <v>361</v>
      </c>
      <c r="B363" s="43">
        <f>VLOOKUP(C363,CHOOSE({2,1},Prefix!B$2:B$256,Prefix!C$2:C$256),2,FALSE)</f>
        <v>100663617</v>
      </c>
      <c r="C363" s="43" t="s">
        <v>1015</v>
      </c>
      <c r="D363" s="43" t="s">
        <v>846</v>
      </c>
      <c r="E363" s="43" t="str">
        <f>VLOOKUP(F363,CHOOSE({2,1},Attributes!B$3:B$130,Attributes!C$3:C$129),2,FALSE)</f>
        <v>DungeonSiegeDamageAttributeSet</v>
      </c>
      <c r="F363" s="43" t="str">
        <f>Attributes!C24</f>
        <v>PercentPiercingDamageReduction</v>
      </c>
      <c r="G363" s="43" t="str">
        <f t="shared" si="15"/>
        <v>(AttributeName="PercentPiercingDamageReduction",Attribute=/Script/DSAbilitySystem.DungeonSiegeDamageAttributeSet:PercentPiercingDamageReduction,AttributeOwner=Class'"/Script/DSAbilitySystem.DungeonSiegeDamageAttributeSet"')</v>
      </c>
      <c r="H363" s="43">
        <v>9</v>
      </c>
      <c r="I363" s="43" t="str">
        <f t="shared" si="16"/>
        <v>GE_Prefix_Anticipated</v>
      </c>
      <c r="J363" s="43" t="str">
        <f t="shared" si="17"/>
        <v>/Game/DungeonSiege/Blueprints/GameplayAbilities/Affixes/GE_Prefix_Anticipated</v>
      </c>
    </row>
    <row r="364" spans="1:10" ht="33.75" x14ac:dyDescent="0.25">
      <c r="A364" s="43">
        <v>362</v>
      </c>
      <c r="B364" s="43">
        <f>VLOOKUP(C364,CHOOSE({2,1},Prefix!B$2:B$256,Prefix!C$2:C$256),2,FALSE)</f>
        <v>100663617</v>
      </c>
      <c r="C364" s="43" t="s">
        <v>1015</v>
      </c>
      <c r="D364" s="43" t="s">
        <v>867</v>
      </c>
      <c r="E364" s="43" t="str">
        <f>VLOOKUP(F364,CHOOSE({2,1},Attributes!B$3:B$130,Attributes!C$3:C$129),2,FALSE)</f>
        <v>DungeonSiegeDamageAttributeSet</v>
      </c>
      <c r="F364" s="43" t="str">
        <f>Attributes!C27</f>
        <v>PercentRangedDamageReduction</v>
      </c>
      <c r="G364" s="43" t="str">
        <f t="shared" si="15"/>
        <v>(AttributeName="PercentRangedDamageReduction",Attribute=/Script/DSAbilitySystem.DungeonSiegeDamageAttributeSet:PercentRangedDamageReduction,AttributeOwner=Class'"/Script/DSAbilitySystem.DungeonSiegeDamageAttributeSet"')</v>
      </c>
      <c r="H364" s="43">
        <v>3</v>
      </c>
      <c r="I364" s="43" t="str">
        <f t="shared" si="16"/>
        <v>GE_Prefix_Anticipated</v>
      </c>
      <c r="J364" s="43" t="str">
        <f t="shared" si="17"/>
        <v>/Game/DungeonSiege/Blueprints/GameplayAbilities/Affixes/GE_Prefix_Anticipated</v>
      </c>
    </row>
    <row r="365" spans="1:10" s="23" customFormat="1" ht="33.75" x14ac:dyDescent="0.25">
      <c r="A365" s="43">
        <v>363</v>
      </c>
      <c r="B365" s="43">
        <f>VLOOKUP(C365,CHOOSE({2,1},Prefix!B$2:B$256,Prefix!C$2:C$256),2,FALSE)</f>
        <v>100663618</v>
      </c>
      <c r="C365" s="43" t="s">
        <v>1017</v>
      </c>
      <c r="D365" s="43" t="s">
        <v>788</v>
      </c>
      <c r="E365" s="43" t="str">
        <f>VLOOKUP(F365,CHOOSE({2,1},Attributes!B$3:B$130,Attributes!C$3:C$129),2,FALSE)</f>
        <v>DungeonSiegeExperienceAttributeSet</v>
      </c>
      <c r="F365" s="43" t="str">
        <f>Attributes!C8</f>
        <v>Ranged</v>
      </c>
      <c r="G365" s="43" t="str">
        <f t="shared" si="15"/>
        <v>(AttributeName="Ranged",Attribute=/Script/DSAbilitySystem.DungeonSiegeExperienceAttributeSet:Ranged,AttributeOwner=Class'"/Script/DSAbilitySystem.DungeonSiegeExperienceAttributeSet"')</v>
      </c>
      <c r="H365" s="43">
        <v>2</v>
      </c>
      <c r="I365" s="43" t="str">
        <f t="shared" si="16"/>
        <v>GE_Prefix_Obedient</v>
      </c>
      <c r="J365" s="43" t="str">
        <f t="shared" si="17"/>
        <v>/Game/DungeonSiege/Blueprints/GameplayAbilities/Affixes/GE_Prefix_Obedient</v>
      </c>
    </row>
    <row r="366" spans="1:10" s="23" customFormat="1" ht="33.75" x14ac:dyDescent="0.25">
      <c r="A366" s="43">
        <v>364</v>
      </c>
      <c r="B366" s="43">
        <f>VLOOKUP(C366,CHOOSE({2,1},Prefix!B$2:B$256,Prefix!C$2:C$256),2,FALSE)</f>
        <v>100663618</v>
      </c>
      <c r="C366" s="43" t="s">
        <v>1017</v>
      </c>
      <c r="D366" s="43" t="s">
        <v>233</v>
      </c>
      <c r="E366" s="43" t="str">
        <f>VLOOKUP(F366,CHOOSE({2,1},Attributes!B$3:B$130,Attributes!C$3:C$129),2,FALSE)</f>
        <v>DungeonSiegeDefenseAttributeSet</v>
      </c>
      <c r="F366" s="43" t="str">
        <f>Attributes!C10</f>
        <v>ArmorRating</v>
      </c>
      <c r="G366" s="43" t="str">
        <f t="shared" si="15"/>
        <v>(AttributeName="ArmorRating",Attribute=/Script/DSAbilitySystem.DungeonSiegeDefenseAttributeSet:ArmorRating,AttributeOwner=Class'"/Script/DSAbilitySystem.DungeonSiegeDefenseAttributeSet"')</v>
      </c>
      <c r="H366" s="43">
        <v>15</v>
      </c>
      <c r="I366" s="43" t="str">
        <f t="shared" si="16"/>
        <v>GE_Prefix_Obedient</v>
      </c>
      <c r="J366" s="43" t="str">
        <f t="shared" si="17"/>
        <v>/Game/DungeonSiege/Blueprints/GameplayAbilities/Affixes/GE_Prefix_Obedient</v>
      </c>
    </row>
    <row r="367" spans="1:10" ht="33.75" x14ac:dyDescent="0.25">
      <c r="A367" s="43">
        <v>365</v>
      </c>
      <c r="B367" s="43">
        <f>VLOOKUP(C367,CHOOSE({2,1},Prefix!B$2:B$256,Prefix!C$2:C$256),2,FALSE)</f>
        <v>100663618</v>
      </c>
      <c r="C367" s="43" t="s">
        <v>1017</v>
      </c>
      <c r="D367" s="43" t="s">
        <v>827</v>
      </c>
      <c r="E367" s="43" t="str">
        <f>VLOOKUP(F367,CHOOSE({2,1},Attributes!B$3:B$130,Attributes!C$3:C$129),2,FALSE)</f>
        <v>DungeonSiegeDamageAttributeSet</v>
      </c>
      <c r="F367" s="43" t="str">
        <f>Attributes!C31</f>
        <v>PercentMeleeDamageReduction</v>
      </c>
      <c r="G367" s="43" t="str">
        <f t="shared" si="15"/>
        <v>(AttributeName="PercentMeleeDamageReduction",Attribute=/Script/DSAbilitySystem.DungeonSiegeDamageAttributeSet:PercentMeleeDamageReduction,AttributeOwner=Class'"/Script/DSAbilitySystem.DungeonSiegeDamageAttributeSet"')</v>
      </c>
      <c r="H367" s="43">
        <v>10</v>
      </c>
      <c r="I367" s="43" t="str">
        <f t="shared" si="16"/>
        <v>GE_Prefix_Obedient</v>
      </c>
      <c r="J367" s="43" t="str">
        <f t="shared" si="17"/>
        <v>/Game/DungeonSiege/Blueprints/GameplayAbilities/Affixes/GE_Prefix_Obedient</v>
      </c>
    </row>
    <row r="368" spans="1:10" s="23" customFormat="1" ht="33.75" x14ac:dyDescent="0.25">
      <c r="A368" s="43">
        <v>366</v>
      </c>
      <c r="B368" s="43">
        <f>VLOOKUP(C368,CHOOSE({2,1},Prefix!B$2:B$256,Prefix!C$2:C$256),2,FALSE)</f>
        <v>100663619</v>
      </c>
      <c r="C368" s="43" t="s">
        <v>1019</v>
      </c>
      <c r="D368" s="43" t="s">
        <v>737</v>
      </c>
      <c r="E368" s="43" t="str">
        <f>VLOOKUP(F368,CHOOSE({2,1},Attributes!B$3:B$130,Attributes!C$3:C$129),2,FALSE)</f>
        <v>DungeonSiegePerHitAttributeSet</v>
      </c>
      <c r="F368" s="43" t="str">
        <f>Attributes!C13</f>
        <v>HealthStealPerHit</v>
      </c>
      <c r="G368" s="43" t="str">
        <f t="shared" si="15"/>
        <v>(AttributeName="HealthStealPerHit",Attribute=/Script/DSAbilitySystem.DungeonSiegePerHitAttributeSet:HealthStealPerHit,AttributeOwner=Class'"/Script/DSAbilitySystem.DungeonSiegePerHitAttributeSet"')</v>
      </c>
      <c r="H368" s="43">
        <v>2</v>
      </c>
      <c r="I368" s="43" t="str">
        <f t="shared" si="16"/>
        <v>GE_Prefix_Renowned</v>
      </c>
      <c r="J368" s="43" t="str">
        <f t="shared" si="17"/>
        <v>/Game/DungeonSiege/Blueprints/GameplayAbilities/Affixes/GE_Prefix_Renowned</v>
      </c>
    </row>
    <row r="369" spans="1:10" s="23" customFormat="1" ht="33.75" x14ac:dyDescent="0.25">
      <c r="A369" s="43">
        <v>367</v>
      </c>
      <c r="B369" s="43">
        <f>VLOOKUP(C369,CHOOSE({2,1},Prefix!B$2:B$256,Prefix!C$2:C$256),2,FALSE)</f>
        <v>100663619</v>
      </c>
      <c r="C369" s="43" t="s">
        <v>1019</v>
      </c>
      <c r="D369" s="43" t="s">
        <v>3151</v>
      </c>
      <c r="E369" s="43" t="str">
        <f>VLOOKUP(F369,CHOOSE({2,1},Attributes!B$3:B$130,Attributes!C$3:C$129),2,FALSE)</f>
        <v>DungeonSiegeDamageAttributeSet</v>
      </c>
      <c r="F369" s="43" t="str">
        <f>Attributes!C33</f>
        <v>MeleeHitChance</v>
      </c>
      <c r="G369" s="43" t="str">
        <f t="shared" si="15"/>
        <v>(AttributeName="MeleeHitChance",Attribute=/Script/DSAbilitySystem.DungeonSiegeDamageAttributeSet:MeleeHitChance,AttributeOwner=Class'"/Script/DSAbilitySystem.DungeonSiegeDamageAttributeSet"')</v>
      </c>
      <c r="H369" s="43">
        <v>3</v>
      </c>
      <c r="I369" s="43" t="str">
        <f t="shared" si="16"/>
        <v>GE_Prefix_Renowned</v>
      </c>
      <c r="J369" s="43" t="str">
        <f t="shared" si="17"/>
        <v>/Game/DungeonSiege/Blueprints/GameplayAbilities/Affixes/GE_Prefix_Renowned</v>
      </c>
    </row>
    <row r="370" spans="1:10" s="23" customFormat="1" ht="45" x14ac:dyDescent="0.25">
      <c r="A370" s="43">
        <v>368</v>
      </c>
      <c r="B370" s="43">
        <f>VLOOKUP(C370,CHOOSE({2,1},Prefix!B$2:B$256,Prefix!C$2:C$256),2,FALSE)</f>
        <v>100663619</v>
      </c>
      <c r="C370" s="43" t="s">
        <v>1019</v>
      </c>
      <c r="D370" s="43" t="s">
        <v>715</v>
      </c>
      <c r="E370" s="43" t="str">
        <f>VLOOKUP(F370,CHOOSE({2,1},Attributes!B$3:B$130,Attributes!C$3:C$129),2,FALSE)</f>
        <v>DungeonSiegeDamageAttributeSet</v>
      </c>
      <c r="F370" s="43" t="str">
        <f>Attributes!C21</f>
        <v>PercentDamageReflectedToEnemy</v>
      </c>
      <c r="G370" s="43" t="str">
        <f t="shared" si="15"/>
        <v>(AttributeName="PercentDamageReflectedToEnemy",Attribute=/Script/DSAbilitySystem.DungeonSiegeDamageAttributeSet:PercentDamageReflectedToEnemy,AttributeOwner=Class'"/Script/DSAbilitySystem.DungeonSiegeDamageAttributeSet"')</v>
      </c>
      <c r="H370" s="43">
        <v>3</v>
      </c>
      <c r="I370" s="43" t="str">
        <f t="shared" si="16"/>
        <v>GE_Prefix_Renowned</v>
      </c>
      <c r="J370" s="43" t="str">
        <f t="shared" si="17"/>
        <v>/Game/DungeonSiege/Blueprints/GameplayAbilities/Affixes/GE_Prefix_Renowned</v>
      </c>
    </row>
    <row r="371" spans="1:10" s="23" customFormat="1" ht="33.75" x14ac:dyDescent="0.25">
      <c r="A371" s="43">
        <v>369</v>
      </c>
      <c r="B371" s="43">
        <f>VLOOKUP(C371,CHOOSE({2,1},Prefix!B$2:B$256,Prefix!C$2:C$256),2,FALSE)</f>
        <v>100663619</v>
      </c>
      <c r="C371" s="43" t="s">
        <v>1019</v>
      </c>
      <c r="D371" s="43" t="s">
        <v>1020</v>
      </c>
      <c r="E371" s="43" t="str">
        <f>VLOOKUP(F371,CHOOSE({2,1},Attributes!B$3:B$130,Attributes!C$3:C$129),2,FALSE)</f>
        <v>DungeonSiegeDamageAttributeSet</v>
      </c>
      <c r="F371" s="43" t="str">
        <f>Attributes!C19</f>
        <v>MinDamageMod</v>
      </c>
      <c r="G371" s="43" t="str">
        <f t="shared" si="15"/>
        <v>(AttributeName="MinDamageMod",Attribute=/Script/DSAbilitySystem.DungeonSiegeDamageAttributeSet:MinDamageMod,AttributeOwner=Class'"/Script/DSAbilitySystem.DungeonSiegeDamageAttributeSet"')</v>
      </c>
      <c r="H371" s="43">
        <v>2</v>
      </c>
      <c r="I371" s="43" t="str">
        <f t="shared" si="16"/>
        <v>GE_Prefix_Renowned</v>
      </c>
      <c r="J371" s="43" t="str">
        <f t="shared" si="17"/>
        <v>/Game/DungeonSiege/Blueprints/GameplayAbilities/Affixes/GE_Prefix_Renowned</v>
      </c>
    </row>
    <row r="372" spans="1:10" ht="33.75" x14ac:dyDescent="0.25">
      <c r="A372" s="43">
        <v>370</v>
      </c>
      <c r="B372" s="43">
        <f>VLOOKUP(C372,CHOOSE({2,1},Prefix!B$2:B$256,Prefix!C$2:C$256),2,FALSE)</f>
        <v>100663619</v>
      </c>
      <c r="C372" s="43" t="s">
        <v>1019</v>
      </c>
      <c r="D372" s="43" t="s">
        <v>1020</v>
      </c>
      <c r="E372" s="43" t="str">
        <f>VLOOKUP(F372,CHOOSE({2,1},Attributes!B$3:B$130,Attributes!C$3:C$129),2,FALSE)</f>
        <v>DungeonSiegeDamageAttributeSet</v>
      </c>
      <c r="F372" s="43" t="str">
        <f>Attributes!C20</f>
        <v>MaxDamageMod</v>
      </c>
      <c r="G372" s="43" t="str">
        <f t="shared" si="15"/>
        <v>(AttributeName="MaxDamageMod",Attribute=/Script/DSAbilitySystem.DungeonSiegeDamageAttributeSet:MaxDamageMod,AttributeOwner=Class'"/Script/DSAbilitySystem.DungeonSiegeDamageAttributeSet"')</v>
      </c>
      <c r="H372" s="43">
        <v>3</v>
      </c>
      <c r="I372" s="43" t="str">
        <f t="shared" si="16"/>
        <v>GE_Prefix_Renowned</v>
      </c>
      <c r="J372" s="43" t="str">
        <f t="shared" si="17"/>
        <v>/Game/DungeonSiege/Blueprints/GameplayAbilities/Affixes/GE_Prefix_Renowned</v>
      </c>
    </row>
    <row r="373" spans="1:10" ht="33.75" x14ac:dyDescent="0.25">
      <c r="A373" s="43">
        <v>371</v>
      </c>
      <c r="B373" s="43">
        <f>VLOOKUP(C373,CHOOSE({2,1},Prefix!B$2:B$256,Prefix!C$2:C$256),2,FALSE)</f>
        <v>100663620</v>
      </c>
      <c r="C373" s="43" t="s">
        <v>1022</v>
      </c>
      <c r="D373" s="43" t="s">
        <v>753</v>
      </c>
      <c r="E373" s="43" t="str">
        <f>VLOOKUP(F373,CHOOSE({2,1},Attributes!B$3:B$130,Attributes!C$3:C$129),2,FALSE)</f>
        <v>DungeonSiegeExperienceAttributeSet</v>
      </c>
      <c r="F373" s="43" t="str">
        <f>Attributes!C8</f>
        <v>Ranged</v>
      </c>
      <c r="G373" s="43" t="str">
        <f t="shared" si="15"/>
        <v>(AttributeName="Ranged",Attribute=/Script/DSAbilitySystem.DungeonSiegeExperienceAttributeSet:Ranged,AttributeOwner=Class'"/Script/DSAbilitySystem.DungeonSiegeExperienceAttributeSet"')</v>
      </c>
      <c r="H373" s="43">
        <v>4</v>
      </c>
      <c r="I373" s="43" t="str">
        <f t="shared" si="16"/>
        <v>GE_Prefix_Launching</v>
      </c>
      <c r="J373" s="43" t="str">
        <f t="shared" si="17"/>
        <v>/Game/DungeonSiege/Blueprints/GameplayAbilities/Affixes/GE_Prefix_Launching</v>
      </c>
    </row>
    <row r="374" spans="1:10" ht="33.75" x14ac:dyDescent="0.25">
      <c r="A374" s="43">
        <v>372</v>
      </c>
      <c r="B374" s="43">
        <f>VLOOKUP(C374,CHOOSE({2,1},Prefix!B$2:B$256,Prefix!C$2:C$256),2,FALSE)</f>
        <v>100663621</v>
      </c>
      <c r="C374" s="43" t="s">
        <v>1024</v>
      </c>
      <c r="D374" s="43" t="s">
        <v>266</v>
      </c>
      <c r="E374" s="43" t="str">
        <f>VLOOKUP(F374,CHOOSE({2,1},Attributes!B$3:B$130,Attributes!C$3:C$129),2,FALSE)</f>
        <v>DungeonSiegeExperienceAttributeSet</v>
      </c>
      <c r="F374" s="43" t="str">
        <f>Attributes!C6</f>
        <v>CombatMagic</v>
      </c>
      <c r="G374" s="43" t="str">
        <f t="shared" si="15"/>
        <v>(AttributeName="CombatMagic",Attribute=/Script/DSAbilitySystem.DungeonSiegeExperienceAttributeSet:CombatMagic,AttributeOwner=Class'"/Script/DSAbilitySystem.DungeonSiegeExperienceAttributeSet"')</v>
      </c>
      <c r="H374" s="43">
        <v>3</v>
      </c>
      <c r="I374" s="43" t="str">
        <f t="shared" si="16"/>
        <v>GE_Prefix_Brawling</v>
      </c>
      <c r="J374" s="43" t="str">
        <f t="shared" si="17"/>
        <v>/Game/DungeonSiege/Blueprints/GameplayAbilities/Affixes/GE_Prefix_Brawling</v>
      </c>
    </row>
    <row r="375" spans="1:10" ht="33.75" x14ac:dyDescent="0.25">
      <c r="A375" s="43">
        <v>373</v>
      </c>
      <c r="B375" s="43">
        <f>VLOOKUP(C375,CHOOSE({2,1},Prefix!B$2:B$256,Prefix!C$2:C$256),2,FALSE)</f>
        <v>100663622</v>
      </c>
      <c r="C375" s="43" t="s">
        <v>1026</v>
      </c>
      <c r="D375" s="43" t="s">
        <v>714</v>
      </c>
      <c r="E375" s="43" t="str">
        <f>VLOOKUP(F375,CHOOSE({2,1},Attributes!B$3:B$130,Attributes!C$3:C$129),2,FALSE)</f>
        <v>DungeonSiegeDamageAttributeSet</v>
      </c>
      <c r="F375" s="43" t="str">
        <f>Attributes!C27</f>
        <v>PercentRangedDamageReduction</v>
      </c>
      <c r="G375" s="43" t="str">
        <f t="shared" si="15"/>
        <v>(AttributeName="PercentRangedDamageReduction",Attribute=/Script/DSAbilitySystem.DungeonSiegeDamageAttributeSet:PercentRangedDamageReduction,AttributeOwner=Class'"/Script/DSAbilitySystem.DungeonSiegeDamageAttributeSet"')</v>
      </c>
      <c r="H375" s="43">
        <v>12</v>
      </c>
      <c r="I375" s="43" t="str">
        <f t="shared" si="16"/>
        <v>GE_Prefix_Thwarting</v>
      </c>
      <c r="J375" s="43" t="str">
        <f t="shared" si="17"/>
        <v>/Game/DungeonSiege/Blueprints/GameplayAbilities/Affixes/GE_Prefix_Thwarting</v>
      </c>
    </row>
    <row r="376" spans="1:10" ht="33.75" x14ac:dyDescent="0.25">
      <c r="A376" s="43">
        <v>374</v>
      </c>
      <c r="B376" s="43">
        <f>VLOOKUP(C376,CHOOSE({2,1},Prefix!B$2:B$256,Prefix!C$2:C$256),2,FALSE)</f>
        <v>100663623</v>
      </c>
      <c r="C376" s="43" t="s">
        <v>1028</v>
      </c>
      <c r="D376" s="43" t="s">
        <v>940</v>
      </c>
      <c r="E376" s="43" t="str">
        <f>VLOOKUP(F376,CHOOSE({2,1},Attributes!B$3:B$130,Attributes!C$3:C$129),2,FALSE)</f>
        <v>DungeonSiegeDamageAttributeSet</v>
      </c>
      <c r="F376" s="43" t="str">
        <f>Attributes!C34</f>
        <v>ChanceToDodgeMeleeAttack</v>
      </c>
      <c r="G376" s="43" t="str">
        <f t="shared" si="15"/>
        <v>(AttributeName="ChanceToDodgeMeleeAttack",Attribute=/Script/DSAbilitySystem.DungeonSiegeDamageAttributeSet:ChanceToDodgeMeleeAttack,AttributeOwner=Class'"/Script/DSAbilitySystem.DungeonSiegeDamageAttributeSet"')</v>
      </c>
      <c r="H376" s="43">
        <v>10</v>
      </c>
      <c r="I376" s="43" t="str">
        <f t="shared" si="16"/>
        <v>GE_Prefix_Darting</v>
      </c>
      <c r="J376" s="43" t="str">
        <f t="shared" si="17"/>
        <v>/Game/DungeonSiege/Blueprints/GameplayAbilities/Affixes/GE_Prefix_Darting</v>
      </c>
    </row>
    <row r="377" spans="1:10" ht="33.75" x14ac:dyDescent="0.25">
      <c r="A377" s="43">
        <v>375</v>
      </c>
      <c r="B377" s="43">
        <f>VLOOKUP(C377,CHOOSE({2,1},Prefix!B$2:B$256,Prefix!C$2:C$256),2,FALSE)</f>
        <v>100663624</v>
      </c>
      <c r="C377" s="43" t="s">
        <v>1030</v>
      </c>
      <c r="D377" s="43" t="s">
        <v>849</v>
      </c>
      <c r="E377" s="43" t="str">
        <f>VLOOKUP(F377,CHOOSE({2,1},Attributes!B$3:B$130,Attributes!C$3:C$129),2,FALSE)</f>
        <v>DungeonSiegeDamageAttributeSet</v>
      </c>
      <c r="F377" s="43" t="str">
        <f>Attributes!C30</f>
        <v>ChanceToDodgeRangeAttack</v>
      </c>
      <c r="G377" s="43" t="str">
        <f t="shared" si="15"/>
        <v>(AttributeName="ChanceToDodgeRangeAttack",Attribute=/Script/DSAbilitySystem.DungeonSiegeDamageAttributeSet:ChanceToDodgeRangeAttack,AttributeOwner=Class'"/Script/DSAbilitySystem.DungeonSiegeDamageAttributeSet"')</v>
      </c>
      <c r="H377" s="43">
        <v>10</v>
      </c>
      <c r="I377" s="43" t="str">
        <f t="shared" si="16"/>
        <v>GE_Prefix_Retreating</v>
      </c>
      <c r="J377" s="43" t="str">
        <f t="shared" si="17"/>
        <v>/Game/DungeonSiege/Blueprints/GameplayAbilities/Affixes/GE_Prefix_Retreating</v>
      </c>
    </row>
    <row r="378" spans="1:10" s="23" customFormat="1" ht="33.75" x14ac:dyDescent="0.25">
      <c r="A378" s="43">
        <v>376</v>
      </c>
      <c r="B378" s="43">
        <f>VLOOKUP(C378,CHOOSE({2,1},Prefix!B$2:B$256,Prefix!C$2:C$256),2,FALSE)</f>
        <v>100663625</v>
      </c>
      <c r="C378" s="43" t="s">
        <v>1032</v>
      </c>
      <c r="D378" s="43" t="s">
        <v>3189</v>
      </c>
      <c r="E378" s="43" t="str">
        <f>VLOOKUP(F378,CHOOSE({2,1},Attributes!B$3:B$130,Attributes!C$3:C$129),2,FALSE)</f>
        <v>DungeonSiegeExperienceAttributeSet</v>
      </c>
      <c r="F378" s="43" t="str">
        <f>Attributes!C8</f>
        <v>Ranged</v>
      </c>
      <c r="G378" s="43" t="str">
        <f t="shared" si="15"/>
        <v>(AttributeName="Ranged",Attribute=/Script/DSAbilitySystem.DungeonSiegeExperienceAttributeSet:Ranged,AttributeOwner=Class'"/Script/DSAbilitySystem.DungeonSiegeExperienceAttributeSet"')</v>
      </c>
      <c r="H378" s="43">
        <v>-3</v>
      </c>
      <c r="I378" s="43" t="str">
        <f t="shared" si="16"/>
        <v>GE_Prefix_Grounded</v>
      </c>
      <c r="J378" s="43" t="str">
        <f t="shared" si="17"/>
        <v>/Game/DungeonSiege/Blueprints/GameplayAbilities/Affixes/GE_Prefix_Grounded</v>
      </c>
    </row>
    <row r="379" spans="1:10" ht="33.75" x14ac:dyDescent="0.25">
      <c r="A379" s="43">
        <v>377</v>
      </c>
      <c r="B379" s="43">
        <f>VLOOKUP(C379,CHOOSE({2,1},Prefix!B$2:B$256,Prefix!C$2:C$256),2,FALSE)</f>
        <v>100663625</v>
      </c>
      <c r="C379" s="43" t="s">
        <v>1032</v>
      </c>
      <c r="D379" s="43" t="s">
        <v>827</v>
      </c>
      <c r="E379" s="43" t="str">
        <f>VLOOKUP(F379,CHOOSE({2,1},Attributes!B$3:B$130,Attributes!C$3:C$129),2,FALSE)</f>
        <v>DungeonSiegeDamageAttributeSet</v>
      </c>
      <c r="F379" s="43" t="str">
        <f>Attributes!C31</f>
        <v>PercentMeleeDamageReduction</v>
      </c>
      <c r="G379" s="43" t="str">
        <f t="shared" si="15"/>
        <v>(AttributeName="PercentMeleeDamageReduction",Attribute=/Script/DSAbilitySystem.DungeonSiegeDamageAttributeSet:PercentMeleeDamageReduction,AttributeOwner=Class'"/Script/DSAbilitySystem.DungeonSiegeDamageAttributeSet"')</v>
      </c>
      <c r="H379" s="43">
        <v>10</v>
      </c>
      <c r="I379" s="43" t="str">
        <f t="shared" si="16"/>
        <v>GE_Prefix_Grounded</v>
      </c>
      <c r="J379" s="43" t="str">
        <f t="shared" si="17"/>
        <v>/Game/DungeonSiege/Blueprints/GameplayAbilities/Affixes/GE_Prefix_Grounded</v>
      </c>
    </row>
    <row r="380" spans="1:10" s="23" customFormat="1" ht="33.75" x14ac:dyDescent="0.25">
      <c r="A380" s="43">
        <v>378</v>
      </c>
      <c r="B380" s="43">
        <f>VLOOKUP(C380,CHOOSE({2,1},Prefix!B$2:B$256,Prefix!C$2:C$256),2,FALSE)</f>
        <v>100663632</v>
      </c>
      <c r="C380" s="43" t="s">
        <v>1034</v>
      </c>
      <c r="D380" s="43" t="s">
        <v>54</v>
      </c>
      <c r="E380" s="43" t="str">
        <f>VLOOKUP(F380,CHOOSE({2,1},Attributes!B$3:B$130,Attributes!C$3:C$129),2,FALSE)</f>
        <v>DungeonSiegeExperienceAttributeSet</v>
      </c>
      <c r="F380" s="43" t="str">
        <f>Attributes!C4</f>
        <v>Dexterity</v>
      </c>
      <c r="G380" s="43" t="str">
        <f t="shared" si="15"/>
        <v>(AttributeName="Dexterity",Attribute=/Script/DSAbilitySystem.DungeonSiegeExperienceAttributeSet:Dexterity,AttributeOwner=Class'"/Script/DSAbilitySystem.DungeonSiegeExperienceAttributeSet"')</v>
      </c>
      <c r="H380" s="43">
        <v>1</v>
      </c>
      <c r="I380" s="43" t="str">
        <f t="shared" si="16"/>
        <v>GE_Prefix_Dashing</v>
      </c>
      <c r="J380" s="43" t="str">
        <f t="shared" si="17"/>
        <v>/Game/DungeonSiege/Blueprints/GameplayAbilities/Affixes/GE_Prefix_Dashing</v>
      </c>
    </row>
    <row r="381" spans="1:10" s="23" customFormat="1" ht="33.75" x14ac:dyDescent="0.25">
      <c r="A381" s="43">
        <v>379</v>
      </c>
      <c r="B381" s="43">
        <f>VLOOKUP(C381,CHOOSE({2,1},Prefix!B$2:B$256,Prefix!C$2:C$256),2,FALSE)</f>
        <v>100663632</v>
      </c>
      <c r="C381" s="43" t="s">
        <v>1034</v>
      </c>
      <c r="D381" s="43" t="s">
        <v>934</v>
      </c>
      <c r="E381" s="43" t="str">
        <f>VLOOKUP(F381,CHOOSE({2,1},Attributes!B$3:B$130,Attributes!C$3:C$129),2,FALSE)</f>
        <v>DungeonSiegePerHitAttributeSet</v>
      </c>
      <c r="F381" s="43" t="str">
        <f>Attributes!C11</f>
        <v>HealthPerHit</v>
      </c>
      <c r="G381" s="43" t="str">
        <f t="shared" si="15"/>
        <v>(AttributeName="HealthPerHit",Attribute=/Script/DSAbilitySystem.DungeonSiegePerHitAttributeSet:HealthPerHit,AttributeOwner=Class'"/Script/DSAbilitySystem.DungeonSiegePerHitAttributeSet"')</v>
      </c>
      <c r="H381" s="43">
        <v>1</v>
      </c>
      <c r="I381" s="43" t="str">
        <f t="shared" si="16"/>
        <v>GE_Prefix_Dashing</v>
      </c>
      <c r="J381" s="43" t="str">
        <f t="shared" si="17"/>
        <v>/Game/DungeonSiege/Blueprints/GameplayAbilities/Affixes/GE_Prefix_Dashing</v>
      </c>
    </row>
    <row r="382" spans="1:10" s="23" customFormat="1" ht="33.75" x14ac:dyDescent="0.25">
      <c r="A382" s="43">
        <v>380</v>
      </c>
      <c r="B382" s="43">
        <f>VLOOKUP(C382,CHOOSE({2,1},Prefix!B$2:B$256,Prefix!C$2:C$256),2,FALSE)</f>
        <v>100663632</v>
      </c>
      <c r="C382" s="43" t="s">
        <v>1034</v>
      </c>
      <c r="D382" s="43" t="s">
        <v>36</v>
      </c>
      <c r="E382" s="43" t="str">
        <f>VLOOKUP(F382,CHOOSE({2,1},Attributes!B$3:B$130,Attributes!C$3:C$129),2,FALSE)</f>
        <v>DungeonSiegeManaAttributeSet</v>
      </c>
      <c r="F382" s="43" t="str">
        <f>Attributes!C90</f>
        <v>BaseManaBonus</v>
      </c>
      <c r="G382" s="43" t="str">
        <f t="shared" si="15"/>
        <v>(AttributeName="BaseManaBonus",Attribute=/Script/DSAbilitySystem.DungeonSiegeManaAttributeSet:BaseManaBonus,AttributeOwner=Class'"/Script/DSAbilitySystem.DungeonSiegeManaAttributeSet"')</v>
      </c>
      <c r="H382" s="43">
        <v>20</v>
      </c>
      <c r="I382" s="43" t="str">
        <f t="shared" si="16"/>
        <v>GE_Prefix_Dashing</v>
      </c>
      <c r="J382" s="43" t="str">
        <f t="shared" si="17"/>
        <v>/Game/DungeonSiege/Blueprints/GameplayAbilities/Affixes/GE_Prefix_Dashing</v>
      </c>
    </row>
    <row r="383" spans="1:10" ht="33.75" x14ac:dyDescent="0.25">
      <c r="A383" s="43">
        <v>381</v>
      </c>
      <c r="B383" s="43">
        <f>VLOOKUP(C383,CHOOSE({2,1},Prefix!B$2:B$256,Prefix!C$2:C$256),2,FALSE)</f>
        <v>100663632</v>
      </c>
      <c r="C383" s="43" t="s">
        <v>1034</v>
      </c>
      <c r="D383" s="43" t="s">
        <v>804</v>
      </c>
      <c r="E383" s="43" t="str">
        <f>VLOOKUP(F383,CHOOSE({2,1},Attributes!B$3:B$130,Attributes!C$3:C$129),2,FALSE)</f>
        <v>DungeonSiegeDamageAttributeSet</v>
      </c>
      <c r="F383" s="43" t="str">
        <f>Attributes!C23</f>
        <v>ChanceToInflictPiercingHit</v>
      </c>
      <c r="G383" s="43" t="str">
        <f t="shared" si="15"/>
        <v>(AttributeName="ChanceToInflictPiercingHit",Attribute=/Script/DSAbilitySystem.DungeonSiegeDamageAttributeSet:ChanceToInflictPiercingHit,AttributeOwner=Class'"/Script/DSAbilitySystem.DungeonSiegeDamageAttributeSet"')</v>
      </c>
      <c r="H383" s="43">
        <v>4</v>
      </c>
      <c r="I383" s="43" t="str">
        <f t="shared" si="16"/>
        <v>GE_Prefix_Dashing</v>
      </c>
      <c r="J383" s="43" t="str">
        <f t="shared" si="17"/>
        <v>/Game/DungeonSiege/Blueprints/GameplayAbilities/Affixes/GE_Prefix_Dashing</v>
      </c>
    </row>
    <row r="384" spans="1:10" s="23" customFormat="1" ht="33.75" x14ac:dyDescent="0.25">
      <c r="A384" s="43">
        <v>382</v>
      </c>
      <c r="B384" s="43">
        <f>VLOOKUP(C384,CHOOSE({2,1},Prefix!B$2:B$256,Prefix!C$2:C$256),2,FALSE)</f>
        <v>100663633</v>
      </c>
      <c r="C384" s="43" t="s">
        <v>1036</v>
      </c>
      <c r="D384" s="43" t="s">
        <v>713</v>
      </c>
      <c r="E384" s="43" t="str">
        <f>VLOOKUP(F384,CHOOSE({2,1},Attributes!B$3:B$130,Attributes!C$3:C$129),2,FALSE)</f>
        <v>DungeonSiegeExperienceAttributeSet</v>
      </c>
      <c r="F384" s="43" t="str">
        <f>Attributes!C8</f>
        <v>Ranged</v>
      </c>
      <c r="G384" s="43" t="str">
        <f t="shared" si="15"/>
        <v>(AttributeName="Ranged",Attribute=/Script/DSAbilitySystem.DungeonSiegeExperienceAttributeSet:Ranged,AttributeOwner=Class'"/Script/DSAbilitySystem.DungeonSiegeExperienceAttributeSet"')</v>
      </c>
      <c r="H384" s="43">
        <v>1</v>
      </c>
      <c r="I384" s="43" t="str">
        <f t="shared" si="16"/>
        <v>GE_Prefix_Assured</v>
      </c>
      <c r="J384" s="43" t="str">
        <f t="shared" si="17"/>
        <v>/Game/DungeonSiege/Blueprints/GameplayAbilities/Affixes/GE_Prefix_Assured</v>
      </c>
    </row>
    <row r="385" spans="1:10" s="23" customFormat="1" ht="33.75" x14ac:dyDescent="0.25">
      <c r="A385" s="43">
        <v>383</v>
      </c>
      <c r="B385" s="43">
        <f>VLOOKUP(C385,CHOOSE({2,1},Prefix!B$2:B$256,Prefix!C$2:C$256),2,FALSE)</f>
        <v>100663633</v>
      </c>
      <c r="C385" s="43" t="s">
        <v>1036</v>
      </c>
      <c r="D385" s="43" t="s">
        <v>3181</v>
      </c>
      <c r="E385" s="43" t="str">
        <f>VLOOKUP(F385,CHOOSE({2,1},Attributes!B$3:B$130,Attributes!C$3:C$129),2,FALSE)</f>
        <v>DungeonSiegeMagicAttributeSet</v>
      </c>
      <c r="F385" s="43" t="str">
        <f>Attributes!C43</f>
        <v>PercentMagicDamageReduction</v>
      </c>
      <c r="G385" s="43" t="str">
        <f t="shared" si="15"/>
        <v>(AttributeName="PercentMagicDamageReduction",Attribute=/Script/DSAbilitySystem.DungeonSiegeMagicAttributeSet:PercentMagicDamageReduction,AttributeOwner=Class'"/Script/DSAbilitySystem.DungeonSiegeMagicAttributeSet"')</v>
      </c>
      <c r="H385" s="43">
        <v>7</v>
      </c>
      <c r="I385" s="43" t="str">
        <f t="shared" si="16"/>
        <v>GE_Prefix_Assured</v>
      </c>
      <c r="J385" s="43" t="str">
        <f t="shared" si="17"/>
        <v>/Game/DungeonSiege/Blueprints/GameplayAbilities/Affixes/GE_Prefix_Assured</v>
      </c>
    </row>
    <row r="386" spans="1:10" s="23" customFormat="1" ht="33.75" x14ac:dyDescent="0.25">
      <c r="A386" s="43">
        <v>384</v>
      </c>
      <c r="B386" s="43">
        <f>VLOOKUP(C386,CHOOSE({2,1},Prefix!B$2:B$256,Prefix!C$2:C$256),2,FALSE)</f>
        <v>100663633</v>
      </c>
      <c r="C386" s="43" t="s">
        <v>1036</v>
      </c>
      <c r="D386" s="43" t="s">
        <v>870</v>
      </c>
      <c r="E386" s="43" t="str">
        <f>VLOOKUP(F386,CHOOSE({2,1},Attributes!B$3:B$130,Attributes!C$3:C$129),2,FALSE)</f>
        <v>DungeonSiegeDamageAttributeSet</v>
      </c>
      <c r="F386" s="43" t="str">
        <f>Attributes!C32</f>
        <v>ChanceToBlockMeleeAttack</v>
      </c>
      <c r="G386" s="43" t="str">
        <f t="shared" si="15"/>
        <v>(AttributeName="ChanceToBlockMeleeAttack",Attribute=/Script/DSAbilitySystem.DungeonSiegeDamageAttributeSet:ChanceToBlockMeleeAttack,AttributeOwner=Class'"/Script/DSAbilitySystem.DungeonSiegeDamageAttributeSet"')</v>
      </c>
      <c r="H386" s="43">
        <v>5</v>
      </c>
      <c r="I386" s="43" t="str">
        <f t="shared" si="16"/>
        <v>GE_Prefix_Assured</v>
      </c>
      <c r="J386" s="43" t="str">
        <f t="shared" si="17"/>
        <v>/Game/DungeonSiege/Blueprints/GameplayAbilities/Affixes/GE_Prefix_Assured</v>
      </c>
    </row>
    <row r="387" spans="1:10" ht="33.75" x14ac:dyDescent="0.25">
      <c r="A387" s="43">
        <v>385</v>
      </c>
      <c r="B387" s="43">
        <f>VLOOKUP(C387,CHOOSE({2,1},Prefix!B$2:B$256,Prefix!C$2:C$256),2,FALSE)</f>
        <v>100663634</v>
      </c>
      <c r="C387" s="43" t="s">
        <v>267</v>
      </c>
      <c r="D387" s="43" t="s">
        <v>266</v>
      </c>
      <c r="E387" s="43" t="str">
        <f>VLOOKUP(F387,CHOOSE({2,1},Attributes!B$3:B$130,Attributes!C$3:C$129),2,FALSE)</f>
        <v>DungeonSiegeExperienceAttributeSet</v>
      </c>
      <c r="F387" s="43" t="str">
        <f>Attributes!C6</f>
        <v>CombatMagic</v>
      </c>
      <c r="G387" s="43" t="str">
        <f t="shared" ref="G387:G450" si="18">CONCATENATE("(AttributeName=""",F387,""",Attribute=/Script/DSAbilitySystem." &amp; E387 &amp;":",F387,",AttributeOwner=Class'""/Script/DSAbilitySystem." &amp; E387 &amp;"""')")</f>
        <v>(AttributeName="CombatMagic",Attribute=/Script/DSAbilitySystem.DungeonSiegeExperienceAttributeSet:CombatMagic,AttributeOwner=Class'"/Script/DSAbilitySystem.DungeonSiegeExperienceAttributeSet"')</v>
      </c>
      <c r="H387" s="43">
        <v>3</v>
      </c>
      <c r="I387" s="43" t="str">
        <f t="shared" ref="I387:I450" si="19">CONCATENATE("GE_Prefix_",SUBSTITUTE(C387," ","_"))</f>
        <v>GE_Prefix_Shaped</v>
      </c>
      <c r="J387" s="43" t="str">
        <f t="shared" ref="J387:J450" si="20">"/Game/DungeonSiege/Blueprints/GameplayAbilities/Affixes/" &amp;I387</f>
        <v>/Game/DungeonSiege/Blueprints/GameplayAbilities/Affixes/GE_Prefix_Shaped</v>
      </c>
    </row>
    <row r="388" spans="1:10" s="23" customFormat="1" ht="33.75" x14ac:dyDescent="0.25">
      <c r="A388" s="43">
        <v>386</v>
      </c>
      <c r="B388" s="43">
        <f>VLOOKUP(C388,CHOOSE({2,1},Prefix!B$2:B$256,Prefix!C$2:C$256),2,FALSE)</f>
        <v>100663635</v>
      </c>
      <c r="C388" s="43" t="s">
        <v>1038</v>
      </c>
      <c r="D388" s="43" t="s">
        <v>700</v>
      </c>
      <c r="E388" s="43" t="str">
        <f>VLOOKUP(F388,CHOOSE({2,1},Attributes!B$3:B$130,Attributes!C$3:C$129),2,FALSE)</f>
        <v>DungeonSiegePerHitAttributeSet</v>
      </c>
      <c r="F388" s="43" t="str">
        <f>Attributes!C11</f>
        <v>HealthPerHit</v>
      </c>
      <c r="G388" s="43" t="str">
        <f t="shared" si="18"/>
        <v>(AttributeName="HealthPerHit",Attribute=/Script/DSAbilitySystem.DungeonSiegePerHitAttributeSet:HealthPerHit,AttributeOwner=Class'"/Script/DSAbilitySystem.DungeonSiegePerHitAttributeSet"')</v>
      </c>
      <c r="H388" s="43">
        <v>3</v>
      </c>
      <c r="I388" s="43" t="str">
        <f t="shared" si="19"/>
        <v>GE_Prefix_Prevailing</v>
      </c>
      <c r="J388" s="43" t="str">
        <f t="shared" si="20"/>
        <v>/Game/DungeonSiege/Blueprints/GameplayAbilities/Affixes/GE_Prefix_Prevailing</v>
      </c>
    </row>
    <row r="389" spans="1:10" s="23" customFormat="1" ht="33.75" x14ac:dyDescent="0.25">
      <c r="A389" s="43">
        <v>387</v>
      </c>
      <c r="B389" s="43">
        <f>VLOOKUP(C389,CHOOSE({2,1},Prefix!B$2:B$256,Prefix!C$2:C$256),2,FALSE)</f>
        <v>100663635</v>
      </c>
      <c r="C389" s="43" t="s">
        <v>1038</v>
      </c>
      <c r="D389" s="43" t="s">
        <v>3187</v>
      </c>
      <c r="E389" s="43" t="str">
        <f>VLOOKUP(F389,CHOOSE({2,1},Attributes!B$3:B$130,Attributes!C$3:C$129),2,FALSE)</f>
        <v>DungeonSiegeDefenseAttributeSet</v>
      </c>
      <c r="F389" s="43" t="str">
        <f>Attributes!C10</f>
        <v>ArmorRating</v>
      </c>
      <c r="G389" s="43" t="str">
        <f t="shared" si="18"/>
        <v>(AttributeName="ArmorRating",Attribute=/Script/DSAbilitySystem.DungeonSiegeDefenseAttributeSet:ArmorRating,AttributeOwner=Class'"/Script/DSAbilitySystem.DungeonSiegeDefenseAttributeSet"')</v>
      </c>
      <c r="H389" s="43">
        <v>17</v>
      </c>
      <c r="I389" s="43" t="str">
        <f t="shared" si="19"/>
        <v>GE_Prefix_Prevailing</v>
      </c>
      <c r="J389" s="43" t="str">
        <f t="shared" si="20"/>
        <v>/Game/DungeonSiege/Blueprints/GameplayAbilities/Affixes/GE_Prefix_Prevailing</v>
      </c>
    </row>
    <row r="390" spans="1:10" s="23" customFormat="1" ht="33.75" x14ac:dyDescent="0.25">
      <c r="A390" s="43">
        <v>388</v>
      </c>
      <c r="B390" s="43">
        <f>VLOOKUP(C390,CHOOSE({2,1},Prefix!B$2:B$256,Prefix!C$2:C$256),2,FALSE)</f>
        <v>100663635</v>
      </c>
      <c r="C390" s="43" t="s">
        <v>1038</v>
      </c>
      <c r="D390" s="43" t="s">
        <v>230</v>
      </c>
      <c r="E390" s="43" t="str">
        <f>VLOOKUP(F390,CHOOSE({2,1},Attributes!B$3:B$130,Attributes!C$3:C$129),2,FALSE)</f>
        <v>DungeonSiegeMagicAttributeSet</v>
      </c>
      <c r="F390" s="43" t="str">
        <f>Attributes!C43</f>
        <v>PercentMagicDamageReduction</v>
      </c>
      <c r="G390" s="43" t="str">
        <f t="shared" si="18"/>
        <v>(AttributeName="PercentMagicDamageReduction",Attribute=/Script/DSAbilitySystem.DungeonSiegeMagicAttributeSet:PercentMagicDamageReduction,AttributeOwner=Class'"/Script/DSAbilitySystem.DungeonSiegeMagicAttributeSet"')</v>
      </c>
      <c r="H390" s="43">
        <v>5</v>
      </c>
      <c r="I390" s="43" t="str">
        <f t="shared" si="19"/>
        <v>GE_Prefix_Prevailing</v>
      </c>
      <c r="J390" s="43" t="str">
        <f t="shared" si="20"/>
        <v>/Game/DungeonSiege/Blueprints/GameplayAbilities/Affixes/GE_Prefix_Prevailing</v>
      </c>
    </row>
    <row r="391" spans="1:10" ht="33.75" x14ac:dyDescent="0.25">
      <c r="A391" s="43">
        <v>389</v>
      </c>
      <c r="B391" s="43">
        <f>VLOOKUP(C391,CHOOSE({2,1},Prefix!B$2:B$256,Prefix!C$2:C$256),2,FALSE)</f>
        <v>100663635</v>
      </c>
      <c r="C391" s="43" t="s">
        <v>1038</v>
      </c>
      <c r="D391" s="43" t="s">
        <v>867</v>
      </c>
      <c r="E391" s="43" t="str">
        <f>VLOOKUP(F391,CHOOSE({2,1},Attributes!B$3:B$130,Attributes!C$3:C$129),2,FALSE)</f>
        <v>DungeonSiegeDamageAttributeSet</v>
      </c>
      <c r="F391" s="43" t="str">
        <f>Attributes!C27</f>
        <v>PercentRangedDamageReduction</v>
      </c>
      <c r="G391" s="43" t="str">
        <f t="shared" si="18"/>
        <v>(AttributeName="PercentRangedDamageReduction",Attribute=/Script/DSAbilitySystem.DungeonSiegeDamageAttributeSet:PercentRangedDamageReduction,AttributeOwner=Class'"/Script/DSAbilitySystem.DungeonSiegeDamageAttributeSet"')</v>
      </c>
      <c r="H391" s="43">
        <v>3</v>
      </c>
      <c r="I391" s="43" t="str">
        <f t="shared" si="19"/>
        <v>GE_Prefix_Prevailing</v>
      </c>
      <c r="J391" s="43" t="str">
        <f t="shared" si="20"/>
        <v>/Game/DungeonSiege/Blueprints/GameplayAbilities/Affixes/GE_Prefix_Prevailing</v>
      </c>
    </row>
    <row r="392" spans="1:10" s="23" customFormat="1" ht="33.75" x14ac:dyDescent="0.25">
      <c r="A392" s="43">
        <v>390</v>
      </c>
      <c r="B392" s="43">
        <f>VLOOKUP(C392,CHOOSE({2,1},Prefix!B$2:B$256,Prefix!C$2:C$256),2,FALSE)</f>
        <v>100663636</v>
      </c>
      <c r="C392" s="43" t="s">
        <v>1040</v>
      </c>
      <c r="D392" s="43" t="s">
        <v>227</v>
      </c>
      <c r="E392" s="43" t="str">
        <f>VLOOKUP(F392,CHOOSE({2,1},Attributes!B$3:B$130,Attributes!C$3:C$129),2,FALSE)</f>
        <v>DungeonSiegeExperienceAttributeSet</v>
      </c>
      <c r="F392" s="43" t="str">
        <f>Attributes!C3</f>
        <v>Strength</v>
      </c>
      <c r="G392" s="43" t="str">
        <f t="shared" si="18"/>
        <v>(AttributeName="Strength",Attribute=/Script/DSAbilitySystem.DungeonSiegeExperienceAttributeSet:Strength,AttributeOwner=Class'"/Script/DSAbilitySystem.DungeonSiegeExperienceAttributeSet"')</v>
      </c>
      <c r="H392" s="43">
        <v>1</v>
      </c>
      <c r="I392" s="43" t="str">
        <f t="shared" si="19"/>
        <v>GE_Prefix_Impressive</v>
      </c>
      <c r="J392" s="43" t="str">
        <f t="shared" si="20"/>
        <v>/Game/DungeonSiege/Blueprints/GameplayAbilities/Affixes/GE_Prefix_Impressive</v>
      </c>
    </row>
    <row r="393" spans="1:10" s="23" customFormat="1" ht="33.75" x14ac:dyDescent="0.25">
      <c r="A393" s="43">
        <v>391</v>
      </c>
      <c r="B393" s="43">
        <f>VLOOKUP(C393,CHOOSE({2,1},Prefix!B$2:B$256,Prefix!C$2:C$256),2,FALSE)</f>
        <v>100663636</v>
      </c>
      <c r="C393" s="43" t="s">
        <v>1040</v>
      </c>
      <c r="D393" s="43" t="s">
        <v>3190</v>
      </c>
      <c r="E393" s="43" t="str">
        <f>VLOOKUP(F393,CHOOSE({2,1},Attributes!B$3:B$130,Attributes!C$3:C$129),2,FALSE)</f>
        <v>DungeonSiegeManaAttributeSet</v>
      </c>
      <c r="F393" s="43" t="str">
        <f>Attributes!C90</f>
        <v>BaseManaBonus</v>
      </c>
      <c r="G393" s="43" t="str">
        <f t="shared" si="18"/>
        <v>(AttributeName="BaseManaBonus",Attribute=/Script/DSAbilitySystem.DungeonSiegeManaAttributeSet:BaseManaBonus,AttributeOwner=Class'"/Script/DSAbilitySystem.DungeonSiegeManaAttributeSet"')</v>
      </c>
      <c r="H393" s="43">
        <v>39</v>
      </c>
      <c r="I393" s="43" t="str">
        <f t="shared" si="19"/>
        <v>GE_Prefix_Impressive</v>
      </c>
      <c r="J393" s="43" t="str">
        <f t="shared" si="20"/>
        <v>/Game/DungeonSiege/Blueprints/GameplayAbilities/Affixes/GE_Prefix_Impressive</v>
      </c>
    </row>
    <row r="394" spans="1:10" s="23" customFormat="1" ht="33.75" x14ac:dyDescent="0.25">
      <c r="A394" s="43">
        <v>392</v>
      </c>
      <c r="B394" s="43">
        <f>VLOOKUP(C394,CHOOSE({2,1},Prefix!B$2:B$256,Prefix!C$2:C$256),2,FALSE)</f>
        <v>100663636</v>
      </c>
      <c r="C394" s="43" t="s">
        <v>1040</v>
      </c>
      <c r="D394" s="43" t="s">
        <v>204</v>
      </c>
      <c r="E394" s="43" t="str">
        <f>VLOOKUP(F394,CHOOSE({2,1},Attributes!B$3:B$130,Attributes!C$3:C$129),2,FALSE)</f>
        <v>DungeonSiegeExperienceAttributeSet</v>
      </c>
      <c r="F394" s="43" t="str">
        <f>Attributes!C6</f>
        <v>CombatMagic</v>
      </c>
      <c r="G394" s="43" t="str">
        <f t="shared" si="18"/>
        <v>(AttributeName="CombatMagic",Attribute=/Script/DSAbilitySystem.DungeonSiegeExperienceAttributeSet:CombatMagic,AttributeOwner=Class'"/Script/DSAbilitySystem.DungeonSiegeExperienceAttributeSet"')</v>
      </c>
      <c r="H394" s="43">
        <v>1</v>
      </c>
      <c r="I394" s="43" t="str">
        <f t="shared" si="19"/>
        <v>GE_Prefix_Impressive</v>
      </c>
      <c r="J394" s="43" t="str">
        <f t="shared" si="20"/>
        <v>/Game/DungeonSiege/Blueprints/GameplayAbilities/Affixes/GE_Prefix_Impressive</v>
      </c>
    </row>
    <row r="395" spans="1:10" ht="33.75" x14ac:dyDescent="0.25">
      <c r="A395" s="43">
        <v>393</v>
      </c>
      <c r="B395" s="43">
        <f>VLOOKUP(C395,CHOOSE({2,1},Prefix!B$2:B$256,Prefix!C$2:C$256),2,FALSE)</f>
        <v>100663636</v>
      </c>
      <c r="C395" s="43" t="s">
        <v>1040</v>
      </c>
      <c r="D395" s="43" t="s">
        <v>965</v>
      </c>
      <c r="E395" s="43" t="str">
        <f>VLOOKUP(F395,CHOOSE({2,1},Attributes!B$3:B$130,Attributes!C$3:C$129),2,FALSE)</f>
        <v>DungeonSiegeDamageAttributeSet</v>
      </c>
      <c r="F395" s="43" t="str">
        <f>Attributes!C24</f>
        <v>PercentPiercingDamageReduction</v>
      </c>
      <c r="G395" s="43" t="str">
        <f t="shared" si="18"/>
        <v>(AttributeName="PercentPiercingDamageReduction",Attribute=/Script/DSAbilitySystem.DungeonSiegeDamageAttributeSet:PercentPiercingDamageReduction,AttributeOwner=Class'"/Script/DSAbilitySystem.DungeonSiegeDamageAttributeSet"')</v>
      </c>
      <c r="H395" s="43">
        <v>4</v>
      </c>
      <c r="I395" s="43" t="str">
        <f t="shared" si="19"/>
        <v>GE_Prefix_Impressive</v>
      </c>
      <c r="J395" s="43" t="str">
        <f t="shared" si="20"/>
        <v>/Game/DungeonSiege/Blueprints/GameplayAbilities/Affixes/GE_Prefix_Impressive</v>
      </c>
    </row>
    <row r="396" spans="1:10" s="23" customFormat="1" ht="33.75" x14ac:dyDescent="0.25">
      <c r="A396" s="43">
        <v>394</v>
      </c>
      <c r="B396" s="43">
        <f>VLOOKUP(C396,CHOOSE({2,1},Prefix!B$2:B$256,Prefix!C$2:C$256),2,FALSE)</f>
        <v>100663637</v>
      </c>
      <c r="C396" s="43" t="s">
        <v>1042</v>
      </c>
      <c r="D396" s="43" t="s">
        <v>745</v>
      </c>
      <c r="E396" s="43" t="str">
        <f>VLOOKUP(F396,CHOOSE({2,1},Attributes!B$3:B$130,Attributes!C$3:C$129),2,FALSE)</f>
        <v>DungeonSiegeExperienceAttributeSet</v>
      </c>
      <c r="F396" s="43" t="str">
        <f>Attributes!C9</f>
        <v>Melee</v>
      </c>
      <c r="G396" s="43" t="str">
        <f t="shared" si="18"/>
        <v>(AttributeName="Melee",Attribute=/Script/DSAbilitySystem.DungeonSiegeExperienceAttributeSet:Melee,AttributeOwner=Class'"/Script/DSAbilitySystem.DungeonSiegeExperienceAttributeSet"')</v>
      </c>
      <c r="H396" s="43">
        <v>1</v>
      </c>
      <c r="I396" s="43" t="str">
        <f t="shared" si="19"/>
        <v>GE_Prefix_Palpable</v>
      </c>
      <c r="J396" s="43" t="str">
        <f t="shared" si="20"/>
        <v>/Game/DungeonSiege/Blueprints/GameplayAbilities/Affixes/GE_Prefix_Palpable</v>
      </c>
    </row>
    <row r="397" spans="1:10" s="23" customFormat="1" ht="33.75" x14ac:dyDescent="0.25">
      <c r="A397" s="43">
        <v>395</v>
      </c>
      <c r="B397" s="43">
        <f>VLOOKUP(C397,CHOOSE({2,1},Prefix!B$2:B$256,Prefix!C$2:C$256),2,FALSE)</f>
        <v>100663637</v>
      </c>
      <c r="C397" s="43" t="s">
        <v>1042</v>
      </c>
      <c r="D397" s="43" t="s">
        <v>747</v>
      </c>
      <c r="E397" s="43" t="str">
        <f>VLOOKUP(F397,CHOOSE({2,1},Attributes!B$3:B$130,Attributes!C$3:C$129),2,FALSE)</f>
        <v>DungeonSiegeDamageAttributeSet</v>
      </c>
      <c r="F397" s="43" t="str">
        <f>Attributes!C34</f>
        <v>ChanceToDodgeMeleeAttack</v>
      </c>
      <c r="G397" s="43" t="str">
        <f t="shared" si="18"/>
        <v>(AttributeName="ChanceToDodgeMeleeAttack",Attribute=/Script/DSAbilitySystem.DungeonSiegeDamageAttributeSet:ChanceToDodgeMeleeAttack,AttributeOwner=Class'"/Script/DSAbilitySystem.DungeonSiegeDamageAttributeSet"')</v>
      </c>
      <c r="H397" s="43">
        <v>5</v>
      </c>
      <c r="I397" s="43" t="str">
        <f t="shared" si="19"/>
        <v>GE_Prefix_Palpable</v>
      </c>
      <c r="J397" s="43" t="str">
        <f t="shared" si="20"/>
        <v>/Game/DungeonSiege/Blueprints/GameplayAbilities/Affixes/GE_Prefix_Palpable</v>
      </c>
    </row>
    <row r="398" spans="1:10" ht="33.75" x14ac:dyDescent="0.25">
      <c r="A398" s="43">
        <v>396</v>
      </c>
      <c r="B398" s="43">
        <f>VLOOKUP(C398,CHOOSE({2,1},Prefix!B$2:B$256,Prefix!C$2:C$256),2,FALSE)</f>
        <v>100663637</v>
      </c>
      <c r="C398" s="43" t="s">
        <v>1042</v>
      </c>
      <c r="D398" s="43" t="s">
        <v>965</v>
      </c>
      <c r="E398" s="43" t="str">
        <f>VLOOKUP(F398,CHOOSE({2,1},Attributes!B$3:B$130,Attributes!C$3:C$129),2,FALSE)</f>
        <v>DungeonSiegeDamageAttributeSet</v>
      </c>
      <c r="F398" s="43" t="str">
        <f>Attributes!C24</f>
        <v>PercentPiercingDamageReduction</v>
      </c>
      <c r="G398" s="43" t="str">
        <f t="shared" si="18"/>
        <v>(AttributeName="PercentPiercingDamageReduction",Attribute=/Script/DSAbilitySystem.DungeonSiegeDamageAttributeSet:PercentPiercingDamageReduction,AttributeOwner=Class'"/Script/DSAbilitySystem.DungeonSiegeDamageAttributeSet"')</v>
      </c>
      <c r="H398" s="43">
        <v>4</v>
      </c>
      <c r="I398" s="43" t="str">
        <f t="shared" si="19"/>
        <v>GE_Prefix_Palpable</v>
      </c>
      <c r="J398" s="43" t="str">
        <f t="shared" si="20"/>
        <v>/Game/DungeonSiege/Blueprints/GameplayAbilities/Affixes/GE_Prefix_Palpable</v>
      </c>
    </row>
    <row r="399" spans="1:10" s="23" customFormat="1" ht="33.75" x14ac:dyDescent="0.25">
      <c r="A399" s="43">
        <v>397</v>
      </c>
      <c r="B399" s="43">
        <f>VLOOKUP(C399,CHOOSE({2,1},Prefix!B$2:B$256,Prefix!C$2:C$256),2,FALSE)</f>
        <v>100663638</v>
      </c>
      <c r="C399" s="43" t="s">
        <v>1044</v>
      </c>
      <c r="D399" s="43" t="s">
        <v>867</v>
      </c>
      <c r="E399" s="43" t="str">
        <f>VLOOKUP(F399,CHOOSE({2,1},Attributes!B$3:B$130,Attributes!C$3:C$129),2,FALSE)</f>
        <v>DungeonSiegeDamageAttributeSet</v>
      </c>
      <c r="F399" s="43" t="str">
        <f>Attributes!C27</f>
        <v>PercentRangedDamageReduction</v>
      </c>
      <c r="G399" s="43" t="str">
        <f t="shared" si="18"/>
        <v>(AttributeName="PercentRangedDamageReduction",Attribute=/Script/DSAbilitySystem.DungeonSiegeDamageAttributeSet:PercentRangedDamageReduction,AttributeOwner=Class'"/Script/DSAbilitySystem.DungeonSiegeDamageAttributeSet"')</v>
      </c>
      <c r="H399" s="43">
        <v>3</v>
      </c>
      <c r="I399" s="43" t="str">
        <f t="shared" si="19"/>
        <v>GE_Prefix_Almighty</v>
      </c>
      <c r="J399" s="43" t="str">
        <f t="shared" si="20"/>
        <v>/Game/DungeonSiege/Blueprints/GameplayAbilities/Affixes/GE_Prefix_Almighty</v>
      </c>
    </row>
    <row r="400" spans="1:10" s="23" customFormat="1" ht="33.75" x14ac:dyDescent="0.25">
      <c r="A400" s="43">
        <v>398</v>
      </c>
      <c r="B400" s="43">
        <f>VLOOKUP(C400,CHOOSE({2,1},Prefix!B$2:B$256,Prefix!C$2:C$256),2,FALSE)</f>
        <v>100663638</v>
      </c>
      <c r="C400" s="43" t="s">
        <v>1044</v>
      </c>
      <c r="D400" s="43" t="s">
        <v>871</v>
      </c>
      <c r="E400" s="43" t="str">
        <f>VLOOKUP(F400,CHOOSE({2,1},Attributes!B$3:B$130,Attributes!C$3:C$129),2,FALSE)</f>
        <v>DungeonSiegeDamageAttributeSet</v>
      </c>
      <c r="F400" s="43" t="str">
        <f>Attributes!C28</f>
        <v>ChanceToBlockRangedAttack</v>
      </c>
      <c r="G400" s="43" t="str">
        <f t="shared" si="18"/>
        <v>(AttributeName="ChanceToBlockRangedAttack",Attribute=/Script/DSAbilitySystem.DungeonSiegeDamageAttributeSet:ChanceToBlockRangedAttack,AttributeOwner=Class'"/Script/DSAbilitySystem.DungeonSiegeDamageAttributeSet"')</v>
      </c>
      <c r="H400" s="43">
        <v>9</v>
      </c>
      <c r="I400" s="43" t="str">
        <f t="shared" si="19"/>
        <v>GE_Prefix_Almighty</v>
      </c>
      <c r="J400" s="43" t="str">
        <f t="shared" si="20"/>
        <v>/Game/DungeonSiege/Blueprints/GameplayAbilities/Affixes/GE_Prefix_Almighty</v>
      </c>
    </row>
    <row r="401" spans="1:10" ht="33.75" x14ac:dyDescent="0.25">
      <c r="A401" s="43">
        <v>399</v>
      </c>
      <c r="B401" s="43">
        <f>VLOOKUP(C401,CHOOSE({2,1},Prefix!B$2:B$256,Prefix!C$2:C$256),2,FALSE)</f>
        <v>100663638</v>
      </c>
      <c r="C401" s="43" t="s">
        <v>1044</v>
      </c>
      <c r="D401" s="43" t="s">
        <v>965</v>
      </c>
      <c r="E401" s="43" t="str">
        <f>VLOOKUP(F401,CHOOSE({2,1},Attributes!B$3:B$130,Attributes!C$3:C$129),2,FALSE)</f>
        <v>DungeonSiegeDamageAttributeSet</v>
      </c>
      <c r="F401" s="43" t="str">
        <f>Attributes!C24</f>
        <v>PercentPiercingDamageReduction</v>
      </c>
      <c r="G401" s="43" t="str">
        <f t="shared" si="18"/>
        <v>(AttributeName="PercentPiercingDamageReduction",Attribute=/Script/DSAbilitySystem.DungeonSiegeDamageAttributeSet:PercentPiercingDamageReduction,AttributeOwner=Class'"/Script/DSAbilitySystem.DungeonSiegeDamageAttributeSet"')</v>
      </c>
      <c r="H401" s="43">
        <v>4</v>
      </c>
      <c r="I401" s="43" t="str">
        <f t="shared" si="19"/>
        <v>GE_Prefix_Almighty</v>
      </c>
      <c r="J401" s="43" t="str">
        <f t="shared" si="20"/>
        <v>/Game/DungeonSiege/Blueprints/GameplayAbilities/Affixes/GE_Prefix_Almighty</v>
      </c>
    </row>
    <row r="402" spans="1:10" ht="33.75" x14ac:dyDescent="0.25">
      <c r="A402" s="43">
        <v>400</v>
      </c>
      <c r="B402" s="43">
        <f>VLOOKUP(C402,CHOOSE({2,1},Prefix!B$2:B$256,Prefix!C$2:C$256),2,FALSE)</f>
        <v>100663639</v>
      </c>
      <c r="C402" s="43" t="s">
        <v>1046</v>
      </c>
      <c r="D402" s="43" t="s">
        <v>263</v>
      </c>
      <c r="E402" s="43" t="str">
        <f>VLOOKUP(F402,CHOOSE({2,1},Attributes!B$3:B$130,Attributes!C$3:C$129),2,FALSE)</f>
        <v>DungeonSiegeExperienceAttributeSet</v>
      </c>
      <c r="F402" s="43" t="str">
        <f>Attributes!C7</f>
        <v>NatureMagic</v>
      </c>
      <c r="G402" s="43" t="str">
        <f t="shared" si="18"/>
        <v>(AttributeName="NatureMagic",Attribute=/Script/DSAbilitySystem.DungeonSiegeExperienceAttributeSet:NatureMagic,AttributeOwner=Class'"/Script/DSAbilitySystem.DungeonSiegeExperienceAttributeSet"')</v>
      </c>
      <c r="H402" s="43">
        <v>3</v>
      </c>
      <c r="I402" s="43" t="str">
        <f t="shared" si="19"/>
        <v>GE_Prefix_Earthen</v>
      </c>
      <c r="J402" s="43" t="str">
        <f t="shared" si="20"/>
        <v>/Game/DungeonSiege/Blueprints/GameplayAbilities/Affixes/GE_Prefix_Earthen</v>
      </c>
    </row>
    <row r="403" spans="1:10" ht="33.75" x14ac:dyDescent="0.25">
      <c r="A403" s="43">
        <v>401</v>
      </c>
      <c r="B403" s="43">
        <f>VLOOKUP(C403,CHOOSE({2,1},Prefix!B$2:B$256,Prefix!C$2:C$256),2,FALSE)</f>
        <v>100663640</v>
      </c>
      <c r="C403" s="43" t="s">
        <v>1048</v>
      </c>
      <c r="D403" s="43" t="s">
        <v>767</v>
      </c>
      <c r="E403" s="43" t="str">
        <f>VLOOKUP(F403,CHOOSE({2,1},Attributes!B$3:B$130,Attributes!C$3:C$129),2,FALSE)</f>
        <v>DungeonSiegeDamageAttributeSet</v>
      </c>
      <c r="F403" s="43" t="str">
        <f>Attributes!C32</f>
        <v>ChanceToBlockMeleeAttack</v>
      </c>
      <c r="G403" s="43" t="str">
        <f t="shared" si="18"/>
        <v>(AttributeName="ChanceToBlockMeleeAttack",Attribute=/Script/DSAbilitySystem.DungeonSiegeDamageAttributeSet:ChanceToBlockMeleeAttack,AttributeOwner=Class'"/Script/DSAbilitySystem.DungeonSiegeDamageAttributeSet"')</v>
      </c>
      <c r="H403" s="43">
        <v>8</v>
      </c>
      <c r="I403" s="43" t="str">
        <f t="shared" si="19"/>
        <v>GE_Prefix_Girded</v>
      </c>
      <c r="J403" s="43" t="str">
        <f t="shared" si="20"/>
        <v>/Game/DungeonSiege/Blueprints/GameplayAbilities/Affixes/GE_Prefix_Girded</v>
      </c>
    </row>
    <row r="404" spans="1:10" s="23" customFormat="1" ht="33.75" x14ac:dyDescent="0.25">
      <c r="A404" s="43">
        <v>402</v>
      </c>
      <c r="B404" s="43">
        <f>VLOOKUP(C404,CHOOSE({2,1},Prefix!B$2:B$256,Prefix!C$2:C$256),2,FALSE)</f>
        <v>100663641</v>
      </c>
      <c r="C404" s="43" t="s">
        <v>1050</v>
      </c>
      <c r="D404" s="43" t="s">
        <v>712</v>
      </c>
      <c r="E404" s="43" t="str">
        <f>VLOOKUP(F404,CHOOSE({2,1},Attributes!B$3:B$130,Attributes!C$3:C$129),2,FALSE)</f>
        <v>DungeonSiegeExperienceAttributeSet</v>
      </c>
      <c r="F404" s="43" t="str">
        <f>Attributes!C9</f>
        <v>Melee</v>
      </c>
      <c r="G404" s="43" t="str">
        <f t="shared" si="18"/>
        <v>(AttributeName="Melee",Attribute=/Script/DSAbilitySystem.DungeonSiegeExperienceAttributeSet:Melee,AttributeOwner=Class'"/Script/DSAbilitySystem.DungeonSiegeExperienceAttributeSet"')</v>
      </c>
      <c r="H404" s="43">
        <v>2</v>
      </c>
      <c r="I404" s="43" t="str">
        <f t="shared" si="19"/>
        <v>GE_Prefix_Relentless</v>
      </c>
      <c r="J404" s="43" t="str">
        <f t="shared" si="20"/>
        <v>/Game/DungeonSiege/Blueprints/GameplayAbilities/Affixes/GE_Prefix_Relentless</v>
      </c>
    </row>
    <row r="405" spans="1:10" s="23" customFormat="1" ht="33.75" x14ac:dyDescent="0.25">
      <c r="A405" s="43">
        <v>403</v>
      </c>
      <c r="B405" s="43">
        <f>VLOOKUP(C405,CHOOSE({2,1},Prefix!B$2:B$256,Prefix!C$2:C$256),2,FALSE)</f>
        <v>100663641</v>
      </c>
      <c r="C405" s="43" t="s">
        <v>1050</v>
      </c>
      <c r="D405" s="43" t="s">
        <v>965</v>
      </c>
      <c r="E405" s="43" t="str">
        <f>VLOOKUP(F405,CHOOSE({2,1},Attributes!B$3:B$130,Attributes!C$3:C$129),2,FALSE)</f>
        <v>DungeonSiegeDamageAttributeSet</v>
      </c>
      <c r="F405" s="43" t="str">
        <f>Attributes!C24</f>
        <v>PercentPiercingDamageReduction</v>
      </c>
      <c r="G405" s="43" t="str">
        <f t="shared" si="18"/>
        <v>(AttributeName="PercentPiercingDamageReduction",Attribute=/Script/DSAbilitySystem.DungeonSiegeDamageAttributeSet:PercentPiercingDamageReduction,AttributeOwner=Class'"/Script/DSAbilitySystem.DungeonSiegeDamageAttributeSet"')</v>
      </c>
      <c r="H405" s="43">
        <v>4</v>
      </c>
      <c r="I405" s="43" t="str">
        <f t="shared" si="19"/>
        <v>GE_Prefix_Relentless</v>
      </c>
      <c r="J405" s="43" t="str">
        <f t="shared" si="20"/>
        <v>/Game/DungeonSiege/Blueprints/GameplayAbilities/Affixes/GE_Prefix_Relentless</v>
      </c>
    </row>
    <row r="406" spans="1:10" ht="33.75" x14ac:dyDescent="0.25">
      <c r="A406" s="43">
        <v>404</v>
      </c>
      <c r="B406" s="43">
        <f>VLOOKUP(C406,CHOOSE({2,1},Prefix!B$2:B$256,Prefix!C$2:C$256),2,FALSE)</f>
        <v>100663641</v>
      </c>
      <c r="C406" s="43" t="s">
        <v>1050</v>
      </c>
      <c r="D406" s="43" t="s">
        <v>805</v>
      </c>
      <c r="E406" s="43" t="str">
        <f>VLOOKUP(F406,CHOOSE({2,1},Attributes!B$3:B$130,Attributes!C$3:C$129),2,FALSE)</f>
        <v>DungeonSiegeDamageAttributeSet</v>
      </c>
      <c r="F406" s="43" t="str">
        <f>Attributes!C31</f>
        <v>PercentMeleeDamageReduction</v>
      </c>
      <c r="G406" s="43" t="str">
        <f t="shared" si="18"/>
        <v>(AttributeName="PercentMeleeDamageReduction",Attribute=/Script/DSAbilitySystem.DungeonSiegeDamageAttributeSet:PercentMeleeDamageReduction,AttributeOwner=Class'"/Script/DSAbilitySystem.DungeonSiegeDamageAttributeSet"')</v>
      </c>
      <c r="H406" s="43">
        <v>5</v>
      </c>
      <c r="I406" s="43" t="str">
        <f t="shared" si="19"/>
        <v>GE_Prefix_Relentless</v>
      </c>
      <c r="J406" s="43" t="str">
        <f t="shared" si="20"/>
        <v>/Game/DungeonSiege/Blueprints/GameplayAbilities/Affixes/GE_Prefix_Relentless</v>
      </c>
    </row>
    <row r="407" spans="1:10" ht="33.75" x14ac:dyDescent="0.25">
      <c r="A407" s="43">
        <v>405</v>
      </c>
      <c r="B407" s="43">
        <f>VLOOKUP(C407,CHOOSE({2,1},Prefix!B$2:B$256,Prefix!C$2:C$256),2,FALSE)</f>
        <v>100663648</v>
      </c>
      <c r="C407" s="43" t="s">
        <v>264</v>
      </c>
      <c r="D407" s="43" t="s">
        <v>263</v>
      </c>
      <c r="E407" s="43" t="str">
        <f>VLOOKUP(F407,CHOOSE({2,1},Attributes!B$3:B$130,Attributes!C$3:C$129),2,FALSE)</f>
        <v>DungeonSiegeExperienceAttributeSet</v>
      </c>
      <c r="F407" s="43" t="str">
        <f>Attributes!C7</f>
        <v>NatureMagic</v>
      </c>
      <c r="G407" s="43" t="str">
        <f t="shared" si="18"/>
        <v>(AttributeName="NatureMagic",Attribute=/Script/DSAbilitySystem.DungeonSiegeExperienceAttributeSet:NatureMagic,AttributeOwner=Class'"/Script/DSAbilitySystem.DungeonSiegeExperienceAttributeSet"')</v>
      </c>
      <c r="H407" s="43">
        <v>3</v>
      </c>
      <c r="I407" s="43" t="str">
        <f t="shared" si="19"/>
        <v>GE_Prefix_Rustic</v>
      </c>
      <c r="J407" s="43" t="str">
        <f t="shared" si="20"/>
        <v>/Game/DungeonSiege/Blueprints/GameplayAbilities/Affixes/GE_Prefix_Rustic</v>
      </c>
    </row>
    <row r="408" spans="1:10" s="23" customFormat="1" ht="33.75" x14ac:dyDescent="0.25">
      <c r="A408" s="43">
        <v>406</v>
      </c>
      <c r="B408" s="43">
        <f>VLOOKUP(C408,CHOOSE({2,1},Prefix!B$2:B$256,Prefix!C$2:C$256),2,FALSE)</f>
        <v>100663649</v>
      </c>
      <c r="C408" s="43" t="s">
        <v>1052</v>
      </c>
      <c r="D408" s="43" t="s">
        <v>3191</v>
      </c>
      <c r="E408" s="43" t="str">
        <f>VLOOKUP(F408,CHOOSE({2,1},Attributes!B$3:B$130,Attributes!C$3:C$129),2,FALSE)</f>
        <v>DungeonSiegeHealthAttributeSet</v>
      </c>
      <c r="F408" s="43" t="str">
        <f>Attributes!C82</f>
        <v>BaseHealthBonus</v>
      </c>
      <c r="G408" s="43" t="str">
        <f t="shared" si="18"/>
        <v>(AttributeName="BaseHealthBonus",Attribute=/Script/DSAbilitySystem.DungeonSiegeHealthAttributeSet:BaseHealthBonus,AttributeOwner=Class'"/Script/DSAbilitySystem.DungeonSiegeHealthAttributeSet"')</v>
      </c>
      <c r="H408" s="43">
        <v>29</v>
      </c>
      <c r="I408" s="43" t="str">
        <f t="shared" si="19"/>
        <v>GE_Prefix_Immaculate</v>
      </c>
      <c r="J408" s="43" t="str">
        <f t="shared" si="20"/>
        <v>/Game/DungeonSiege/Blueprints/GameplayAbilities/Affixes/GE_Prefix_Immaculate</v>
      </c>
    </row>
    <row r="409" spans="1:10" s="23" customFormat="1" ht="33.75" x14ac:dyDescent="0.25">
      <c r="A409" s="43">
        <v>407</v>
      </c>
      <c r="B409" s="43">
        <f>VLOOKUP(C409,CHOOSE({2,1},Prefix!B$2:B$256,Prefix!C$2:C$256),2,FALSE)</f>
        <v>100663649</v>
      </c>
      <c r="C409" s="43" t="s">
        <v>1052</v>
      </c>
      <c r="D409" s="43" t="s">
        <v>207</v>
      </c>
      <c r="E409" s="43" t="str">
        <f>VLOOKUP(F409,CHOOSE({2,1},Attributes!B$3:B$130,Attributes!C$3:C$129),2,FALSE)</f>
        <v>DungeonSiegeExperienceAttributeSet</v>
      </c>
      <c r="F409" s="43" t="str">
        <f>Attributes!C7</f>
        <v>NatureMagic</v>
      </c>
      <c r="G409" s="43" t="str">
        <f t="shared" si="18"/>
        <v>(AttributeName="NatureMagic",Attribute=/Script/DSAbilitySystem.DungeonSiegeExperienceAttributeSet:NatureMagic,AttributeOwner=Class'"/Script/DSAbilitySystem.DungeonSiegeExperienceAttributeSet"')</v>
      </c>
      <c r="H409" s="43">
        <v>1</v>
      </c>
      <c r="I409" s="43" t="str">
        <f t="shared" si="19"/>
        <v>GE_Prefix_Immaculate</v>
      </c>
      <c r="J409" s="43" t="str">
        <f t="shared" si="20"/>
        <v>/Game/DungeonSiege/Blueprints/GameplayAbilities/Affixes/GE_Prefix_Immaculate</v>
      </c>
    </row>
    <row r="410" spans="1:10" s="23" customFormat="1" ht="33.75" x14ac:dyDescent="0.25">
      <c r="A410" s="43">
        <v>408</v>
      </c>
      <c r="B410" s="43">
        <f>VLOOKUP(C410,CHOOSE({2,1},Prefix!B$2:B$256,Prefix!C$2:C$256),2,FALSE)</f>
        <v>100663649</v>
      </c>
      <c r="C410" s="43" t="s">
        <v>1052</v>
      </c>
      <c r="D410" s="43" t="s">
        <v>1053</v>
      </c>
      <c r="E410" s="43" t="str">
        <f>VLOOKUP(F410,CHOOSE({2,1},Attributes!B$3:B$130,Attributes!C$3:C$129),2,FALSE)</f>
        <v>DungeonSiegeDamageAttributeSet</v>
      </c>
      <c r="F410" s="43" t="str">
        <f>Attributes!C23</f>
        <v>ChanceToInflictPiercingHit</v>
      </c>
      <c r="G410" s="43" t="str">
        <f t="shared" si="18"/>
        <v>(AttributeName="ChanceToInflictPiercingHit",Attribute=/Script/DSAbilitySystem.DungeonSiegeDamageAttributeSet:ChanceToInflictPiercingHit,AttributeOwner=Class'"/Script/DSAbilitySystem.DungeonSiegeDamageAttributeSet"')</v>
      </c>
      <c r="H410" s="43">
        <v>3</v>
      </c>
      <c r="I410" s="43" t="str">
        <f t="shared" si="19"/>
        <v>GE_Prefix_Immaculate</v>
      </c>
      <c r="J410" s="43" t="str">
        <f t="shared" si="20"/>
        <v>/Game/DungeonSiege/Blueprints/GameplayAbilities/Affixes/GE_Prefix_Immaculate</v>
      </c>
    </row>
    <row r="411" spans="1:10" ht="33.75" x14ac:dyDescent="0.25">
      <c r="A411" s="43">
        <v>409</v>
      </c>
      <c r="B411" s="43">
        <f>VLOOKUP(C411,CHOOSE({2,1},Prefix!B$2:B$256,Prefix!C$2:C$256),2,FALSE)</f>
        <v>100663649</v>
      </c>
      <c r="C411" s="43" t="s">
        <v>1052</v>
      </c>
      <c r="D411" s="43" t="s">
        <v>3192</v>
      </c>
      <c r="E411" s="43" t="str">
        <f>VLOOKUP(F411,CHOOSE({2,1},Attributes!B$3:B$130,Attributes!C$3:C$129),2,FALSE)</f>
        <v>DungeonSiegeDefenseAttributeSet</v>
      </c>
      <c r="F411" s="43" t="str">
        <f>Attributes!C10</f>
        <v>ArmorRating</v>
      </c>
      <c r="G411" s="43" t="str">
        <f t="shared" si="18"/>
        <v>(AttributeName="ArmorRating",Attribute=/Script/DSAbilitySystem.DungeonSiegeDefenseAttributeSet:ArmorRating,AttributeOwner=Class'"/Script/DSAbilitySystem.DungeonSiegeDefenseAttributeSet"')</v>
      </c>
      <c r="H411" s="43">
        <v>16</v>
      </c>
      <c r="I411" s="43" t="str">
        <f t="shared" si="19"/>
        <v>GE_Prefix_Immaculate</v>
      </c>
      <c r="J411" s="43" t="str">
        <f t="shared" si="20"/>
        <v>/Game/DungeonSiege/Blueprints/GameplayAbilities/Affixes/GE_Prefix_Immaculate</v>
      </c>
    </row>
    <row r="412" spans="1:10" s="23" customFormat="1" ht="33.75" x14ac:dyDescent="0.25">
      <c r="A412" s="43">
        <v>410</v>
      </c>
      <c r="B412" s="43">
        <f>VLOOKUP(C412,CHOOSE({2,1},Prefix!B$2:B$256,Prefix!C$2:C$256),2,FALSE)</f>
        <v>100663650</v>
      </c>
      <c r="C412" s="43" t="s">
        <v>1055</v>
      </c>
      <c r="D412" s="43" t="s">
        <v>745</v>
      </c>
      <c r="E412" s="43" t="str">
        <f>VLOOKUP(F412,CHOOSE({2,1},Attributes!B$3:B$130,Attributes!C$3:C$129),2,FALSE)</f>
        <v>DungeonSiegeExperienceAttributeSet</v>
      </c>
      <c r="F412" s="43" t="str">
        <f>Attributes!C9</f>
        <v>Melee</v>
      </c>
      <c r="G412" s="43" t="str">
        <f t="shared" si="18"/>
        <v>(AttributeName="Melee",Attribute=/Script/DSAbilitySystem.DungeonSiegeExperienceAttributeSet:Melee,AttributeOwner=Class'"/Script/DSAbilitySystem.DungeonSiegeExperienceAttributeSet"')</v>
      </c>
      <c r="H412" s="43">
        <v>1</v>
      </c>
      <c r="I412" s="43" t="str">
        <f t="shared" si="19"/>
        <v>GE_Prefix_Tactile</v>
      </c>
      <c r="J412" s="43" t="str">
        <f t="shared" si="20"/>
        <v>/Game/DungeonSiege/Blueprints/GameplayAbilities/Affixes/GE_Prefix_Tactile</v>
      </c>
    </row>
    <row r="413" spans="1:10" s="23" customFormat="1" ht="33.75" x14ac:dyDescent="0.25">
      <c r="A413" s="43">
        <v>411</v>
      </c>
      <c r="B413" s="43">
        <f>VLOOKUP(C413,CHOOSE({2,1},Prefix!B$2:B$256,Prefix!C$2:C$256),2,FALSE)</f>
        <v>100663650</v>
      </c>
      <c r="C413" s="43" t="s">
        <v>1055</v>
      </c>
      <c r="D413" s="43" t="s">
        <v>805</v>
      </c>
      <c r="E413" s="43" t="str">
        <f>VLOOKUP(F413,CHOOSE({2,1},Attributes!B$3:B$130,Attributes!C$3:C$129),2,FALSE)</f>
        <v>DungeonSiegeDamageAttributeSet</v>
      </c>
      <c r="F413" s="43" t="str">
        <f>Attributes!C31</f>
        <v>PercentMeleeDamageReduction</v>
      </c>
      <c r="G413" s="43" t="str">
        <f t="shared" si="18"/>
        <v>(AttributeName="PercentMeleeDamageReduction",Attribute=/Script/DSAbilitySystem.DungeonSiegeDamageAttributeSet:PercentMeleeDamageReduction,AttributeOwner=Class'"/Script/DSAbilitySystem.DungeonSiegeDamageAttributeSet"')</v>
      </c>
      <c r="H413" s="43">
        <v>5</v>
      </c>
      <c r="I413" s="43" t="str">
        <f t="shared" si="19"/>
        <v>GE_Prefix_Tactile</v>
      </c>
      <c r="J413" s="43" t="str">
        <f t="shared" si="20"/>
        <v>/Game/DungeonSiege/Blueprints/GameplayAbilities/Affixes/GE_Prefix_Tactile</v>
      </c>
    </row>
    <row r="414" spans="1:10" ht="33.75" x14ac:dyDescent="0.25">
      <c r="A414" s="43">
        <v>412</v>
      </c>
      <c r="B414" s="43">
        <f>VLOOKUP(C414,CHOOSE({2,1},Prefix!B$2:B$256,Prefix!C$2:C$256),2,FALSE)</f>
        <v>100663650</v>
      </c>
      <c r="C414" s="43" t="s">
        <v>1055</v>
      </c>
      <c r="D414" s="43" t="s">
        <v>870</v>
      </c>
      <c r="E414" s="43" t="str">
        <f>VLOOKUP(F414,CHOOSE({2,1},Attributes!B$3:B$130,Attributes!C$3:C$129),2,FALSE)</f>
        <v>DungeonSiegeDamageAttributeSet</v>
      </c>
      <c r="F414" s="43" t="str">
        <f>Attributes!C32</f>
        <v>ChanceToBlockMeleeAttack</v>
      </c>
      <c r="G414" s="43" t="str">
        <f t="shared" si="18"/>
        <v>(AttributeName="ChanceToBlockMeleeAttack",Attribute=/Script/DSAbilitySystem.DungeonSiegeDamageAttributeSet:ChanceToBlockMeleeAttack,AttributeOwner=Class'"/Script/DSAbilitySystem.DungeonSiegeDamageAttributeSet"')</v>
      </c>
      <c r="H414" s="43">
        <v>5</v>
      </c>
      <c r="I414" s="43" t="str">
        <f t="shared" si="19"/>
        <v>GE_Prefix_Tactile</v>
      </c>
      <c r="J414" s="43" t="str">
        <f t="shared" si="20"/>
        <v>/Game/DungeonSiege/Blueprints/GameplayAbilities/Affixes/GE_Prefix_Tactile</v>
      </c>
    </row>
    <row r="415" spans="1:10" s="23" customFormat="1" ht="33.75" x14ac:dyDescent="0.25">
      <c r="A415" s="43">
        <v>413</v>
      </c>
      <c r="B415" s="43">
        <f>VLOOKUP(C415,CHOOSE({2,1},Prefix!B$2:B$256,Prefix!C$2:C$256),2,FALSE)</f>
        <v>100663651</v>
      </c>
      <c r="C415" s="43" t="s">
        <v>1057</v>
      </c>
      <c r="D415" s="43" t="s">
        <v>230</v>
      </c>
      <c r="E415" s="43" t="str">
        <f>VLOOKUP(F415,CHOOSE({2,1},Attributes!B$3:B$130,Attributes!C$3:C$129),2,FALSE)</f>
        <v>DungeonSiegeMagicAttributeSet</v>
      </c>
      <c r="F415" s="43" t="str">
        <f>Attributes!C43</f>
        <v>PercentMagicDamageReduction</v>
      </c>
      <c r="G415" s="43" t="str">
        <f t="shared" si="18"/>
        <v>(AttributeName="PercentMagicDamageReduction",Attribute=/Script/DSAbilitySystem.DungeonSiegeMagicAttributeSet:PercentMagicDamageReduction,AttributeOwner=Class'"/Script/DSAbilitySystem.DungeonSiegeMagicAttributeSet"')</v>
      </c>
      <c r="H415" s="43">
        <v>5</v>
      </c>
      <c r="I415" s="43" t="str">
        <f t="shared" si="19"/>
        <v>GE_Prefix_Momentous</v>
      </c>
      <c r="J415" s="43" t="str">
        <f t="shared" si="20"/>
        <v>/Game/DungeonSiege/Blueprints/GameplayAbilities/Affixes/GE_Prefix_Momentous</v>
      </c>
    </row>
    <row r="416" spans="1:10" ht="33.75" x14ac:dyDescent="0.25">
      <c r="A416" s="43">
        <v>414</v>
      </c>
      <c r="B416" s="43">
        <f>VLOOKUP(C416,CHOOSE({2,1},Prefix!B$2:B$256,Prefix!C$2:C$256),2,FALSE)</f>
        <v>100663651</v>
      </c>
      <c r="C416" s="43" t="s">
        <v>1057</v>
      </c>
      <c r="D416" s="43" t="s">
        <v>788</v>
      </c>
      <c r="E416" s="43" t="str">
        <f>VLOOKUP(F416,CHOOSE({2,1},Attributes!B$3:B$130,Attributes!C$3:C$129),2,FALSE)</f>
        <v>DungeonSiegeExperienceAttributeSet</v>
      </c>
      <c r="F416" s="43" t="str">
        <f>Attributes!C8</f>
        <v>Ranged</v>
      </c>
      <c r="G416" s="43" t="str">
        <f t="shared" si="18"/>
        <v>(AttributeName="Ranged",Attribute=/Script/DSAbilitySystem.DungeonSiegeExperienceAttributeSet:Ranged,AttributeOwner=Class'"/Script/DSAbilitySystem.DungeonSiegeExperienceAttributeSet"')</v>
      </c>
      <c r="H416" s="43">
        <v>2</v>
      </c>
      <c r="I416" s="43" t="str">
        <f t="shared" si="19"/>
        <v>GE_Prefix_Momentous</v>
      </c>
      <c r="J416" s="43" t="str">
        <f t="shared" si="20"/>
        <v>/Game/DungeonSiege/Blueprints/GameplayAbilities/Affixes/GE_Prefix_Momentous</v>
      </c>
    </row>
    <row r="417" spans="1:10" s="23" customFormat="1" ht="33.75" x14ac:dyDescent="0.25">
      <c r="A417" s="43">
        <v>415</v>
      </c>
      <c r="B417" s="43">
        <f>VLOOKUP(C417,CHOOSE({2,1},Prefix!B$2:B$256,Prefix!C$2:C$256),2,FALSE)</f>
        <v>100663652</v>
      </c>
      <c r="C417" s="43" t="s">
        <v>1059</v>
      </c>
      <c r="D417" s="43" t="s">
        <v>204</v>
      </c>
      <c r="E417" s="43" t="str">
        <f>VLOOKUP(F417,CHOOSE({2,1},Attributes!B$3:B$130,Attributes!C$3:C$129),2,FALSE)</f>
        <v>DungeonSiegeExperienceAttributeSet</v>
      </c>
      <c r="F417" s="43" t="str">
        <f>Attributes!C6</f>
        <v>CombatMagic</v>
      </c>
      <c r="G417" s="43" t="str">
        <f t="shared" si="18"/>
        <v>(AttributeName="CombatMagic",Attribute=/Script/DSAbilitySystem.DungeonSiegeExperienceAttributeSet:CombatMagic,AttributeOwner=Class'"/Script/DSAbilitySystem.DungeonSiegeExperienceAttributeSet"')</v>
      </c>
      <c r="H417" s="43">
        <v>1</v>
      </c>
      <c r="I417" s="43" t="str">
        <f t="shared" si="19"/>
        <v>GE_Prefix_Notable</v>
      </c>
      <c r="J417" s="43" t="str">
        <f t="shared" si="20"/>
        <v>/Game/DungeonSiege/Blueprints/GameplayAbilities/Affixes/GE_Prefix_Notable</v>
      </c>
    </row>
    <row r="418" spans="1:10" s="23" customFormat="1" ht="33.75" x14ac:dyDescent="0.25">
      <c r="A418" s="43">
        <v>416</v>
      </c>
      <c r="B418" s="43">
        <f>VLOOKUP(C418,CHOOSE({2,1},Prefix!B$2:B$256,Prefix!C$2:C$256),2,FALSE)</f>
        <v>100663652</v>
      </c>
      <c r="C418" s="43" t="s">
        <v>1059</v>
      </c>
      <c r="D418" s="43" t="s">
        <v>230</v>
      </c>
      <c r="E418" s="43" t="str">
        <f>VLOOKUP(F418,CHOOSE({2,1},Attributes!B$3:B$130,Attributes!C$3:C$129),2,FALSE)</f>
        <v>DungeonSiegeMagicAttributeSet</v>
      </c>
      <c r="F418" s="43" t="str">
        <f>Attributes!C43</f>
        <v>PercentMagicDamageReduction</v>
      </c>
      <c r="G418" s="43" t="str">
        <f t="shared" si="18"/>
        <v>(AttributeName="PercentMagicDamageReduction",Attribute=/Script/DSAbilitySystem.DungeonSiegeMagicAttributeSet:PercentMagicDamageReduction,AttributeOwner=Class'"/Script/DSAbilitySystem.DungeonSiegeMagicAttributeSet"')</v>
      </c>
      <c r="H418" s="43">
        <v>5</v>
      </c>
      <c r="I418" s="43" t="str">
        <f t="shared" si="19"/>
        <v>GE_Prefix_Notable</v>
      </c>
      <c r="J418" s="43" t="str">
        <f t="shared" si="20"/>
        <v>/Game/DungeonSiege/Blueprints/GameplayAbilities/Affixes/GE_Prefix_Notable</v>
      </c>
    </row>
    <row r="419" spans="1:10" ht="33.75" x14ac:dyDescent="0.25">
      <c r="A419" s="43">
        <v>417</v>
      </c>
      <c r="B419" s="43">
        <f>VLOOKUP(C419,CHOOSE({2,1},Prefix!B$2:B$256,Prefix!C$2:C$256),2,FALSE)</f>
        <v>100663652</v>
      </c>
      <c r="C419" s="43" t="s">
        <v>1059</v>
      </c>
      <c r="D419" s="43" t="s">
        <v>965</v>
      </c>
      <c r="E419" s="43" t="str">
        <f>VLOOKUP(F419,CHOOSE({2,1},Attributes!B$3:B$130,Attributes!C$3:C$129),2,FALSE)</f>
        <v>DungeonSiegeDamageAttributeSet</v>
      </c>
      <c r="F419" s="43" t="str">
        <f>Attributes!C24</f>
        <v>PercentPiercingDamageReduction</v>
      </c>
      <c r="G419" s="43" t="str">
        <f t="shared" si="18"/>
        <v>(AttributeName="PercentPiercingDamageReduction",Attribute=/Script/DSAbilitySystem.DungeonSiegeDamageAttributeSet:PercentPiercingDamageReduction,AttributeOwner=Class'"/Script/DSAbilitySystem.DungeonSiegeDamageAttributeSet"')</v>
      </c>
      <c r="H419" s="43">
        <v>4</v>
      </c>
      <c r="I419" s="43" t="str">
        <f t="shared" si="19"/>
        <v>GE_Prefix_Notable</v>
      </c>
      <c r="J419" s="43" t="str">
        <f t="shared" si="20"/>
        <v>/Game/DungeonSiege/Blueprints/GameplayAbilities/Affixes/GE_Prefix_Notable</v>
      </c>
    </row>
    <row r="420" spans="1:10" ht="33.75" x14ac:dyDescent="0.25">
      <c r="A420" s="43">
        <v>418</v>
      </c>
      <c r="B420" s="43">
        <f>VLOOKUP(C420,CHOOSE({2,1},Prefix!B$2:B$256,Prefix!C$2:C$256),2,FALSE)</f>
        <v>100663653</v>
      </c>
      <c r="C420" s="43" t="s">
        <v>1061</v>
      </c>
      <c r="D420" s="43" t="s">
        <v>257</v>
      </c>
      <c r="E420" s="43" t="str">
        <f>VLOOKUP(F420,CHOOSE({2,1},Attributes!B$3:B$130,Attributes!C$3:C$129),2,FALSE)</f>
        <v>DungeonSiegeDefenseAttributeSet</v>
      </c>
      <c r="F420" s="43" t="str">
        <f>Attributes!C10</f>
        <v>ArmorRating</v>
      </c>
      <c r="G420" s="43" t="str">
        <f t="shared" si="18"/>
        <v>(AttributeName="ArmorRating",Attribute=/Script/DSAbilitySystem.DungeonSiegeDefenseAttributeSet:ArmorRating,AttributeOwner=Class'"/Script/DSAbilitySystem.DungeonSiegeDefenseAttributeSet"')</v>
      </c>
      <c r="H420" s="43">
        <v>25</v>
      </c>
      <c r="I420" s="43" t="str">
        <f t="shared" si="19"/>
        <v>GE_Prefix_Burly</v>
      </c>
      <c r="J420" s="43" t="str">
        <f t="shared" si="20"/>
        <v>/Game/DungeonSiege/Blueprints/GameplayAbilities/Affixes/GE_Prefix_Burly</v>
      </c>
    </row>
    <row r="421" spans="1:10" ht="33.75" x14ac:dyDescent="0.25">
      <c r="A421" s="43">
        <v>419</v>
      </c>
      <c r="B421" s="43">
        <f>VLOOKUP(C421,CHOOSE({2,1},Prefix!B$2:B$256,Prefix!C$2:C$256),2,FALSE)</f>
        <v>100663654</v>
      </c>
      <c r="C421" s="43" t="s">
        <v>1063</v>
      </c>
      <c r="D421" s="43" t="s">
        <v>827</v>
      </c>
      <c r="E421" s="43" t="str">
        <f>VLOOKUP(F421,CHOOSE({2,1},Attributes!B$3:B$130,Attributes!C$3:C$129),2,FALSE)</f>
        <v>DungeonSiegeDamageAttributeSet</v>
      </c>
      <c r="F421" s="43" t="str">
        <f>Attributes!C31</f>
        <v>PercentMeleeDamageReduction</v>
      </c>
      <c r="G421" s="43" t="str">
        <f t="shared" si="18"/>
        <v>(AttributeName="PercentMeleeDamageReduction",Attribute=/Script/DSAbilitySystem.DungeonSiegeDamageAttributeSet:PercentMeleeDamageReduction,AttributeOwner=Class'"/Script/DSAbilitySystem.DungeonSiegeDamageAttributeSet"')</v>
      </c>
      <c r="H421" s="43">
        <v>10</v>
      </c>
      <c r="I421" s="43" t="str">
        <f t="shared" si="19"/>
        <v>GE_Prefix_Neutralizing</v>
      </c>
      <c r="J421" s="43" t="str">
        <f t="shared" si="20"/>
        <v>/Game/DungeonSiege/Blueprints/GameplayAbilities/Affixes/GE_Prefix_Neutralizing</v>
      </c>
    </row>
    <row r="422" spans="1:10" ht="33.75" x14ac:dyDescent="0.25">
      <c r="A422" s="43">
        <v>420</v>
      </c>
      <c r="B422" s="43">
        <f>VLOOKUP(C422,CHOOSE({2,1},Prefix!B$2:B$256,Prefix!C$2:C$256),2,FALSE)</f>
        <v>100663655</v>
      </c>
      <c r="C422" s="43" t="s">
        <v>261</v>
      </c>
      <c r="D422" s="43" t="s">
        <v>260</v>
      </c>
      <c r="E422" s="43" t="str">
        <f>VLOOKUP(F422,CHOOSE({2,1},Attributes!B$3:B$130,Attributes!C$3:C$129),2,FALSE)</f>
        <v>DungeonSiegeMagicAttributeSet</v>
      </c>
      <c r="F422" s="43" t="str">
        <f>Attributes!C43</f>
        <v>PercentMagicDamageReduction</v>
      </c>
      <c r="G422" s="43" t="str">
        <f t="shared" si="18"/>
        <v>(AttributeName="PercentMagicDamageReduction",Attribute=/Script/DSAbilitySystem.DungeonSiegeMagicAttributeSet:PercentMagicDamageReduction,AttributeOwner=Class'"/Script/DSAbilitySystem.DungeonSiegeMagicAttributeSet"')</v>
      </c>
      <c r="H422" s="43">
        <v>11</v>
      </c>
      <c r="I422" s="43" t="str">
        <f t="shared" si="19"/>
        <v>GE_Prefix_Harsh</v>
      </c>
      <c r="J422" s="43" t="str">
        <f t="shared" si="20"/>
        <v>/Game/DungeonSiege/Blueprints/GameplayAbilities/Affixes/GE_Prefix_Harsh</v>
      </c>
    </row>
    <row r="423" spans="1:10" s="23" customFormat="1" ht="33.75" x14ac:dyDescent="0.25">
      <c r="A423" s="43">
        <v>421</v>
      </c>
      <c r="B423" s="43">
        <f>VLOOKUP(C423,CHOOSE({2,1},Prefix!B$2:B$256,Prefix!C$2:C$256),2,FALSE)</f>
        <v>100663656</v>
      </c>
      <c r="C423" s="43" t="s">
        <v>1065</v>
      </c>
      <c r="D423" s="43" t="s">
        <v>3193</v>
      </c>
      <c r="E423" s="43" t="str">
        <f>VLOOKUP(F423,CHOOSE({2,1},Attributes!B$3:B$130,Attributes!C$3:C$129),2,FALSE)</f>
        <v>DungeonSiegeDefenseAttributeSet</v>
      </c>
      <c r="F423" s="43" t="str">
        <f>Attributes!C10</f>
        <v>ArmorRating</v>
      </c>
      <c r="G423" s="43" t="str">
        <f t="shared" si="18"/>
        <v>(AttributeName="ArmorRating",Attribute=/Script/DSAbilitySystem.DungeonSiegeDefenseAttributeSet:ArmorRating,AttributeOwner=Class'"/Script/DSAbilitySystem.DungeonSiegeDefenseAttributeSet"')</v>
      </c>
      <c r="H423" s="43">
        <v>20</v>
      </c>
      <c r="I423" s="43" t="str">
        <f t="shared" si="19"/>
        <v>GE_Prefix_Lurid</v>
      </c>
      <c r="J423" s="43" t="str">
        <f t="shared" si="20"/>
        <v>/Game/DungeonSiege/Blueprints/GameplayAbilities/Affixes/GE_Prefix_Lurid</v>
      </c>
    </row>
    <row r="424" spans="1:10" ht="33.75" x14ac:dyDescent="0.25">
      <c r="A424" s="43">
        <v>422</v>
      </c>
      <c r="B424" s="43">
        <f>VLOOKUP(C424,CHOOSE({2,1},Prefix!B$2:B$256,Prefix!C$2:C$256),2,FALSE)</f>
        <v>100663656</v>
      </c>
      <c r="C424" s="43" t="s">
        <v>1065</v>
      </c>
      <c r="D424" s="43" t="s">
        <v>747</v>
      </c>
      <c r="E424" s="43" t="str">
        <f>VLOOKUP(F424,CHOOSE({2,1},Attributes!B$3:B$130,Attributes!C$3:C$129),2,FALSE)</f>
        <v>DungeonSiegeDamageAttributeSet</v>
      </c>
      <c r="F424" s="43" t="str">
        <f>Attributes!C34</f>
        <v>ChanceToDodgeMeleeAttack</v>
      </c>
      <c r="G424" s="43" t="str">
        <f t="shared" si="18"/>
        <v>(AttributeName="ChanceToDodgeMeleeAttack",Attribute=/Script/DSAbilitySystem.DungeonSiegeDamageAttributeSet:ChanceToDodgeMeleeAttack,AttributeOwner=Class'"/Script/DSAbilitySystem.DungeonSiegeDamageAttributeSet"')</v>
      </c>
      <c r="H424" s="43">
        <v>5</v>
      </c>
      <c r="I424" s="43" t="str">
        <f t="shared" si="19"/>
        <v>GE_Prefix_Lurid</v>
      </c>
      <c r="J424" s="43" t="str">
        <f t="shared" si="20"/>
        <v>/Game/DungeonSiege/Blueprints/GameplayAbilities/Affixes/GE_Prefix_Lurid</v>
      </c>
    </row>
    <row r="425" spans="1:10" ht="33.75" x14ac:dyDescent="0.25">
      <c r="A425" s="43">
        <v>423</v>
      </c>
      <c r="B425" s="43">
        <f>VLOOKUP(C425,CHOOSE({2,1},Prefix!B$2:B$256,Prefix!C$2:C$256),2,FALSE)</f>
        <v>100663657</v>
      </c>
      <c r="C425" s="43" t="s">
        <v>258</v>
      </c>
      <c r="D425" s="43" t="s">
        <v>257</v>
      </c>
      <c r="E425" s="43" t="str">
        <f>VLOOKUP(F425,CHOOSE({2,1},Attributes!B$3:B$130,Attributes!C$3:C$129),2,FALSE)</f>
        <v>DungeonSiegeDefenseAttributeSet</v>
      </c>
      <c r="F425" s="43" t="str">
        <f>Attributes!C10</f>
        <v>ArmorRating</v>
      </c>
      <c r="G425" s="43" t="str">
        <f t="shared" si="18"/>
        <v>(AttributeName="ArmorRating",Attribute=/Script/DSAbilitySystem.DungeonSiegeDefenseAttributeSet:ArmorRating,AttributeOwner=Class'"/Script/DSAbilitySystem.DungeonSiegeDefenseAttributeSet"')</v>
      </c>
      <c r="H425" s="43">
        <v>25</v>
      </c>
      <c r="I425" s="43" t="str">
        <f t="shared" si="19"/>
        <v>GE_Prefix_Mystical</v>
      </c>
      <c r="J425" s="43" t="str">
        <f t="shared" si="20"/>
        <v>/Game/DungeonSiege/Blueprints/GameplayAbilities/Affixes/GE_Prefix_Mystical</v>
      </c>
    </row>
    <row r="426" spans="1:10" s="23" customFormat="1" ht="33.75" x14ac:dyDescent="0.25">
      <c r="A426" s="43">
        <v>424</v>
      </c>
      <c r="B426" s="43">
        <f>VLOOKUP(C426,CHOOSE({2,1},Prefix!B$2:B$256,Prefix!C$2:C$256),2,FALSE)</f>
        <v>100663664</v>
      </c>
      <c r="C426" s="43" t="s">
        <v>1067</v>
      </c>
      <c r="D426" s="43" t="s">
        <v>45</v>
      </c>
      <c r="E426" s="43" t="str">
        <f>VLOOKUP(F426,CHOOSE({2,1},Attributes!B$3:B$130,Attributes!C$3:C$129),2,FALSE)</f>
        <v>DungeonSiegeHealthAttributeSet</v>
      </c>
      <c r="F426" s="43" t="str">
        <f>Attributes!C82</f>
        <v>BaseHealthBonus</v>
      </c>
      <c r="G426" s="43" t="str">
        <f t="shared" si="18"/>
        <v>(AttributeName="BaseHealthBonus",Attribute=/Script/DSAbilitySystem.DungeonSiegeHealthAttributeSet:BaseHealthBonus,AttributeOwner=Class'"/Script/DSAbilitySystem.DungeonSiegeHealthAttributeSet"')</v>
      </c>
      <c r="H426" s="43">
        <v>17</v>
      </c>
      <c r="I426" s="43" t="str">
        <f t="shared" si="19"/>
        <v>GE_Prefix_Exceptional</v>
      </c>
      <c r="J426" s="43" t="str">
        <f t="shared" si="20"/>
        <v>/Game/DungeonSiege/Blueprints/GameplayAbilities/Affixes/GE_Prefix_Exceptional</v>
      </c>
    </row>
    <row r="427" spans="1:10" s="23" customFormat="1" ht="33.75" x14ac:dyDescent="0.25">
      <c r="A427" s="43">
        <v>425</v>
      </c>
      <c r="B427" s="43">
        <f>VLOOKUP(C427,CHOOSE({2,1},Prefix!B$2:B$256,Prefix!C$2:C$256),2,FALSE)</f>
        <v>100663664</v>
      </c>
      <c r="C427" s="43" t="s">
        <v>1067</v>
      </c>
      <c r="D427" s="43" t="s">
        <v>881</v>
      </c>
      <c r="E427" s="43" t="str">
        <f>VLOOKUP(F427,CHOOSE({2,1},Attributes!B$3:B$130,Attributes!C$3:C$129),2,FALSE)</f>
        <v>DungeonSiegePerHitAttributeSet</v>
      </c>
      <c r="F427" s="43" t="str">
        <f>Attributes!C14</f>
        <v>ManaStealPerHit</v>
      </c>
      <c r="G427" s="43" t="str">
        <f t="shared" si="18"/>
        <v>(AttributeName="ManaStealPerHit",Attribute=/Script/DSAbilitySystem.DungeonSiegePerHitAttributeSet:ManaStealPerHit,AttributeOwner=Class'"/Script/DSAbilitySystem.DungeonSiegePerHitAttributeSet"')</v>
      </c>
      <c r="H427" s="43">
        <v>1</v>
      </c>
      <c r="I427" s="43" t="str">
        <f t="shared" si="19"/>
        <v>GE_Prefix_Exceptional</v>
      </c>
      <c r="J427" s="43" t="str">
        <f t="shared" si="20"/>
        <v>/Game/DungeonSiege/Blueprints/GameplayAbilities/Affixes/GE_Prefix_Exceptional</v>
      </c>
    </row>
    <row r="428" spans="1:10" s="23" customFormat="1" ht="33.75" x14ac:dyDescent="0.25">
      <c r="A428" s="43">
        <v>426</v>
      </c>
      <c r="B428" s="43">
        <f>VLOOKUP(C428,CHOOSE({2,1},Prefix!B$2:B$256,Prefix!C$2:C$256),2,FALSE)</f>
        <v>100663664</v>
      </c>
      <c r="C428" s="43" t="s">
        <v>1067</v>
      </c>
      <c r="D428" s="43" t="s">
        <v>3194</v>
      </c>
      <c r="E428" s="43" t="str">
        <f>VLOOKUP(F428,CHOOSE({2,1},Attributes!B$3:B$130,Attributes!C$3:C$129),2,FALSE)</f>
        <v>DungeonSiegeDefenseAttributeSet</v>
      </c>
      <c r="F428" s="43" t="str">
        <f>Attributes!C10</f>
        <v>ArmorRating</v>
      </c>
      <c r="G428" s="43" t="str">
        <f t="shared" si="18"/>
        <v>(AttributeName="ArmorRating",Attribute=/Script/DSAbilitySystem.DungeonSiegeDefenseAttributeSet:ArmorRating,AttributeOwner=Class'"/Script/DSAbilitySystem.DungeonSiegeDefenseAttributeSet"')</v>
      </c>
      <c r="H428" s="43">
        <v>9</v>
      </c>
      <c r="I428" s="43" t="str">
        <f t="shared" si="19"/>
        <v>GE_Prefix_Exceptional</v>
      </c>
      <c r="J428" s="43" t="str">
        <f t="shared" si="20"/>
        <v>/Game/DungeonSiege/Blueprints/GameplayAbilities/Affixes/GE_Prefix_Exceptional</v>
      </c>
    </row>
    <row r="429" spans="1:10" ht="33.75" x14ac:dyDescent="0.25">
      <c r="A429" s="43">
        <v>427</v>
      </c>
      <c r="B429" s="43">
        <f>VLOOKUP(C429,CHOOSE({2,1},Prefix!B$2:B$256,Prefix!C$2:C$256),2,FALSE)</f>
        <v>100663664</v>
      </c>
      <c r="C429" s="43" t="s">
        <v>1067</v>
      </c>
      <c r="D429" s="43" t="s">
        <v>3195</v>
      </c>
      <c r="E429" s="43" t="str">
        <f>VLOOKUP(F429,CHOOSE({2,1},Attributes!B$3:B$130,Attributes!C$3:C$129),2,FALSE)</f>
        <v>DungeonSiegeMagicAttributeSet</v>
      </c>
      <c r="F429" s="43" t="str">
        <f>Attributes!C43</f>
        <v>PercentMagicDamageReduction</v>
      </c>
      <c r="G429" s="43" t="str">
        <f t="shared" si="18"/>
        <v>(AttributeName="PercentMagicDamageReduction",Attribute=/Script/DSAbilitySystem.DungeonSiegeMagicAttributeSet:PercentMagicDamageReduction,AttributeOwner=Class'"/Script/DSAbilitySystem.DungeonSiegeMagicAttributeSet"')</v>
      </c>
      <c r="H429" s="43">
        <v>8</v>
      </c>
      <c r="I429" s="43" t="str">
        <f t="shared" si="19"/>
        <v>GE_Prefix_Exceptional</v>
      </c>
      <c r="J429" s="43" t="str">
        <f t="shared" si="20"/>
        <v>/Game/DungeonSiege/Blueprints/GameplayAbilities/Affixes/GE_Prefix_Exceptional</v>
      </c>
    </row>
    <row r="430" spans="1:10" s="23" customFormat="1" ht="33.75" x14ac:dyDescent="0.25">
      <c r="A430" s="43">
        <v>428</v>
      </c>
      <c r="B430" s="43">
        <f>VLOOKUP(C430,CHOOSE({2,1},Prefix!B$2:B$256,Prefix!C$2:C$256),2,FALSE)</f>
        <v>100663665</v>
      </c>
      <c r="C430" s="43" t="s">
        <v>1069</v>
      </c>
      <c r="D430" s="43" t="s">
        <v>712</v>
      </c>
      <c r="E430" s="43" t="str">
        <f>VLOOKUP(F430,CHOOSE({2,1},Attributes!B$3:B$130,Attributes!C$3:C$129),2,FALSE)</f>
        <v>DungeonSiegeExperienceAttributeSet</v>
      </c>
      <c r="F430" s="43" t="str">
        <f>Attributes!C9</f>
        <v>Melee</v>
      </c>
      <c r="G430" s="43" t="str">
        <f t="shared" si="18"/>
        <v>(AttributeName="Melee",Attribute=/Script/DSAbilitySystem.DungeonSiegeExperienceAttributeSet:Melee,AttributeOwner=Class'"/Script/DSAbilitySystem.DungeonSiegeExperienceAttributeSet"')</v>
      </c>
      <c r="H430" s="43">
        <v>2</v>
      </c>
      <c r="I430" s="43" t="str">
        <f t="shared" si="19"/>
        <v>GE_Prefix_Legendary</v>
      </c>
      <c r="J430" s="43" t="str">
        <f t="shared" si="20"/>
        <v>/Game/DungeonSiege/Blueprints/GameplayAbilities/Affixes/GE_Prefix_Legendary</v>
      </c>
    </row>
    <row r="431" spans="1:10" s="23" customFormat="1" ht="33.75" x14ac:dyDescent="0.25">
      <c r="A431" s="43">
        <v>429</v>
      </c>
      <c r="B431" s="43">
        <f>VLOOKUP(C431,CHOOSE({2,1},Prefix!B$2:B$256,Prefix!C$2:C$256),2,FALSE)</f>
        <v>100663665</v>
      </c>
      <c r="C431" s="43" t="s">
        <v>1069</v>
      </c>
      <c r="D431" s="43" t="s">
        <v>207</v>
      </c>
      <c r="E431" s="43" t="str">
        <f>VLOOKUP(F431,CHOOSE({2,1},Attributes!B$3:B$130,Attributes!C$3:C$129),2,FALSE)</f>
        <v>DungeonSiegeExperienceAttributeSet</v>
      </c>
      <c r="F431" s="43" t="str">
        <f>Attributes!C7</f>
        <v>NatureMagic</v>
      </c>
      <c r="G431" s="43" t="str">
        <f t="shared" si="18"/>
        <v>(AttributeName="NatureMagic",Attribute=/Script/DSAbilitySystem.DungeonSiegeExperienceAttributeSet:NatureMagic,AttributeOwner=Class'"/Script/DSAbilitySystem.DungeonSiegeExperienceAttributeSet"')</v>
      </c>
      <c r="H431" s="43">
        <v>1</v>
      </c>
      <c r="I431" s="43" t="str">
        <f t="shared" si="19"/>
        <v>GE_Prefix_Legendary</v>
      </c>
      <c r="J431" s="43" t="str">
        <f t="shared" si="20"/>
        <v>/Game/DungeonSiege/Blueprints/GameplayAbilities/Affixes/GE_Prefix_Legendary</v>
      </c>
    </row>
    <row r="432" spans="1:10" ht="33.75" x14ac:dyDescent="0.25">
      <c r="A432" s="43">
        <v>430</v>
      </c>
      <c r="B432" s="43">
        <f>VLOOKUP(C432,CHOOSE({2,1},Prefix!B$2:B$256,Prefix!C$2:C$256),2,FALSE)</f>
        <v>100663665</v>
      </c>
      <c r="C432" s="43" t="s">
        <v>1069</v>
      </c>
      <c r="D432" s="43" t="s">
        <v>867</v>
      </c>
      <c r="E432" s="43" t="str">
        <f>VLOOKUP(F432,CHOOSE({2,1},Attributes!B$3:B$130,Attributes!C$3:C$129),2,FALSE)</f>
        <v>DungeonSiegeDamageAttributeSet</v>
      </c>
      <c r="F432" s="43" t="str">
        <f>Attributes!C27</f>
        <v>PercentRangedDamageReduction</v>
      </c>
      <c r="G432" s="43" t="str">
        <f t="shared" si="18"/>
        <v>(AttributeName="PercentRangedDamageReduction",Attribute=/Script/DSAbilitySystem.DungeonSiegeDamageAttributeSet:PercentRangedDamageReduction,AttributeOwner=Class'"/Script/DSAbilitySystem.DungeonSiegeDamageAttributeSet"')</v>
      </c>
      <c r="H432" s="43">
        <v>3</v>
      </c>
      <c r="I432" s="43" t="str">
        <f t="shared" si="19"/>
        <v>GE_Prefix_Legendary</v>
      </c>
      <c r="J432" s="43" t="str">
        <f t="shared" si="20"/>
        <v>/Game/DungeonSiege/Blueprints/GameplayAbilities/Affixes/GE_Prefix_Legendary</v>
      </c>
    </row>
    <row r="433" spans="1:10" s="23" customFormat="1" ht="33.75" x14ac:dyDescent="0.25">
      <c r="A433" s="43">
        <v>431</v>
      </c>
      <c r="B433" s="43">
        <f>VLOOKUP(C433,CHOOSE({2,1},Prefix!B$2:B$256,Prefix!C$2:C$256),2,FALSE)</f>
        <v>100663666</v>
      </c>
      <c r="C433" s="43" t="s">
        <v>1071</v>
      </c>
      <c r="D433" s="43" t="s">
        <v>867</v>
      </c>
      <c r="E433" s="43" t="str">
        <f>VLOOKUP(F433,CHOOSE({2,1},Attributes!B$3:B$130,Attributes!C$3:C$129),2,FALSE)</f>
        <v>DungeonSiegeDamageAttributeSet</v>
      </c>
      <c r="F433" s="43" t="str">
        <f>Attributes!C27</f>
        <v>PercentRangedDamageReduction</v>
      </c>
      <c r="G433" s="43" t="str">
        <f t="shared" si="18"/>
        <v>(AttributeName="PercentRangedDamageReduction",Attribute=/Script/DSAbilitySystem.DungeonSiegeDamageAttributeSet:PercentRangedDamageReduction,AttributeOwner=Class'"/Script/DSAbilitySystem.DungeonSiegeDamageAttributeSet"')</v>
      </c>
      <c r="H433" s="43">
        <v>3</v>
      </c>
      <c r="I433" s="43" t="str">
        <f t="shared" si="19"/>
        <v>GE_Prefix_Predestined</v>
      </c>
      <c r="J433" s="43" t="str">
        <f t="shared" si="20"/>
        <v>/Game/DungeonSiege/Blueprints/GameplayAbilities/Affixes/GE_Prefix_Predestined</v>
      </c>
    </row>
    <row r="434" spans="1:10" s="23" customFormat="1" ht="33.75" x14ac:dyDescent="0.25">
      <c r="A434" s="43">
        <v>432</v>
      </c>
      <c r="B434" s="43">
        <f>VLOOKUP(C434,CHOOSE({2,1},Prefix!B$2:B$256,Prefix!C$2:C$256),2,FALSE)</f>
        <v>100663666</v>
      </c>
      <c r="C434" s="43" t="s">
        <v>1071</v>
      </c>
      <c r="D434" s="43" t="s">
        <v>747</v>
      </c>
      <c r="E434" s="43" t="str">
        <f>VLOOKUP(F434,CHOOSE({2,1},Attributes!B$3:B$130,Attributes!C$3:C$129),2,FALSE)</f>
        <v>DungeonSiegeDamageAttributeSet</v>
      </c>
      <c r="F434" s="43" t="str">
        <f>Attributes!C34</f>
        <v>ChanceToDodgeMeleeAttack</v>
      </c>
      <c r="G434" s="43" t="str">
        <f t="shared" si="18"/>
        <v>(AttributeName="ChanceToDodgeMeleeAttack",Attribute=/Script/DSAbilitySystem.DungeonSiegeDamageAttributeSet:ChanceToDodgeMeleeAttack,AttributeOwner=Class'"/Script/DSAbilitySystem.DungeonSiegeDamageAttributeSet"')</v>
      </c>
      <c r="H434" s="43">
        <v>5</v>
      </c>
      <c r="I434" s="43" t="str">
        <f t="shared" si="19"/>
        <v>GE_Prefix_Predestined</v>
      </c>
      <c r="J434" s="43" t="str">
        <f t="shared" si="20"/>
        <v>/Game/DungeonSiege/Blueprints/GameplayAbilities/Affixes/GE_Prefix_Predestined</v>
      </c>
    </row>
    <row r="435" spans="1:10" ht="33.75" x14ac:dyDescent="0.25">
      <c r="A435" s="43">
        <v>433</v>
      </c>
      <c r="B435" s="43">
        <f>VLOOKUP(C435,CHOOSE({2,1},Prefix!B$2:B$256,Prefix!C$2:C$256),2,FALSE)</f>
        <v>100663666</v>
      </c>
      <c r="C435" s="43" t="s">
        <v>1071</v>
      </c>
      <c r="D435" s="43" t="s">
        <v>3149</v>
      </c>
      <c r="E435" s="43" t="str">
        <f>VLOOKUP(F435,CHOOSE({2,1},Attributes!B$3:B$130,Attributes!C$3:C$129),2,FALSE)</f>
        <v>DungeonSiegeDefenseAttributeSet</v>
      </c>
      <c r="F435" s="43" t="str">
        <f>Attributes!C10</f>
        <v>ArmorRating</v>
      </c>
      <c r="G435" s="43" t="str">
        <f t="shared" si="18"/>
        <v>(AttributeName="ArmorRating",Attribute=/Script/DSAbilitySystem.DungeonSiegeDefenseAttributeSet:ArmorRating,AttributeOwner=Class'"/Script/DSAbilitySystem.DungeonSiegeDefenseAttributeSet"')</v>
      </c>
      <c r="H435" s="43">
        <v>7</v>
      </c>
      <c r="I435" s="43" t="str">
        <f t="shared" si="19"/>
        <v>GE_Prefix_Predestined</v>
      </c>
      <c r="J435" s="43" t="str">
        <f t="shared" si="20"/>
        <v>/Game/DungeonSiege/Blueprints/GameplayAbilities/Affixes/GE_Prefix_Predestined</v>
      </c>
    </row>
    <row r="436" spans="1:10" ht="33.75" x14ac:dyDescent="0.25">
      <c r="A436" s="43">
        <v>434</v>
      </c>
      <c r="B436" s="43">
        <f>VLOOKUP(C436,CHOOSE({2,1},Prefix!B$2:B$256,Prefix!C$2:C$256),2,FALSE)</f>
        <v>100663667</v>
      </c>
      <c r="C436" s="43" t="s">
        <v>1073</v>
      </c>
      <c r="D436" s="43" t="s">
        <v>1074</v>
      </c>
      <c r="E436" s="43" t="str">
        <f>VLOOKUP(F436,CHOOSE({2,1},Attributes!B$3:B$130,Attributes!C$3:C$129),2,FALSE)</f>
        <v>DungeonSiegeExperienceAttributeSet</v>
      </c>
      <c r="F436" s="43" t="str">
        <f>Attributes!C8</f>
        <v>Ranged</v>
      </c>
      <c r="G436" s="43" t="str">
        <f t="shared" si="18"/>
        <v>(AttributeName="Ranged",Attribute=/Script/DSAbilitySystem.DungeonSiegeExperienceAttributeSet:Ranged,AttributeOwner=Class'"/Script/DSAbilitySystem.DungeonSiegeExperienceAttributeSet"')</v>
      </c>
      <c r="H436" s="43">
        <v>2</v>
      </c>
      <c r="I436" s="43" t="str">
        <f t="shared" si="19"/>
        <v>GE_Prefix_Shooting</v>
      </c>
      <c r="J436" s="43" t="str">
        <f t="shared" si="20"/>
        <v>/Game/DungeonSiege/Blueprints/GameplayAbilities/Affixes/GE_Prefix_Shooting</v>
      </c>
    </row>
    <row r="437" spans="1:10" ht="33.75" x14ac:dyDescent="0.25">
      <c r="A437" s="43">
        <v>435</v>
      </c>
      <c r="B437" s="43">
        <f>VLOOKUP(C437,CHOOSE({2,1},Prefix!B$2:B$256,Prefix!C$2:C$256),2,FALSE)</f>
        <v>100663668</v>
      </c>
      <c r="C437" s="43" t="s">
        <v>255</v>
      </c>
      <c r="D437" s="43" t="s">
        <v>254</v>
      </c>
      <c r="E437" s="43" t="str">
        <f>VLOOKUP(F437,CHOOSE({2,1},Attributes!B$3:B$130,Attributes!C$3:C$129),2,FALSE)</f>
        <v>DungeonSiegeMagicAttributeSet</v>
      </c>
      <c r="F437" s="43" t="str">
        <f>Attributes!C45</f>
        <v>ColdDamageAmplification</v>
      </c>
      <c r="G437" s="43" t="str">
        <f t="shared" si="18"/>
        <v>(AttributeName="ColdDamageAmplification",Attribute=/Script/DSAbilitySystem.DungeonSiegeMagicAttributeSet:ColdDamageAmplification,AttributeOwner=Class'"/Script/DSAbilitySystem.DungeonSiegeMagicAttributeSet"')</v>
      </c>
      <c r="H437" s="43">
        <v>10</v>
      </c>
      <c r="I437" s="43" t="str">
        <f t="shared" si="19"/>
        <v>GE_Prefix_Arctic</v>
      </c>
      <c r="J437" s="43" t="str">
        <f t="shared" si="20"/>
        <v>/Game/DungeonSiege/Blueprints/GameplayAbilities/Affixes/GE_Prefix_Arctic</v>
      </c>
    </row>
    <row r="438" spans="1:10" ht="33.75" x14ac:dyDescent="0.25">
      <c r="A438" s="43">
        <v>436</v>
      </c>
      <c r="B438" s="43">
        <f>VLOOKUP(C438,CHOOSE({2,1},Prefix!B$2:B$256,Prefix!C$2:C$256),2,FALSE)</f>
        <v>100663669</v>
      </c>
      <c r="C438" s="43" t="s">
        <v>252</v>
      </c>
      <c r="D438" s="43" t="s">
        <v>251</v>
      </c>
      <c r="E438" s="43" t="str">
        <f>VLOOKUP(F438,CHOOSE({2,1},Attributes!B$3:B$130,Attributes!C$3:C$129),2,FALSE)</f>
        <v>DungeonSiegeMagicAttributeSet</v>
      </c>
      <c r="F438" s="43" t="str">
        <f>Attributes!C47</f>
        <v>FireDamageAmplification</v>
      </c>
      <c r="G438" s="43" t="str">
        <f t="shared" si="18"/>
        <v>(AttributeName="FireDamageAmplification",Attribute=/Script/DSAbilitySystem.DungeonSiegeMagicAttributeSet:FireDamageAmplification,AttributeOwner=Class'"/Script/DSAbilitySystem.DungeonSiegeMagicAttributeSet"')</v>
      </c>
      <c r="H438" s="43">
        <v>10</v>
      </c>
      <c r="I438" s="43" t="str">
        <f t="shared" si="19"/>
        <v>GE_Prefix_Combusting</v>
      </c>
      <c r="J438" s="43" t="str">
        <f t="shared" si="20"/>
        <v>/Game/DungeonSiege/Blueprints/GameplayAbilities/Affixes/GE_Prefix_Combusting</v>
      </c>
    </row>
    <row r="439" spans="1:10" ht="33.75" x14ac:dyDescent="0.25">
      <c r="A439" s="43">
        <v>437</v>
      </c>
      <c r="B439" s="43">
        <f>VLOOKUP(C439,CHOOSE({2,1},Prefix!B$2:B$256,Prefix!C$2:C$256),2,FALSE)</f>
        <v>100663670</v>
      </c>
      <c r="C439" s="43" t="s">
        <v>1076</v>
      </c>
      <c r="D439" s="43" t="s">
        <v>248</v>
      </c>
      <c r="E439" s="43" t="str">
        <f>VLOOKUP(F439,CHOOSE({2,1},Attributes!B$3:B$130,Attributes!C$3:C$129),2,FALSE)</f>
        <v>DungeonSiegeMagicAttributeSet</v>
      </c>
      <c r="F439" s="43" t="str">
        <f>Attributes!C48</f>
        <v>ElectricDamageAmplification</v>
      </c>
      <c r="G439" s="43" t="str">
        <f t="shared" si="18"/>
        <v>(AttributeName="ElectricDamageAmplification",Attribute=/Script/DSAbilitySystem.DungeonSiegeMagicAttributeSet:ElectricDamageAmplification,AttributeOwner=Class'"/Script/DSAbilitySystem.DungeonSiegeMagicAttributeSet"')</v>
      </c>
      <c r="H439" s="43">
        <v>10</v>
      </c>
      <c r="I439" s="43" t="str">
        <f t="shared" si="19"/>
        <v>GE_Prefix_zapping</v>
      </c>
      <c r="J439" s="43" t="str">
        <f t="shared" si="20"/>
        <v>/Game/DungeonSiege/Blueprints/GameplayAbilities/Affixes/GE_Prefix_zapping</v>
      </c>
    </row>
    <row r="440" spans="1:10" ht="33.75" x14ac:dyDescent="0.25">
      <c r="A440" s="43">
        <v>438</v>
      </c>
      <c r="B440" s="43">
        <f>VLOOKUP(C440,CHOOSE({2,1},Prefix!B$2:B$256,Prefix!C$2:C$256),2,FALSE)</f>
        <v>100663671</v>
      </c>
      <c r="C440" s="43" t="s">
        <v>1077</v>
      </c>
      <c r="D440" s="43" t="s">
        <v>3223</v>
      </c>
      <c r="E440" s="43" t="str">
        <f>VLOOKUP(F440,CHOOSE({2,1},Attributes!B$3:B$130,Attributes!C$3:C$129),2,FALSE)</f>
        <v>DungeonSiegeStatusEffectAttributeSet</v>
      </c>
      <c r="F440" s="43" t="str">
        <f>Attributes!C75</f>
        <v>ChanceToStupify</v>
      </c>
      <c r="G440" s="43" t="str">
        <f t="shared" si="18"/>
        <v>(AttributeName="ChanceToStupify",Attribute=/Script/DSAbilitySystem.DungeonSiegeStatusEffectAttributeSet:ChanceToStupify,AttributeOwner=Class'"/Script/DSAbilitySystem.DungeonSiegeStatusEffectAttributeSet"')</v>
      </c>
      <c r="H440" s="43">
        <v>15</v>
      </c>
      <c r="I440" s="43" t="str">
        <f t="shared" si="19"/>
        <v>GE_Prefix_Stupefying</v>
      </c>
      <c r="J440" s="43" t="str">
        <f t="shared" si="20"/>
        <v>/Game/DungeonSiege/Blueprints/GameplayAbilities/Affixes/GE_Prefix_Stupefying</v>
      </c>
    </row>
    <row r="441" spans="1:10" s="23" customFormat="1" ht="33.75" x14ac:dyDescent="0.25">
      <c r="A441" s="43">
        <v>439</v>
      </c>
      <c r="B441" s="43">
        <f>VLOOKUP(C441,CHOOSE({2,1},Prefix!B$2:B$256,Prefix!C$2:C$256),2,FALSE)</f>
        <v>100663671</v>
      </c>
      <c r="C441" s="43" t="s">
        <v>1077</v>
      </c>
      <c r="D441" s="43" t="s">
        <v>3196</v>
      </c>
      <c r="E441" s="43" t="str">
        <f>VLOOKUP(F441,CHOOSE({2,1},Attributes!B$3:B$130,Attributes!C$3:C$129),2,FALSE)</f>
        <v>DungeonSiegeStatusEffectAttributeSet</v>
      </c>
      <c r="F441" s="43" t="str">
        <f>Attributes!C76</f>
        <v>StupifyMinDamageMod</v>
      </c>
      <c r="G441" s="43" t="str">
        <f t="shared" si="18"/>
        <v>(AttributeName="StupifyMinDamageMod",Attribute=/Script/DSAbilitySystem.DungeonSiegeStatusEffectAttributeSet:StupifyMinDamageMod,AttributeOwner=Class'"/Script/DSAbilitySystem.DungeonSiegeStatusEffectAttributeSet"')</v>
      </c>
      <c r="H441" s="43">
        <v>1</v>
      </c>
      <c r="I441" s="43" t="str">
        <f t="shared" si="19"/>
        <v>GE_Prefix_Stupefying</v>
      </c>
      <c r="J441" s="43" t="str">
        <f t="shared" si="20"/>
        <v>/Game/DungeonSiege/Blueprints/GameplayAbilities/Affixes/GE_Prefix_Stupefying</v>
      </c>
    </row>
    <row r="442" spans="1:10" ht="33.75" x14ac:dyDescent="0.25">
      <c r="A442" s="43">
        <v>440</v>
      </c>
      <c r="B442" s="43">
        <f>VLOOKUP(C442,CHOOSE({2,1},Prefix!B$2:B$256,Prefix!C$2:C$256),2,FALSE)</f>
        <v>100663671</v>
      </c>
      <c r="C442" s="43" t="s">
        <v>1077</v>
      </c>
      <c r="D442" s="43" t="s">
        <v>3196</v>
      </c>
      <c r="E442" s="43" t="str">
        <f>VLOOKUP(F442,CHOOSE({2,1},Attributes!B$3:B$130,Attributes!C$3:C$129),2,FALSE)</f>
        <v>DungeonSiegeStatusEffectAttributeSet</v>
      </c>
      <c r="F442" s="43" t="str">
        <f>Attributes!C77</f>
        <v>StupifyMaxDamageMod</v>
      </c>
      <c r="G442" s="43" t="str">
        <f t="shared" si="18"/>
        <v>(AttributeName="StupifyMaxDamageMod",Attribute=/Script/DSAbilitySystem.DungeonSiegeStatusEffectAttributeSet:StupifyMaxDamageMod,AttributeOwner=Class'"/Script/DSAbilitySystem.DungeonSiegeStatusEffectAttributeSet"')</v>
      </c>
      <c r="H442" s="43">
        <v>5</v>
      </c>
      <c r="I442" s="43" t="str">
        <f t="shared" si="19"/>
        <v>GE_Prefix_Stupefying</v>
      </c>
      <c r="J442" s="43" t="str">
        <f t="shared" si="20"/>
        <v>/Game/DungeonSiege/Blueprints/GameplayAbilities/Affixes/GE_Prefix_Stupefying</v>
      </c>
    </row>
    <row r="443" spans="1:10" s="23" customFormat="1" ht="33.75" x14ac:dyDescent="0.25">
      <c r="A443" s="43">
        <v>441</v>
      </c>
      <c r="B443" s="43">
        <f>VLOOKUP(C443,CHOOSE({2,1},Prefix!B$2:B$256,Prefix!C$2:C$256),2,FALSE)</f>
        <v>100663672</v>
      </c>
      <c r="C443" s="43" t="s">
        <v>1078</v>
      </c>
      <c r="D443" s="43" t="s">
        <v>861</v>
      </c>
      <c r="E443" s="43" t="str">
        <f>VLOOKUP(F443,CHOOSE({2,1},Attributes!B$3:B$130,Attributes!C$3:C$129),2,FALSE)</f>
        <v>DungeonSiegePerHitAttributeSet</v>
      </c>
      <c r="F443" s="43" t="str">
        <f>Attributes!C13</f>
        <v>HealthStealPerHit</v>
      </c>
      <c r="G443" s="43" t="str">
        <f t="shared" si="18"/>
        <v>(AttributeName="HealthStealPerHit",Attribute=/Script/DSAbilitySystem.DungeonSiegePerHitAttributeSet:HealthStealPerHit,AttributeOwner=Class'"/Script/DSAbilitySystem.DungeonSiegePerHitAttributeSet"')</v>
      </c>
      <c r="H443" s="43">
        <v>1</v>
      </c>
      <c r="I443" s="43" t="str">
        <f t="shared" si="19"/>
        <v>GE_Prefix_Remarkable</v>
      </c>
      <c r="J443" s="43" t="str">
        <f t="shared" si="20"/>
        <v>/Game/DungeonSiege/Blueprints/GameplayAbilities/Affixes/GE_Prefix_Remarkable</v>
      </c>
    </row>
    <row r="444" spans="1:10" s="23" customFormat="1" ht="33.75" x14ac:dyDescent="0.25">
      <c r="A444" s="43">
        <v>442</v>
      </c>
      <c r="B444" s="43">
        <f>VLOOKUP(C444,CHOOSE({2,1},Prefix!B$2:B$256,Prefix!C$2:C$256),2,FALSE)</f>
        <v>100663672</v>
      </c>
      <c r="C444" s="43" t="s">
        <v>1078</v>
      </c>
      <c r="D444" s="43" t="s">
        <v>207</v>
      </c>
      <c r="E444" s="43" t="str">
        <f>VLOOKUP(F444,CHOOSE({2,1},Attributes!B$3:B$130,Attributes!C$3:C$129),2,FALSE)</f>
        <v>DungeonSiegeExperienceAttributeSet</v>
      </c>
      <c r="F444" s="43" t="str">
        <f>Attributes!C7</f>
        <v>NatureMagic</v>
      </c>
      <c r="G444" s="43" t="str">
        <f t="shared" si="18"/>
        <v>(AttributeName="NatureMagic",Attribute=/Script/DSAbilitySystem.DungeonSiegeExperienceAttributeSet:NatureMagic,AttributeOwner=Class'"/Script/DSAbilitySystem.DungeonSiegeExperienceAttributeSet"')</v>
      </c>
      <c r="H444" s="43">
        <v>1</v>
      </c>
      <c r="I444" s="43" t="str">
        <f t="shared" si="19"/>
        <v>GE_Prefix_Remarkable</v>
      </c>
      <c r="J444" s="43" t="str">
        <f t="shared" si="20"/>
        <v>/Game/DungeonSiege/Blueprints/GameplayAbilities/Affixes/GE_Prefix_Remarkable</v>
      </c>
    </row>
    <row r="445" spans="1:10" s="23" customFormat="1" ht="33.75" x14ac:dyDescent="0.25">
      <c r="A445" s="43">
        <v>443</v>
      </c>
      <c r="B445" s="43">
        <f>VLOOKUP(C445,CHOOSE({2,1},Prefix!B$2:B$256,Prefix!C$2:C$256),2,FALSE)</f>
        <v>100663672</v>
      </c>
      <c r="C445" s="43" t="s">
        <v>1078</v>
      </c>
      <c r="D445" s="43" t="s">
        <v>204</v>
      </c>
      <c r="E445" s="43" t="str">
        <f>VLOOKUP(F445,CHOOSE({2,1},Attributes!B$3:B$130,Attributes!C$3:C$129),2,FALSE)</f>
        <v>DungeonSiegeExperienceAttributeSet</v>
      </c>
      <c r="F445" s="43" t="str">
        <f>Attributes!C6</f>
        <v>CombatMagic</v>
      </c>
      <c r="G445" s="43" t="str">
        <f t="shared" si="18"/>
        <v>(AttributeName="CombatMagic",Attribute=/Script/DSAbilitySystem.DungeonSiegeExperienceAttributeSet:CombatMagic,AttributeOwner=Class'"/Script/DSAbilitySystem.DungeonSiegeExperienceAttributeSet"')</v>
      </c>
      <c r="H445" s="43">
        <v>1</v>
      </c>
      <c r="I445" s="43" t="str">
        <f t="shared" si="19"/>
        <v>GE_Prefix_Remarkable</v>
      </c>
      <c r="J445" s="43" t="str">
        <f t="shared" si="20"/>
        <v>/Game/DungeonSiege/Blueprints/GameplayAbilities/Affixes/GE_Prefix_Remarkable</v>
      </c>
    </row>
    <row r="446" spans="1:10" ht="33.75" x14ac:dyDescent="0.25">
      <c r="A446" s="43">
        <v>444</v>
      </c>
      <c r="B446" s="43">
        <f>VLOOKUP(C446,CHOOSE({2,1},Prefix!B$2:B$256,Prefix!C$2:C$256),2,FALSE)</f>
        <v>100663672</v>
      </c>
      <c r="C446" s="43" t="s">
        <v>1078</v>
      </c>
      <c r="D446" s="43" t="s">
        <v>867</v>
      </c>
      <c r="E446" s="43" t="str">
        <f>VLOOKUP(F446,CHOOSE({2,1},Attributes!B$3:B$130,Attributes!C$3:C$129),2,FALSE)</f>
        <v>DungeonSiegeDamageAttributeSet</v>
      </c>
      <c r="F446" s="43" t="str">
        <f>Attributes!C27</f>
        <v>PercentRangedDamageReduction</v>
      </c>
      <c r="G446" s="43" t="str">
        <f t="shared" si="18"/>
        <v>(AttributeName="PercentRangedDamageReduction",Attribute=/Script/DSAbilitySystem.DungeonSiegeDamageAttributeSet:PercentRangedDamageReduction,AttributeOwner=Class'"/Script/DSAbilitySystem.DungeonSiegeDamageAttributeSet"')</v>
      </c>
      <c r="H446" s="43">
        <v>3</v>
      </c>
      <c r="I446" s="43" t="str">
        <f t="shared" si="19"/>
        <v>GE_Prefix_Remarkable</v>
      </c>
      <c r="J446" s="43" t="str">
        <f t="shared" si="20"/>
        <v>/Game/DungeonSiege/Blueprints/GameplayAbilities/Affixes/GE_Prefix_Remarkable</v>
      </c>
    </row>
    <row r="447" spans="1:10" s="23" customFormat="1" ht="33.75" x14ac:dyDescent="0.25">
      <c r="A447" s="43">
        <v>445</v>
      </c>
      <c r="B447" s="43">
        <f>VLOOKUP(C447,CHOOSE({2,1},Prefix!B$2:B$256,Prefix!C$2:C$256),2,FALSE)</f>
        <v>100663673</v>
      </c>
      <c r="C447" s="43" t="s">
        <v>1080</v>
      </c>
      <c r="D447" s="43" t="s">
        <v>227</v>
      </c>
      <c r="E447" s="43" t="str">
        <f>VLOOKUP(F447,CHOOSE({2,1},Attributes!B$3:B$130,Attributes!C$3:C$129),2,FALSE)</f>
        <v>DungeonSiegeExperienceAttributeSet</v>
      </c>
      <c r="F447" s="43" t="str">
        <f>Attributes!C3</f>
        <v>Strength</v>
      </c>
      <c r="G447" s="43" t="str">
        <f t="shared" si="18"/>
        <v>(AttributeName="Strength",Attribute=/Script/DSAbilitySystem.DungeonSiegeExperienceAttributeSet:Strength,AttributeOwner=Class'"/Script/DSAbilitySystem.DungeonSiegeExperienceAttributeSet"')</v>
      </c>
      <c r="H447" s="43">
        <v>1</v>
      </c>
      <c r="I447" s="43" t="str">
        <f t="shared" si="19"/>
        <v>GE_Prefix_Uncommon</v>
      </c>
      <c r="J447" s="43" t="str">
        <f t="shared" si="20"/>
        <v>/Game/DungeonSiege/Blueprints/GameplayAbilities/Affixes/GE_Prefix_Uncommon</v>
      </c>
    </row>
    <row r="448" spans="1:10" s="23" customFormat="1" ht="33.75" x14ac:dyDescent="0.25">
      <c r="A448" s="43">
        <v>446</v>
      </c>
      <c r="B448" s="43">
        <f>VLOOKUP(C448,CHOOSE({2,1},Prefix!B$2:B$256,Prefix!C$2:C$256),2,FALSE)</f>
        <v>100663673</v>
      </c>
      <c r="C448" s="43" t="s">
        <v>1080</v>
      </c>
      <c r="D448" s="43" t="s">
        <v>39</v>
      </c>
      <c r="E448" s="43" t="str">
        <f>VLOOKUP(F448,CHOOSE({2,1},Attributes!B$3:B$130,Attributes!C$3:C$129),2,FALSE)</f>
        <v>DungeonSiegeHealthAttributeSet</v>
      </c>
      <c r="F448" s="43" t="str">
        <f>Attributes!C82</f>
        <v>BaseHealthBonus</v>
      </c>
      <c r="G448" s="43" t="str">
        <f t="shared" si="18"/>
        <v>(AttributeName="BaseHealthBonus",Attribute=/Script/DSAbilitySystem.DungeonSiegeHealthAttributeSet:BaseHealthBonus,AttributeOwner=Class'"/Script/DSAbilitySystem.DungeonSiegeHealthAttributeSet"')</v>
      </c>
      <c r="H448" s="43">
        <v>12</v>
      </c>
      <c r="I448" s="43" t="str">
        <f t="shared" si="19"/>
        <v>GE_Prefix_Uncommon</v>
      </c>
      <c r="J448" s="43" t="str">
        <f t="shared" si="20"/>
        <v>/Game/DungeonSiege/Blueprints/GameplayAbilities/Affixes/GE_Prefix_Uncommon</v>
      </c>
    </row>
    <row r="449" spans="1:10" s="23" customFormat="1" ht="33.75" x14ac:dyDescent="0.25">
      <c r="A449" s="43">
        <v>447</v>
      </c>
      <c r="B449" s="43">
        <f>VLOOKUP(C449,CHOOSE({2,1},Prefix!B$2:B$256,Prefix!C$2:C$256),2,FALSE)</f>
        <v>100663673</v>
      </c>
      <c r="C449" s="43" t="s">
        <v>1080</v>
      </c>
      <c r="D449" s="43" t="s">
        <v>3149</v>
      </c>
      <c r="E449" s="43" t="str">
        <f>VLOOKUP(F449,CHOOSE({2,1},Attributes!B$3:B$130,Attributes!C$3:C$129),2,FALSE)</f>
        <v>DungeonSiegeDefenseAttributeSet</v>
      </c>
      <c r="F449" s="43" t="str">
        <f>Attributes!C10</f>
        <v>ArmorRating</v>
      </c>
      <c r="G449" s="43" t="str">
        <f t="shared" si="18"/>
        <v>(AttributeName="ArmorRating",Attribute=/Script/DSAbilitySystem.DungeonSiegeDefenseAttributeSet:ArmorRating,AttributeOwner=Class'"/Script/DSAbilitySystem.DungeonSiegeDefenseAttributeSet"')</v>
      </c>
      <c r="H449" s="43">
        <v>7</v>
      </c>
      <c r="I449" s="43" t="str">
        <f t="shared" si="19"/>
        <v>GE_Prefix_Uncommon</v>
      </c>
      <c r="J449" s="43" t="str">
        <f t="shared" si="20"/>
        <v>/Game/DungeonSiege/Blueprints/GameplayAbilities/Affixes/GE_Prefix_Uncommon</v>
      </c>
    </row>
    <row r="450" spans="1:10" ht="45" x14ac:dyDescent="0.25">
      <c r="A450" s="43">
        <v>448</v>
      </c>
      <c r="B450" s="43">
        <f>VLOOKUP(C450,CHOOSE({2,1},Prefix!B$2:B$256,Prefix!C$2:C$256),2,FALSE)</f>
        <v>100663673</v>
      </c>
      <c r="C450" s="43" t="s">
        <v>1080</v>
      </c>
      <c r="D450" s="43" t="s">
        <v>715</v>
      </c>
      <c r="E450" s="43" t="str">
        <f>VLOOKUP(F450,CHOOSE({2,1},Attributes!B$3:B$130,Attributes!C$3:C$129),2,FALSE)</f>
        <v>DungeonSiegeDamageAttributeSet</v>
      </c>
      <c r="F450" s="43" t="str">
        <f>Attributes!C21</f>
        <v>PercentDamageReflectedToEnemy</v>
      </c>
      <c r="G450" s="43" t="str">
        <f t="shared" si="18"/>
        <v>(AttributeName="PercentDamageReflectedToEnemy",Attribute=/Script/DSAbilitySystem.DungeonSiegeDamageAttributeSet:PercentDamageReflectedToEnemy,AttributeOwner=Class'"/Script/DSAbilitySystem.DungeonSiegeDamageAttributeSet"')</v>
      </c>
      <c r="H450" s="43">
        <v>3</v>
      </c>
      <c r="I450" s="43" t="str">
        <f t="shared" si="19"/>
        <v>GE_Prefix_Uncommon</v>
      </c>
      <c r="J450" s="43" t="str">
        <f t="shared" si="20"/>
        <v>/Game/DungeonSiege/Blueprints/GameplayAbilities/Affixes/GE_Prefix_Uncommon</v>
      </c>
    </row>
    <row r="451" spans="1:10" s="23" customFormat="1" ht="33.75" x14ac:dyDescent="0.25">
      <c r="A451" s="43">
        <v>449</v>
      </c>
      <c r="B451" s="43">
        <f>VLOOKUP(C451,CHOOSE({2,1},Prefix!B$2:B$256,Prefix!C$2:C$256),2,FALSE)</f>
        <v>100663680</v>
      </c>
      <c r="C451" s="43" t="s">
        <v>1082</v>
      </c>
      <c r="D451" s="43" t="s">
        <v>3193</v>
      </c>
      <c r="E451" s="43" t="str">
        <f>VLOOKUP(F451,CHOOSE({2,1},Attributes!B$3:B$130,Attributes!C$3:C$129),2,FALSE)</f>
        <v>DungeonSiegeDefenseAttributeSet</v>
      </c>
      <c r="F451" s="43" t="str">
        <f>Attributes!C10</f>
        <v>ArmorRating</v>
      </c>
      <c r="G451" s="43" t="str">
        <f t="shared" ref="G451:G514" si="21">CONCATENATE("(AttributeName=""",F451,""",Attribute=/Script/DSAbilitySystem." &amp; E451 &amp;":",F451,",AttributeOwner=Class'""/Script/DSAbilitySystem." &amp; E451 &amp;"""')")</f>
        <v>(AttributeName="ArmorRating",Attribute=/Script/DSAbilitySystem.DungeonSiegeDefenseAttributeSet:ArmorRating,AttributeOwner=Class'"/Script/DSAbilitySystem.DungeonSiegeDefenseAttributeSet"')</v>
      </c>
      <c r="H451" s="43">
        <v>20</v>
      </c>
      <c r="I451" s="43" t="str">
        <f t="shared" ref="I451:I514" si="22">CONCATENATE("GE_Prefix_",SUBSTITUTE(C451," ","_"))</f>
        <v>GE_Prefix_Foretold</v>
      </c>
      <c r="J451" s="43" t="str">
        <f t="shared" ref="J451:J514" si="23">"/Game/DungeonSiege/Blueprints/GameplayAbilities/Affixes/" &amp;I451</f>
        <v>/Game/DungeonSiege/Blueprints/GameplayAbilities/Affixes/GE_Prefix_Foretold</v>
      </c>
    </row>
    <row r="452" spans="1:10" s="23" customFormat="1" ht="33.75" x14ac:dyDescent="0.25">
      <c r="A452" s="43">
        <v>450</v>
      </c>
      <c r="B452" s="43">
        <f>VLOOKUP(C452,CHOOSE({2,1},Prefix!B$2:B$256,Prefix!C$2:C$256),2,FALSE)</f>
        <v>100663680</v>
      </c>
      <c r="C452" s="43" t="s">
        <v>1082</v>
      </c>
      <c r="D452" s="43" t="s">
        <v>746</v>
      </c>
      <c r="E452" s="43" t="str">
        <f>VLOOKUP(F452,CHOOSE({2,1},Attributes!B$3:B$130,Attributes!C$3:C$129),2,FALSE)</f>
        <v>DungeonSiegeDamageAttributeSet</v>
      </c>
      <c r="F452" s="43" t="str">
        <f>Attributes!C32</f>
        <v>ChanceToBlockMeleeAttack</v>
      </c>
      <c r="G452" s="43" t="str">
        <f t="shared" si="21"/>
        <v>(AttributeName="ChanceToBlockMeleeAttack",Attribute=/Script/DSAbilitySystem.DungeonSiegeDamageAttributeSet:ChanceToBlockMeleeAttack,AttributeOwner=Class'"/Script/DSAbilitySystem.DungeonSiegeDamageAttributeSet"')</v>
      </c>
      <c r="H452" s="43">
        <v>2</v>
      </c>
      <c r="I452" s="43" t="str">
        <f t="shared" si="22"/>
        <v>GE_Prefix_Foretold</v>
      </c>
      <c r="J452" s="43" t="str">
        <f t="shared" si="23"/>
        <v>/Game/DungeonSiege/Blueprints/GameplayAbilities/Affixes/GE_Prefix_Foretold</v>
      </c>
    </row>
    <row r="453" spans="1:10" ht="33.75" x14ac:dyDescent="0.25">
      <c r="A453" s="43">
        <v>451</v>
      </c>
      <c r="B453" s="43">
        <f>VLOOKUP(C453,CHOOSE({2,1},Prefix!B$2:B$256,Prefix!C$2:C$256),2,FALSE)</f>
        <v>100663680</v>
      </c>
      <c r="C453" s="43" t="s">
        <v>1082</v>
      </c>
      <c r="D453" s="43" t="s">
        <v>213</v>
      </c>
      <c r="E453" s="43" t="str">
        <f>VLOOKUP(F453,CHOOSE({2,1},Attributes!B$3:B$130,Attributes!C$3:C$129),2,FALSE)</f>
        <v>DungeonSiegeMagicAttributeSet</v>
      </c>
      <c r="F453" s="43" t="str">
        <f>Attributes!C51</f>
        <v>ChanceToBlockMagicAttack</v>
      </c>
      <c r="G453" s="43" t="str">
        <f t="shared" si="21"/>
        <v>(AttributeName="ChanceToBlockMagicAttack",Attribute=/Script/DSAbilitySystem.DungeonSiegeMagicAttributeSet:ChanceToBlockMagicAttack,AttributeOwner=Class'"/Script/DSAbilitySystem.DungeonSiegeMagicAttributeSet"')</v>
      </c>
      <c r="H453" s="43">
        <v>5</v>
      </c>
      <c r="I453" s="43" t="str">
        <f t="shared" si="22"/>
        <v>GE_Prefix_Foretold</v>
      </c>
      <c r="J453" s="43" t="str">
        <f t="shared" si="23"/>
        <v>/Game/DungeonSiege/Blueprints/GameplayAbilities/Affixes/GE_Prefix_Foretold</v>
      </c>
    </row>
    <row r="454" spans="1:10" s="23" customFormat="1" ht="33.75" x14ac:dyDescent="0.25">
      <c r="A454" s="43">
        <v>452</v>
      </c>
      <c r="B454" s="43">
        <f>VLOOKUP(C454,CHOOSE({2,1},Prefix!B$2:B$256,Prefix!C$2:C$256),2,FALSE)</f>
        <v>100663681</v>
      </c>
      <c r="C454" s="43" t="s">
        <v>1085</v>
      </c>
      <c r="D454" s="43" t="s">
        <v>207</v>
      </c>
      <c r="E454" s="43" t="str">
        <f>VLOOKUP(F454,CHOOSE({2,1},Attributes!B$3:B$130,Attributes!C$3:C$129),2,FALSE)</f>
        <v>DungeonSiegeExperienceAttributeSet</v>
      </c>
      <c r="F454" s="43" t="str">
        <f>Attributes!C7</f>
        <v>NatureMagic</v>
      </c>
      <c r="G454" s="43" t="str">
        <f t="shared" si="21"/>
        <v>(AttributeName="NatureMagic",Attribute=/Script/DSAbilitySystem.DungeonSiegeExperienceAttributeSet:NatureMagic,AttributeOwner=Class'"/Script/DSAbilitySystem.DungeonSiegeExperienceAttributeSet"')</v>
      </c>
      <c r="H454" s="43">
        <v>1</v>
      </c>
      <c r="I454" s="43" t="str">
        <f t="shared" si="22"/>
        <v>GE_Prefix_Flourishing</v>
      </c>
      <c r="J454" s="43" t="str">
        <f t="shared" si="23"/>
        <v>/Game/DungeonSiege/Blueprints/GameplayAbilities/Affixes/GE_Prefix_Flourishing</v>
      </c>
    </row>
    <row r="455" spans="1:10" s="23" customFormat="1" ht="33.75" x14ac:dyDescent="0.25">
      <c r="A455" s="43">
        <v>453</v>
      </c>
      <c r="B455" s="43">
        <f>VLOOKUP(C455,CHOOSE({2,1},Prefix!B$2:B$256,Prefix!C$2:C$256),2,FALSE)</f>
        <v>100663681</v>
      </c>
      <c r="C455" s="43" t="s">
        <v>1085</v>
      </c>
      <c r="D455" s="43" t="s">
        <v>867</v>
      </c>
      <c r="E455" s="43" t="str">
        <f>VLOOKUP(F455,CHOOSE({2,1},Attributes!B$3:B$130,Attributes!C$3:C$129),2,FALSE)</f>
        <v>DungeonSiegeDamageAttributeSet</v>
      </c>
      <c r="F455" s="43" t="str">
        <f>Attributes!C27</f>
        <v>PercentRangedDamageReduction</v>
      </c>
      <c r="G455" s="43" t="str">
        <f t="shared" si="21"/>
        <v>(AttributeName="PercentRangedDamageReduction",Attribute=/Script/DSAbilitySystem.DungeonSiegeDamageAttributeSet:PercentRangedDamageReduction,AttributeOwner=Class'"/Script/DSAbilitySystem.DungeonSiegeDamageAttributeSet"')</v>
      </c>
      <c r="H455" s="43">
        <v>3</v>
      </c>
      <c r="I455" s="43" t="str">
        <f t="shared" si="22"/>
        <v>GE_Prefix_Flourishing</v>
      </c>
      <c r="J455" s="43" t="str">
        <f t="shared" si="23"/>
        <v>/Game/DungeonSiege/Blueprints/GameplayAbilities/Affixes/GE_Prefix_Flourishing</v>
      </c>
    </row>
    <row r="456" spans="1:10" ht="33.75" x14ac:dyDescent="0.25">
      <c r="A456" s="43">
        <v>454</v>
      </c>
      <c r="B456" s="43">
        <f>VLOOKUP(C456,CHOOSE({2,1},Prefix!B$2:B$256,Prefix!C$2:C$256),2,FALSE)</f>
        <v>100663681</v>
      </c>
      <c r="C456" s="43" t="s">
        <v>1085</v>
      </c>
      <c r="D456" s="43" t="s">
        <v>213</v>
      </c>
      <c r="E456" s="43" t="str">
        <f>VLOOKUP(F456,CHOOSE({2,1},Attributes!B$3:B$130,Attributes!C$3:C$129),2,FALSE)</f>
        <v>DungeonSiegeMagicAttributeSet</v>
      </c>
      <c r="F456" s="43" t="str">
        <f>Attributes!C51</f>
        <v>ChanceToBlockMagicAttack</v>
      </c>
      <c r="G456" s="43" t="str">
        <f t="shared" si="21"/>
        <v>(AttributeName="ChanceToBlockMagicAttack",Attribute=/Script/DSAbilitySystem.DungeonSiegeMagicAttributeSet:ChanceToBlockMagicAttack,AttributeOwner=Class'"/Script/DSAbilitySystem.DungeonSiegeMagicAttributeSet"')</v>
      </c>
      <c r="H456" s="43">
        <v>5</v>
      </c>
      <c r="I456" s="43" t="str">
        <f t="shared" si="22"/>
        <v>GE_Prefix_Flourishing</v>
      </c>
      <c r="J456" s="43" t="str">
        <f t="shared" si="23"/>
        <v>/Game/DungeonSiege/Blueprints/GameplayAbilities/Affixes/GE_Prefix_Flourishing</v>
      </c>
    </row>
    <row r="457" spans="1:10" ht="33.75" x14ac:dyDescent="0.25">
      <c r="A457" s="43">
        <v>455</v>
      </c>
      <c r="B457" s="43">
        <f>VLOOKUP(C457,CHOOSE({2,1},Prefix!B$2:B$256,Prefix!C$2:C$256),2,FALSE)</f>
        <v>100663682</v>
      </c>
      <c r="C457" s="43" t="s">
        <v>1087</v>
      </c>
      <c r="D457" s="43" t="s">
        <v>846</v>
      </c>
      <c r="E457" s="43" t="str">
        <f>VLOOKUP(F457,CHOOSE({2,1},Attributes!B$3:B$130,Attributes!C$3:C$129),2,FALSE)</f>
        <v>DungeonSiegeDamageAttributeSet</v>
      </c>
      <c r="F457" s="43" t="str">
        <f>Attributes!C24</f>
        <v>PercentPiercingDamageReduction</v>
      </c>
      <c r="G457" s="43" t="str">
        <f t="shared" si="21"/>
        <v>(AttributeName="PercentPiercingDamageReduction",Attribute=/Script/DSAbilitySystem.DungeonSiegeDamageAttributeSet:PercentPiercingDamageReduction,AttributeOwner=Class'"/Script/DSAbilitySystem.DungeonSiegeDamageAttributeSet"')</v>
      </c>
      <c r="H457" s="43">
        <v>9</v>
      </c>
      <c r="I457" s="43" t="str">
        <f t="shared" si="22"/>
        <v>GE_Prefix_Resistant</v>
      </c>
      <c r="J457" s="43" t="str">
        <f t="shared" si="23"/>
        <v>/Game/DungeonSiege/Blueprints/GameplayAbilities/Affixes/GE_Prefix_Resistant</v>
      </c>
    </row>
    <row r="458" spans="1:10" ht="33.75" x14ac:dyDescent="0.25">
      <c r="A458" s="43">
        <v>456</v>
      </c>
      <c r="B458" s="43">
        <f>VLOOKUP(C458,CHOOSE({2,1},Prefix!B$2:B$256,Prefix!C$2:C$256),2,FALSE)</f>
        <v>100663683</v>
      </c>
      <c r="C458" s="43" t="s">
        <v>246</v>
      </c>
      <c r="D458" s="43" t="s">
        <v>245</v>
      </c>
      <c r="E458" s="43" t="str">
        <f>VLOOKUP(F458,CHOOSE({2,1},Attributes!B$3:B$130,Attributes!C$3:C$129),2,FALSE)</f>
        <v>DungeonSiegeMagicAttributeSet</v>
      </c>
      <c r="F458" s="43" t="str">
        <f>Attributes!C51</f>
        <v>ChanceToBlockMagicAttack</v>
      </c>
      <c r="G458" s="43" t="str">
        <f t="shared" si="21"/>
        <v>(AttributeName="ChanceToBlockMagicAttack",Attribute=/Script/DSAbilitySystem.DungeonSiegeMagicAttributeSet:ChanceToBlockMagicAttack,AttributeOwner=Class'"/Script/DSAbilitySystem.DungeonSiegeMagicAttributeSet"')</v>
      </c>
      <c r="H458" s="43">
        <v>8</v>
      </c>
      <c r="I458" s="43" t="str">
        <f t="shared" si="22"/>
        <v>GE_Prefix_Reliant</v>
      </c>
      <c r="J458" s="43" t="str">
        <f t="shared" si="23"/>
        <v>/Game/DungeonSiege/Blueprints/GameplayAbilities/Affixes/GE_Prefix_Reliant</v>
      </c>
    </row>
    <row r="459" spans="1:10" s="23" customFormat="1" ht="33.75" x14ac:dyDescent="0.25">
      <c r="A459" s="43">
        <v>457</v>
      </c>
      <c r="B459" s="43">
        <f>VLOOKUP(C459,CHOOSE({2,1},Prefix!B$2:B$256,Prefix!C$2:C$256),2,FALSE)</f>
        <v>100663684</v>
      </c>
      <c r="C459" s="43" t="s">
        <v>1089</v>
      </c>
      <c r="D459" s="43" t="s">
        <v>881</v>
      </c>
      <c r="E459" s="43" t="str">
        <f>VLOOKUP(F459,CHOOSE({2,1},Attributes!B$3:B$130,Attributes!C$3:C$129),2,FALSE)</f>
        <v>DungeonSiegePerHitAttributeSet</v>
      </c>
      <c r="F459" s="43" t="str">
        <f>Attributes!C14</f>
        <v>ManaStealPerHit</v>
      </c>
      <c r="G459" s="43" t="str">
        <f t="shared" si="21"/>
        <v>(AttributeName="ManaStealPerHit",Attribute=/Script/DSAbilitySystem.DungeonSiegePerHitAttributeSet:ManaStealPerHit,AttributeOwner=Class'"/Script/DSAbilitySystem.DungeonSiegePerHitAttributeSet"')</v>
      </c>
      <c r="H459" s="43">
        <v>1</v>
      </c>
      <c r="I459" s="43" t="str">
        <f t="shared" si="22"/>
        <v>GE_Prefix_Formidable</v>
      </c>
      <c r="J459" s="43" t="str">
        <f t="shared" si="23"/>
        <v>/Game/DungeonSiege/Blueprints/GameplayAbilities/Affixes/GE_Prefix_Formidable</v>
      </c>
    </row>
    <row r="460" spans="1:10" s="23" customFormat="1" ht="33.75" x14ac:dyDescent="0.25">
      <c r="A460" s="43">
        <v>458</v>
      </c>
      <c r="B460" s="43">
        <f>VLOOKUP(C460,CHOOSE({2,1},Prefix!B$2:B$256,Prefix!C$2:C$256),2,FALSE)</f>
        <v>100663684</v>
      </c>
      <c r="C460" s="43" t="s">
        <v>1089</v>
      </c>
      <c r="D460" s="43" t="s">
        <v>207</v>
      </c>
      <c r="E460" s="43" t="str">
        <f>VLOOKUP(F460,CHOOSE({2,1},Attributes!B$3:B$130,Attributes!C$3:C$129),2,FALSE)</f>
        <v>DungeonSiegeExperienceAttributeSet</v>
      </c>
      <c r="F460" s="43" t="str">
        <f>Attributes!C7</f>
        <v>NatureMagic</v>
      </c>
      <c r="G460" s="43" t="str">
        <f t="shared" si="21"/>
        <v>(AttributeName="NatureMagic",Attribute=/Script/DSAbilitySystem.DungeonSiegeExperienceAttributeSet:NatureMagic,AttributeOwner=Class'"/Script/DSAbilitySystem.DungeonSiegeExperienceAttributeSet"')</v>
      </c>
      <c r="H460" s="43">
        <v>1</v>
      </c>
      <c r="I460" s="43" t="str">
        <f t="shared" si="22"/>
        <v>GE_Prefix_Formidable</v>
      </c>
      <c r="J460" s="43" t="str">
        <f t="shared" si="23"/>
        <v>/Game/DungeonSiege/Blueprints/GameplayAbilities/Affixes/GE_Prefix_Formidable</v>
      </c>
    </row>
    <row r="461" spans="1:10" s="23" customFormat="1" ht="33.75" x14ac:dyDescent="0.25">
      <c r="A461" s="43">
        <v>459</v>
      </c>
      <c r="B461" s="43">
        <f>VLOOKUP(C461,CHOOSE({2,1},Prefix!B$2:B$256,Prefix!C$2:C$256),2,FALSE)</f>
        <v>100663684</v>
      </c>
      <c r="C461" s="43" t="s">
        <v>1089</v>
      </c>
      <c r="D461" s="43" t="s">
        <v>1053</v>
      </c>
      <c r="E461" s="43" t="str">
        <f>VLOOKUP(F461,CHOOSE({2,1},Attributes!B$3:B$130,Attributes!C$3:C$129),2,FALSE)</f>
        <v>DungeonSiegeDamageAttributeSet</v>
      </c>
      <c r="F461" s="43" t="str">
        <f>Attributes!C23</f>
        <v>ChanceToInflictPiercingHit</v>
      </c>
      <c r="G461" s="43" t="str">
        <f t="shared" si="21"/>
        <v>(AttributeName="ChanceToInflictPiercingHit",Attribute=/Script/DSAbilitySystem.DungeonSiegeDamageAttributeSet:ChanceToInflictPiercingHit,AttributeOwner=Class'"/Script/DSAbilitySystem.DungeonSiegeDamageAttributeSet"')</v>
      </c>
      <c r="H461" s="43">
        <v>3</v>
      </c>
      <c r="I461" s="43" t="str">
        <f t="shared" si="22"/>
        <v>GE_Prefix_Formidable</v>
      </c>
      <c r="J461" s="43" t="str">
        <f t="shared" si="23"/>
        <v>/Game/DungeonSiege/Blueprints/GameplayAbilities/Affixes/GE_Prefix_Formidable</v>
      </c>
    </row>
    <row r="462" spans="1:10" ht="33.75" x14ac:dyDescent="0.25">
      <c r="A462" s="43">
        <v>460</v>
      </c>
      <c r="B462" s="43">
        <f>VLOOKUP(C462,CHOOSE({2,1},Prefix!B$2:B$256,Prefix!C$2:C$256),2,FALSE)</f>
        <v>100663684</v>
      </c>
      <c r="C462" s="43" t="s">
        <v>1089</v>
      </c>
      <c r="D462" s="43" t="s">
        <v>75</v>
      </c>
      <c r="E462" s="43" t="str">
        <f>VLOOKUP(F462,CHOOSE({2,1},Attributes!B$3:B$130,Attributes!C$3:C$129),2,FALSE)</f>
        <v>DungeonSiegeExperienceAttributeSet</v>
      </c>
      <c r="F462" s="43" t="str">
        <f>Attributes!C5</f>
        <v>Intelligence</v>
      </c>
      <c r="G462" s="43" t="str">
        <f t="shared" si="21"/>
        <v>(AttributeName="Intelligence",Attribute=/Script/DSAbilitySystem.DungeonSiegeExperienceAttributeSet:Intelligence,AttributeOwner=Class'"/Script/DSAbilitySystem.DungeonSiegeExperienceAttributeSet"')</v>
      </c>
      <c r="H462" s="43">
        <v>1</v>
      </c>
      <c r="I462" s="43" t="str">
        <f t="shared" si="22"/>
        <v>GE_Prefix_Formidable</v>
      </c>
      <c r="J462" s="43" t="str">
        <f t="shared" si="23"/>
        <v>/Game/DungeonSiege/Blueprints/GameplayAbilities/Affixes/GE_Prefix_Formidable</v>
      </c>
    </row>
    <row r="463" spans="1:10" s="23" customFormat="1" ht="33.75" x14ac:dyDescent="0.25">
      <c r="A463" s="43">
        <v>461</v>
      </c>
      <c r="B463" s="43">
        <f>VLOOKUP(C463,CHOOSE({2,1},Prefix!B$2:B$256,Prefix!C$2:C$256),2,FALSE)</f>
        <v>100663685</v>
      </c>
      <c r="C463" s="43" t="s">
        <v>1091</v>
      </c>
      <c r="D463" s="43" t="s">
        <v>54</v>
      </c>
      <c r="E463" s="43" t="str">
        <f>VLOOKUP(F463,CHOOSE({2,1},Attributes!B$3:B$130,Attributes!C$3:C$129),2,FALSE)</f>
        <v>DungeonSiegeExperienceAttributeSet</v>
      </c>
      <c r="F463" s="43" t="str">
        <f>Attributes!C4</f>
        <v>Dexterity</v>
      </c>
      <c r="G463" s="43" t="str">
        <f t="shared" si="21"/>
        <v>(AttributeName="Dexterity",Attribute=/Script/DSAbilitySystem.DungeonSiegeExperienceAttributeSet:Dexterity,AttributeOwner=Class'"/Script/DSAbilitySystem.DungeonSiegeExperienceAttributeSet"')</v>
      </c>
      <c r="H463" s="43">
        <v>1</v>
      </c>
      <c r="I463" s="43" t="str">
        <f t="shared" si="22"/>
        <v>GE_Prefix_Wondrous</v>
      </c>
      <c r="J463" s="43" t="str">
        <f t="shared" si="23"/>
        <v>/Game/DungeonSiege/Blueprints/GameplayAbilities/Affixes/GE_Prefix_Wondrous</v>
      </c>
    </row>
    <row r="464" spans="1:10" s="23" customFormat="1" ht="33.75" x14ac:dyDescent="0.25">
      <c r="A464" s="43">
        <v>462</v>
      </c>
      <c r="B464" s="43">
        <f>VLOOKUP(C464,CHOOSE({2,1},Prefix!B$2:B$256,Prefix!C$2:C$256),2,FALSE)</f>
        <v>100663685</v>
      </c>
      <c r="C464" s="43" t="s">
        <v>1091</v>
      </c>
      <c r="D464" s="43" t="s">
        <v>3197</v>
      </c>
      <c r="E464" s="43" t="str">
        <f>VLOOKUP(F464,CHOOSE({2,1},Attributes!B$3:B$130,Attributes!C$3:C$129),2,FALSE)</f>
        <v>DungeonSiegeHealthAttributeSet</v>
      </c>
      <c r="F464" s="43" t="str">
        <f>Attributes!C82</f>
        <v>BaseHealthBonus</v>
      </c>
      <c r="G464" s="43" t="str">
        <f t="shared" si="21"/>
        <v>(AttributeName="BaseHealthBonus",Attribute=/Script/DSAbilitySystem.DungeonSiegeHealthAttributeSet:BaseHealthBonus,AttributeOwner=Class'"/Script/DSAbilitySystem.DungeonSiegeHealthAttributeSet"')</v>
      </c>
      <c r="H464" s="43">
        <v>14</v>
      </c>
      <c r="I464" s="43" t="str">
        <f t="shared" si="22"/>
        <v>GE_Prefix_Wondrous</v>
      </c>
      <c r="J464" s="43" t="str">
        <f t="shared" si="23"/>
        <v>/Game/DungeonSiege/Blueprints/GameplayAbilities/Affixes/GE_Prefix_Wondrous</v>
      </c>
    </row>
    <row r="465" spans="1:10" s="23" customFormat="1" ht="33.75" x14ac:dyDescent="0.25">
      <c r="A465" s="43">
        <v>463</v>
      </c>
      <c r="B465" s="43">
        <f>VLOOKUP(C465,CHOOSE({2,1},Prefix!B$2:B$256,Prefix!C$2:C$256),2,FALSE)</f>
        <v>100663685</v>
      </c>
      <c r="C465" s="43" t="s">
        <v>1091</v>
      </c>
      <c r="D465" s="43" t="s">
        <v>943</v>
      </c>
      <c r="E465" s="43" t="str">
        <f>VLOOKUP(F465,CHOOSE({2,1},Attributes!B$3:B$130,Attributes!C$3:C$129),2,FALSE)</f>
        <v>DungeonSiegeDamageAttributeSet</v>
      </c>
      <c r="F465" s="43" t="str">
        <f>Attributes!C25</f>
        <v>MinPiercingDamageMod</v>
      </c>
      <c r="G465" s="43" t="str">
        <f t="shared" si="21"/>
        <v>(AttributeName="MinPiercingDamageMod",Attribute=/Script/DSAbilitySystem.DungeonSiegeDamageAttributeSet:MinPiercingDamageMod,AttributeOwner=Class'"/Script/DSAbilitySystem.DungeonSiegeDamageAttributeSet"')</v>
      </c>
      <c r="H465" s="43">
        <v>1</v>
      </c>
      <c r="I465" s="43" t="str">
        <f t="shared" si="22"/>
        <v>GE_Prefix_Wondrous</v>
      </c>
      <c r="J465" s="43" t="str">
        <f t="shared" si="23"/>
        <v>/Game/DungeonSiege/Blueprints/GameplayAbilities/Affixes/GE_Prefix_Wondrous</v>
      </c>
    </row>
    <row r="466" spans="1:10" s="23" customFormat="1" ht="33.75" x14ac:dyDescent="0.25">
      <c r="A466" s="43">
        <v>464</v>
      </c>
      <c r="B466" s="43">
        <f>VLOOKUP(C466,CHOOSE({2,1},Prefix!B$2:B$256,Prefix!C$2:C$256),2,FALSE)</f>
        <v>100663685</v>
      </c>
      <c r="C466" s="43" t="s">
        <v>1091</v>
      </c>
      <c r="D466" s="43" t="s">
        <v>943</v>
      </c>
      <c r="E466" s="43" t="str">
        <f>VLOOKUP(F466,CHOOSE({2,1},Attributes!B$3:B$130,Attributes!C$3:C$129),2,FALSE)</f>
        <v>DungeonSiegeDamageAttributeSet</v>
      </c>
      <c r="F466" s="43" t="str">
        <f>Attributes!C26</f>
        <v>MaxPiercingDamageMod</v>
      </c>
      <c r="G466" s="43" t="str">
        <f t="shared" si="21"/>
        <v>(AttributeName="MaxPiercingDamageMod",Attribute=/Script/DSAbilitySystem.DungeonSiegeDamageAttributeSet:MaxPiercingDamageMod,AttributeOwner=Class'"/Script/DSAbilitySystem.DungeonSiegeDamageAttributeSet"')</v>
      </c>
      <c r="H466" s="43">
        <v>4</v>
      </c>
      <c r="I466" s="43" t="str">
        <f t="shared" si="22"/>
        <v>GE_Prefix_Wondrous</v>
      </c>
      <c r="J466" s="43" t="str">
        <f t="shared" si="23"/>
        <v>/Game/DungeonSiege/Blueprints/GameplayAbilities/Affixes/GE_Prefix_Wondrous</v>
      </c>
    </row>
    <row r="467" spans="1:10" ht="33.75" x14ac:dyDescent="0.25">
      <c r="A467" s="43">
        <v>465</v>
      </c>
      <c r="B467" s="43">
        <f>VLOOKUP(C467,CHOOSE({2,1},Prefix!B$2:B$256,Prefix!C$2:C$256),2,FALSE)</f>
        <v>100663685</v>
      </c>
      <c r="C467" s="43" t="s">
        <v>1091</v>
      </c>
      <c r="D467" s="43" t="s">
        <v>1092</v>
      </c>
      <c r="E467" s="43" t="str">
        <f>VLOOKUP(F467,CHOOSE({2,1},Attributes!B$3:B$130,Attributes!C$3:C$129),2,FALSE)</f>
        <v>DungeonSiegeDamageAttributeSet</v>
      </c>
      <c r="F467" s="43" t="str">
        <f>Attributes!C23</f>
        <v>ChanceToInflictPiercingHit</v>
      </c>
      <c r="G467" s="43" t="str">
        <f t="shared" si="21"/>
        <v>(AttributeName="ChanceToInflictPiercingHit",Attribute=/Script/DSAbilitySystem.DungeonSiegeDamageAttributeSet:ChanceToInflictPiercingHit,AttributeOwner=Class'"/Script/DSAbilitySystem.DungeonSiegeDamageAttributeSet"')</v>
      </c>
      <c r="H467" s="43">
        <v>2</v>
      </c>
      <c r="I467" s="43" t="str">
        <f t="shared" si="22"/>
        <v>GE_Prefix_Wondrous</v>
      </c>
      <c r="J467" s="43" t="str">
        <f t="shared" si="23"/>
        <v>/Game/DungeonSiege/Blueprints/GameplayAbilities/Affixes/GE_Prefix_Wondrous</v>
      </c>
    </row>
    <row r="468" spans="1:10" s="23" customFormat="1" ht="33.75" x14ac:dyDescent="0.25">
      <c r="A468" s="43">
        <v>466</v>
      </c>
      <c r="B468" s="43">
        <f>VLOOKUP(C468,CHOOSE({2,1},Prefix!B$2:B$256,Prefix!C$2:C$256),2,FALSE)</f>
        <v>100663686</v>
      </c>
      <c r="C468" s="43" t="s">
        <v>1094</v>
      </c>
      <c r="D468" s="43" t="s">
        <v>227</v>
      </c>
      <c r="E468" s="43" t="str">
        <f>VLOOKUP(F468,CHOOSE({2,1},Attributes!B$3:B$130,Attributes!C$3:C$129),2,FALSE)</f>
        <v>DungeonSiegeExperienceAttributeSet</v>
      </c>
      <c r="F468" s="43" t="str">
        <f>Attributes!C3</f>
        <v>Strength</v>
      </c>
      <c r="G468" s="43" t="str">
        <f t="shared" si="21"/>
        <v>(AttributeName="Strength",Attribute=/Script/DSAbilitySystem.DungeonSiegeExperienceAttributeSet:Strength,AttributeOwner=Class'"/Script/DSAbilitySystem.DungeonSiegeExperienceAttributeSet"')</v>
      </c>
      <c r="H468" s="43">
        <v>1</v>
      </c>
      <c r="I468" s="43" t="str">
        <f t="shared" si="22"/>
        <v>GE_Prefix_Astonishing</v>
      </c>
      <c r="J468" s="43" t="str">
        <f t="shared" si="23"/>
        <v>/Game/DungeonSiege/Blueprints/GameplayAbilities/Affixes/GE_Prefix_Astonishing</v>
      </c>
    </row>
    <row r="469" spans="1:10" s="23" customFormat="1" ht="33.75" x14ac:dyDescent="0.25">
      <c r="A469" s="43">
        <v>467</v>
      </c>
      <c r="B469" s="43">
        <f>VLOOKUP(C469,CHOOSE({2,1},Prefix!B$2:B$256,Prefix!C$2:C$256),2,FALSE)</f>
        <v>100663686</v>
      </c>
      <c r="C469" s="43" t="s">
        <v>1094</v>
      </c>
      <c r="D469" s="43" t="s">
        <v>745</v>
      </c>
      <c r="E469" s="43" t="str">
        <f>VLOOKUP(F469,CHOOSE({2,1},Attributes!B$3:B$130,Attributes!C$3:C$129),2,FALSE)</f>
        <v>DungeonSiegeExperienceAttributeSet</v>
      </c>
      <c r="F469" s="43" t="str">
        <f>Attributes!C9</f>
        <v>Melee</v>
      </c>
      <c r="G469" s="43" t="str">
        <f t="shared" si="21"/>
        <v>(AttributeName="Melee",Attribute=/Script/DSAbilitySystem.DungeonSiegeExperienceAttributeSet:Melee,AttributeOwner=Class'"/Script/DSAbilitySystem.DungeonSiegeExperienceAttributeSet"')</v>
      </c>
      <c r="H469" s="43">
        <v>1</v>
      </c>
      <c r="I469" s="43" t="str">
        <f t="shared" si="22"/>
        <v>GE_Prefix_Astonishing</v>
      </c>
      <c r="J469" s="43" t="str">
        <f t="shared" si="23"/>
        <v>/Game/DungeonSiege/Blueprints/GameplayAbilities/Affixes/GE_Prefix_Astonishing</v>
      </c>
    </row>
    <row r="470" spans="1:10" s="23" customFormat="1" ht="33.75" x14ac:dyDescent="0.25">
      <c r="A470" s="43">
        <v>468</v>
      </c>
      <c r="B470" s="43">
        <f>VLOOKUP(C470,CHOOSE({2,1},Prefix!B$2:B$256,Prefix!C$2:C$256),2,FALSE)</f>
        <v>100663686</v>
      </c>
      <c r="C470" s="43" t="s">
        <v>1094</v>
      </c>
      <c r="D470" s="43" t="s">
        <v>943</v>
      </c>
      <c r="E470" s="43" t="str">
        <f>VLOOKUP(F470,CHOOSE({2,1},Attributes!B$3:B$130,Attributes!C$3:C$129),2,FALSE)</f>
        <v>DungeonSiegeDamageAttributeSet</v>
      </c>
      <c r="F470" s="43" t="str">
        <f>Attributes!C25</f>
        <v>MinPiercingDamageMod</v>
      </c>
      <c r="G470" s="43" t="str">
        <f t="shared" si="21"/>
        <v>(AttributeName="MinPiercingDamageMod",Attribute=/Script/DSAbilitySystem.DungeonSiegeDamageAttributeSet:MinPiercingDamageMod,AttributeOwner=Class'"/Script/DSAbilitySystem.DungeonSiegeDamageAttributeSet"')</v>
      </c>
      <c r="H470" s="43">
        <v>1</v>
      </c>
      <c r="I470" s="43" t="str">
        <f t="shared" si="22"/>
        <v>GE_Prefix_Astonishing</v>
      </c>
      <c r="J470" s="43" t="str">
        <f t="shared" si="23"/>
        <v>/Game/DungeonSiege/Blueprints/GameplayAbilities/Affixes/GE_Prefix_Astonishing</v>
      </c>
    </row>
    <row r="471" spans="1:10" s="23" customFormat="1" ht="33.75" x14ac:dyDescent="0.25">
      <c r="A471" s="43">
        <v>469</v>
      </c>
      <c r="B471" s="43">
        <f>VLOOKUP(C471,CHOOSE({2,1},Prefix!B$2:B$256,Prefix!C$2:C$256),2,FALSE)</f>
        <v>100663686</v>
      </c>
      <c r="C471" s="43" t="s">
        <v>1094</v>
      </c>
      <c r="D471" s="43" t="s">
        <v>943</v>
      </c>
      <c r="E471" s="43" t="str">
        <f>VLOOKUP(F471,CHOOSE({2,1},Attributes!B$3:B$130,Attributes!C$3:C$129),2,FALSE)</f>
        <v>DungeonSiegeDamageAttributeSet</v>
      </c>
      <c r="F471" s="43" t="str">
        <f>Attributes!C26</f>
        <v>MaxPiercingDamageMod</v>
      </c>
      <c r="G471" s="43" t="str">
        <f t="shared" si="21"/>
        <v>(AttributeName="MaxPiercingDamageMod",Attribute=/Script/DSAbilitySystem.DungeonSiegeDamageAttributeSet:MaxPiercingDamageMod,AttributeOwner=Class'"/Script/DSAbilitySystem.DungeonSiegeDamageAttributeSet"')</v>
      </c>
      <c r="H471" s="43">
        <v>4</v>
      </c>
      <c r="I471" s="43" t="str">
        <f t="shared" si="22"/>
        <v>GE_Prefix_Astonishing</v>
      </c>
      <c r="J471" s="43" t="str">
        <f t="shared" si="23"/>
        <v>/Game/DungeonSiege/Blueprints/GameplayAbilities/Affixes/GE_Prefix_Astonishing</v>
      </c>
    </row>
    <row r="472" spans="1:10" ht="33.75" x14ac:dyDescent="0.25">
      <c r="A472" s="43">
        <v>470</v>
      </c>
      <c r="B472" s="43">
        <f>VLOOKUP(C472,CHOOSE({2,1},Prefix!B$2:B$256,Prefix!C$2:C$256),2,FALSE)</f>
        <v>100663686</v>
      </c>
      <c r="C472" s="43" t="s">
        <v>1094</v>
      </c>
      <c r="D472" s="43" t="s">
        <v>1095</v>
      </c>
      <c r="E472" s="43" t="str">
        <f>VLOOKUP(F472,CHOOSE({2,1},Attributes!B$3:B$130,Attributes!C$3:C$129),2,FALSE)</f>
        <v>DungeonSiegeDamageAttributeSet</v>
      </c>
      <c r="F472" s="43" t="str">
        <f>Attributes!C23</f>
        <v>ChanceToInflictPiercingHit</v>
      </c>
      <c r="G472" s="43" t="str">
        <f t="shared" si="21"/>
        <v>(AttributeName="ChanceToInflictPiercingHit",Attribute=/Script/DSAbilitySystem.DungeonSiegeDamageAttributeSet:ChanceToInflictPiercingHit,AttributeOwner=Class'"/Script/DSAbilitySystem.DungeonSiegeDamageAttributeSet"')</v>
      </c>
      <c r="H472" s="43">
        <v>1</v>
      </c>
      <c r="I472" s="43" t="str">
        <f t="shared" si="22"/>
        <v>GE_Prefix_Astonishing</v>
      </c>
      <c r="J472" s="43" t="str">
        <f t="shared" si="23"/>
        <v>/Game/DungeonSiege/Blueprints/GameplayAbilities/Affixes/GE_Prefix_Astonishing</v>
      </c>
    </row>
    <row r="473" spans="1:10" s="23" customFormat="1" ht="33.75" x14ac:dyDescent="0.25">
      <c r="A473" s="43">
        <v>471</v>
      </c>
      <c r="B473" s="43">
        <f>VLOOKUP(C473,CHOOSE({2,1},Prefix!B$2:B$256,Prefix!C$2:C$256),2,FALSE)</f>
        <v>100663687</v>
      </c>
      <c r="C473" s="43" t="s">
        <v>1097</v>
      </c>
      <c r="D473" s="43" t="s">
        <v>54</v>
      </c>
      <c r="E473" s="43" t="str">
        <f>VLOOKUP(F473,CHOOSE({2,1},Attributes!B$3:B$130,Attributes!C$3:C$129),2,FALSE)</f>
        <v>DungeonSiegeExperienceAttributeSet</v>
      </c>
      <c r="F473" s="43" t="str">
        <f>Attributes!C4</f>
        <v>Dexterity</v>
      </c>
      <c r="G473" s="43" t="str">
        <f t="shared" si="21"/>
        <v>(AttributeName="Dexterity",Attribute=/Script/DSAbilitySystem.DungeonSiegeExperienceAttributeSet:Dexterity,AttributeOwner=Class'"/Script/DSAbilitySystem.DungeonSiegeExperienceAttributeSet"')</v>
      </c>
      <c r="H473" s="43">
        <v>1</v>
      </c>
      <c r="I473" s="43" t="str">
        <f t="shared" si="22"/>
        <v>GE_Prefix_Exalted</v>
      </c>
      <c r="J473" s="43" t="str">
        <f t="shared" si="23"/>
        <v>/Game/DungeonSiege/Blueprints/GameplayAbilities/Affixes/GE_Prefix_Exalted</v>
      </c>
    </row>
    <row r="474" spans="1:10" s="23" customFormat="1" ht="33.75" x14ac:dyDescent="0.25">
      <c r="A474" s="43">
        <v>472</v>
      </c>
      <c r="B474" s="43">
        <f>VLOOKUP(C474,CHOOSE({2,1},Prefix!B$2:B$256,Prefix!C$2:C$256),2,FALSE)</f>
        <v>100663687</v>
      </c>
      <c r="C474" s="43" t="s">
        <v>1097</v>
      </c>
      <c r="D474" s="43" t="s">
        <v>75</v>
      </c>
      <c r="E474" s="43" t="str">
        <f>VLOOKUP(F474,CHOOSE({2,1},Attributes!B$3:B$130,Attributes!C$3:C$129),2,FALSE)</f>
        <v>DungeonSiegeExperienceAttributeSet</v>
      </c>
      <c r="F474" s="43" t="str">
        <f>Attributes!C5</f>
        <v>Intelligence</v>
      </c>
      <c r="G474" s="43" t="str">
        <f t="shared" si="21"/>
        <v>(AttributeName="Intelligence",Attribute=/Script/DSAbilitySystem.DungeonSiegeExperienceAttributeSet:Intelligence,AttributeOwner=Class'"/Script/DSAbilitySystem.DungeonSiegeExperienceAttributeSet"')</v>
      </c>
      <c r="H474" s="43">
        <v>1</v>
      </c>
      <c r="I474" s="43" t="str">
        <f t="shared" si="22"/>
        <v>GE_Prefix_Exalted</v>
      </c>
      <c r="J474" s="43" t="str">
        <f t="shared" si="23"/>
        <v>/Game/DungeonSiege/Blueprints/GameplayAbilities/Affixes/GE_Prefix_Exalted</v>
      </c>
    </row>
    <row r="475" spans="1:10" s="23" customFormat="1" ht="33.75" x14ac:dyDescent="0.25">
      <c r="A475" s="43">
        <v>473</v>
      </c>
      <c r="B475" s="43">
        <f>VLOOKUP(C475,CHOOSE({2,1},Prefix!B$2:B$256,Prefix!C$2:C$256),2,FALSE)</f>
        <v>100663687</v>
      </c>
      <c r="C475" s="43" t="s">
        <v>1097</v>
      </c>
      <c r="D475" s="43" t="s">
        <v>934</v>
      </c>
      <c r="E475" s="43" t="str">
        <f>VLOOKUP(F475,CHOOSE({2,1},Attributes!B$3:B$130,Attributes!C$3:C$129),2,FALSE)</f>
        <v>DungeonSiegePerHitAttributeSet</v>
      </c>
      <c r="F475" s="43" t="str">
        <f>Attributes!C11</f>
        <v>HealthPerHit</v>
      </c>
      <c r="G475" s="43" t="str">
        <f t="shared" si="21"/>
        <v>(AttributeName="HealthPerHit",Attribute=/Script/DSAbilitySystem.DungeonSiegePerHitAttributeSet:HealthPerHit,AttributeOwner=Class'"/Script/DSAbilitySystem.DungeonSiegePerHitAttributeSet"')</v>
      </c>
      <c r="H475" s="43">
        <v>1</v>
      </c>
      <c r="I475" s="43" t="str">
        <f t="shared" si="22"/>
        <v>GE_Prefix_Exalted</v>
      </c>
      <c r="J475" s="43" t="str">
        <f t="shared" si="23"/>
        <v>/Game/DungeonSiege/Blueprints/GameplayAbilities/Affixes/GE_Prefix_Exalted</v>
      </c>
    </row>
    <row r="476" spans="1:10" ht="33.75" x14ac:dyDescent="0.25">
      <c r="A476" s="43">
        <v>474</v>
      </c>
      <c r="B476" s="43">
        <f>VLOOKUP(C476,CHOOSE({2,1},Prefix!B$2:B$256,Prefix!C$2:C$256),2,FALSE)</f>
        <v>100663687</v>
      </c>
      <c r="C476" s="43" t="s">
        <v>1097</v>
      </c>
      <c r="D476" s="43" t="s">
        <v>884</v>
      </c>
      <c r="E476" s="43" t="str">
        <f>VLOOKUP(F476,CHOOSE({2,1},Attributes!B$3:B$130,Attributes!C$3:C$129),2,FALSE)</f>
        <v>DungeonSiegePerHitAttributeSet</v>
      </c>
      <c r="F476" s="43" t="str">
        <f>Attributes!C12</f>
        <v>ManaPerHit</v>
      </c>
      <c r="G476" s="43" t="str">
        <f t="shared" si="21"/>
        <v>(AttributeName="ManaPerHit",Attribute=/Script/DSAbilitySystem.DungeonSiegePerHitAttributeSet:ManaPerHit,AttributeOwner=Class'"/Script/DSAbilitySystem.DungeonSiegePerHitAttributeSet"')</v>
      </c>
      <c r="H476" s="43">
        <v>1</v>
      </c>
      <c r="I476" s="43" t="str">
        <f t="shared" si="22"/>
        <v>GE_Prefix_Exalted</v>
      </c>
      <c r="J476" s="43" t="str">
        <f t="shared" si="23"/>
        <v>/Game/DungeonSiege/Blueprints/GameplayAbilities/Affixes/GE_Prefix_Exalted</v>
      </c>
    </row>
    <row r="477" spans="1:10" ht="33.75" x14ac:dyDescent="0.25">
      <c r="A477" s="43">
        <v>475</v>
      </c>
      <c r="B477" s="43">
        <f>VLOOKUP(C477,CHOOSE({2,1},Prefix!B$2:B$256,Prefix!C$2:C$256),2,FALSE)</f>
        <v>100663688</v>
      </c>
      <c r="C477" s="43" t="s">
        <v>243</v>
      </c>
      <c r="D477" s="43" t="s">
        <v>242</v>
      </c>
      <c r="E477" s="43" t="str">
        <f>VLOOKUP(F477,CHOOSE({2,1},Attributes!B$3:B$130,Attributes!C$3:C$129),2,FALSE)</f>
        <v>DungeonSiegeExperienceAttributeSet</v>
      </c>
      <c r="F477" s="43" t="str">
        <f>Attributes!C3</f>
        <v>Strength</v>
      </c>
      <c r="G477" s="43" t="str">
        <f t="shared" si="21"/>
        <v>(AttributeName="Strength",Attribute=/Script/DSAbilitySystem.DungeonSiegeExperienceAttributeSet:Strength,AttributeOwner=Class'"/Script/DSAbilitySystem.DungeonSiegeExperienceAttributeSet"')</v>
      </c>
      <c r="H477" s="43">
        <v>2</v>
      </c>
      <c r="I477" s="43" t="str">
        <f t="shared" si="22"/>
        <v>GE_Prefix_Leather_Bound</v>
      </c>
      <c r="J477" s="43" t="str">
        <f t="shared" si="23"/>
        <v>/Game/DungeonSiege/Blueprints/GameplayAbilities/Affixes/GE_Prefix_Leather_Bound</v>
      </c>
    </row>
    <row r="478" spans="1:10" ht="33.75" x14ac:dyDescent="0.25">
      <c r="A478" s="43">
        <v>476</v>
      </c>
      <c r="B478" s="43">
        <f>VLOOKUP(C478,CHOOSE({2,1},Prefix!B$2:B$256,Prefix!C$2:C$256),2,FALSE)</f>
        <v>100663689</v>
      </c>
      <c r="C478" s="43" t="s">
        <v>1099</v>
      </c>
      <c r="D478" s="43" t="s">
        <v>239</v>
      </c>
      <c r="E478" s="43" t="str">
        <f>VLOOKUP(F478,CHOOSE({2,1},Attributes!B$3:B$130,Attributes!C$3:C$129),2,FALSE)</f>
        <v>DungeonSiegeExperienceAttributeSet</v>
      </c>
      <c r="F478" s="43" t="str">
        <f>Attributes!C7</f>
        <v>NatureMagic</v>
      </c>
      <c r="G478" s="43" t="str">
        <f t="shared" si="21"/>
        <v>(AttributeName="NatureMagic",Attribute=/Script/DSAbilitySystem.DungeonSiegeExperienceAttributeSet:NatureMagic,AttributeOwner=Class'"/Script/DSAbilitySystem.DungeonSiegeExperienceAttributeSet"')</v>
      </c>
      <c r="H478" s="43">
        <v>2</v>
      </c>
      <c r="I478" s="43" t="str">
        <f t="shared" si="22"/>
        <v>GE_Prefix_Terrestrial</v>
      </c>
      <c r="J478" s="43" t="str">
        <f t="shared" si="23"/>
        <v>/Game/DungeonSiege/Blueprints/GameplayAbilities/Affixes/GE_Prefix_Terrestrial</v>
      </c>
    </row>
    <row r="479" spans="1:10" ht="33.75" x14ac:dyDescent="0.25">
      <c r="A479" s="43">
        <v>477</v>
      </c>
      <c r="B479" s="43">
        <f>VLOOKUP(C479,CHOOSE({2,1},Prefix!B$2:B$256,Prefix!C$2:C$256),2,FALSE)</f>
        <v>100663696</v>
      </c>
      <c r="C479" s="43" t="s">
        <v>1101</v>
      </c>
      <c r="D479" s="43" t="s">
        <v>747</v>
      </c>
      <c r="E479" s="43" t="str">
        <f>VLOOKUP(F479,CHOOSE({2,1},Attributes!B$3:B$130,Attributes!C$3:C$129),2,FALSE)</f>
        <v>DungeonSiegeDamageAttributeSet</v>
      </c>
      <c r="F479" s="43" t="str">
        <f>Attributes!C34</f>
        <v>ChanceToDodgeMeleeAttack</v>
      </c>
      <c r="G479" s="43" t="str">
        <f t="shared" si="21"/>
        <v>(AttributeName="ChanceToDodgeMeleeAttack",Attribute=/Script/DSAbilitySystem.DungeonSiegeDamageAttributeSet:ChanceToDodgeMeleeAttack,AttributeOwner=Class'"/Script/DSAbilitySystem.DungeonSiegeDamageAttributeSet"')</v>
      </c>
      <c r="H479" s="43">
        <v>5</v>
      </c>
      <c r="I479" s="43" t="str">
        <f t="shared" si="22"/>
        <v>GE_Prefix_Elusive</v>
      </c>
      <c r="J479" s="43" t="str">
        <f t="shared" si="23"/>
        <v>/Game/DungeonSiege/Blueprints/GameplayAbilities/Affixes/GE_Prefix_Elusive</v>
      </c>
    </row>
    <row r="480" spans="1:10" ht="33.75" x14ac:dyDescent="0.25">
      <c r="A480" s="43">
        <v>478</v>
      </c>
      <c r="B480" s="43">
        <f>VLOOKUP(C480,CHOOSE({2,1},Prefix!B$2:B$256,Prefix!C$2:C$256),2,FALSE)</f>
        <v>100663697</v>
      </c>
      <c r="C480" s="43" t="s">
        <v>1103</v>
      </c>
      <c r="D480" s="43" t="s">
        <v>824</v>
      </c>
      <c r="E480" s="43" t="str">
        <f>VLOOKUP(F480,CHOOSE({2,1},Attributes!B$3:B$130,Attributes!C$3:C$129),2,FALSE)</f>
        <v>DungeonSiegeDamageAttributeSet</v>
      </c>
      <c r="F480" s="43" t="str">
        <f>Attributes!C30</f>
        <v>ChanceToDodgeRangeAttack</v>
      </c>
      <c r="G480" s="43" t="str">
        <f t="shared" si="21"/>
        <v>(AttributeName="ChanceToDodgeRangeAttack",Attribute=/Script/DSAbilitySystem.DungeonSiegeDamageAttributeSet:ChanceToDodgeRangeAttack,AttributeOwner=Class'"/Script/DSAbilitySystem.DungeonSiegeDamageAttributeSet"')</v>
      </c>
      <c r="H480" s="43">
        <v>5</v>
      </c>
      <c r="I480" s="43" t="str">
        <f t="shared" si="22"/>
        <v>GE_Prefix_Avoiding</v>
      </c>
      <c r="J480" s="43" t="str">
        <f t="shared" si="23"/>
        <v>/Game/DungeonSiege/Blueprints/GameplayAbilities/Affixes/GE_Prefix_Avoiding</v>
      </c>
    </row>
    <row r="481" spans="1:10" ht="33.75" x14ac:dyDescent="0.25">
      <c r="A481" s="43">
        <v>479</v>
      </c>
      <c r="B481" s="43">
        <f>VLOOKUP(C481,CHOOSE({2,1},Prefix!B$2:B$256,Prefix!C$2:C$256),2,FALSE)</f>
        <v>100663698</v>
      </c>
      <c r="C481" s="43" t="s">
        <v>1105</v>
      </c>
      <c r="D481" s="43" t="s">
        <v>870</v>
      </c>
      <c r="E481" s="43" t="str">
        <f>VLOOKUP(F481,CHOOSE({2,1},Attributes!B$3:B$130,Attributes!C$3:C$129),2,FALSE)</f>
        <v>DungeonSiegeDamageAttributeSet</v>
      </c>
      <c r="F481" s="43" t="str">
        <f>Attributes!C32</f>
        <v>ChanceToBlockMeleeAttack</v>
      </c>
      <c r="G481" s="43" t="str">
        <f t="shared" si="21"/>
        <v>(AttributeName="ChanceToBlockMeleeAttack",Attribute=/Script/DSAbilitySystem.DungeonSiegeDamageAttributeSet:ChanceToBlockMeleeAttack,AttributeOwner=Class'"/Script/DSAbilitySystem.DungeonSiegeDamageAttributeSet"')</v>
      </c>
      <c r="H481" s="43">
        <v>5</v>
      </c>
      <c r="I481" s="43" t="str">
        <f t="shared" si="22"/>
        <v>GE_Prefix_Staunch</v>
      </c>
      <c r="J481" s="43" t="str">
        <f t="shared" si="23"/>
        <v>/Game/DungeonSiege/Blueprints/GameplayAbilities/Affixes/GE_Prefix_Staunch</v>
      </c>
    </row>
    <row r="482" spans="1:10" ht="33.75" x14ac:dyDescent="0.25">
      <c r="A482" s="43">
        <v>480</v>
      </c>
      <c r="B482" s="43">
        <f>VLOOKUP(C482,CHOOSE({2,1},Prefix!B$2:B$256,Prefix!C$2:C$256),2,FALSE)</f>
        <v>100663699</v>
      </c>
      <c r="C482" s="43" t="s">
        <v>1107</v>
      </c>
      <c r="D482" s="43" t="s">
        <v>871</v>
      </c>
      <c r="E482" s="43" t="str">
        <f>VLOOKUP(F482,CHOOSE({2,1},Attributes!B$3:B$130,Attributes!C$3:C$129),2,FALSE)</f>
        <v>DungeonSiegeDamageAttributeSet</v>
      </c>
      <c r="F482" s="43" t="str">
        <f>Attributes!C28</f>
        <v>ChanceToBlockRangedAttack</v>
      </c>
      <c r="G482" s="43" t="str">
        <f t="shared" si="21"/>
        <v>(AttributeName="ChanceToBlockRangedAttack",Attribute=/Script/DSAbilitySystem.DungeonSiegeDamageAttributeSet:ChanceToBlockRangedAttack,AttributeOwner=Class'"/Script/DSAbilitySystem.DungeonSiegeDamageAttributeSet"')</v>
      </c>
      <c r="H482" s="43">
        <v>9</v>
      </c>
      <c r="I482" s="43" t="str">
        <f t="shared" si="22"/>
        <v>GE_Prefix_Defensive</v>
      </c>
      <c r="J482" s="43" t="str">
        <f t="shared" si="23"/>
        <v>/Game/DungeonSiege/Blueprints/GameplayAbilities/Affixes/GE_Prefix_Defensive</v>
      </c>
    </row>
    <row r="483" spans="1:10" s="23" customFormat="1" ht="33.75" x14ac:dyDescent="0.25">
      <c r="A483" s="43">
        <v>481</v>
      </c>
      <c r="B483" s="43">
        <f>VLOOKUP(C483,CHOOSE({2,1},Prefix!B$2:B$256,Prefix!C$2:C$256),2,FALSE)</f>
        <v>100663700</v>
      </c>
      <c r="C483" s="43" t="s">
        <v>1109</v>
      </c>
      <c r="D483" s="43" t="s">
        <v>3198</v>
      </c>
      <c r="E483" s="43" t="str">
        <f>VLOOKUP(F483,CHOOSE({2,1},Attributes!B$3:B$130,Attributes!C$3:C$129),2,FALSE)</f>
        <v>DungeonSiegeHealthAttributeSet</v>
      </c>
      <c r="F483" s="43" t="str">
        <f>Attributes!C82</f>
        <v>BaseHealthBonus</v>
      </c>
      <c r="G483" s="43" t="str">
        <f t="shared" si="21"/>
        <v>(AttributeName="BaseHealthBonus",Attribute=/Script/DSAbilitySystem.DungeonSiegeHealthAttributeSet:BaseHealthBonus,AttributeOwner=Class'"/Script/DSAbilitySystem.DungeonSiegeHealthAttributeSet"')</v>
      </c>
      <c r="H483" s="43">
        <v>8</v>
      </c>
      <c r="I483" s="43" t="str">
        <f t="shared" si="22"/>
        <v>GE_Prefix_Stupendous</v>
      </c>
      <c r="J483" s="43" t="str">
        <f t="shared" si="23"/>
        <v>/Game/DungeonSiege/Blueprints/GameplayAbilities/Affixes/GE_Prefix_Stupendous</v>
      </c>
    </row>
    <row r="484" spans="1:10" s="23" customFormat="1" ht="33.75" x14ac:dyDescent="0.25">
      <c r="A484" s="43">
        <v>482</v>
      </c>
      <c r="B484" s="43">
        <f>VLOOKUP(C484,CHOOSE({2,1},Prefix!B$2:B$256,Prefix!C$2:C$256),2,FALSE)</f>
        <v>100663700</v>
      </c>
      <c r="C484" s="43" t="s">
        <v>1109</v>
      </c>
      <c r="D484" s="43" t="s">
        <v>3199</v>
      </c>
      <c r="E484" s="43" t="str">
        <f>VLOOKUP(F484,CHOOSE({2,1},Attributes!B$3:B$130,Attributes!C$3:C$129),2,FALSE)</f>
        <v>DungeonSiegeManaAttributeSet</v>
      </c>
      <c r="F484" s="43" t="str">
        <f>Attributes!C90</f>
        <v>BaseManaBonus</v>
      </c>
      <c r="G484" s="43" t="str">
        <f t="shared" si="21"/>
        <v>(AttributeName="BaseManaBonus",Attribute=/Script/DSAbilitySystem.DungeonSiegeManaAttributeSet:BaseManaBonus,AttributeOwner=Class'"/Script/DSAbilitySystem.DungeonSiegeManaAttributeSet"')</v>
      </c>
      <c r="H484" s="43">
        <v>23</v>
      </c>
      <c r="I484" s="43" t="str">
        <f t="shared" si="22"/>
        <v>GE_Prefix_Stupendous</v>
      </c>
      <c r="J484" s="43" t="str">
        <f t="shared" si="23"/>
        <v>/Game/DungeonSiege/Blueprints/GameplayAbilities/Affixes/GE_Prefix_Stupendous</v>
      </c>
    </row>
    <row r="485" spans="1:10" s="23" customFormat="1" ht="33.75" x14ac:dyDescent="0.25">
      <c r="A485" s="43">
        <v>483</v>
      </c>
      <c r="B485" s="43">
        <f>VLOOKUP(C485,CHOOSE({2,1},Prefix!B$2:B$256,Prefix!C$2:C$256),2,FALSE)</f>
        <v>100663700</v>
      </c>
      <c r="C485" s="43" t="s">
        <v>1109</v>
      </c>
      <c r="D485" s="43" t="s">
        <v>230</v>
      </c>
      <c r="E485" s="43" t="str">
        <f>VLOOKUP(F485,CHOOSE({2,1},Attributes!B$3:B$130,Attributes!C$3:C$129),2,FALSE)</f>
        <v>DungeonSiegeMagicAttributeSet</v>
      </c>
      <c r="F485" s="43" t="str">
        <f>Attributes!C43</f>
        <v>PercentMagicDamageReduction</v>
      </c>
      <c r="G485" s="43" t="str">
        <f t="shared" si="21"/>
        <v>(AttributeName="PercentMagicDamageReduction",Attribute=/Script/DSAbilitySystem.DungeonSiegeMagicAttributeSet:PercentMagicDamageReduction,AttributeOwner=Class'"/Script/DSAbilitySystem.DungeonSiegeMagicAttributeSet"')</v>
      </c>
      <c r="H485" s="43">
        <v>5</v>
      </c>
      <c r="I485" s="43" t="str">
        <f t="shared" si="22"/>
        <v>GE_Prefix_Stupendous</v>
      </c>
      <c r="J485" s="43" t="str">
        <f t="shared" si="23"/>
        <v>/Game/DungeonSiege/Blueprints/GameplayAbilities/Affixes/GE_Prefix_Stupendous</v>
      </c>
    </row>
    <row r="486" spans="1:10" ht="33.75" x14ac:dyDescent="0.25">
      <c r="A486" s="43">
        <v>484</v>
      </c>
      <c r="B486" s="43">
        <f>VLOOKUP(C486,CHOOSE({2,1},Prefix!B$2:B$256,Prefix!C$2:C$256),2,FALSE)</f>
        <v>100663700</v>
      </c>
      <c r="C486" s="43" t="s">
        <v>1109</v>
      </c>
      <c r="D486" s="43" t="s">
        <v>805</v>
      </c>
      <c r="E486" s="43" t="str">
        <f>VLOOKUP(F486,CHOOSE({2,1},Attributes!B$3:B$130,Attributes!C$3:C$129),2,FALSE)</f>
        <v>DungeonSiegeDamageAttributeSet</v>
      </c>
      <c r="F486" s="43" t="str">
        <f>Attributes!C31</f>
        <v>PercentMeleeDamageReduction</v>
      </c>
      <c r="G486" s="43" t="str">
        <f t="shared" si="21"/>
        <v>(AttributeName="PercentMeleeDamageReduction",Attribute=/Script/DSAbilitySystem.DungeonSiegeDamageAttributeSet:PercentMeleeDamageReduction,AttributeOwner=Class'"/Script/DSAbilitySystem.DungeonSiegeDamageAttributeSet"')</v>
      </c>
      <c r="H486" s="43">
        <v>5</v>
      </c>
      <c r="I486" s="43" t="str">
        <f t="shared" si="22"/>
        <v>GE_Prefix_Stupendous</v>
      </c>
      <c r="J486" s="43" t="str">
        <f t="shared" si="23"/>
        <v>/Game/DungeonSiege/Blueprints/GameplayAbilities/Affixes/GE_Prefix_Stupendous</v>
      </c>
    </row>
    <row r="487" spans="1:10" s="23" customFormat="1" ht="33.75" x14ac:dyDescent="0.25">
      <c r="A487" s="43">
        <v>485</v>
      </c>
      <c r="B487" s="43">
        <f>VLOOKUP(C487,CHOOSE({2,1},Prefix!B$2:B$256,Prefix!C$2:C$256),2,FALSE)</f>
        <v>100663701</v>
      </c>
      <c r="C487" s="43" t="s">
        <v>1111</v>
      </c>
      <c r="D487" s="43" t="s">
        <v>745</v>
      </c>
      <c r="E487" s="43" t="str">
        <f>VLOOKUP(F487,CHOOSE({2,1},Attributes!B$3:B$130,Attributes!C$3:C$129),2,FALSE)</f>
        <v>DungeonSiegeExperienceAttributeSet</v>
      </c>
      <c r="F487" s="43" t="str">
        <f>Attributes!C9</f>
        <v>Melee</v>
      </c>
      <c r="G487" s="43" t="str">
        <f t="shared" si="21"/>
        <v>(AttributeName="Melee",Attribute=/Script/DSAbilitySystem.DungeonSiegeExperienceAttributeSet:Melee,AttributeOwner=Class'"/Script/DSAbilitySystem.DungeonSiegeExperienceAttributeSet"')</v>
      </c>
      <c r="H487" s="43">
        <v>1</v>
      </c>
      <c r="I487" s="43" t="str">
        <f t="shared" si="22"/>
        <v>GE_Prefix_Trusted</v>
      </c>
      <c r="J487" s="43" t="str">
        <f t="shared" si="23"/>
        <v>/Game/DungeonSiege/Blueprints/GameplayAbilities/Affixes/GE_Prefix_Trusted</v>
      </c>
    </row>
    <row r="488" spans="1:10" s="23" customFormat="1" ht="33.75" x14ac:dyDescent="0.25">
      <c r="A488" s="43">
        <v>486</v>
      </c>
      <c r="B488" s="43">
        <f>VLOOKUP(C488,CHOOSE({2,1},Prefix!B$2:B$256,Prefix!C$2:C$256),2,FALSE)</f>
        <v>100663701</v>
      </c>
      <c r="C488" s="43" t="s">
        <v>1111</v>
      </c>
      <c r="D488" s="43" t="s">
        <v>230</v>
      </c>
      <c r="E488" s="43" t="str">
        <f>VLOOKUP(F488,CHOOSE({2,1},Attributes!B$3:B$130,Attributes!C$3:C$129),2,FALSE)</f>
        <v>DungeonSiegeMagicAttributeSet</v>
      </c>
      <c r="F488" s="43" t="str">
        <f>Attributes!C43</f>
        <v>PercentMagicDamageReduction</v>
      </c>
      <c r="G488" s="43" t="str">
        <f t="shared" si="21"/>
        <v>(AttributeName="PercentMagicDamageReduction",Attribute=/Script/DSAbilitySystem.DungeonSiegeMagicAttributeSet:PercentMagicDamageReduction,AttributeOwner=Class'"/Script/DSAbilitySystem.DungeonSiegeMagicAttributeSet"')</v>
      </c>
      <c r="H488" s="43">
        <v>5</v>
      </c>
      <c r="I488" s="43" t="str">
        <f t="shared" si="22"/>
        <v>GE_Prefix_Trusted</v>
      </c>
      <c r="J488" s="43" t="str">
        <f t="shared" si="23"/>
        <v>/Game/DungeonSiege/Blueprints/GameplayAbilities/Affixes/GE_Prefix_Trusted</v>
      </c>
    </row>
    <row r="489" spans="1:10" ht="33.75" x14ac:dyDescent="0.25">
      <c r="A489" s="43">
        <v>487</v>
      </c>
      <c r="B489" s="43">
        <f>VLOOKUP(C489,CHOOSE({2,1},Prefix!B$2:B$256,Prefix!C$2:C$256),2,FALSE)</f>
        <v>100663701</v>
      </c>
      <c r="C489" s="43" t="s">
        <v>1111</v>
      </c>
      <c r="D489" s="43" t="s">
        <v>805</v>
      </c>
      <c r="E489" s="43" t="str">
        <f>VLOOKUP(F489,CHOOSE({2,1},Attributes!B$3:B$130,Attributes!C$3:C$129),2,FALSE)</f>
        <v>DungeonSiegeDamageAttributeSet</v>
      </c>
      <c r="F489" s="43" t="str">
        <f>Attributes!C31</f>
        <v>PercentMeleeDamageReduction</v>
      </c>
      <c r="G489" s="43" t="str">
        <f t="shared" si="21"/>
        <v>(AttributeName="PercentMeleeDamageReduction",Attribute=/Script/DSAbilitySystem.DungeonSiegeDamageAttributeSet:PercentMeleeDamageReduction,AttributeOwner=Class'"/Script/DSAbilitySystem.DungeonSiegeDamageAttributeSet"')</v>
      </c>
      <c r="H489" s="43">
        <v>5</v>
      </c>
      <c r="I489" s="43" t="str">
        <f t="shared" si="22"/>
        <v>GE_Prefix_Trusted</v>
      </c>
      <c r="J489" s="43" t="str">
        <f t="shared" si="23"/>
        <v>/Game/DungeonSiege/Blueprints/GameplayAbilities/Affixes/GE_Prefix_Trusted</v>
      </c>
    </row>
    <row r="490" spans="1:10" s="23" customFormat="1" ht="33.75" x14ac:dyDescent="0.25">
      <c r="A490" s="43">
        <v>488</v>
      </c>
      <c r="B490" s="43">
        <f>VLOOKUP(C490,CHOOSE({2,1},Prefix!B$2:B$256,Prefix!C$2:C$256),2,FALSE)</f>
        <v>100663702</v>
      </c>
      <c r="C490" s="43" t="s">
        <v>1113</v>
      </c>
      <c r="D490" s="43" t="s">
        <v>207</v>
      </c>
      <c r="E490" s="43" t="str">
        <f>VLOOKUP(F490,CHOOSE({2,1},Attributes!B$3:B$130,Attributes!C$3:C$129),2,FALSE)</f>
        <v>DungeonSiegeExperienceAttributeSet</v>
      </c>
      <c r="F490" s="43" t="str">
        <f>Attributes!C7</f>
        <v>NatureMagic</v>
      </c>
      <c r="G490" s="43" t="str">
        <f t="shared" si="21"/>
        <v>(AttributeName="NatureMagic",Attribute=/Script/DSAbilitySystem.DungeonSiegeExperienceAttributeSet:NatureMagic,AttributeOwner=Class'"/Script/DSAbilitySystem.DungeonSiegeExperienceAttributeSet"')</v>
      </c>
      <c r="H490" s="43">
        <v>1</v>
      </c>
      <c r="I490" s="43" t="str">
        <f t="shared" si="22"/>
        <v>GE_Prefix_Inspired</v>
      </c>
      <c r="J490" s="43" t="str">
        <f t="shared" si="23"/>
        <v>/Game/DungeonSiege/Blueprints/GameplayAbilities/Affixes/GE_Prefix_Inspired</v>
      </c>
    </row>
    <row r="491" spans="1:10" s="23" customFormat="1" ht="33.75" x14ac:dyDescent="0.25">
      <c r="A491" s="43">
        <v>489</v>
      </c>
      <c r="B491" s="43">
        <f>VLOOKUP(C491,CHOOSE({2,1},Prefix!B$2:B$256,Prefix!C$2:C$256),2,FALSE)</f>
        <v>100663702</v>
      </c>
      <c r="C491" s="43" t="s">
        <v>1113</v>
      </c>
      <c r="D491" s="43" t="s">
        <v>204</v>
      </c>
      <c r="E491" s="43" t="str">
        <f>VLOOKUP(F491,CHOOSE({2,1},Attributes!B$3:B$130,Attributes!C$3:C$129),2,FALSE)</f>
        <v>DungeonSiegeExperienceAttributeSet</v>
      </c>
      <c r="F491" s="43" t="str">
        <f>Attributes!C6</f>
        <v>CombatMagic</v>
      </c>
      <c r="G491" s="43" t="str">
        <f t="shared" si="21"/>
        <v>(AttributeName="CombatMagic",Attribute=/Script/DSAbilitySystem.DungeonSiegeExperienceAttributeSet:CombatMagic,AttributeOwner=Class'"/Script/DSAbilitySystem.DungeonSiegeExperienceAttributeSet"')</v>
      </c>
      <c r="H491" s="43">
        <v>1</v>
      </c>
      <c r="I491" s="43" t="str">
        <f t="shared" si="22"/>
        <v>GE_Prefix_Inspired</v>
      </c>
      <c r="J491" s="43" t="str">
        <f t="shared" si="23"/>
        <v>/Game/DungeonSiege/Blueprints/GameplayAbilities/Affixes/GE_Prefix_Inspired</v>
      </c>
    </row>
    <row r="492" spans="1:10" ht="33.75" x14ac:dyDescent="0.25">
      <c r="A492" s="43">
        <v>490</v>
      </c>
      <c r="B492" s="43">
        <f>VLOOKUP(C492,CHOOSE({2,1},Prefix!B$2:B$256,Prefix!C$2:C$256),2,FALSE)</f>
        <v>100663702</v>
      </c>
      <c r="C492" s="43" t="s">
        <v>1113</v>
      </c>
      <c r="D492" s="43" t="s">
        <v>805</v>
      </c>
      <c r="E492" s="43" t="str">
        <f>VLOOKUP(F492,CHOOSE({2,1},Attributes!B$3:B$130,Attributes!C$3:C$129),2,FALSE)</f>
        <v>DungeonSiegeDamageAttributeSet</v>
      </c>
      <c r="F492" s="43" t="str">
        <f>Attributes!C31</f>
        <v>PercentMeleeDamageReduction</v>
      </c>
      <c r="G492" s="43" t="str">
        <f t="shared" si="21"/>
        <v>(AttributeName="PercentMeleeDamageReduction",Attribute=/Script/DSAbilitySystem.DungeonSiegeDamageAttributeSet:PercentMeleeDamageReduction,AttributeOwner=Class'"/Script/DSAbilitySystem.DungeonSiegeDamageAttributeSet"')</v>
      </c>
      <c r="H492" s="43">
        <v>5</v>
      </c>
      <c r="I492" s="43" t="str">
        <f t="shared" si="22"/>
        <v>GE_Prefix_Inspired</v>
      </c>
      <c r="J492" s="43" t="str">
        <f t="shared" si="23"/>
        <v>/Game/DungeonSiege/Blueprints/GameplayAbilities/Affixes/GE_Prefix_Inspired</v>
      </c>
    </row>
    <row r="493" spans="1:10" ht="33.75" x14ac:dyDescent="0.25">
      <c r="A493" s="43">
        <v>491</v>
      </c>
      <c r="B493" s="43">
        <f>VLOOKUP(C493,CHOOSE({2,1},Prefix!B$2:B$256,Prefix!C$2:C$256),2,FALSE)</f>
        <v>100663703</v>
      </c>
      <c r="C493" s="43" t="s">
        <v>240</v>
      </c>
      <c r="D493" s="43" t="s">
        <v>239</v>
      </c>
      <c r="E493" s="43" t="str">
        <f>VLOOKUP(F493,CHOOSE({2,1},Attributes!B$3:B$130,Attributes!C$3:C$129),2,FALSE)</f>
        <v>DungeonSiegeExperienceAttributeSet</v>
      </c>
      <c r="F493" s="43" t="str">
        <f>Attributes!C7</f>
        <v>NatureMagic</v>
      </c>
      <c r="G493" s="43" t="str">
        <f t="shared" si="21"/>
        <v>(AttributeName="NatureMagic",Attribute=/Script/DSAbilitySystem.DungeonSiegeExperienceAttributeSet:NatureMagic,AttributeOwner=Class'"/Script/DSAbilitySystem.DungeonSiegeExperienceAttributeSet"')</v>
      </c>
      <c r="H493" s="43">
        <v>2</v>
      </c>
      <c r="I493" s="43" t="str">
        <f t="shared" si="22"/>
        <v>GE_Prefix_Pastoral</v>
      </c>
      <c r="J493" s="43" t="str">
        <f t="shared" si="23"/>
        <v>/Game/DungeonSiege/Blueprints/GameplayAbilities/Affixes/GE_Prefix_Pastoral</v>
      </c>
    </row>
    <row r="494" spans="1:10" ht="33.75" x14ac:dyDescent="0.25">
      <c r="A494" s="43">
        <v>492</v>
      </c>
      <c r="B494" s="43">
        <f>VLOOKUP(C494,CHOOSE({2,1},Prefix!B$2:B$256,Prefix!C$2:C$256),2,FALSE)</f>
        <v>100663704</v>
      </c>
      <c r="C494" s="43" t="s">
        <v>1115</v>
      </c>
      <c r="D494" s="43" t="s">
        <v>236</v>
      </c>
      <c r="E494" s="43" t="str">
        <f>VLOOKUP(F494,CHOOSE({2,1},Attributes!B$3:B$130,Attributes!C$3:C$129),2,FALSE)</f>
        <v>DungeonSiegeExperienceAttributeSet</v>
      </c>
      <c r="F494" s="43" t="str">
        <f>Attributes!C6</f>
        <v>CombatMagic</v>
      </c>
      <c r="G494" s="43" t="str">
        <f t="shared" si="21"/>
        <v>(AttributeName="CombatMagic",Attribute=/Script/DSAbilitySystem.DungeonSiegeExperienceAttributeSet:CombatMagic,AttributeOwner=Class'"/Script/DSAbilitySystem.DungeonSiegeExperienceAttributeSet"')</v>
      </c>
      <c r="H494" s="43">
        <v>2</v>
      </c>
      <c r="I494" s="43" t="str">
        <f t="shared" si="22"/>
        <v>GE_Prefix_Scuffling</v>
      </c>
      <c r="J494" s="43" t="str">
        <f t="shared" si="23"/>
        <v>/Game/DungeonSiege/Blueprints/GameplayAbilities/Affixes/GE_Prefix_Scuffling</v>
      </c>
    </row>
    <row r="495" spans="1:10" ht="33.75" x14ac:dyDescent="0.25">
      <c r="A495" s="43">
        <v>493</v>
      </c>
      <c r="B495" s="43">
        <f>VLOOKUP(C495,CHOOSE({2,1},Prefix!B$2:B$256,Prefix!C$2:C$256),2,FALSE)</f>
        <v>100663705</v>
      </c>
      <c r="C495" s="43" t="s">
        <v>1117</v>
      </c>
      <c r="D495" s="43" t="s">
        <v>738</v>
      </c>
      <c r="E495" s="43" t="str">
        <f>VLOOKUP(F495,CHOOSE({2,1},Attributes!B$3:B$130,Attributes!C$3:C$129),2,FALSE)</f>
        <v>DungeonSiegeDamageAttributeSet</v>
      </c>
      <c r="F495" s="43" t="str">
        <f>Attributes!C27</f>
        <v>PercentRangedDamageReduction</v>
      </c>
      <c r="G495" s="43" t="str">
        <f t="shared" si="21"/>
        <v>(AttributeName="PercentRangedDamageReduction",Attribute=/Script/DSAbilitySystem.DungeonSiegeDamageAttributeSet:PercentRangedDamageReduction,AttributeOwner=Class'"/Script/DSAbilitySystem.DungeonSiegeDamageAttributeSet"')</v>
      </c>
      <c r="H495" s="43">
        <v>8</v>
      </c>
      <c r="I495" s="43" t="str">
        <f t="shared" si="22"/>
        <v>GE_Prefix_Dense</v>
      </c>
      <c r="J495" s="43" t="str">
        <f t="shared" si="23"/>
        <v>/Game/DungeonSiege/Blueprints/GameplayAbilities/Affixes/GE_Prefix_Dense</v>
      </c>
    </row>
    <row r="496" spans="1:10" s="23" customFormat="1" ht="33.75" x14ac:dyDescent="0.25">
      <c r="A496" s="43">
        <v>494</v>
      </c>
      <c r="B496" s="43">
        <f>VLOOKUP(C496,CHOOSE({2,1},Prefix!B$2:B$256,Prefix!C$2:C$256),2,FALSE)</f>
        <v>100663808</v>
      </c>
      <c r="C496" s="43" t="s">
        <v>1119</v>
      </c>
      <c r="D496" s="43" t="s">
        <v>54</v>
      </c>
      <c r="E496" s="43" t="str">
        <f>VLOOKUP(F496,CHOOSE({2,1},Attributes!B$3:B$130,Attributes!C$3:C$129),2,FALSE)</f>
        <v>DungeonSiegeExperienceAttributeSet</v>
      </c>
      <c r="F496" s="43" t="str">
        <f>Attributes!C4</f>
        <v>Dexterity</v>
      </c>
      <c r="G496" s="43" t="str">
        <f t="shared" si="21"/>
        <v>(AttributeName="Dexterity",Attribute=/Script/DSAbilitySystem.DungeonSiegeExperienceAttributeSet:Dexterity,AttributeOwner=Class'"/Script/DSAbilitySystem.DungeonSiegeExperienceAttributeSet"')</v>
      </c>
      <c r="H496" s="43">
        <v>1</v>
      </c>
      <c r="I496" s="43" t="str">
        <f t="shared" si="22"/>
        <v>GE_Prefix_Preeminent</v>
      </c>
      <c r="J496" s="43" t="str">
        <f t="shared" si="23"/>
        <v>/Game/DungeonSiege/Blueprints/GameplayAbilities/Affixes/GE_Prefix_Preeminent</v>
      </c>
    </row>
    <row r="497" spans="1:10" s="23" customFormat="1" ht="33.75" x14ac:dyDescent="0.25">
      <c r="A497" s="43">
        <v>495</v>
      </c>
      <c r="B497" s="43">
        <f>VLOOKUP(C497,CHOOSE({2,1},Prefix!B$2:B$256,Prefix!C$2:C$256),2,FALSE)</f>
        <v>100663808</v>
      </c>
      <c r="C497" s="43" t="s">
        <v>1119</v>
      </c>
      <c r="D497" s="43" t="s">
        <v>713</v>
      </c>
      <c r="E497" s="43" t="str">
        <f>VLOOKUP(F497,CHOOSE({2,1},Attributes!B$3:B$130,Attributes!C$3:C$129),2,FALSE)</f>
        <v>DungeonSiegeExperienceAttributeSet</v>
      </c>
      <c r="F497" s="43" t="str">
        <f>Attributes!C8</f>
        <v>Ranged</v>
      </c>
      <c r="G497" s="43" t="str">
        <f t="shared" si="21"/>
        <v>(AttributeName="Ranged",Attribute=/Script/DSAbilitySystem.DungeonSiegeExperienceAttributeSet:Ranged,AttributeOwner=Class'"/Script/DSAbilitySystem.DungeonSiegeExperienceAttributeSet"')</v>
      </c>
      <c r="H497" s="43">
        <v>1</v>
      </c>
      <c r="I497" s="43" t="str">
        <f t="shared" si="22"/>
        <v>GE_Prefix_Preeminent</v>
      </c>
      <c r="J497" s="43" t="str">
        <f t="shared" si="23"/>
        <v>/Game/DungeonSiege/Blueprints/GameplayAbilities/Affixes/GE_Prefix_Preeminent</v>
      </c>
    </row>
    <row r="498" spans="1:10" s="23" customFormat="1" ht="33.75" x14ac:dyDescent="0.25">
      <c r="A498" s="43">
        <v>496</v>
      </c>
      <c r="B498" s="43">
        <f>VLOOKUP(C498,CHOOSE({2,1},Prefix!B$2:B$256,Prefix!C$2:C$256),2,FALSE)</f>
        <v>100663808</v>
      </c>
      <c r="C498" s="43" t="s">
        <v>1119</v>
      </c>
      <c r="D498" s="43" t="s">
        <v>207</v>
      </c>
      <c r="E498" s="43" t="str">
        <f>VLOOKUP(F498,CHOOSE({2,1},Attributes!B$3:B$130,Attributes!C$3:C$129),2,FALSE)</f>
        <v>DungeonSiegeExperienceAttributeSet</v>
      </c>
      <c r="F498" s="43" t="str">
        <f>Attributes!C7</f>
        <v>NatureMagic</v>
      </c>
      <c r="G498" s="43" t="str">
        <f t="shared" si="21"/>
        <v>(AttributeName="NatureMagic",Attribute=/Script/DSAbilitySystem.DungeonSiegeExperienceAttributeSet:NatureMagic,AttributeOwner=Class'"/Script/DSAbilitySystem.DungeonSiegeExperienceAttributeSet"')</v>
      </c>
      <c r="H498" s="43">
        <v>1</v>
      </c>
      <c r="I498" s="43" t="str">
        <f t="shared" si="22"/>
        <v>GE_Prefix_Preeminent</v>
      </c>
      <c r="J498" s="43" t="str">
        <f t="shared" si="23"/>
        <v>/Game/DungeonSiege/Blueprints/GameplayAbilities/Affixes/GE_Prefix_Preeminent</v>
      </c>
    </row>
    <row r="499" spans="1:10" ht="33.75" x14ac:dyDescent="0.25">
      <c r="A499" s="43">
        <v>497</v>
      </c>
      <c r="B499" s="43">
        <f>VLOOKUP(C499,CHOOSE({2,1},Prefix!B$2:B$256,Prefix!C$2:C$256),2,FALSE)</f>
        <v>100663808</v>
      </c>
      <c r="C499" s="43" t="s">
        <v>1119</v>
      </c>
      <c r="D499" s="43" t="s">
        <v>3200</v>
      </c>
      <c r="E499" s="43" t="str">
        <f>VLOOKUP(F499,CHOOSE({2,1},Attributes!B$3:B$130,Attributes!C$3:C$129),2,FALSE)</f>
        <v>DungeonSiegeDamageAttributeSet</v>
      </c>
      <c r="F499" s="43" t="str">
        <f>Attributes!C36</f>
        <v>MeleeMaxDamageMod</v>
      </c>
      <c r="G499" s="43" t="str">
        <f t="shared" si="21"/>
        <v>(AttributeName="MeleeMaxDamageMod",Attribute=/Script/DSAbilitySystem.DungeonSiegeDamageAttributeSet:MeleeMaxDamageMod,AttributeOwner=Class'"/Script/DSAbilitySystem.DungeonSiegeDamageAttributeSet"')</v>
      </c>
      <c r="H499" s="43">
        <v>2</v>
      </c>
      <c r="I499" s="43" t="str">
        <f t="shared" si="22"/>
        <v>GE_Prefix_Preeminent</v>
      </c>
      <c r="J499" s="43" t="str">
        <f t="shared" si="23"/>
        <v>/Game/DungeonSiege/Blueprints/GameplayAbilities/Affixes/GE_Prefix_Preeminent</v>
      </c>
    </row>
    <row r="500" spans="1:10" s="23" customFormat="1" ht="33.75" x14ac:dyDescent="0.25">
      <c r="A500" s="43">
        <v>498</v>
      </c>
      <c r="B500" s="43">
        <f>VLOOKUP(C500,CHOOSE({2,1},Prefix!B$2:B$256,Prefix!C$2:C$256),2,FALSE)</f>
        <v>100663809</v>
      </c>
      <c r="C500" s="43" t="s">
        <v>1122</v>
      </c>
      <c r="D500" s="43" t="s">
        <v>54</v>
      </c>
      <c r="E500" s="43" t="str">
        <f>VLOOKUP(F500,CHOOSE({2,1},Attributes!B$3:B$130,Attributes!C$3:C$129),2,FALSE)</f>
        <v>DungeonSiegeExperienceAttributeSet</v>
      </c>
      <c r="F500" s="43" t="str">
        <f>Attributes!C4</f>
        <v>Dexterity</v>
      </c>
      <c r="G500" s="43" t="str">
        <f t="shared" si="21"/>
        <v>(AttributeName="Dexterity",Attribute=/Script/DSAbilitySystem.DungeonSiegeExperienceAttributeSet:Dexterity,AttributeOwner=Class'"/Script/DSAbilitySystem.DungeonSiegeExperienceAttributeSet"')</v>
      </c>
      <c r="H500" s="43">
        <v>1</v>
      </c>
      <c r="I500" s="43" t="str">
        <f t="shared" si="22"/>
        <v>GE_Prefix_Outrageous</v>
      </c>
      <c r="J500" s="43" t="str">
        <f t="shared" si="23"/>
        <v>/Game/DungeonSiege/Blueprints/GameplayAbilities/Affixes/GE_Prefix_Outrageous</v>
      </c>
    </row>
    <row r="501" spans="1:10" s="23" customFormat="1" ht="33.75" x14ac:dyDescent="0.25">
      <c r="A501" s="43">
        <v>499</v>
      </c>
      <c r="B501" s="43">
        <f>VLOOKUP(C501,CHOOSE({2,1},Prefix!B$2:B$256,Prefix!C$2:C$256),2,FALSE)</f>
        <v>100663809</v>
      </c>
      <c r="C501" s="43" t="s">
        <v>1122</v>
      </c>
      <c r="D501" s="43" t="s">
        <v>934</v>
      </c>
      <c r="E501" s="43" t="str">
        <f>VLOOKUP(F501,CHOOSE({2,1},Attributes!B$3:B$130,Attributes!C$3:C$129),2,FALSE)</f>
        <v>DungeonSiegePerHitAttributeSet</v>
      </c>
      <c r="F501" s="43" t="str">
        <f>Attributes!C11</f>
        <v>HealthPerHit</v>
      </c>
      <c r="G501" s="43" t="str">
        <f t="shared" si="21"/>
        <v>(AttributeName="HealthPerHit",Attribute=/Script/DSAbilitySystem.DungeonSiegePerHitAttributeSet:HealthPerHit,AttributeOwner=Class'"/Script/DSAbilitySystem.DungeonSiegePerHitAttributeSet"')</v>
      </c>
      <c r="H501" s="43">
        <v>1</v>
      </c>
      <c r="I501" s="43" t="str">
        <f t="shared" si="22"/>
        <v>GE_Prefix_Outrageous</v>
      </c>
      <c r="J501" s="43" t="str">
        <f t="shared" si="23"/>
        <v>/Game/DungeonSiege/Blueprints/GameplayAbilities/Affixes/GE_Prefix_Outrageous</v>
      </c>
    </row>
    <row r="502" spans="1:10" s="23" customFormat="1" ht="33.75" x14ac:dyDescent="0.25">
      <c r="A502" s="43">
        <v>500</v>
      </c>
      <c r="B502" s="43">
        <f>VLOOKUP(C502,CHOOSE({2,1},Prefix!B$2:B$256,Prefix!C$2:C$256),2,FALSE)</f>
        <v>100663809</v>
      </c>
      <c r="C502" s="43" t="s">
        <v>1122</v>
      </c>
      <c r="D502" s="43" t="s">
        <v>713</v>
      </c>
      <c r="E502" s="43" t="str">
        <f>VLOOKUP(F502,CHOOSE({2,1},Attributes!B$3:B$130,Attributes!C$3:C$129),2,FALSE)</f>
        <v>DungeonSiegeExperienceAttributeSet</v>
      </c>
      <c r="F502" s="43" t="str">
        <f>Attributes!C8</f>
        <v>Ranged</v>
      </c>
      <c r="G502" s="43" t="str">
        <f t="shared" si="21"/>
        <v>(AttributeName="Ranged",Attribute=/Script/DSAbilitySystem.DungeonSiegeExperienceAttributeSet:Ranged,AttributeOwner=Class'"/Script/DSAbilitySystem.DungeonSiegeExperienceAttributeSet"')</v>
      </c>
      <c r="H502" s="43">
        <v>1</v>
      </c>
      <c r="I502" s="43" t="str">
        <f t="shared" si="22"/>
        <v>GE_Prefix_Outrageous</v>
      </c>
      <c r="J502" s="43" t="str">
        <f t="shared" si="23"/>
        <v>/Game/DungeonSiege/Blueprints/GameplayAbilities/Affixes/GE_Prefix_Outrageous</v>
      </c>
    </row>
    <row r="503" spans="1:10" ht="33.75" x14ac:dyDescent="0.25">
      <c r="A503" s="43">
        <v>501</v>
      </c>
      <c r="B503" s="43">
        <f>VLOOKUP(C503,CHOOSE({2,1},Prefix!B$2:B$256,Prefix!C$2:C$256),2,FALSE)</f>
        <v>100663809</v>
      </c>
      <c r="C503" s="43" t="s">
        <v>1122</v>
      </c>
      <c r="D503" s="43" t="s">
        <v>950</v>
      </c>
      <c r="E503" s="43" t="str">
        <f>VLOOKUP(F503,CHOOSE({2,1},Attributes!B$3:B$130,Attributes!C$3:C$129),2,FALSE)</f>
        <v>DungeonSiegeDamageAttributeSet</v>
      </c>
      <c r="F503" s="43" t="str">
        <f>Attributes!C19</f>
        <v>MinDamageMod</v>
      </c>
      <c r="G503" s="43" t="str">
        <f t="shared" si="21"/>
        <v>(AttributeName="MinDamageMod",Attribute=/Script/DSAbilitySystem.DungeonSiegeDamageAttributeSet:MinDamageMod,AttributeOwner=Class'"/Script/DSAbilitySystem.DungeonSiegeDamageAttributeSet"')</v>
      </c>
      <c r="H503" s="43">
        <v>1</v>
      </c>
      <c r="I503" s="43" t="str">
        <f t="shared" si="22"/>
        <v>GE_Prefix_Outrageous</v>
      </c>
      <c r="J503" s="43" t="str">
        <f t="shared" si="23"/>
        <v>/Game/DungeonSiege/Blueprints/GameplayAbilities/Affixes/GE_Prefix_Outrageous</v>
      </c>
    </row>
    <row r="504" spans="1:10" s="23" customFormat="1" ht="33.75" x14ac:dyDescent="0.25">
      <c r="A504" s="43">
        <v>502</v>
      </c>
      <c r="B504" s="43">
        <f>VLOOKUP(C504,CHOOSE({2,1},Prefix!B$2:B$256,Prefix!C$2:C$256),2,FALSE)</f>
        <v>100663810</v>
      </c>
      <c r="C504" s="43" t="s">
        <v>1124</v>
      </c>
      <c r="D504" s="43" t="s">
        <v>713</v>
      </c>
      <c r="E504" s="43" t="str">
        <f>VLOOKUP(F504,CHOOSE({2,1},Attributes!B$3:B$130,Attributes!C$3:C$129),2,FALSE)</f>
        <v>DungeonSiegeExperienceAttributeSet</v>
      </c>
      <c r="F504" s="43" t="str">
        <f>Attributes!C8</f>
        <v>Ranged</v>
      </c>
      <c r="G504" s="43" t="str">
        <f t="shared" si="21"/>
        <v>(AttributeName="Ranged",Attribute=/Script/DSAbilitySystem.DungeonSiegeExperienceAttributeSet:Ranged,AttributeOwner=Class'"/Script/DSAbilitySystem.DungeonSiegeExperienceAttributeSet"')</v>
      </c>
      <c r="H504" s="43">
        <v>1</v>
      </c>
      <c r="I504" s="43" t="str">
        <f t="shared" si="22"/>
        <v>GE_Prefix_Fabled</v>
      </c>
      <c r="J504" s="43" t="str">
        <f t="shared" si="23"/>
        <v>/Game/DungeonSiege/Blueprints/GameplayAbilities/Affixes/GE_Prefix_Fabled</v>
      </c>
    </row>
    <row r="505" spans="1:10" s="23" customFormat="1" ht="33.75" x14ac:dyDescent="0.25">
      <c r="A505" s="43">
        <v>503</v>
      </c>
      <c r="B505" s="43">
        <f>VLOOKUP(C505,CHOOSE({2,1},Prefix!B$2:B$256,Prefix!C$2:C$256),2,FALSE)</f>
        <v>100663810</v>
      </c>
      <c r="C505" s="43" t="s">
        <v>1124</v>
      </c>
      <c r="D505" s="43" t="s">
        <v>965</v>
      </c>
      <c r="E505" s="43" t="str">
        <f>VLOOKUP(F505,CHOOSE({2,1},Attributes!B$3:B$130,Attributes!C$3:C$129),2,FALSE)</f>
        <v>DungeonSiegeDamageAttributeSet</v>
      </c>
      <c r="F505" s="43" t="str">
        <f>Attributes!C24</f>
        <v>PercentPiercingDamageReduction</v>
      </c>
      <c r="G505" s="43" t="str">
        <f t="shared" si="21"/>
        <v>(AttributeName="PercentPiercingDamageReduction",Attribute=/Script/DSAbilitySystem.DungeonSiegeDamageAttributeSet:PercentPiercingDamageReduction,AttributeOwner=Class'"/Script/DSAbilitySystem.DungeonSiegeDamageAttributeSet"')</v>
      </c>
      <c r="H505" s="43">
        <v>4</v>
      </c>
      <c r="I505" s="43" t="str">
        <f t="shared" si="22"/>
        <v>GE_Prefix_Fabled</v>
      </c>
      <c r="J505" s="43" t="str">
        <f t="shared" si="23"/>
        <v>/Game/DungeonSiege/Blueprints/GameplayAbilities/Affixes/GE_Prefix_Fabled</v>
      </c>
    </row>
    <row r="506" spans="1:10" ht="33.75" x14ac:dyDescent="0.25">
      <c r="A506" s="43">
        <v>504</v>
      </c>
      <c r="B506" s="43">
        <f>VLOOKUP(C506,CHOOSE({2,1},Prefix!B$2:B$256,Prefix!C$2:C$256),2,FALSE)</f>
        <v>100663810</v>
      </c>
      <c r="C506" s="43" t="s">
        <v>1124</v>
      </c>
      <c r="D506" s="43" t="s">
        <v>1125</v>
      </c>
      <c r="E506" s="43" t="str">
        <f>VLOOKUP(F506,CHOOSE({2,1},Attributes!B$3:B$130,Attributes!C$3:C$129),2,FALSE)</f>
        <v>DungeonSiegeDamageAttributeSet</v>
      </c>
      <c r="F506" s="43" t="str">
        <f>Attributes!C28</f>
        <v>ChanceToBlockRangedAttack</v>
      </c>
      <c r="G506" s="43" t="str">
        <f t="shared" si="21"/>
        <v>(AttributeName="ChanceToBlockRangedAttack",Attribute=/Script/DSAbilitySystem.DungeonSiegeDamageAttributeSet:ChanceToBlockRangedAttack,AttributeOwner=Class'"/Script/DSAbilitySystem.DungeonSiegeDamageAttributeSet"')</v>
      </c>
      <c r="H506" s="43">
        <v>4</v>
      </c>
      <c r="I506" s="43" t="str">
        <f t="shared" si="22"/>
        <v>GE_Prefix_Fabled</v>
      </c>
      <c r="J506" s="43" t="str">
        <f t="shared" si="23"/>
        <v>/Game/DungeonSiege/Blueprints/GameplayAbilities/Affixes/GE_Prefix_Fabled</v>
      </c>
    </row>
    <row r="507" spans="1:10" ht="33.75" x14ac:dyDescent="0.25">
      <c r="A507" s="43">
        <v>505</v>
      </c>
      <c r="B507" s="43">
        <f>VLOOKUP(C507,CHOOSE({2,1},Prefix!B$2:B$256,Prefix!C$2:C$256),2,FALSE)</f>
        <v>100663811</v>
      </c>
      <c r="C507" s="43" t="s">
        <v>237</v>
      </c>
      <c r="D507" s="43" t="s">
        <v>236</v>
      </c>
      <c r="E507" s="43" t="str">
        <f>VLOOKUP(F507,CHOOSE({2,1},Attributes!B$3:B$130,Attributes!C$3:C$129),2,FALSE)</f>
        <v>DungeonSiegeExperienceAttributeSet</v>
      </c>
      <c r="F507" s="43" t="str">
        <f>Attributes!C6</f>
        <v>CombatMagic</v>
      </c>
      <c r="G507" s="43" t="str">
        <f t="shared" si="21"/>
        <v>(AttributeName="CombatMagic",Attribute=/Script/DSAbilitySystem.DungeonSiegeExperienceAttributeSet:CombatMagic,AttributeOwner=Class'"/Script/DSAbilitySystem.DungeonSiegeExperienceAttributeSet"')</v>
      </c>
      <c r="H507" s="43">
        <v>2</v>
      </c>
      <c r="I507" s="43" t="str">
        <f t="shared" si="22"/>
        <v>GE_Prefix_Molded</v>
      </c>
      <c r="J507" s="43" t="str">
        <f t="shared" si="23"/>
        <v>/Game/DungeonSiege/Blueprints/GameplayAbilities/Affixes/GE_Prefix_Molded</v>
      </c>
    </row>
    <row r="508" spans="1:10" s="23" customFormat="1" ht="33.75" x14ac:dyDescent="0.25">
      <c r="A508" s="43">
        <v>506</v>
      </c>
      <c r="B508" s="43">
        <f>VLOOKUP(C508,CHOOSE({2,1},Prefix!B$2:B$256,Prefix!C$2:C$256),2,FALSE)</f>
        <v>100663812</v>
      </c>
      <c r="C508" s="43" t="s">
        <v>1127</v>
      </c>
      <c r="D508" s="43" t="s">
        <v>54</v>
      </c>
      <c r="E508" s="43" t="str">
        <f>VLOOKUP(F508,CHOOSE({2,1},Attributes!B$3:B$130,Attributes!C$3:C$129),2,FALSE)</f>
        <v>DungeonSiegeExperienceAttributeSet</v>
      </c>
      <c r="F508" s="43" t="str">
        <f>Attributes!C4</f>
        <v>Dexterity</v>
      </c>
      <c r="G508" s="43" t="str">
        <f t="shared" si="21"/>
        <v>(AttributeName="Dexterity",Attribute=/Script/DSAbilitySystem.DungeonSiegeExperienceAttributeSet:Dexterity,AttributeOwner=Class'"/Script/DSAbilitySystem.DungeonSiegeExperienceAttributeSet"')</v>
      </c>
      <c r="H508" s="43">
        <v>1</v>
      </c>
      <c r="I508" s="43" t="str">
        <f t="shared" si="22"/>
        <v>GE_Prefix_Elite</v>
      </c>
      <c r="J508" s="43" t="str">
        <f t="shared" si="23"/>
        <v>/Game/DungeonSiege/Blueprints/GameplayAbilities/Affixes/GE_Prefix_Elite</v>
      </c>
    </row>
    <row r="509" spans="1:10" s="23" customFormat="1" ht="33.75" x14ac:dyDescent="0.25">
      <c r="A509" s="43">
        <v>507</v>
      </c>
      <c r="B509" s="43">
        <f>VLOOKUP(C509,CHOOSE({2,1},Prefix!B$2:B$256,Prefix!C$2:C$256),2,FALSE)</f>
        <v>100663812</v>
      </c>
      <c r="C509" s="43" t="s">
        <v>1127</v>
      </c>
      <c r="D509" s="43" t="s">
        <v>861</v>
      </c>
      <c r="E509" s="43" t="str">
        <f>VLOOKUP(F509,CHOOSE({2,1},Attributes!B$3:B$130,Attributes!C$3:C$129),2,FALSE)</f>
        <v>DungeonSiegePerHitAttributeSet</v>
      </c>
      <c r="F509" s="43" t="str">
        <f>Attributes!C13</f>
        <v>HealthStealPerHit</v>
      </c>
      <c r="G509" s="43" t="str">
        <f t="shared" si="21"/>
        <v>(AttributeName="HealthStealPerHit",Attribute=/Script/DSAbilitySystem.DungeonSiegePerHitAttributeSet:HealthStealPerHit,AttributeOwner=Class'"/Script/DSAbilitySystem.DungeonSiegePerHitAttributeSet"')</v>
      </c>
      <c r="H509" s="43">
        <v>1</v>
      </c>
      <c r="I509" s="43" t="str">
        <f t="shared" si="22"/>
        <v>GE_Prefix_Elite</v>
      </c>
      <c r="J509" s="43" t="str">
        <f t="shared" si="23"/>
        <v>/Game/DungeonSiege/Blueprints/GameplayAbilities/Affixes/GE_Prefix_Elite</v>
      </c>
    </row>
    <row r="510" spans="1:10" ht="33.75" x14ac:dyDescent="0.25">
      <c r="A510" s="43">
        <v>508</v>
      </c>
      <c r="B510" s="43">
        <f>VLOOKUP(C510,CHOOSE({2,1},Prefix!B$2:B$256,Prefix!C$2:C$256),2,FALSE)</f>
        <v>100663812</v>
      </c>
      <c r="C510" s="43" t="s">
        <v>1127</v>
      </c>
      <c r="D510" s="43" t="s">
        <v>745</v>
      </c>
      <c r="E510" s="43" t="str">
        <f>VLOOKUP(F510,CHOOSE({2,1},Attributes!B$3:B$130,Attributes!C$3:C$129),2,FALSE)</f>
        <v>DungeonSiegeExperienceAttributeSet</v>
      </c>
      <c r="F510" s="43" t="str">
        <f>Attributes!C9</f>
        <v>Melee</v>
      </c>
      <c r="G510" s="43" t="str">
        <f t="shared" si="21"/>
        <v>(AttributeName="Melee",Attribute=/Script/DSAbilitySystem.DungeonSiegeExperienceAttributeSet:Melee,AttributeOwner=Class'"/Script/DSAbilitySystem.DungeonSiegeExperienceAttributeSet"')</v>
      </c>
      <c r="H510" s="43">
        <v>1</v>
      </c>
      <c r="I510" s="43" t="str">
        <f t="shared" si="22"/>
        <v>GE_Prefix_Elite</v>
      </c>
      <c r="J510" s="43" t="str">
        <f t="shared" si="23"/>
        <v>/Game/DungeonSiege/Blueprints/GameplayAbilities/Affixes/GE_Prefix_Elite</v>
      </c>
    </row>
    <row r="511" spans="1:10" s="23" customFormat="1" ht="33.75" x14ac:dyDescent="0.25">
      <c r="A511" s="43">
        <v>509</v>
      </c>
      <c r="B511" s="43">
        <f>VLOOKUP(C511,CHOOSE({2,1},Prefix!B$2:B$256,Prefix!C$2:C$256),2,FALSE)</f>
        <v>100663813</v>
      </c>
      <c r="C511" s="43" t="s">
        <v>1129</v>
      </c>
      <c r="D511" s="43" t="s">
        <v>3194</v>
      </c>
      <c r="E511" s="43" t="str">
        <f>VLOOKUP(F511,CHOOSE({2,1},Attributes!B$3:B$130,Attributes!C$3:C$129),2,FALSE)</f>
        <v>DungeonSiegeDefenseAttributeSet</v>
      </c>
      <c r="F511" s="43" t="str">
        <f>Attributes!C10</f>
        <v>ArmorRating</v>
      </c>
      <c r="G511" s="43" t="str">
        <f t="shared" si="21"/>
        <v>(AttributeName="ArmorRating",Attribute=/Script/DSAbilitySystem.DungeonSiegeDefenseAttributeSet:ArmorRating,AttributeOwner=Class'"/Script/DSAbilitySystem.DungeonSiegeDefenseAttributeSet"')</v>
      </c>
      <c r="H511" s="43">
        <v>9</v>
      </c>
      <c r="I511" s="43" t="str">
        <f t="shared" si="22"/>
        <v>GE_Prefix_Meticulous</v>
      </c>
      <c r="J511" s="43" t="str">
        <f t="shared" si="23"/>
        <v>/Game/DungeonSiege/Blueprints/GameplayAbilities/Affixes/GE_Prefix_Meticulous</v>
      </c>
    </row>
    <row r="512" spans="1:10" s="23" customFormat="1" ht="33.75" x14ac:dyDescent="0.25">
      <c r="A512" s="43">
        <v>510</v>
      </c>
      <c r="B512" s="43">
        <f>VLOOKUP(C512,CHOOSE({2,1},Prefix!B$2:B$256,Prefix!C$2:C$256),2,FALSE)</f>
        <v>100663813</v>
      </c>
      <c r="C512" s="43" t="s">
        <v>1129</v>
      </c>
      <c r="D512" s="43" t="s">
        <v>213</v>
      </c>
      <c r="E512" s="43" t="str">
        <f>VLOOKUP(F512,CHOOSE({2,1},Attributes!B$3:B$130,Attributes!C$3:C$129),2,FALSE)</f>
        <v>DungeonSiegeMagicAttributeSet</v>
      </c>
      <c r="F512" s="43" t="str">
        <f>Attributes!C51</f>
        <v>ChanceToBlockMagicAttack</v>
      </c>
      <c r="G512" s="43" t="str">
        <f t="shared" si="21"/>
        <v>(AttributeName="ChanceToBlockMagicAttack",Attribute=/Script/DSAbilitySystem.DungeonSiegeMagicAttributeSet:ChanceToBlockMagicAttack,AttributeOwner=Class'"/Script/DSAbilitySystem.DungeonSiegeMagicAttributeSet"')</v>
      </c>
      <c r="H512" s="43">
        <v>5</v>
      </c>
      <c r="I512" s="43" t="str">
        <f t="shared" si="22"/>
        <v>GE_Prefix_Meticulous</v>
      </c>
      <c r="J512" s="43" t="str">
        <f t="shared" si="23"/>
        <v>/Game/DungeonSiege/Blueprints/GameplayAbilities/Affixes/GE_Prefix_Meticulous</v>
      </c>
    </row>
    <row r="513" spans="1:10" ht="33.75" x14ac:dyDescent="0.25">
      <c r="A513" s="43">
        <v>511</v>
      </c>
      <c r="B513" s="43">
        <f>VLOOKUP(C513,CHOOSE({2,1},Prefix!B$2:B$256,Prefix!C$2:C$256),2,FALSE)</f>
        <v>100663813</v>
      </c>
      <c r="C513" s="43" t="s">
        <v>1129</v>
      </c>
      <c r="D513" s="43" t="s">
        <v>1125</v>
      </c>
      <c r="E513" s="43" t="str">
        <f>VLOOKUP(F513,CHOOSE({2,1},Attributes!B$3:B$130,Attributes!C$3:C$129),2,FALSE)</f>
        <v>DungeonSiegeDamageAttributeSet</v>
      </c>
      <c r="F513" s="43" t="str">
        <f>Attributes!C28</f>
        <v>ChanceToBlockRangedAttack</v>
      </c>
      <c r="G513" s="43" t="str">
        <f t="shared" si="21"/>
        <v>(AttributeName="ChanceToBlockRangedAttack",Attribute=/Script/DSAbilitySystem.DungeonSiegeDamageAttributeSet:ChanceToBlockRangedAttack,AttributeOwner=Class'"/Script/DSAbilitySystem.DungeonSiegeDamageAttributeSet"')</v>
      </c>
      <c r="H513" s="43">
        <v>4</v>
      </c>
      <c r="I513" s="43" t="str">
        <f t="shared" si="22"/>
        <v>GE_Prefix_Meticulous</v>
      </c>
      <c r="J513" s="43" t="str">
        <f t="shared" si="23"/>
        <v>/Game/DungeonSiege/Blueprints/GameplayAbilities/Affixes/GE_Prefix_Meticulous</v>
      </c>
    </row>
    <row r="514" spans="1:10" s="23" customFormat="1" ht="33.75" x14ac:dyDescent="0.25">
      <c r="A514" s="43">
        <v>512</v>
      </c>
      <c r="B514" s="43">
        <f>VLOOKUP(C514,CHOOSE({2,1},Prefix!B$2:B$256,Prefix!C$2:C$256),2,FALSE)</f>
        <v>100663814</v>
      </c>
      <c r="C514" s="43" t="s">
        <v>1131</v>
      </c>
      <c r="D514" s="43" t="s">
        <v>233</v>
      </c>
      <c r="E514" s="43" t="str">
        <f>VLOOKUP(F514,CHOOSE({2,1},Attributes!B$3:B$130,Attributes!C$3:C$129),2,FALSE)</f>
        <v>DungeonSiegeDefenseAttributeSet</v>
      </c>
      <c r="F514" s="43" t="str">
        <f>Attributes!C10</f>
        <v>ArmorRating</v>
      </c>
      <c r="G514" s="43" t="str">
        <f t="shared" si="21"/>
        <v>(AttributeName="ArmorRating",Attribute=/Script/DSAbilitySystem.DungeonSiegeDefenseAttributeSet:ArmorRating,AttributeOwner=Class'"/Script/DSAbilitySystem.DungeonSiegeDefenseAttributeSet"')</v>
      </c>
      <c r="H514" s="43">
        <v>15</v>
      </c>
      <c r="I514" s="43" t="str">
        <f t="shared" si="22"/>
        <v>GE_Prefix_Forgotten</v>
      </c>
      <c r="J514" s="43" t="str">
        <f t="shared" si="23"/>
        <v>/Game/DungeonSiege/Blueprints/GameplayAbilities/Affixes/GE_Prefix_Forgotten</v>
      </c>
    </row>
    <row r="515" spans="1:10" ht="33.75" x14ac:dyDescent="0.25">
      <c r="A515" s="43">
        <v>513</v>
      </c>
      <c r="B515" s="43">
        <f>VLOOKUP(C515,CHOOSE({2,1},Prefix!B$2:B$256,Prefix!C$2:C$256),2,FALSE)</f>
        <v>100663814</v>
      </c>
      <c r="C515" s="43" t="s">
        <v>1131</v>
      </c>
      <c r="D515" s="43" t="s">
        <v>230</v>
      </c>
      <c r="E515" s="43" t="str">
        <f>VLOOKUP(F515,CHOOSE({2,1},Attributes!B$3:B$130,Attributes!C$3:C$129),2,FALSE)</f>
        <v>DungeonSiegeMagicAttributeSet</v>
      </c>
      <c r="F515" s="43" t="str">
        <f>Attributes!C43</f>
        <v>PercentMagicDamageReduction</v>
      </c>
      <c r="G515" s="43" t="str">
        <f t="shared" ref="G515:G578" si="24">CONCATENATE("(AttributeName=""",F515,""",Attribute=/Script/DSAbilitySystem." &amp; E515 &amp;":",F515,",AttributeOwner=Class'""/Script/DSAbilitySystem." &amp; E515 &amp;"""')")</f>
        <v>(AttributeName="PercentMagicDamageReduction",Attribute=/Script/DSAbilitySystem.DungeonSiegeMagicAttributeSet:PercentMagicDamageReduction,AttributeOwner=Class'"/Script/DSAbilitySystem.DungeonSiegeMagicAttributeSet"')</v>
      </c>
      <c r="H515" s="43">
        <v>5</v>
      </c>
      <c r="I515" s="43" t="str">
        <f t="shared" ref="I515:I578" si="25">CONCATENATE("GE_Prefix_",SUBSTITUTE(C515," ","_"))</f>
        <v>GE_Prefix_Forgotten</v>
      </c>
      <c r="J515" s="43" t="str">
        <f t="shared" ref="J515:J578" si="26">"/Game/DungeonSiege/Blueprints/GameplayAbilities/Affixes/" &amp;I515</f>
        <v>/Game/DungeonSiege/Blueprints/GameplayAbilities/Affixes/GE_Prefix_Forgotten</v>
      </c>
    </row>
    <row r="516" spans="1:10" s="23" customFormat="1" ht="33.75" x14ac:dyDescent="0.25">
      <c r="A516" s="43">
        <v>514</v>
      </c>
      <c r="B516" s="43">
        <f>VLOOKUP(C516,CHOOSE({2,1},Prefix!B$2:B$256,Prefix!C$2:C$256),2,FALSE)</f>
        <v>100663815</v>
      </c>
      <c r="C516" s="43" t="s">
        <v>1133</v>
      </c>
      <c r="D516" s="43" t="s">
        <v>3222</v>
      </c>
      <c r="E516" s="43" t="str">
        <f>VLOOKUP(F516,CHOOSE({2,1},Attributes!B$3:B$130,Attributes!C$3:C$129),2,FALSE)</f>
        <v>DungeonSiegeStatusEffectAttributeSet</v>
      </c>
      <c r="F516" s="43" t="str">
        <f>Attributes!C60</f>
        <v>ChanceToFlee</v>
      </c>
      <c r="G516" s="43" t="str">
        <f t="shared" si="24"/>
        <v>(AttributeName="ChanceToFlee",Attribute=/Script/DSAbilitySystem.DungeonSiegeStatusEffectAttributeSet:ChanceToFlee,AttributeOwner=Class'"/Script/DSAbilitySystem.DungeonSiegeStatusEffectAttributeSet"')</v>
      </c>
      <c r="H516" s="43">
        <v>15</v>
      </c>
      <c r="I516" s="43" t="str">
        <f t="shared" si="25"/>
        <v>GE_Prefix_Bullying</v>
      </c>
      <c r="J516" s="43" t="str">
        <f t="shared" si="26"/>
        <v>/Game/DungeonSiege/Blueprints/GameplayAbilities/Affixes/GE_Prefix_Bullying</v>
      </c>
    </row>
    <row r="517" spans="1:10" s="23" customFormat="1" ht="33.75" x14ac:dyDescent="0.25">
      <c r="A517" s="43">
        <v>515</v>
      </c>
      <c r="B517" s="43">
        <f>VLOOKUP(C517,CHOOSE({2,1},Prefix!B$2:B$256,Prefix!C$2:C$256),2,FALSE)</f>
        <v>100663815</v>
      </c>
      <c r="C517" s="43" t="s">
        <v>1133</v>
      </c>
      <c r="D517" s="43" t="s">
        <v>3201</v>
      </c>
      <c r="E517" s="43" t="str">
        <f>VLOOKUP(F517,CHOOSE({2,1},Attributes!B$3:B$130,Attributes!C$3:C$129),2,FALSE)</f>
        <v>DungeonSiegeStatusEffectAttributeSet</v>
      </c>
      <c r="F517" s="43" t="str">
        <f>Attributes!C61</f>
        <v>FleeMinDamageMod</v>
      </c>
      <c r="G517" s="43" t="str">
        <f t="shared" si="24"/>
        <v>(AttributeName="FleeMinDamageMod",Attribute=/Script/DSAbilitySystem.DungeonSiegeStatusEffectAttributeSet:FleeMinDamageMod,AttributeOwner=Class'"/Script/DSAbilitySystem.DungeonSiegeStatusEffectAttributeSet"')</v>
      </c>
      <c r="H517" s="43">
        <v>10</v>
      </c>
      <c r="I517" s="43" t="str">
        <f t="shared" si="25"/>
        <v>GE_Prefix_Bullying</v>
      </c>
      <c r="J517" s="43" t="str">
        <f t="shared" si="26"/>
        <v>/Game/DungeonSiege/Blueprints/GameplayAbilities/Affixes/GE_Prefix_Bullying</v>
      </c>
    </row>
    <row r="518" spans="1:10" ht="33.75" x14ac:dyDescent="0.25">
      <c r="A518" s="43">
        <v>516</v>
      </c>
      <c r="B518" s="43">
        <f>VLOOKUP(C518,CHOOSE({2,1},Prefix!B$2:B$256,Prefix!C$2:C$256),2,FALSE)</f>
        <v>100663815</v>
      </c>
      <c r="C518" s="43" t="s">
        <v>1133</v>
      </c>
      <c r="D518" s="43" t="s">
        <v>3201</v>
      </c>
      <c r="E518" s="43" t="str">
        <f>VLOOKUP(F518,CHOOSE({2,1},Attributes!B$3:B$130,Attributes!C$3:C$129),2,FALSE)</f>
        <v>DungeonSiegeStatusEffectAttributeSet</v>
      </c>
      <c r="F518" s="43" t="str">
        <f>Attributes!C62</f>
        <v>FleeMaxDamageMod</v>
      </c>
      <c r="G518" s="43" t="str">
        <f t="shared" si="24"/>
        <v>(AttributeName="FleeMaxDamageMod",Attribute=/Script/DSAbilitySystem.DungeonSiegeStatusEffectAttributeSet:FleeMaxDamageMod,AttributeOwner=Class'"/Script/DSAbilitySystem.DungeonSiegeStatusEffectAttributeSet"')</v>
      </c>
      <c r="H518" s="43">
        <v>20</v>
      </c>
      <c r="I518" s="43" t="str">
        <f t="shared" si="25"/>
        <v>GE_Prefix_Bullying</v>
      </c>
      <c r="J518" s="43" t="str">
        <f t="shared" si="26"/>
        <v>/Game/DungeonSiege/Blueprints/GameplayAbilities/Affixes/GE_Prefix_Bullying</v>
      </c>
    </row>
    <row r="519" spans="1:10" s="23" customFormat="1" ht="33.75" x14ac:dyDescent="0.25">
      <c r="A519" s="43">
        <v>517</v>
      </c>
      <c r="B519" s="43">
        <f>VLOOKUP(C519,CHOOSE({2,1},Prefix!B$2:B$256,Prefix!C$2:C$256),2,FALSE)</f>
        <v>100663816</v>
      </c>
      <c r="C519" s="43" t="s">
        <v>1135</v>
      </c>
      <c r="D519" s="43" t="s">
        <v>3202</v>
      </c>
      <c r="E519" s="43" t="str">
        <f>VLOOKUP(F519,CHOOSE({2,1},Attributes!B$3:B$130,Attributes!C$3:C$129),2,FALSE)</f>
        <v>DungeonSiegeDamageAttributeSet</v>
      </c>
      <c r="F519" s="43" t="str">
        <f>Attributes!C35</f>
        <v>MeleeMinDamageMod</v>
      </c>
      <c r="G519" s="43" t="str">
        <f t="shared" si="24"/>
        <v>(AttributeName="MeleeMinDamageMod",Attribute=/Script/DSAbilitySystem.DungeonSiegeDamageAttributeSet:MeleeMinDamageMod,AttributeOwner=Class'"/Script/DSAbilitySystem.DungeonSiegeDamageAttributeSet"')</v>
      </c>
      <c r="H519" s="43">
        <v>2</v>
      </c>
      <c r="I519" s="43" t="str">
        <f t="shared" si="25"/>
        <v>GE_Prefix_Massive</v>
      </c>
      <c r="J519" s="43" t="str">
        <f t="shared" si="26"/>
        <v>/Game/DungeonSiege/Blueprints/GameplayAbilities/Affixes/GE_Prefix_Massive</v>
      </c>
    </row>
    <row r="520" spans="1:10" s="23" customFormat="1" ht="33.75" x14ac:dyDescent="0.25">
      <c r="A520" s="43">
        <v>518</v>
      </c>
      <c r="B520" s="43">
        <f>VLOOKUP(C520,CHOOSE({2,1},Prefix!B$2:B$256,Prefix!C$2:C$256),2,FALSE)</f>
        <v>100663816</v>
      </c>
      <c r="C520" s="43" t="s">
        <v>1135</v>
      </c>
      <c r="D520" s="43" t="s">
        <v>3202</v>
      </c>
      <c r="E520" s="43" t="str">
        <f>VLOOKUP(F520,CHOOSE({2,1},Attributes!B$3:B$130,Attributes!C$3:C$129),2,FALSE)</f>
        <v>DungeonSiegeDamageAttributeSet</v>
      </c>
      <c r="F520" s="43" t="str">
        <f>Attributes!C36</f>
        <v>MeleeMaxDamageMod</v>
      </c>
      <c r="G520" s="43" t="str">
        <f t="shared" si="24"/>
        <v>(AttributeName="MeleeMaxDamageMod",Attribute=/Script/DSAbilitySystem.DungeonSiegeDamageAttributeSet:MeleeMaxDamageMod,AttributeOwner=Class'"/Script/DSAbilitySystem.DungeonSiegeDamageAttributeSet"')</v>
      </c>
      <c r="H520" s="43">
        <v>3</v>
      </c>
      <c r="I520" s="43" t="str">
        <f t="shared" si="25"/>
        <v>GE_Prefix_Massive</v>
      </c>
      <c r="J520" s="43" t="str">
        <f t="shared" si="26"/>
        <v>/Game/DungeonSiege/Blueprints/GameplayAbilities/Affixes/GE_Prefix_Massive</v>
      </c>
    </row>
    <row r="521" spans="1:10" ht="33.75" x14ac:dyDescent="0.25">
      <c r="A521" s="43">
        <v>519</v>
      </c>
      <c r="B521" s="43">
        <f>VLOOKUP(C521,CHOOSE({2,1},Prefix!B$2:B$256,Prefix!C$2:C$256),2,FALSE)</f>
        <v>100663816</v>
      </c>
      <c r="C521" s="43" t="s">
        <v>1135</v>
      </c>
      <c r="D521" s="43" t="s">
        <v>745</v>
      </c>
      <c r="E521" s="43" t="str">
        <f>VLOOKUP(F521,CHOOSE({2,1},Attributes!B$3:B$130,Attributes!C$3:C$129),2,FALSE)</f>
        <v>DungeonSiegeExperienceAttributeSet</v>
      </c>
      <c r="F521" s="43" t="str">
        <f>Attributes!C9</f>
        <v>Melee</v>
      </c>
      <c r="G521" s="43" t="str">
        <f t="shared" si="24"/>
        <v>(AttributeName="Melee",Attribute=/Script/DSAbilitySystem.DungeonSiegeExperienceAttributeSet:Melee,AttributeOwner=Class'"/Script/DSAbilitySystem.DungeonSiegeExperienceAttributeSet"')</v>
      </c>
      <c r="H521" s="43">
        <v>1</v>
      </c>
      <c r="I521" s="43" t="str">
        <f t="shared" si="25"/>
        <v>GE_Prefix_Massive</v>
      </c>
      <c r="J521" s="43" t="str">
        <f t="shared" si="26"/>
        <v>/Game/DungeonSiege/Blueprints/GameplayAbilities/Affixes/GE_Prefix_Massive</v>
      </c>
    </row>
    <row r="522" spans="1:10" s="23" customFormat="1" ht="33.75" x14ac:dyDescent="0.25">
      <c r="A522" s="43">
        <v>520</v>
      </c>
      <c r="B522" s="43">
        <f>VLOOKUP(C522,CHOOSE({2,1},Prefix!B$2:B$256,Prefix!C$2:C$256),2,FALSE)</f>
        <v>100663817</v>
      </c>
      <c r="C522" s="43" t="s">
        <v>1137</v>
      </c>
      <c r="D522" s="43" t="s">
        <v>713</v>
      </c>
      <c r="E522" s="43" t="str">
        <f>VLOOKUP(F522,CHOOSE({2,1},Attributes!B$3:B$130,Attributes!C$3:C$129),2,FALSE)</f>
        <v>DungeonSiegeExperienceAttributeSet</v>
      </c>
      <c r="F522" s="43" t="str">
        <f>Attributes!C8</f>
        <v>Ranged</v>
      </c>
      <c r="G522" s="43" t="str">
        <f t="shared" si="24"/>
        <v>(AttributeName="Ranged",Attribute=/Script/DSAbilitySystem.DungeonSiegeExperienceAttributeSet:Ranged,AttributeOwner=Class'"/Script/DSAbilitySystem.DungeonSiegeExperienceAttributeSet"')</v>
      </c>
      <c r="H522" s="43">
        <v>1</v>
      </c>
      <c r="I522" s="43" t="str">
        <f t="shared" si="25"/>
        <v>GE_Prefix_Capable</v>
      </c>
      <c r="J522" s="43" t="str">
        <f t="shared" si="26"/>
        <v>/Game/DungeonSiege/Blueprints/GameplayAbilities/Affixes/GE_Prefix_Capable</v>
      </c>
    </row>
    <row r="523" spans="1:10" s="23" customFormat="1" ht="33.75" x14ac:dyDescent="0.25">
      <c r="A523" s="43">
        <v>521</v>
      </c>
      <c r="B523" s="43">
        <f>VLOOKUP(C523,CHOOSE({2,1},Prefix!B$2:B$256,Prefix!C$2:C$256),2,FALSE)</f>
        <v>100663817</v>
      </c>
      <c r="C523" s="43" t="s">
        <v>1137</v>
      </c>
      <c r="D523" s="43" t="s">
        <v>1138</v>
      </c>
      <c r="E523" s="43" t="str">
        <f>VLOOKUP(F523,CHOOSE({2,1},Attributes!B$3:B$130,Attributes!C$3:C$129),2,FALSE)</f>
        <v>DungeonSiegeDamageAttributeSet</v>
      </c>
      <c r="F523" s="43" t="str">
        <f>Attributes!C19</f>
        <v>MinDamageMod</v>
      </c>
      <c r="G523" s="43" t="str">
        <f t="shared" si="24"/>
        <v>(AttributeName="MinDamageMod",Attribute=/Script/DSAbilitySystem.DungeonSiegeDamageAttributeSet:MinDamageMod,AttributeOwner=Class'"/Script/DSAbilitySystem.DungeonSiegeDamageAttributeSet"')</v>
      </c>
      <c r="H523" s="43">
        <v>1</v>
      </c>
      <c r="I523" s="43" t="str">
        <f t="shared" si="25"/>
        <v>GE_Prefix_Capable</v>
      </c>
      <c r="J523" s="43" t="str">
        <f t="shared" si="26"/>
        <v>/Game/DungeonSiege/Blueprints/GameplayAbilities/Affixes/GE_Prefix_Capable</v>
      </c>
    </row>
    <row r="524" spans="1:10" ht="33.75" x14ac:dyDescent="0.25">
      <c r="A524" s="43">
        <v>522</v>
      </c>
      <c r="B524" s="43">
        <f>VLOOKUP(C524,CHOOSE({2,1},Prefix!B$2:B$256,Prefix!C$2:C$256),2,FALSE)</f>
        <v>100663817</v>
      </c>
      <c r="C524" s="43" t="s">
        <v>1137</v>
      </c>
      <c r="D524" s="43" t="s">
        <v>1138</v>
      </c>
      <c r="E524" s="43" t="str">
        <f>VLOOKUP(F524,CHOOSE({2,1},Attributes!B$3:B$130,Attributes!C$3:C$129),2,FALSE)</f>
        <v>DungeonSiegeDamageAttributeSet</v>
      </c>
      <c r="F524" s="43" t="str">
        <f>Attributes!C20</f>
        <v>MaxDamageMod</v>
      </c>
      <c r="G524" s="43" t="str">
        <f t="shared" si="24"/>
        <v>(AttributeName="MaxDamageMod",Attribute=/Script/DSAbilitySystem.DungeonSiegeDamageAttributeSet:MaxDamageMod,AttributeOwner=Class'"/Script/DSAbilitySystem.DungeonSiegeDamageAttributeSet"')</v>
      </c>
      <c r="H524" s="43">
        <v>7</v>
      </c>
      <c r="I524" s="43" t="str">
        <f t="shared" si="25"/>
        <v>GE_Prefix_Capable</v>
      </c>
      <c r="J524" s="43" t="str">
        <f t="shared" si="26"/>
        <v>/Game/DungeonSiege/Blueprints/GameplayAbilities/Affixes/GE_Prefix_Capable</v>
      </c>
    </row>
    <row r="525" spans="1:10" s="23" customFormat="1" ht="33.75" x14ac:dyDescent="0.25">
      <c r="A525" s="43">
        <v>523</v>
      </c>
      <c r="B525" s="43">
        <f>VLOOKUP(C525,CHOOSE({2,1},Prefix!B$2:B$256,Prefix!C$2:C$256),2,FALSE)</f>
        <v>100663824</v>
      </c>
      <c r="C525" s="43" t="s">
        <v>1140</v>
      </c>
      <c r="D525" s="43" t="s">
        <v>3220</v>
      </c>
      <c r="E525" s="43" t="str">
        <f>VLOOKUP(F525,CHOOSE({2,1},Attributes!B$3:B$130,Attributes!C$3:C$129),2,FALSE)</f>
        <v>DungeonSiegeStatusEffectAttributeSet</v>
      </c>
      <c r="F525" s="43" t="str">
        <f>Attributes!C55</f>
        <v>ChanceToPoison</v>
      </c>
      <c r="G525" s="43" t="str">
        <f t="shared" si="24"/>
        <v>(AttributeName="ChanceToPoison",Attribute=/Script/DSAbilitySystem.DungeonSiegeStatusEffectAttributeSet:ChanceToPoison,AttributeOwner=Class'"/Script/DSAbilitySystem.DungeonSiegeStatusEffectAttributeSet"')</v>
      </c>
      <c r="H525" s="43">
        <v>10</v>
      </c>
      <c r="I525" s="43" t="str">
        <f t="shared" si="25"/>
        <v>GE_Prefix_Poisonous</v>
      </c>
      <c r="J525" s="43" t="str">
        <f t="shared" si="26"/>
        <v>/Game/DungeonSiege/Blueprints/GameplayAbilities/Affixes/GE_Prefix_Poisonous</v>
      </c>
    </row>
    <row r="526" spans="1:10" s="23" customFormat="1" ht="33.75" x14ac:dyDescent="0.25">
      <c r="A526" s="43">
        <v>524</v>
      </c>
      <c r="B526" s="43">
        <f>VLOOKUP(C526,CHOOSE({2,1},Prefix!B$2:B$256,Prefix!C$2:C$256),2,FALSE)</f>
        <v>100663824</v>
      </c>
      <c r="C526" s="43" t="s">
        <v>1140</v>
      </c>
      <c r="D526" s="43" t="s">
        <v>3203</v>
      </c>
      <c r="E526" s="43" t="str">
        <f>VLOOKUP(F526,CHOOSE({2,1},Attributes!B$3:B$130,Attributes!C$3:C$129),2,FALSE)</f>
        <v>DungeonSiegeStatusEffectAttributeSet</v>
      </c>
      <c r="F526" s="43" t="str">
        <f>Attributes!C56</f>
        <v>PoisonMinDamageMod</v>
      </c>
      <c r="G526" s="43" t="str">
        <f t="shared" si="24"/>
        <v>(AttributeName="PoisonMinDamageMod",Attribute=/Script/DSAbilitySystem.DungeonSiegeStatusEffectAttributeSet:PoisonMinDamageMod,AttributeOwner=Class'"/Script/DSAbilitySystem.DungeonSiegeStatusEffectAttributeSet"')</v>
      </c>
      <c r="H526" s="43">
        <v>5</v>
      </c>
      <c r="I526" s="43" t="str">
        <f t="shared" si="25"/>
        <v>GE_Prefix_Poisonous</v>
      </c>
      <c r="J526" s="43" t="str">
        <f t="shared" si="26"/>
        <v>/Game/DungeonSiege/Blueprints/GameplayAbilities/Affixes/GE_Prefix_Poisonous</v>
      </c>
    </row>
    <row r="527" spans="1:10" ht="33.75" x14ac:dyDescent="0.25">
      <c r="A527" s="43">
        <v>525</v>
      </c>
      <c r="B527" s="43">
        <f>VLOOKUP(C527,CHOOSE({2,1},Prefix!B$2:B$256,Prefix!C$2:C$256),2,FALSE)</f>
        <v>100663824</v>
      </c>
      <c r="C527" s="43" t="s">
        <v>1140</v>
      </c>
      <c r="D527" s="43" t="s">
        <v>3203</v>
      </c>
      <c r="E527" s="43" t="str">
        <f>VLOOKUP(F527,CHOOSE({2,1},Attributes!B$3:B$130,Attributes!C$3:C$129),2,FALSE)</f>
        <v>DungeonSiegeStatusEffectAttributeSet</v>
      </c>
      <c r="F527" s="43" t="str">
        <f>Attributes!C57</f>
        <v>PoisonMaxDamageMod</v>
      </c>
      <c r="G527" s="43" t="str">
        <f t="shared" si="24"/>
        <v>(AttributeName="PoisonMaxDamageMod",Attribute=/Script/DSAbilitySystem.DungeonSiegeStatusEffectAttributeSet:PoisonMaxDamageMod,AttributeOwner=Class'"/Script/DSAbilitySystem.DungeonSiegeStatusEffectAttributeSet"')</v>
      </c>
      <c r="H527" s="43">
        <v>10</v>
      </c>
      <c r="I527" s="43" t="str">
        <f t="shared" si="25"/>
        <v>GE_Prefix_Poisonous</v>
      </c>
      <c r="J527" s="43" t="str">
        <f t="shared" si="26"/>
        <v>/Game/DungeonSiege/Blueprints/GameplayAbilities/Affixes/GE_Prefix_Poisonous</v>
      </c>
    </row>
    <row r="528" spans="1:10" ht="33.75" x14ac:dyDescent="0.25">
      <c r="A528" s="43">
        <v>526</v>
      </c>
      <c r="B528" s="43">
        <f>VLOOKUP(C528,CHOOSE({2,1},Prefix!B$2:B$256,Prefix!C$2:C$256),2,FALSE)</f>
        <v>100663825</v>
      </c>
      <c r="C528" s="43" t="s">
        <v>1141</v>
      </c>
      <c r="D528" s="43" t="s">
        <v>233</v>
      </c>
      <c r="E528" s="43" t="str">
        <f>VLOOKUP(F528,CHOOSE({2,1},Attributes!B$3:B$130,Attributes!C$3:C$129),2,FALSE)</f>
        <v>DungeonSiegeDefenseAttributeSet</v>
      </c>
      <c r="F528" s="43" t="str">
        <f>Attributes!C10</f>
        <v>ArmorRating</v>
      </c>
      <c r="G528" s="43" t="str">
        <f t="shared" si="24"/>
        <v>(AttributeName="ArmorRating",Attribute=/Script/DSAbilitySystem.DungeonSiegeDefenseAttributeSet:ArmorRating,AttributeOwner=Class'"/Script/DSAbilitySystem.DungeonSiegeDefenseAttributeSet"')</v>
      </c>
      <c r="H528" s="43">
        <v>15</v>
      </c>
      <c r="I528" s="43" t="str">
        <f t="shared" si="25"/>
        <v>GE_Prefix_Brawny</v>
      </c>
      <c r="J528" s="43" t="str">
        <f t="shared" si="26"/>
        <v>/Game/DungeonSiege/Blueprints/GameplayAbilities/Affixes/GE_Prefix_Brawny</v>
      </c>
    </row>
    <row r="529" spans="1:10" ht="33.75" x14ac:dyDescent="0.25">
      <c r="A529" s="43">
        <v>527</v>
      </c>
      <c r="B529" s="43">
        <f>VLOOKUP(C529,CHOOSE({2,1},Prefix!B$2:B$256,Prefix!C$2:C$256),2,FALSE)</f>
        <v>100663826</v>
      </c>
      <c r="C529" s="43" t="s">
        <v>1143</v>
      </c>
      <c r="D529" s="43" t="s">
        <v>712</v>
      </c>
      <c r="E529" s="43" t="str">
        <f>VLOOKUP(F529,CHOOSE({2,1},Attributes!B$3:B$130,Attributes!C$3:C$129),2,FALSE)</f>
        <v>DungeonSiegeExperienceAttributeSet</v>
      </c>
      <c r="F529" s="43" t="str">
        <f>Attributes!C9</f>
        <v>Melee</v>
      </c>
      <c r="G529" s="43" t="str">
        <f t="shared" si="24"/>
        <v>(AttributeName="Melee",Attribute=/Script/DSAbilitySystem.DungeonSiegeExperienceAttributeSet:Melee,AttributeOwner=Class'"/Script/DSAbilitySystem.DungeonSiegeExperienceAttributeSet"')</v>
      </c>
      <c r="H529" s="43">
        <v>2</v>
      </c>
      <c r="I529" s="43" t="str">
        <f t="shared" si="25"/>
        <v>GE_Prefix_Butchering</v>
      </c>
      <c r="J529" s="43" t="str">
        <f t="shared" si="26"/>
        <v>/Game/DungeonSiege/Blueprints/GameplayAbilities/Affixes/GE_Prefix_Butchering</v>
      </c>
    </row>
    <row r="530" spans="1:10" s="23" customFormat="1" ht="33.75" x14ac:dyDescent="0.25">
      <c r="A530" s="43">
        <v>528</v>
      </c>
      <c r="B530" s="43">
        <f>VLOOKUP(C530,CHOOSE({2,1},Prefix!B$2:B$256,Prefix!C$2:C$256),2,FALSE)</f>
        <v>100663827</v>
      </c>
      <c r="C530" s="43" t="s">
        <v>1145</v>
      </c>
      <c r="D530" s="43" t="s">
        <v>745</v>
      </c>
      <c r="E530" s="43" t="str">
        <f>VLOOKUP(F530,CHOOSE({2,1},Attributes!B$3:B$130,Attributes!C$3:C$129),2,FALSE)</f>
        <v>DungeonSiegeExperienceAttributeSet</v>
      </c>
      <c r="F530" s="43" t="str">
        <f>Attributes!C9</f>
        <v>Melee</v>
      </c>
      <c r="G530" s="43" t="str">
        <f t="shared" si="24"/>
        <v>(AttributeName="Melee",Attribute=/Script/DSAbilitySystem.DungeonSiegeExperienceAttributeSet:Melee,AttributeOwner=Class'"/Script/DSAbilitySystem.DungeonSiegeExperienceAttributeSet"')</v>
      </c>
      <c r="H530" s="43">
        <v>1</v>
      </c>
      <c r="I530" s="43" t="str">
        <f t="shared" si="25"/>
        <v>GE_Prefix_Splendid</v>
      </c>
      <c r="J530" s="43" t="str">
        <f t="shared" si="26"/>
        <v>/Game/DungeonSiege/Blueprints/GameplayAbilities/Affixes/GE_Prefix_Splendid</v>
      </c>
    </row>
    <row r="531" spans="1:10" s="23" customFormat="1" ht="33.75" x14ac:dyDescent="0.25">
      <c r="A531" s="43">
        <v>529</v>
      </c>
      <c r="B531" s="43">
        <f>VLOOKUP(C531,CHOOSE({2,1},Prefix!B$2:B$256,Prefix!C$2:C$256),2,FALSE)</f>
        <v>100663827</v>
      </c>
      <c r="C531" s="43" t="s">
        <v>1145</v>
      </c>
      <c r="D531" s="43" t="s">
        <v>713</v>
      </c>
      <c r="E531" s="43" t="str">
        <f>VLOOKUP(F531,CHOOSE({2,1},Attributes!B$3:B$130,Attributes!C$3:C$129),2,FALSE)</f>
        <v>DungeonSiegeExperienceAttributeSet</v>
      </c>
      <c r="F531" s="43" t="str">
        <f>Attributes!C8</f>
        <v>Ranged</v>
      </c>
      <c r="G531" s="43" t="str">
        <f t="shared" si="24"/>
        <v>(AttributeName="Ranged",Attribute=/Script/DSAbilitySystem.DungeonSiegeExperienceAttributeSet:Ranged,AttributeOwner=Class'"/Script/DSAbilitySystem.DungeonSiegeExperienceAttributeSet"')</v>
      </c>
      <c r="H531" s="43">
        <v>1</v>
      </c>
      <c r="I531" s="43" t="str">
        <f t="shared" si="25"/>
        <v>GE_Prefix_Splendid</v>
      </c>
      <c r="J531" s="43" t="str">
        <f t="shared" si="26"/>
        <v>/Game/DungeonSiege/Blueprints/GameplayAbilities/Affixes/GE_Prefix_Splendid</v>
      </c>
    </row>
    <row r="532" spans="1:10" s="23" customFormat="1" ht="33.75" x14ac:dyDescent="0.25">
      <c r="A532" s="43">
        <v>530</v>
      </c>
      <c r="B532" s="43">
        <f>VLOOKUP(C532,CHOOSE({2,1},Prefix!B$2:B$256,Prefix!C$2:C$256),2,FALSE)</f>
        <v>100663827</v>
      </c>
      <c r="C532" s="43" t="s">
        <v>1145</v>
      </c>
      <c r="D532" s="43" t="s">
        <v>204</v>
      </c>
      <c r="E532" s="43" t="str">
        <f>VLOOKUP(F532,CHOOSE({2,1},Attributes!B$3:B$130,Attributes!C$3:C$129),2,FALSE)</f>
        <v>DungeonSiegeExperienceAttributeSet</v>
      </c>
      <c r="F532" s="43" t="str">
        <f>Attributes!C6</f>
        <v>CombatMagic</v>
      </c>
      <c r="G532" s="43" t="str">
        <f t="shared" si="24"/>
        <v>(AttributeName="CombatMagic",Attribute=/Script/DSAbilitySystem.DungeonSiegeExperienceAttributeSet:CombatMagic,AttributeOwner=Class'"/Script/DSAbilitySystem.DungeonSiegeExperienceAttributeSet"')</v>
      </c>
      <c r="H532" s="43">
        <v>1</v>
      </c>
      <c r="I532" s="43" t="str">
        <f t="shared" si="25"/>
        <v>GE_Prefix_Splendid</v>
      </c>
      <c r="J532" s="43" t="str">
        <f t="shared" si="26"/>
        <v>/Game/DungeonSiege/Blueprints/GameplayAbilities/Affixes/GE_Prefix_Splendid</v>
      </c>
    </row>
    <row r="533" spans="1:10" ht="33.75" x14ac:dyDescent="0.25">
      <c r="A533" s="43">
        <v>531</v>
      </c>
      <c r="B533" s="43">
        <f>VLOOKUP(C533,CHOOSE({2,1},Prefix!B$2:B$256,Prefix!C$2:C$256),2,FALSE)</f>
        <v>100663827</v>
      </c>
      <c r="C533" s="43" t="s">
        <v>1145</v>
      </c>
      <c r="D533" s="43" t="s">
        <v>3204</v>
      </c>
      <c r="E533" s="43" t="str">
        <f>VLOOKUP(F533,CHOOSE({2,1},Attributes!B$3:B$130,Attributes!C$3:C$129),2,FALSE)</f>
        <v>DungeonSiegeDefenseAttributeSet</v>
      </c>
      <c r="F533" s="43" t="str">
        <f>Attributes!C10</f>
        <v>ArmorRating</v>
      </c>
      <c r="G533" s="43" t="str">
        <f t="shared" si="24"/>
        <v>(AttributeName="ArmorRating",Attribute=/Script/DSAbilitySystem.DungeonSiegeDefenseAttributeSet:ArmorRating,AttributeOwner=Class'"/Script/DSAbilitySystem.DungeonSiegeDefenseAttributeSet"')</v>
      </c>
      <c r="H533" s="43">
        <v>5</v>
      </c>
      <c r="I533" s="43" t="str">
        <f t="shared" si="25"/>
        <v>GE_Prefix_Splendid</v>
      </c>
      <c r="J533" s="43" t="str">
        <f t="shared" si="26"/>
        <v>/Game/DungeonSiege/Blueprints/GameplayAbilities/Affixes/GE_Prefix_Splendid</v>
      </c>
    </row>
    <row r="534" spans="1:10" ht="33.75" x14ac:dyDescent="0.25">
      <c r="A534" s="43">
        <v>532</v>
      </c>
      <c r="B534" s="43">
        <f>VLOOKUP(C534,CHOOSE({2,1},Prefix!B$2:B$256,Prefix!C$2:C$256),2,FALSE)</f>
        <v>100663828</v>
      </c>
      <c r="C534" s="43" t="s">
        <v>234</v>
      </c>
      <c r="D534" s="43" t="s">
        <v>233</v>
      </c>
      <c r="E534" s="43" t="str">
        <f>VLOOKUP(F534,CHOOSE({2,1},Attributes!B$3:B$130,Attributes!C$3:C$129),2,FALSE)</f>
        <v>DungeonSiegeDefenseAttributeSet</v>
      </c>
      <c r="F534" s="43" t="str">
        <f>Attributes!C10</f>
        <v>ArmorRating</v>
      </c>
      <c r="G534" s="43" t="str">
        <f t="shared" si="24"/>
        <v>(AttributeName="ArmorRating",Attribute=/Script/DSAbilitySystem.DungeonSiegeDefenseAttributeSet:ArmorRating,AttributeOwner=Class'"/Script/DSAbilitySystem.DungeonSiegeDefenseAttributeSet"')</v>
      </c>
      <c r="H534" s="43">
        <v>15</v>
      </c>
      <c r="I534" s="43" t="str">
        <f t="shared" si="25"/>
        <v>GE_Prefix_Ethereal</v>
      </c>
      <c r="J534" s="43" t="str">
        <f t="shared" si="26"/>
        <v>/Game/DungeonSiege/Blueprints/GameplayAbilities/Affixes/GE_Prefix_Ethereal</v>
      </c>
    </row>
    <row r="535" spans="1:10" ht="33.75" x14ac:dyDescent="0.25">
      <c r="A535" s="43">
        <v>533</v>
      </c>
      <c r="B535" s="43">
        <f>VLOOKUP(C535,CHOOSE({2,1},Prefix!B$2:B$256,Prefix!C$2:C$256),2,FALSE)</f>
        <v>100663829</v>
      </c>
      <c r="C535" s="43" t="s">
        <v>1147</v>
      </c>
      <c r="D535" s="43" t="s">
        <v>3224</v>
      </c>
      <c r="E535" s="43" t="str">
        <f>VLOOKUP(F535,CHOOSE({2,1},Attributes!B$3:B$130,Attributes!C$3:C$129),2,FALSE)</f>
        <v>DungeonSiegeStatusEffectAttributeSet</v>
      </c>
      <c r="F535" s="43" t="str">
        <f>Attributes!C52</f>
        <v>ChanceToAcidify</v>
      </c>
      <c r="G535" s="43" t="str">
        <f t="shared" si="24"/>
        <v>(AttributeName="ChanceToAcidify",Attribute=/Script/DSAbilitySystem.DungeonSiegeStatusEffectAttributeSet:ChanceToAcidify,AttributeOwner=Class'"/Script/DSAbilitySystem.DungeonSiegeStatusEffectAttributeSet"')</v>
      </c>
      <c r="H535" s="43">
        <v>10</v>
      </c>
      <c r="I535" s="43" t="str">
        <f t="shared" si="25"/>
        <v>GE_Prefix_Misting</v>
      </c>
      <c r="J535" s="43" t="str">
        <f t="shared" si="26"/>
        <v>/Game/DungeonSiege/Blueprints/GameplayAbilities/Affixes/GE_Prefix_Misting</v>
      </c>
    </row>
    <row r="536" spans="1:10" s="23" customFormat="1" ht="33.75" x14ac:dyDescent="0.25">
      <c r="A536" s="43">
        <v>534</v>
      </c>
      <c r="B536" s="43">
        <f>VLOOKUP(C536,CHOOSE({2,1},Prefix!B$2:B$256,Prefix!C$2:C$256),2,FALSE)</f>
        <v>100663829</v>
      </c>
      <c r="C536" s="43" t="s">
        <v>1147</v>
      </c>
      <c r="D536" s="43" t="s">
        <v>3188</v>
      </c>
      <c r="E536" s="43" t="str">
        <f>VLOOKUP(F536,CHOOSE({2,1},Attributes!B$3:B$130,Attributes!C$3:C$129),2,FALSE)</f>
        <v>DungeonSiegeStatusEffectAttributeSet</v>
      </c>
      <c r="F536" s="43" t="str">
        <f>Attributes!C53</f>
        <v>AcidMinDamageMod</v>
      </c>
      <c r="G536" s="43" t="str">
        <f t="shared" si="24"/>
        <v>(AttributeName="AcidMinDamageMod",Attribute=/Script/DSAbilitySystem.DungeonSiegeStatusEffectAttributeSet:AcidMinDamageMod,AttributeOwner=Class'"/Script/DSAbilitySystem.DungeonSiegeStatusEffectAttributeSet"')</v>
      </c>
      <c r="H536" s="43">
        <v>5</v>
      </c>
      <c r="I536" s="43" t="str">
        <f t="shared" si="25"/>
        <v>GE_Prefix_Misting</v>
      </c>
      <c r="J536" s="43" t="str">
        <f t="shared" si="26"/>
        <v>/Game/DungeonSiege/Blueprints/GameplayAbilities/Affixes/GE_Prefix_Misting</v>
      </c>
    </row>
    <row r="537" spans="1:10" ht="33.75" x14ac:dyDescent="0.25">
      <c r="A537" s="43">
        <v>535</v>
      </c>
      <c r="B537" s="43">
        <f>VLOOKUP(C537,CHOOSE({2,1},Prefix!B$2:B$256,Prefix!C$2:C$256),2,FALSE)</f>
        <v>100663829</v>
      </c>
      <c r="C537" s="43" t="s">
        <v>1147</v>
      </c>
      <c r="D537" s="43" t="s">
        <v>3188</v>
      </c>
      <c r="E537" s="43" t="str">
        <f>VLOOKUP(F537,CHOOSE({2,1},Attributes!B$3:B$130,Attributes!C$3:C$129),2,FALSE)</f>
        <v>DungeonSiegeStatusEffectAttributeSet</v>
      </c>
      <c r="F537" s="43" t="str">
        <f>Attributes!C54</f>
        <v>AcidMaxDamageMod</v>
      </c>
      <c r="G537" s="43" t="str">
        <f t="shared" si="24"/>
        <v>(AttributeName="AcidMaxDamageMod",Attribute=/Script/DSAbilitySystem.DungeonSiegeStatusEffectAttributeSet:AcidMaxDamageMod,AttributeOwner=Class'"/Script/DSAbilitySystem.DungeonSiegeStatusEffectAttributeSet"')</v>
      </c>
      <c r="H537" s="43">
        <v>10</v>
      </c>
      <c r="I537" s="43" t="str">
        <f t="shared" si="25"/>
        <v>GE_Prefix_Misting</v>
      </c>
      <c r="J537" s="43" t="str">
        <f t="shared" si="26"/>
        <v>/Game/DungeonSiege/Blueprints/GameplayAbilities/Affixes/GE_Prefix_Misting</v>
      </c>
    </row>
    <row r="538" spans="1:10" s="23" customFormat="1" ht="33.75" x14ac:dyDescent="0.25">
      <c r="A538" s="43">
        <v>536</v>
      </c>
      <c r="B538" s="43">
        <f>VLOOKUP(C538,CHOOSE({2,1},Prefix!B$2:B$256,Prefix!C$2:C$256),2,FALSE)</f>
        <v>100663830</v>
      </c>
      <c r="C538" s="43" t="s">
        <v>1148</v>
      </c>
      <c r="D538" s="43" t="s">
        <v>713</v>
      </c>
      <c r="E538" s="43" t="str">
        <f>VLOOKUP(F538,CHOOSE({2,1},Attributes!B$3:B$130,Attributes!C$3:C$129),2,FALSE)</f>
        <v>DungeonSiegeExperienceAttributeSet</v>
      </c>
      <c r="F538" s="43" t="str">
        <f>Attributes!C8</f>
        <v>Ranged</v>
      </c>
      <c r="G538" s="43" t="str">
        <f t="shared" si="24"/>
        <v>(AttributeName="Ranged",Attribute=/Script/DSAbilitySystem.DungeonSiegeExperienceAttributeSet:Ranged,AttributeOwner=Class'"/Script/DSAbilitySystem.DungeonSiegeExperienceAttributeSet"')</v>
      </c>
      <c r="H538" s="43">
        <v>1</v>
      </c>
      <c r="I538" s="43" t="str">
        <f t="shared" si="25"/>
        <v>GE_Prefix_Vengeful</v>
      </c>
      <c r="J538" s="43" t="str">
        <f t="shared" si="26"/>
        <v>/Game/DungeonSiege/Blueprints/GameplayAbilities/Affixes/GE_Prefix_Vengeful</v>
      </c>
    </row>
    <row r="539" spans="1:10" ht="33.75" x14ac:dyDescent="0.25">
      <c r="A539" s="43">
        <v>537</v>
      </c>
      <c r="B539" s="43">
        <f>VLOOKUP(C539,CHOOSE({2,1},Prefix!B$2:B$256,Prefix!C$2:C$256),2,FALSE)</f>
        <v>100663830</v>
      </c>
      <c r="C539" s="43" t="s">
        <v>1148</v>
      </c>
      <c r="D539" s="43" t="s">
        <v>3205</v>
      </c>
      <c r="E539" s="43" t="str">
        <f>VLOOKUP(F539,CHOOSE({2,1},Attributes!B$3:B$130,Attributes!C$3:C$129),2,FALSE)</f>
        <v>DungeonSiegeDamageAttributeSet</v>
      </c>
      <c r="F539" s="43" t="str">
        <f>Attributes!C28</f>
        <v>ChanceToBlockRangedAttack</v>
      </c>
      <c r="G539" s="43" t="str">
        <f t="shared" si="24"/>
        <v>(AttributeName="ChanceToBlockRangedAttack",Attribute=/Script/DSAbilitySystem.DungeonSiegeDamageAttributeSet:ChanceToBlockRangedAttack,AttributeOwner=Class'"/Script/DSAbilitySystem.DungeonSiegeDamageAttributeSet"')</v>
      </c>
      <c r="H539" s="43">
        <v>5</v>
      </c>
      <c r="I539" s="43" t="str">
        <f t="shared" si="25"/>
        <v>GE_Prefix_Vengeful</v>
      </c>
      <c r="J539" s="43" t="str">
        <f t="shared" si="26"/>
        <v>/Game/DungeonSiege/Blueprints/GameplayAbilities/Affixes/GE_Prefix_Vengeful</v>
      </c>
    </row>
    <row r="540" spans="1:10" ht="33.75" x14ac:dyDescent="0.25">
      <c r="A540" s="43">
        <v>538</v>
      </c>
      <c r="B540" s="43">
        <f>VLOOKUP(C540,CHOOSE({2,1},Prefix!B$2:B$256,Prefix!C$2:C$256),2,FALSE)</f>
        <v>100663831</v>
      </c>
      <c r="C540" s="43" t="s">
        <v>1150</v>
      </c>
      <c r="D540" s="43" t="s">
        <v>788</v>
      </c>
      <c r="E540" s="43" t="str">
        <f>VLOOKUP(F540,CHOOSE({2,1},Attributes!B$3:B$130,Attributes!C$3:C$129),2,FALSE)</f>
        <v>DungeonSiegeExperienceAttributeSet</v>
      </c>
      <c r="F540" s="43" t="str">
        <f>Attributes!C8</f>
        <v>Ranged</v>
      </c>
      <c r="G540" s="43" t="str">
        <f t="shared" si="24"/>
        <v>(AttributeName="Ranged",Attribute=/Script/DSAbilitySystem.DungeonSiegeExperienceAttributeSet:Ranged,AttributeOwner=Class'"/Script/DSAbilitySystem.DungeonSiegeExperienceAttributeSet"')</v>
      </c>
      <c r="H540" s="43">
        <v>2</v>
      </c>
      <c r="I540" s="43" t="str">
        <f t="shared" si="25"/>
        <v>GE_Prefix_Driving</v>
      </c>
      <c r="J540" s="43" t="str">
        <f t="shared" si="26"/>
        <v>/Game/DungeonSiege/Blueprints/GameplayAbilities/Affixes/GE_Prefix_Driving</v>
      </c>
    </row>
    <row r="541" spans="1:10" ht="33.75" x14ac:dyDescent="0.25">
      <c r="A541" s="43">
        <v>539</v>
      </c>
      <c r="B541" s="43">
        <f>VLOOKUP(C541,CHOOSE({2,1},Prefix!B$2:B$256,Prefix!C$2:C$256),2,FALSE)</f>
        <v>100663832</v>
      </c>
      <c r="C541" s="43" t="s">
        <v>231</v>
      </c>
      <c r="D541" s="43" t="s">
        <v>230</v>
      </c>
      <c r="E541" s="43" t="str">
        <f>VLOOKUP(F541,CHOOSE({2,1},Attributes!B$3:B$130,Attributes!C$3:C$129),2,FALSE)</f>
        <v>DungeonSiegeMagicAttributeSet</v>
      </c>
      <c r="F541" s="43" t="str">
        <f>Attributes!C43</f>
        <v>PercentMagicDamageReduction</v>
      </c>
      <c r="G541" s="43" t="str">
        <f t="shared" si="24"/>
        <v>(AttributeName="PercentMagicDamageReduction",Attribute=/Script/DSAbilitySystem.DungeonSiegeMagicAttributeSet:PercentMagicDamageReduction,AttributeOwner=Class'"/Script/DSAbilitySystem.DungeonSiegeMagicAttributeSet"')</v>
      </c>
      <c r="H541" s="43">
        <v>5</v>
      </c>
      <c r="I541" s="43" t="str">
        <f t="shared" si="25"/>
        <v>GE_Prefix_Stern</v>
      </c>
      <c r="J541" s="43" t="str">
        <f t="shared" si="26"/>
        <v>/Game/DungeonSiege/Blueprints/GameplayAbilities/Affixes/GE_Prefix_Stern</v>
      </c>
    </row>
    <row r="542" spans="1:10" ht="33.75" x14ac:dyDescent="0.25">
      <c r="A542" s="43">
        <v>540</v>
      </c>
      <c r="B542" s="43">
        <f>VLOOKUP(C542,CHOOSE({2,1},Prefix!B$2:B$256,Prefix!C$2:C$256),2,FALSE)</f>
        <v>100663833</v>
      </c>
      <c r="C542" s="43" t="s">
        <v>1152</v>
      </c>
      <c r="D542" s="43" t="s">
        <v>965</v>
      </c>
      <c r="E542" s="43" t="str">
        <f>VLOOKUP(F542,CHOOSE({2,1},Attributes!B$3:B$130,Attributes!C$3:C$129),2,FALSE)</f>
        <v>DungeonSiegeDamageAttributeSet</v>
      </c>
      <c r="F542" s="43" t="str">
        <f>Attributes!C24</f>
        <v>PercentPiercingDamageReduction</v>
      </c>
      <c r="G542" s="43" t="str">
        <f t="shared" si="24"/>
        <v>(AttributeName="PercentPiercingDamageReduction",Attribute=/Script/DSAbilitySystem.DungeonSiegeDamageAttributeSet:PercentPiercingDamageReduction,AttributeOwner=Class'"/Script/DSAbilitySystem.DungeonSiegeDamageAttributeSet"')</v>
      </c>
      <c r="H542" s="43">
        <v>4</v>
      </c>
      <c r="I542" s="43" t="str">
        <f t="shared" si="25"/>
        <v>GE_Prefix_Intact</v>
      </c>
      <c r="J542" s="43" t="str">
        <f t="shared" si="26"/>
        <v>/Game/DungeonSiege/Blueprints/GameplayAbilities/Affixes/GE_Prefix_Intact</v>
      </c>
    </row>
    <row r="543" spans="1:10" ht="33.75" x14ac:dyDescent="0.25">
      <c r="A543" s="43">
        <v>541</v>
      </c>
      <c r="B543" s="43">
        <f>VLOOKUP(C543,CHOOSE({2,1},Prefix!B$2:B$256,Prefix!C$2:C$256),2,FALSE)</f>
        <v>100663840</v>
      </c>
      <c r="C543" s="43" t="s">
        <v>1154</v>
      </c>
      <c r="D543" s="43" t="s">
        <v>746</v>
      </c>
      <c r="E543" s="43" t="str">
        <f>VLOOKUP(F543,CHOOSE({2,1},Attributes!B$3:B$130,Attributes!C$3:C$129),2,FALSE)</f>
        <v>DungeonSiegeDamageAttributeSet</v>
      </c>
      <c r="F543" s="43" t="str">
        <f>Attributes!C32</f>
        <v>ChanceToBlockMeleeAttack</v>
      </c>
      <c r="G543" s="43" t="str">
        <f t="shared" si="24"/>
        <v>(AttributeName="ChanceToBlockMeleeAttack",Attribute=/Script/DSAbilitySystem.DungeonSiegeDamageAttributeSet:ChanceToBlockMeleeAttack,AttributeOwner=Class'"/Script/DSAbilitySystem.DungeonSiegeDamageAttributeSet"')</v>
      </c>
      <c r="H543" s="43">
        <v>2</v>
      </c>
      <c r="I543" s="43" t="str">
        <f t="shared" si="25"/>
        <v>GE_Prefix_Firm</v>
      </c>
      <c r="J543" s="43" t="str">
        <f t="shared" si="26"/>
        <v>/Game/DungeonSiege/Blueprints/GameplayAbilities/Affixes/GE_Prefix_Firm</v>
      </c>
    </row>
    <row r="544" spans="1:10" ht="33.75" x14ac:dyDescent="0.25">
      <c r="A544" s="43">
        <v>542</v>
      </c>
      <c r="B544" s="43">
        <f>VLOOKUP(C544,CHOOSE({2,1},Prefix!B$2:B$256,Prefix!C$2:C$256),2,FALSE)</f>
        <v>100663841</v>
      </c>
      <c r="C544" s="43" t="s">
        <v>228</v>
      </c>
      <c r="D544" s="43" t="s">
        <v>227</v>
      </c>
      <c r="E544" s="43" t="str">
        <f>VLOOKUP(F544,CHOOSE({2,1},Attributes!B$3:B$130,Attributes!C$3:C$129),2,FALSE)</f>
        <v>DungeonSiegeExperienceAttributeSet</v>
      </c>
      <c r="F544" s="43" t="str">
        <f>Attributes!C3</f>
        <v>Strength</v>
      </c>
      <c r="G544" s="43" t="str">
        <f t="shared" si="24"/>
        <v>(AttributeName="Strength",Attribute=/Script/DSAbilitySystem.DungeonSiegeExperienceAttributeSet:Strength,AttributeOwner=Class'"/Script/DSAbilitySystem.DungeonSiegeExperienceAttributeSet"')</v>
      </c>
      <c r="H544" s="43">
        <v>1</v>
      </c>
      <c r="I544" s="43" t="str">
        <f t="shared" si="25"/>
        <v>GE_Prefix_Hide_Bound</v>
      </c>
      <c r="J544" s="43" t="str">
        <f t="shared" si="26"/>
        <v>/Game/DungeonSiege/Blueprints/GameplayAbilities/Affixes/GE_Prefix_Hide_Bound</v>
      </c>
    </row>
    <row r="545" spans="1:10" s="23" customFormat="1" ht="33.75" x14ac:dyDescent="0.25">
      <c r="A545" s="43">
        <v>543</v>
      </c>
      <c r="B545" s="43">
        <f>VLOOKUP(C545,CHOOSE({2,1},Prefix!B$2:B$256,Prefix!C$2:C$256),2,FALSE)</f>
        <v>100663842</v>
      </c>
      <c r="C545" s="43" t="s">
        <v>225</v>
      </c>
      <c r="D545" s="43" t="s">
        <v>207</v>
      </c>
      <c r="E545" s="43" t="str">
        <f>VLOOKUP(F545,CHOOSE({2,1},Attributes!B$3:B$130,Attributes!C$3:C$129),2,FALSE)</f>
        <v>DungeonSiegeExperienceAttributeSet</v>
      </c>
      <c r="F545" s="43" t="str">
        <f>Attributes!C7</f>
        <v>NatureMagic</v>
      </c>
      <c r="G545" s="43" t="str">
        <f t="shared" si="24"/>
        <v>(AttributeName="NatureMagic",Attribute=/Script/DSAbilitySystem.DungeonSiegeExperienceAttributeSet:NatureMagic,AttributeOwner=Class'"/Script/DSAbilitySystem.DungeonSiegeExperienceAttributeSet"')</v>
      </c>
      <c r="H545" s="43">
        <v>1</v>
      </c>
      <c r="I545" s="43" t="str">
        <f t="shared" si="25"/>
        <v>GE_Prefix_Therapeutic</v>
      </c>
      <c r="J545" s="43" t="str">
        <f t="shared" si="26"/>
        <v>/Game/DungeonSiege/Blueprints/GameplayAbilities/Affixes/GE_Prefix_Therapeutic</v>
      </c>
    </row>
    <row r="546" spans="1:10" s="23" customFormat="1" ht="33.75" x14ac:dyDescent="0.25">
      <c r="A546" s="43">
        <v>544</v>
      </c>
      <c r="B546" s="43">
        <f>VLOOKUP(C546,CHOOSE({2,1},Prefix!B$2:B$256,Prefix!C$2:C$256),2,FALSE)</f>
        <v>100663842</v>
      </c>
      <c r="C546" s="43" t="s">
        <v>225</v>
      </c>
      <c r="D546" s="43" t="s">
        <v>45</v>
      </c>
      <c r="E546" s="43" t="str">
        <f>VLOOKUP(F546,CHOOSE({2,1},Attributes!B$3:B$130,Attributes!C$3:C$129),2,FALSE)</f>
        <v>DungeonSiegeHealthAttributeSet</v>
      </c>
      <c r="F546" s="43" t="str">
        <f>Attributes!C82</f>
        <v>BaseHealthBonus</v>
      </c>
      <c r="G546" s="43" t="str">
        <f t="shared" si="24"/>
        <v>(AttributeName="BaseHealthBonus",Attribute=/Script/DSAbilitySystem.DungeonSiegeHealthAttributeSet:BaseHealthBonus,AttributeOwner=Class'"/Script/DSAbilitySystem.DungeonSiegeHealthAttributeSet"')</v>
      </c>
      <c r="H546" s="43">
        <v>17</v>
      </c>
      <c r="I546" s="43" t="str">
        <f t="shared" si="25"/>
        <v>GE_Prefix_Therapeutic</v>
      </c>
      <c r="J546" s="43" t="str">
        <f t="shared" si="26"/>
        <v>/Game/DungeonSiege/Blueprints/GameplayAbilities/Affixes/GE_Prefix_Therapeutic</v>
      </c>
    </row>
    <row r="547" spans="1:10" s="23" customFormat="1" ht="33.75" x14ac:dyDescent="0.25">
      <c r="A547" s="43">
        <v>545</v>
      </c>
      <c r="B547" s="43">
        <f>VLOOKUP(C547,CHOOSE({2,1},Prefix!B$2:B$256,Prefix!C$2:C$256),2,FALSE)</f>
        <v>100663842</v>
      </c>
      <c r="C547" s="43" t="s">
        <v>225</v>
      </c>
      <c r="D547" s="43" t="s">
        <v>3206</v>
      </c>
      <c r="E547" s="43" t="str">
        <f>VLOOKUP(F547,CHOOSE({2,1},Attributes!B$3:B$130,Attributes!C$3:C$129),2,FALSE)</f>
        <v>DungeonSiegeMagicAttributeSet</v>
      </c>
      <c r="F547" s="43" t="str">
        <f>Attributes!C51</f>
        <v>ChanceToBlockMagicAttack</v>
      </c>
      <c r="G547" s="43" t="str">
        <f t="shared" si="24"/>
        <v>(AttributeName="ChanceToBlockMagicAttack",Attribute=/Script/DSAbilitySystem.DungeonSiegeMagicAttributeSet:ChanceToBlockMagicAttack,AttributeOwner=Class'"/Script/DSAbilitySystem.DungeonSiegeMagicAttributeSet"')</v>
      </c>
      <c r="H547" s="43">
        <v>3</v>
      </c>
      <c r="I547" s="43" t="str">
        <f t="shared" si="25"/>
        <v>GE_Prefix_Therapeutic</v>
      </c>
      <c r="J547" s="43" t="str">
        <f t="shared" si="26"/>
        <v>/Game/DungeonSiege/Blueprints/GameplayAbilities/Affixes/GE_Prefix_Therapeutic</v>
      </c>
    </row>
    <row r="548" spans="1:10" ht="33.75" x14ac:dyDescent="0.25">
      <c r="A548" s="43">
        <v>546</v>
      </c>
      <c r="B548" s="43">
        <f>VLOOKUP(C548,CHOOSE({2,1},Prefix!B$2:B$256,Prefix!C$2:C$256),2,FALSE)</f>
        <v>100663843</v>
      </c>
      <c r="C548" s="43" t="s">
        <v>1157</v>
      </c>
      <c r="D548" s="43" t="s">
        <v>1009</v>
      </c>
      <c r="E548" s="43" t="str">
        <f>VLOOKUP(F548,CHOOSE({2,1},Attributes!B$3:B$130,Attributes!C$3:C$129),2,FALSE)</f>
        <v>DungeonSiegeDefenseAttributeSet</v>
      </c>
      <c r="F548" s="43" t="str">
        <f>Attributes!C10</f>
        <v>ArmorRating</v>
      </c>
      <c r="G548" s="43" t="str">
        <f t="shared" si="24"/>
        <v>(AttributeName="ArmorRating",Attribute=/Script/DSAbilitySystem.DungeonSiegeDefenseAttributeSet:ArmorRating,AttributeOwner=Class'"/Script/DSAbilitySystem.DungeonSiegeDefenseAttributeSet"')</v>
      </c>
      <c r="H548" s="43">
        <v>13</v>
      </c>
      <c r="I548" s="43" t="str">
        <f t="shared" si="25"/>
        <v>GE_Prefix_Sustained</v>
      </c>
      <c r="J548" s="43" t="str">
        <f t="shared" si="26"/>
        <v>/Game/DungeonSiege/Blueprints/GameplayAbilities/Affixes/GE_Prefix_Sustained</v>
      </c>
    </row>
    <row r="549" spans="1:10" s="23" customFormat="1" ht="33.75" x14ac:dyDescent="0.25">
      <c r="A549" s="43">
        <v>547</v>
      </c>
      <c r="B549" s="43">
        <f>VLOOKUP(C549,CHOOSE({2,1},Prefix!B$2:B$256,Prefix!C$2:C$256),2,FALSE)</f>
        <v>100663844</v>
      </c>
      <c r="C549" s="43" t="s">
        <v>1159</v>
      </c>
      <c r="D549" s="43" t="s">
        <v>3207</v>
      </c>
      <c r="E549" s="43" t="str">
        <f>VLOOKUP(F549,CHOOSE({2,1},Attributes!B$3:B$130,Attributes!C$3:C$129),2,FALSE)</f>
        <v>DungeonSiegeHealthAttributeSet</v>
      </c>
      <c r="F549" s="43" t="str">
        <f>Attributes!C82</f>
        <v>BaseHealthBonus</v>
      </c>
      <c r="G549" s="43" t="str">
        <f t="shared" si="24"/>
        <v>(AttributeName="BaseHealthBonus",Attribute=/Script/DSAbilitySystem.DungeonSiegeHealthAttributeSet:BaseHealthBonus,AttributeOwner=Class'"/Script/DSAbilitySystem.DungeonSiegeHealthAttributeSet"')</v>
      </c>
      <c r="H549" s="43">
        <v>9</v>
      </c>
      <c r="I549" s="43" t="str">
        <f t="shared" si="25"/>
        <v>GE_Prefix_Novel</v>
      </c>
      <c r="J549" s="43" t="str">
        <f t="shared" si="26"/>
        <v>/Game/DungeonSiege/Blueprints/GameplayAbilities/Affixes/GE_Prefix_Novel</v>
      </c>
    </row>
    <row r="550" spans="1:10" s="23" customFormat="1" ht="33.75" x14ac:dyDescent="0.25">
      <c r="A550" s="43">
        <v>548</v>
      </c>
      <c r="B550" s="43">
        <f>VLOOKUP(C550,CHOOSE({2,1},Prefix!B$2:B$256,Prefix!C$2:C$256),2,FALSE)</f>
        <v>100663844</v>
      </c>
      <c r="C550" s="43" t="s">
        <v>1159</v>
      </c>
      <c r="D550" s="43" t="s">
        <v>3208</v>
      </c>
      <c r="E550" s="43" t="str">
        <f>VLOOKUP(F550,CHOOSE({2,1},Attributes!B$3:B$130,Attributes!C$3:C$129),2,FALSE)</f>
        <v>DungeonSiegeManaAttributeSet</v>
      </c>
      <c r="F550" s="43" t="str">
        <f>Attributes!C90</f>
        <v>BaseManaBonus</v>
      </c>
      <c r="G550" s="43" t="str">
        <f t="shared" si="24"/>
        <v>(AttributeName="BaseManaBonus",Attribute=/Script/DSAbilitySystem.DungeonSiegeManaAttributeSet:BaseManaBonus,AttributeOwner=Class'"/Script/DSAbilitySystem.DungeonSiegeManaAttributeSet"')</v>
      </c>
      <c r="H550" s="43">
        <v>19</v>
      </c>
      <c r="I550" s="43" t="str">
        <f t="shared" si="25"/>
        <v>GE_Prefix_Novel</v>
      </c>
      <c r="J550" s="43" t="str">
        <f t="shared" si="26"/>
        <v>/Game/DungeonSiege/Blueprints/GameplayAbilities/Affixes/GE_Prefix_Novel</v>
      </c>
    </row>
    <row r="551" spans="1:10" s="23" customFormat="1" ht="33.75" x14ac:dyDescent="0.25">
      <c r="A551" s="43">
        <v>549</v>
      </c>
      <c r="B551" s="43">
        <f>VLOOKUP(C551,CHOOSE({2,1},Prefix!B$2:B$256,Prefix!C$2:C$256),2,FALSE)</f>
        <v>100663844</v>
      </c>
      <c r="C551" s="43" t="s">
        <v>1159</v>
      </c>
      <c r="D551" s="43" t="s">
        <v>745</v>
      </c>
      <c r="E551" s="43" t="str">
        <f>VLOOKUP(F551,CHOOSE({2,1},Attributes!B$3:B$130,Attributes!C$3:C$129),2,FALSE)</f>
        <v>DungeonSiegeExperienceAttributeSet</v>
      </c>
      <c r="F551" s="43" t="str">
        <f>Attributes!C9</f>
        <v>Melee</v>
      </c>
      <c r="G551" s="43" t="str">
        <f t="shared" si="24"/>
        <v>(AttributeName="Melee",Attribute=/Script/DSAbilitySystem.DungeonSiegeExperienceAttributeSet:Melee,AttributeOwner=Class'"/Script/DSAbilitySystem.DungeonSiegeExperienceAttributeSet"')</v>
      </c>
      <c r="H551" s="43">
        <v>1</v>
      </c>
      <c r="I551" s="43" t="str">
        <f t="shared" si="25"/>
        <v>GE_Prefix_Novel</v>
      </c>
      <c r="J551" s="43" t="str">
        <f t="shared" si="26"/>
        <v>/Game/DungeonSiege/Blueprints/GameplayAbilities/Affixes/GE_Prefix_Novel</v>
      </c>
    </row>
    <row r="552" spans="1:10" ht="33.75" x14ac:dyDescent="0.25">
      <c r="A552" s="43">
        <v>550</v>
      </c>
      <c r="B552" s="43">
        <f>VLOOKUP(C552,CHOOSE({2,1},Prefix!B$2:B$256,Prefix!C$2:C$256),2,FALSE)</f>
        <v>100663844</v>
      </c>
      <c r="C552" s="43" t="s">
        <v>1159</v>
      </c>
      <c r="D552" s="43" t="s">
        <v>3194</v>
      </c>
      <c r="E552" s="43" t="str">
        <f>VLOOKUP(F552,CHOOSE({2,1},Attributes!B$3:B$130,Attributes!C$3:C$129),2,FALSE)</f>
        <v>DungeonSiegeDefenseAttributeSet</v>
      </c>
      <c r="F552" s="43" t="str">
        <f>Attributes!C10</f>
        <v>ArmorRating</v>
      </c>
      <c r="G552" s="43" t="str">
        <f t="shared" si="24"/>
        <v>(AttributeName="ArmorRating",Attribute=/Script/DSAbilitySystem.DungeonSiegeDefenseAttributeSet:ArmorRating,AttributeOwner=Class'"/Script/DSAbilitySystem.DungeonSiegeDefenseAttributeSet"')</v>
      </c>
      <c r="H552" s="43">
        <v>9</v>
      </c>
      <c r="I552" s="43" t="str">
        <f t="shared" si="25"/>
        <v>GE_Prefix_Novel</v>
      </c>
      <c r="J552" s="43" t="str">
        <f t="shared" si="26"/>
        <v>/Game/DungeonSiege/Blueprints/GameplayAbilities/Affixes/GE_Prefix_Novel</v>
      </c>
    </row>
    <row r="553" spans="1:10" s="23" customFormat="1" ht="33.75" x14ac:dyDescent="0.25">
      <c r="A553" s="43">
        <v>551</v>
      </c>
      <c r="B553" s="43">
        <f>VLOOKUP(C553,CHOOSE({2,1},Prefix!B$2:B$256,Prefix!C$2:C$256),2,FALSE)</f>
        <v>100663845</v>
      </c>
      <c r="C553" s="43" t="s">
        <v>1161</v>
      </c>
      <c r="D553" s="43" t="s">
        <v>3209</v>
      </c>
      <c r="E553" s="43" t="str">
        <f>VLOOKUP(F553,CHOOSE({2,1},Attributes!B$3:B$130,Attributes!C$3:C$129),2,FALSE)</f>
        <v>DungeonSiegeHealthAttributeSet</v>
      </c>
      <c r="F553" s="43" t="str">
        <f>Attributes!C82</f>
        <v>BaseHealthBonus</v>
      </c>
      <c r="G553" s="43" t="str">
        <f t="shared" si="24"/>
        <v>(AttributeName="BaseHealthBonus",Attribute=/Script/DSAbilitySystem.DungeonSiegeHealthAttributeSet:BaseHealthBonus,AttributeOwner=Class'"/Script/DSAbilitySystem.DungeonSiegeHealthAttributeSet"')</v>
      </c>
      <c r="H553" s="43">
        <v>15</v>
      </c>
      <c r="I553" s="43" t="str">
        <f t="shared" si="25"/>
        <v>GE_Prefix_Distinct</v>
      </c>
      <c r="J553" s="43" t="str">
        <f t="shared" si="26"/>
        <v>/Game/DungeonSiege/Blueprints/GameplayAbilities/Affixes/GE_Prefix_Distinct</v>
      </c>
    </row>
    <row r="554" spans="1:10" s="23" customFormat="1" ht="33.75" x14ac:dyDescent="0.25">
      <c r="A554" s="43">
        <v>552</v>
      </c>
      <c r="B554" s="43">
        <f>VLOOKUP(C554,CHOOSE({2,1},Prefix!B$2:B$256,Prefix!C$2:C$256),2,FALSE)</f>
        <v>100663845</v>
      </c>
      <c r="C554" s="43" t="s">
        <v>1161</v>
      </c>
      <c r="D554" s="43" t="s">
        <v>36</v>
      </c>
      <c r="E554" s="43" t="str">
        <f>VLOOKUP(F554,CHOOSE({2,1},Attributes!B$3:B$130,Attributes!C$3:C$129),2,FALSE)</f>
        <v>DungeonSiegeManaAttributeSet</v>
      </c>
      <c r="F554" s="43" t="str">
        <f>Attributes!C90</f>
        <v>BaseManaBonus</v>
      </c>
      <c r="G554" s="43" t="str">
        <f t="shared" si="24"/>
        <v>(AttributeName="BaseManaBonus",Attribute=/Script/DSAbilitySystem.DungeonSiegeManaAttributeSet:BaseManaBonus,AttributeOwner=Class'"/Script/DSAbilitySystem.DungeonSiegeManaAttributeSet"')</v>
      </c>
      <c r="H554" s="43">
        <v>20</v>
      </c>
      <c r="I554" s="43" t="str">
        <f t="shared" si="25"/>
        <v>GE_Prefix_Distinct</v>
      </c>
      <c r="J554" s="43" t="str">
        <f t="shared" si="26"/>
        <v>/Game/DungeonSiege/Blueprints/GameplayAbilities/Affixes/GE_Prefix_Distinct</v>
      </c>
    </row>
    <row r="555" spans="1:10" s="23" customFormat="1" ht="33.75" x14ac:dyDescent="0.25">
      <c r="A555" s="43">
        <v>553</v>
      </c>
      <c r="B555" s="43">
        <f>VLOOKUP(C555,CHOOSE({2,1},Prefix!B$2:B$256,Prefix!C$2:C$256),2,FALSE)</f>
        <v>100663845</v>
      </c>
      <c r="C555" s="43" t="s">
        <v>1161</v>
      </c>
      <c r="D555" s="43" t="s">
        <v>867</v>
      </c>
      <c r="E555" s="43" t="str">
        <f>VLOOKUP(F555,CHOOSE({2,1},Attributes!B$3:B$130,Attributes!C$3:C$129),2,FALSE)</f>
        <v>DungeonSiegeDamageAttributeSet</v>
      </c>
      <c r="F555" s="43" t="str">
        <f>Attributes!C27</f>
        <v>PercentRangedDamageReduction</v>
      </c>
      <c r="G555" s="43" t="str">
        <f t="shared" si="24"/>
        <v>(AttributeName="PercentRangedDamageReduction",Attribute=/Script/DSAbilitySystem.DungeonSiegeDamageAttributeSet:PercentRangedDamageReduction,AttributeOwner=Class'"/Script/DSAbilitySystem.DungeonSiegeDamageAttributeSet"')</v>
      </c>
      <c r="H555" s="43">
        <v>3</v>
      </c>
      <c r="I555" s="43" t="str">
        <f t="shared" si="25"/>
        <v>GE_Prefix_Distinct</v>
      </c>
      <c r="J555" s="43" t="str">
        <f t="shared" si="26"/>
        <v>/Game/DungeonSiege/Blueprints/GameplayAbilities/Affixes/GE_Prefix_Distinct</v>
      </c>
    </row>
    <row r="556" spans="1:10" ht="33.75" x14ac:dyDescent="0.25">
      <c r="A556" s="43">
        <v>554</v>
      </c>
      <c r="B556" s="43">
        <f>VLOOKUP(C556,CHOOSE({2,1},Prefix!B$2:B$256,Prefix!C$2:C$256),2,FALSE)</f>
        <v>100663845</v>
      </c>
      <c r="C556" s="43" t="s">
        <v>1161</v>
      </c>
      <c r="D556" s="43" t="s">
        <v>201</v>
      </c>
      <c r="E556" s="43" t="str">
        <f>VLOOKUP(F556,CHOOSE({2,1},Attributes!B$3:B$130,Attributes!C$3:C$129),2,FALSE)</f>
        <v>DungeonSiegeDefenseAttributeSet</v>
      </c>
      <c r="F556" s="43" t="str">
        <f>Attributes!C10</f>
        <v>ArmorRating</v>
      </c>
      <c r="G556" s="43" t="str">
        <f t="shared" si="24"/>
        <v>(AttributeName="ArmorRating",Attribute=/Script/DSAbilitySystem.DungeonSiegeDefenseAttributeSet:ArmorRating,AttributeOwner=Class'"/Script/DSAbilitySystem.DungeonSiegeDefenseAttributeSet"')</v>
      </c>
      <c r="H556" s="43">
        <v>6</v>
      </c>
      <c r="I556" s="43" t="str">
        <f t="shared" si="25"/>
        <v>GE_Prefix_Distinct</v>
      </c>
      <c r="J556" s="43" t="str">
        <f t="shared" si="26"/>
        <v>/Game/DungeonSiege/Blueprints/GameplayAbilities/Affixes/GE_Prefix_Distinct</v>
      </c>
    </row>
    <row r="557" spans="1:10" s="23" customFormat="1" ht="33.75" x14ac:dyDescent="0.25">
      <c r="A557" s="43">
        <v>555</v>
      </c>
      <c r="B557" s="43">
        <f>VLOOKUP(C557,CHOOSE({2,1},Prefix!B$2:B$256,Prefix!C$2:C$256),2,FALSE)</f>
        <v>100663846</v>
      </c>
      <c r="C557" s="43" t="s">
        <v>1163</v>
      </c>
      <c r="D557" s="43" t="s">
        <v>745</v>
      </c>
      <c r="E557" s="43" t="str">
        <f>VLOOKUP(F557,CHOOSE({2,1},Attributes!B$3:B$130,Attributes!C$3:C$129),2,FALSE)</f>
        <v>DungeonSiegeExperienceAttributeSet</v>
      </c>
      <c r="F557" s="43" t="str">
        <f>Attributes!C9</f>
        <v>Melee</v>
      </c>
      <c r="G557" s="43" t="str">
        <f t="shared" si="24"/>
        <v>(AttributeName="Melee",Attribute=/Script/DSAbilitySystem.DungeonSiegeExperienceAttributeSet:Melee,AttributeOwner=Class'"/Script/DSAbilitySystem.DungeonSiegeExperienceAttributeSet"')</v>
      </c>
      <c r="H557" s="43">
        <v>1</v>
      </c>
      <c r="I557" s="43" t="str">
        <f t="shared" si="25"/>
        <v>GE_Prefix_Optimistic</v>
      </c>
      <c r="J557" s="43" t="str">
        <f t="shared" si="26"/>
        <v>/Game/DungeonSiege/Blueprints/GameplayAbilities/Affixes/GE_Prefix_Optimistic</v>
      </c>
    </row>
    <row r="558" spans="1:10" s="23" customFormat="1" ht="33.75" x14ac:dyDescent="0.25">
      <c r="A558" s="43">
        <v>556</v>
      </c>
      <c r="B558" s="43">
        <f>VLOOKUP(C558,CHOOSE({2,1},Prefix!B$2:B$256,Prefix!C$2:C$256),2,FALSE)</f>
        <v>100663846</v>
      </c>
      <c r="C558" s="43" t="s">
        <v>1163</v>
      </c>
      <c r="D558" s="43" t="s">
        <v>201</v>
      </c>
      <c r="E558" s="43" t="str">
        <f>VLOOKUP(F558,CHOOSE({2,1},Attributes!B$3:B$130,Attributes!C$3:C$129),2,FALSE)</f>
        <v>DungeonSiegeDefenseAttributeSet</v>
      </c>
      <c r="F558" s="43" t="str">
        <f>Attributes!C10</f>
        <v>ArmorRating</v>
      </c>
      <c r="G558" s="43" t="str">
        <f t="shared" si="24"/>
        <v>(AttributeName="ArmorRating",Attribute=/Script/DSAbilitySystem.DungeonSiegeDefenseAttributeSet:ArmorRating,AttributeOwner=Class'"/Script/DSAbilitySystem.DungeonSiegeDefenseAttributeSet"')</v>
      </c>
      <c r="H558" s="43">
        <v>6</v>
      </c>
      <c r="I558" s="43" t="str">
        <f t="shared" si="25"/>
        <v>GE_Prefix_Optimistic</v>
      </c>
      <c r="J558" s="43" t="str">
        <f t="shared" si="26"/>
        <v>/Game/DungeonSiege/Blueprints/GameplayAbilities/Affixes/GE_Prefix_Optimistic</v>
      </c>
    </row>
    <row r="559" spans="1:10" ht="33.75" x14ac:dyDescent="0.25">
      <c r="A559" s="43">
        <v>557</v>
      </c>
      <c r="B559" s="43">
        <f>VLOOKUP(C559,CHOOSE({2,1},Prefix!B$2:B$256,Prefix!C$2:C$256),2,FALSE)</f>
        <v>100663846</v>
      </c>
      <c r="C559" s="43" t="s">
        <v>1163</v>
      </c>
      <c r="D559" s="43" t="s">
        <v>867</v>
      </c>
      <c r="E559" s="43" t="str">
        <f>VLOOKUP(F559,CHOOSE({2,1},Attributes!B$3:B$130,Attributes!C$3:C$129),2,FALSE)</f>
        <v>DungeonSiegeDamageAttributeSet</v>
      </c>
      <c r="F559" s="43" t="str">
        <f>Attributes!C27</f>
        <v>PercentRangedDamageReduction</v>
      </c>
      <c r="G559" s="43" t="str">
        <f t="shared" si="24"/>
        <v>(AttributeName="PercentRangedDamageReduction",Attribute=/Script/DSAbilitySystem.DungeonSiegeDamageAttributeSet:PercentRangedDamageReduction,AttributeOwner=Class'"/Script/DSAbilitySystem.DungeonSiegeDamageAttributeSet"')</v>
      </c>
      <c r="H559" s="43">
        <v>3</v>
      </c>
      <c r="I559" s="43" t="str">
        <f t="shared" si="25"/>
        <v>GE_Prefix_Optimistic</v>
      </c>
      <c r="J559" s="43" t="str">
        <f t="shared" si="26"/>
        <v>/Game/DungeonSiege/Blueprints/GameplayAbilities/Affixes/GE_Prefix_Optimistic</v>
      </c>
    </row>
    <row r="560" spans="1:10" s="23" customFormat="1" ht="33.75" x14ac:dyDescent="0.25">
      <c r="A560" s="43">
        <v>558</v>
      </c>
      <c r="B560" s="43">
        <f>VLOOKUP(C560,CHOOSE({2,1},Prefix!B$2:B$256,Prefix!C$2:C$256),2,FALSE)</f>
        <v>100663847</v>
      </c>
      <c r="C560" s="43" t="s">
        <v>1165</v>
      </c>
      <c r="D560" s="43" t="s">
        <v>3225</v>
      </c>
      <c r="E560" s="43" t="str">
        <f>VLOOKUP(F560,CHOOSE({2,1},Attributes!B$3:B$130,Attributes!C$3:C$129),2,FALSE)</f>
        <v>DungeonSiegeStatusEffectAttributeSet</v>
      </c>
      <c r="F560" s="43" t="str">
        <f>Attributes!C60</f>
        <v>ChanceToFlee</v>
      </c>
      <c r="G560" s="43" t="str">
        <f t="shared" si="24"/>
        <v>(AttributeName="ChanceToFlee",Attribute=/Script/DSAbilitySystem.DungeonSiegeStatusEffectAttributeSet:ChanceToFlee,AttributeOwner=Class'"/Script/DSAbilitySystem.DungeonSiegeStatusEffectAttributeSet"')</v>
      </c>
      <c r="H560" s="43">
        <v>10</v>
      </c>
      <c r="I560" s="43" t="str">
        <f t="shared" si="25"/>
        <v>GE_Prefix_Blustering</v>
      </c>
      <c r="J560" s="43" t="str">
        <f t="shared" si="26"/>
        <v>/Game/DungeonSiege/Blueprints/GameplayAbilities/Affixes/GE_Prefix_Blustering</v>
      </c>
    </row>
    <row r="561" spans="1:10" s="23" customFormat="1" ht="33.75" x14ac:dyDescent="0.25">
      <c r="A561" s="43">
        <v>559</v>
      </c>
      <c r="B561" s="43">
        <f>VLOOKUP(C561,CHOOSE({2,1},Prefix!B$2:B$256,Prefix!C$2:C$256),2,FALSE)</f>
        <v>100663847</v>
      </c>
      <c r="C561" s="43" t="s">
        <v>1165</v>
      </c>
      <c r="D561" s="43" t="s">
        <v>3201</v>
      </c>
      <c r="E561" s="43" t="str">
        <f>VLOOKUP(F561,CHOOSE({2,1},Attributes!B$3:B$130,Attributes!C$3:C$129),2,FALSE)</f>
        <v>DungeonSiegeStatusEffectAttributeSet</v>
      </c>
      <c r="F561" s="43" t="str">
        <f>Attributes!C61</f>
        <v>FleeMinDamageMod</v>
      </c>
      <c r="G561" s="43" t="str">
        <f t="shared" si="24"/>
        <v>(AttributeName="FleeMinDamageMod",Attribute=/Script/DSAbilitySystem.DungeonSiegeStatusEffectAttributeSet:FleeMinDamageMod,AttributeOwner=Class'"/Script/DSAbilitySystem.DungeonSiegeStatusEffectAttributeSet"')</v>
      </c>
      <c r="H561" s="43">
        <v>10</v>
      </c>
      <c r="I561" s="43" t="str">
        <f t="shared" si="25"/>
        <v>GE_Prefix_Blustering</v>
      </c>
      <c r="J561" s="43" t="str">
        <f t="shared" si="26"/>
        <v>/Game/DungeonSiege/Blueprints/GameplayAbilities/Affixes/GE_Prefix_Blustering</v>
      </c>
    </row>
    <row r="562" spans="1:10" ht="33.75" x14ac:dyDescent="0.25">
      <c r="A562" s="43">
        <v>560</v>
      </c>
      <c r="B562" s="43">
        <f>VLOOKUP(C562,CHOOSE({2,1},Prefix!B$2:B$256,Prefix!C$2:C$256),2,FALSE)</f>
        <v>100663847</v>
      </c>
      <c r="C562" s="43" t="s">
        <v>1165</v>
      </c>
      <c r="D562" s="43" t="s">
        <v>3201</v>
      </c>
      <c r="E562" s="43" t="str">
        <f>VLOOKUP(F562,CHOOSE({2,1},Attributes!B$3:B$130,Attributes!C$3:C$129),2,FALSE)</f>
        <v>DungeonSiegeStatusEffectAttributeSet</v>
      </c>
      <c r="F562" s="43" t="str">
        <f>Attributes!C62</f>
        <v>FleeMaxDamageMod</v>
      </c>
      <c r="G562" s="43" t="str">
        <f t="shared" si="24"/>
        <v>(AttributeName="FleeMaxDamageMod",Attribute=/Script/DSAbilitySystem.DungeonSiegeStatusEffectAttributeSet:FleeMaxDamageMod,AttributeOwner=Class'"/Script/DSAbilitySystem.DungeonSiegeStatusEffectAttributeSet"')</v>
      </c>
      <c r="H562" s="43">
        <v>20</v>
      </c>
      <c r="I562" s="43" t="str">
        <f t="shared" si="25"/>
        <v>GE_Prefix_Blustering</v>
      </c>
      <c r="J562" s="43" t="str">
        <f t="shared" si="26"/>
        <v>/Game/DungeonSiege/Blueprints/GameplayAbilities/Affixes/GE_Prefix_Blustering</v>
      </c>
    </row>
    <row r="563" spans="1:10" ht="33.75" x14ac:dyDescent="0.25">
      <c r="A563" s="43">
        <v>561</v>
      </c>
      <c r="B563" s="43">
        <f>VLOOKUP(C563,CHOOSE({2,1},Prefix!B$2:B$256,Prefix!C$2:C$256),2,FALSE)</f>
        <v>100663848</v>
      </c>
      <c r="C563" s="43" t="s">
        <v>222</v>
      </c>
      <c r="D563" s="43" t="s">
        <v>221</v>
      </c>
      <c r="E563" s="43" t="str">
        <f>VLOOKUP(F563,CHOOSE({2,1},Attributes!B$3:B$130,Attributes!C$3:C$129),2,FALSE)</f>
        <v>DungeonSiegeMagicAttributeSet</v>
      </c>
      <c r="F563" s="43" t="str">
        <f>Attributes!C45</f>
        <v>ColdDamageAmplification</v>
      </c>
      <c r="G563" s="43" t="str">
        <f t="shared" si="24"/>
        <v>(AttributeName="ColdDamageAmplification",Attribute=/Script/DSAbilitySystem.DungeonSiegeMagicAttributeSet:ColdDamageAmplification,AttributeOwner=Class'"/Script/DSAbilitySystem.DungeonSiegeMagicAttributeSet"')</v>
      </c>
      <c r="H563" s="43">
        <v>5</v>
      </c>
      <c r="I563" s="43" t="str">
        <f t="shared" si="25"/>
        <v>GE_Prefix_Cold</v>
      </c>
      <c r="J563" s="43" t="str">
        <f t="shared" si="26"/>
        <v>/Game/DungeonSiege/Blueprints/GameplayAbilities/Affixes/GE_Prefix_Cold</v>
      </c>
    </row>
    <row r="564" spans="1:10" ht="33.75" x14ac:dyDescent="0.25">
      <c r="A564" s="43">
        <v>562</v>
      </c>
      <c r="B564" s="43">
        <f>VLOOKUP(C564,CHOOSE({2,1},Prefix!B$2:B$256,Prefix!C$2:C$256),2,FALSE)</f>
        <v>100663849</v>
      </c>
      <c r="C564" s="43" t="s">
        <v>10</v>
      </c>
      <c r="D564" s="43" t="s">
        <v>219</v>
      </c>
      <c r="E564" s="43" t="str">
        <f>VLOOKUP(F564,CHOOSE({2,1},Attributes!B$3:B$130,Attributes!C$3:C$129),2,FALSE)</f>
        <v>DungeonSiegeMagicAttributeSet</v>
      </c>
      <c r="F564" s="43" t="str">
        <f>Attributes!C47</f>
        <v>FireDamageAmplification</v>
      </c>
      <c r="G564" s="43" t="str">
        <f t="shared" si="24"/>
        <v>(AttributeName="FireDamageAmplification",Attribute=/Script/DSAbilitySystem.DungeonSiegeMagicAttributeSet:FireDamageAmplification,AttributeOwner=Class'"/Script/DSAbilitySystem.DungeonSiegeMagicAttributeSet"')</v>
      </c>
      <c r="H564" s="43">
        <v>5</v>
      </c>
      <c r="I564" s="43" t="str">
        <f t="shared" si="25"/>
        <v>GE_Prefix_Fiery</v>
      </c>
      <c r="J564" s="43" t="str">
        <f t="shared" si="26"/>
        <v>/Game/DungeonSiege/Blueprints/GameplayAbilities/Affixes/GE_Prefix_Fiery</v>
      </c>
    </row>
    <row r="565" spans="1:10" ht="33.75" x14ac:dyDescent="0.25">
      <c r="A565" s="43">
        <v>563</v>
      </c>
      <c r="B565" s="43">
        <f>VLOOKUP(C565,CHOOSE({2,1},Prefix!B$2:B$256,Prefix!C$2:C$256),2,FALSE)</f>
        <v>100663856</v>
      </c>
      <c r="C565" s="43" t="s">
        <v>217</v>
      </c>
      <c r="D565" s="43" t="s">
        <v>216</v>
      </c>
      <c r="E565" s="43" t="str">
        <f>VLOOKUP(F565,CHOOSE({2,1},Attributes!B$3:B$130,Attributes!C$3:C$129),2,FALSE)</f>
        <v>DungeonSiegeMagicAttributeSet</v>
      </c>
      <c r="F565" s="43" t="str">
        <f>Attributes!C48</f>
        <v>ElectricDamageAmplification</v>
      </c>
      <c r="G565" s="43" t="str">
        <f t="shared" si="24"/>
        <v>(AttributeName="ElectricDamageAmplification",Attribute=/Script/DSAbilitySystem.DungeonSiegeMagicAttributeSet:ElectricDamageAmplification,AttributeOwner=Class'"/Script/DSAbilitySystem.DungeonSiegeMagicAttributeSet"')</v>
      </c>
      <c r="H565" s="43">
        <v>5</v>
      </c>
      <c r="I565" s="43" t="str">
        <f t="shared" si="25"/>
        <v>GE_Prefix_Shimmering</v>
      </c>
      <c r="J565" s="43" t="str">
        <f t="shared" si="26"/>
        <v>/Game/DungeonSiege/Blueprints/GameplayAbilities/Affixes/GE_Prefix_Shimmering</v>
      </c>
    </row>
    <row r="566" spans="1:10" ht="33.75" x14ac:dyDescent="0.25">
      <c r="A566" s="43">
        <v>564</v>
      </c>
      <c r="B566" s="43">
        <f>VLOOKUP(C566,CHOOSE({2,1},Prefix!B$2:B$256,Prefix!C$2:C$256),2,FALSE)</f>
        <v>100663857</v>
      </c>
      <c r="C566" s="43" t="s">
        <v>1167</v>
      </c>
      <c r="D566" s="43" t="s">
        <v>210</v>
      </c>
      <c r="E566" s="43" t="str">
        <f>VLOOKUP(F566,CHOOSE({2,1},Attributes!B$3:B$130,Attributes!C$3:C$129),2,FALSE)</f>
        <v>DungeonSiegeDefenseAttributeSet</v>
      </c>
      <c r="F566" s="43" t="str">
        <f>Attributes!C10</f>
        <v>ArmorRating</v>
      </c>
      <c r="G566" s="43" t="str">
        <f t="shared" si="24"/>
        <v>(AttributeName="ArmorRating",Attribute=/Script/DSAbilitySystem.DungeonSiegeDefenseAttributeSet:ArmorRating,AttributeOwner=Class'"/Script/DSAbilitySystem.DungeonSiegeDefenseAttributeSet"')</v>
      </c>
      <c r="H566" s="43">
        <v>10</v>
      </c>
      <c r="I566" s="43" t="str">
        <f t="shared" si="25"/>
        <v>GE_Prefix_Calloused</v>
      </c>
      <c r="J566" s="43" t="str">
        <f t="shared" si="26"/>
        <v>/Game/DungeonSiege/Blueprints/GameplayAbilities/Affixes/GE_Prefix_Calloused</v>
      </c>
    </row>
    <row r="567" spans="1:10" ht="33.75" x14ac:dyDescent="0.25">
      <c r="A567" s="43">
        <v>565</v>
      </c>
      <c r="B567" s="43">
        <f>VLOOKUP(C567,CHOOSE({2,1},Prefix!B$2:B$256,Prefix!C$2:C$256),2,FALSE)</f>
        <v>100663858</v>
      </c>
      <c r="C567" s="43" t="s">
        <v>1169</v>
      </c>
      <c r="D567" s="43" t="s">
        <v>207</v>
      </c>
      <c r="E567" s="43" t="str">
        <f>VLOOKUP(F567,CHOOSE({2,1},Attributes!B$3:B$130,Attributes!C$3:C$129),2,FALSE)</f>
        <v>DungeonSiegeExperienceAttributeSet</v>
      </c>
      <c r="F567" s="43" t="str">
        <f>Attributes!C7</f>
        <v>NatureMagic</v>
      </c>
      <c r="G567" s="43" t="str">
        <f t="shared" si="24"/>
        <v>(AttributeName="NatureMagic",Attribute=/Script/DSAbilitySystem.DungeonSiegeExperienceAttributeSet:NatureMagic,AttributeOwner=Class'"/Script/DSAbilitySystem.DungeonSiegeExperienceAttributeSet"')</v>
      </c>
      <c r="H567" s="43">
        <v>1</v>
      </c>
      <c r="I567" s="43" t="str">
        <f t="shared" si="25"/>
        <v>GE_Prefix_Organic</v>
      </c>
      <c r="J567" s="43" t="str">
        <f t="shared" si="26"/>
        <v>/Game/DungeonSiege/Blueprints/GameplayAbilities/Affixes/GE_Prefix_Organic</v>
      </c>
    </row>
    <row r="568" spans="1:10" ht="33.75" x14ac:dyDescent="0.25">
      <c r="A568" s="43">
        <v>566</v>
      </c>
      <c r="B568" s="43">
        <f>VLOOKUP(C568,CHOOSE({2,1},Prefix!B$2:B$256,Prefix!C$2:C$256),2,FALSE)</f>
        <v>100663859</v>
      </c>
      <c r="C568" s="43" t="s">
        <v>1171</v>
      </c>
      <c r="D568" s="43" t="s">
        <v>204</v>
      </c>
      <c r="E568" s="43" t="str">
        <f>VLOOKUP(F568,CHOOSE({2,1},Attributes!B$3:B$130,Attributes!C$3:C$129),2,FALSE)</f>
        <v>DungeonSiegeExperienceAttributeSet</v>
      </c>
      <c r="F568" s="43" t="str">
        <f>Attributes!C6</f>
        <v>CombatMagic</v>
      </c>
      <c r="G568" s="43" t="str">
        <f t="shared" si="24"/>
        <v>(AttributeName="CombatMagic",Attribute=/Script/DSAbilitySystem.DungeonSiegeExperienceAttributeSet:CombatMagic,AttributeOwner=Class'"/Script/DSAbilitySystem.DungeonSiegeExperienceAttributeSet"')</v>
      </c>
      <c r="H568" s="43">
        <v>1</v>
      </c>
      <c r="I568" s="43" t="str">
        <f t="shared" si="25"/>
        <v>GE_Prefix_Conflicting</v>
      </c>
      <c r="J568" s="43" t="str">
        <f t="shared" si="26"/>
        <v>/Game/DungeonSiege/Blueprints/GameplayAbilities/Affixes/GE_Prefix_Conflicting</v>
      </c>
    </row>
    <row r="569" spans="1:10" ht="33.75" x14ac:dyDescent="0.25">
      <c r="A569" s="43">
        <v>567</v>
      </c>
      <c r="B569" s="43">
        <f>VLOOKUP(C569,CHOOSE({2,1},Prefix!B$2:B$256,Prefix!C$2:C$256),2,FALSE)</f>
        <v>100663860</v>
      </c>
      <c r="C569" s="43" t="s">
        <v>1173</v>
      </c>
      <c r="D569" s="43" t="s">
        <v>805</v>
      </c>
      <c r="E569" s="43" t="str">
        <f>VLOOKUP(F569,CHOOSE({2,1},Attributes!B$3:B$130,Attributes!C$3:C$129),2,FALSE)</f>
        <v>DungeonSiegeDamageAttributeSet</v>
      </c>
      <c r="F569" s="43" t="str">
        <f>Attributes!C31</f>
        <v>PercentMeleeDamageReduction</v>
      </c>
      <c r="G569" s="43" t="str">
        <f t="shared" si="24"/>
        <v>(AttributeName="PercentMeleeDamageReduction",Attribute=/Script/DSAbilitySystem.DungeonSiegeDamageAttributeSet:PercentMeleeDamageReduction,AttributeOwner=Class'"/Script/DSAbilitySystem.DungeonSiegeDamageAttributeSet"')</v>
      </c>
      <c r="H569" s="43">
        <v>5</v>
      </c>
      <c r="I569" s="43" t="str">
        <f t="shared" si="25"/>
        <v>GE_Prefix_Negating</v>
      </c>
      <c r="J569" s="43" t="str">
        <f t="shared" si="26"/>
        <v>/Game/DungeonSiege/Blueprints/GameplayAbilities/Affixes/GE_Prefix_Negating</v>
      </c>
    </row>
    <row r="570" spans="1:10" ht="33.75" x14ac:dyDescent="0.25">
      <c r="A570" s="43">
        <v>568</v>
      </c>
      <c r="B570" s="43">
        <f>VLOOKUP(C570,CHOOSE({2,1},Prefix!B$2:B$256,Prefix!C$2:C$256),2,FALSE)</f>
        <v>100663861</v>
      </c>
      <c r="C570" s="43" t="s">
        <v>214</v>
      </c>
      <c r="D570" s="43" t="s">
        <v>213</v>
      </c>
      <c r="E570" s="43" t="str">
        <f>VLOOKUP(F570,CHOOSE({2,1},Attributes!B$3:B$130,Attributes!C$3:C$129),2,FALSE)</f>
        <v>DungeonSiegeMagicAttributeSet</v>
      </c>
      <c r="F570" s="43" t="str">
        <f>Attributes!C51</f>
        <v>ChanceToBlockMagicAttack</v>
      </c>
      <c r="G570" s="43" t="str">
        <f t="shared" si="24"/>
        <v>(AttributeName="ChanceToBlockMagicAttack",Attribute=/Script/DSAbilitySystem.DungeonSiegeMagicAttributeSet:ChanceToBlockMagicAttack,AttributeOwner=Class'"/Script/DSAbilitySystem.DungeonSiegeMagicAttributeSet"')</v>
      </c>
      <c r="H570" s="43">
        <v>5</v>
      </c>
      <c r="I570" s="43" t="str">
        <f t="shared" si="25"/>
        <v>GE_Prefix_Persevering</v>
      </c>
      <c r="J570" s="43" t="str">
        <f t="shared" si="26"/>
        <v>/Game/DungeonSiege/Blueprints/GameplayAbilities/Affixes/GE_Prefix_Persevering</v>
      </c>
    </row>
    <row r="571" spans="1:10" ht="33.75" x14ac:dyDescent="0.25">
      <c r="A571" s="43">
        <v>569</v>
      </c>
      <c r="B571" s="43">
        <f>VLOOKUP(C571,CHOOSE({2,1},Prefix!B$2:B$256,Prefix!C$2:C$256),2,FALSE)</f>
        <v>100663862</v>
      </c>
      <c r="C571" s="43" t="s">
        <v>1175</v>
      </c>
      <c r="D571" s="43" t="s">
        <v>1125</v>
      </c>
      <c r="E571" s="43" t="str">
        <f>VLOOKUP(F571,CHOOSE({2,1},Attributes!B$3:B$130,Attributes!C$3:C$129),2,FALSE)</f>
        <v>DungeonSiegeDamageAttributeSet</v>
      </c>
      <c r="F571" s="43" t="str">
        <f>Attributes!C28</f>
        <v>ChanceToBlockRangedAttack</v>
      </c>
      <c r="G571" s="43" t="str">
        <f t="shared" si="24"/>
        <v>(AttributeName="ChanceToBlockRangedAttack",Attribute=/Script/DSAbilitySystem.DungeonSiegeDamageAttributeSet:ChanceToBlockRangedAttack,AttributeOwner=Class'"/Script/DSAbilitySystem.DungeonSiegeDamageAttributeSet"')</v>
      </c>
      <c r="H571" s="43">
        <v>4</v>
      </c>
      <c r="I571" s="43" t="str">
        <f t="shared" si="25"/>
        <v>GE_Prefix_Blocking</v>
      </c>
      <c r="J571" s="43" t="str">
        <f t="shared" si="26"/>
        <v>/Game/DungeonSiege/Blueprints/GameplayAbilities/Affixes/GE_Prefix_Blocking</v>
      </c>
    </row>
    <row r="572" spans="1:10" s="23" customFormat="1" ht="33.75" x14ac:dyDescent="0.25">
      <c r="A572" s="43">
        <v>570</v>
      </c>
      <c r="B572" s="43">
        <f>VLOOKUP(C572,CHOOSE({2,1},Prefix!B$2:B$256,Prefix!C$2:C$256),2,FALSE)</f>
        <v>100663863</v>
      </c>
      <c r="C572" s="43" t="s">
        <v>1177</v>
      </c>
      <c r="D572" s="43" t="s">
        <v>3209</v>
      </c>
      <c r="E572" s="43" t="str">
        <f>VLOOKUP(F572,CHOOSE({2,1},Attributes!B$3:B$130,Attributes!C$3:C$129),2,FALSE)</f>
        <v>DungeonSiegeHealthAttributeSet</v>
      </c>
      <c r="F572" s="43" t="str">
        <f>Attributes!C82</f>
        <v>BaseHealthBonus</v>
      </c>
      <c r="G572" s="43" t="str">
        <f t="shared" si="24"/>
        <v>(AttributeName="BaseHealthBonus",Attribute=/Script/DSAbilitySystem.DungeonSiegeHealthAttributeSet:BaseHealthBonus,AttributeOwner=Class'"/Script/DSAbilitySystem.DungeonSiegeHealthAttributeSet"')</v>
      </c>
      <c r="H572" s="43">
        <v>15</v>
      </c>
      <c r="I572" s="43" t="str">
        <f t="shared" si="25"/>
        <v>GE_Prefix_Brilliant</v>
      </c>
      <c r="J572" s="43" t="str">
        <f t="shared" si="26"/>
        <v>/Game/DungeonSiege/Blueprints/GameplayAbilities/Affixes/GE_Prefix_Brilliant</v>
      </c>
    </row>
    <row r="573" spans="1:10" s="23" customFormat="1" ht="33.75" x14ac:dyDescent="0.25">
      <c r="A573" s="43">
        <v>571</v>
      </c>
      <c r="B573" s="43">
        <f>VLOOKUP(C573,CHOOSE({2,1},Prefix!B$2:B$256,Prefix!C$2:C$256),2,FALSE)</f>
        <v>100663863</v>
      </c>
      <c r="C573" s="43" t="s">
        <v>1177</v>
      </c>
      <c r="D573" s="43" t="s">
        <v>3210</v>
      </c>
      <c r="E573" s="43" t="str">
        <f>VLOOKUP(F573,CHOOSE({2,1},Attributes!B$3:B$130,Attributes!C$3:C$129),2,FALSE)</f>
        <v>DungeonSiegeManaAttributeSet</v>
      </c>
      <c r="F573" s="43" t="str">
        <f>Attributes!C90</f>
        <v>BaseManaBonus</v>
      </c>
      <c r="G573" s="43" t="str">
        <f t="shared" si="24"/>
        <v>(AttributeName="BaseManaBonus",Attribute=/Script/DSAbilitySystem.DungeonSiegeManaAttributeSet:BaseManaBonus,AttributeOwner=Class'"/Script/DSAbilitySystem.DungeonSiegeManaAttributeSet"')</v>
      </c>
      <c r="H573" s="43">
        <v>26</v>
      </c>
      <c r="I573" s="43" t="str">
        <f t="shared" si="25"/>
        <v>GE_Prefix_Brilliant</v>
      </c>
      <c r="J573" s="43" t="str">
        <f t="shared" si="26"/>
        <v>/Game/DungeonSiege/Blueprints/GameplayAbilities/Affixes/GE_Prefix_Brilliant</v>
      </c>
    </row>
    <row r="574" spans="1:10" s="23" customFormat="1" ht="33.75" x14ac:dyDescent="0.25">
      <c r="A574" s="43">
        <v>572</v>
      </c>
      <c r="B574" s="43">
        <f>VLOOKUP(C574,CHOOSE({2,1},Prefix!B$2:B$256,Prefix!C$2:C$256),2,FALSE)</f>
        <v>100663863</v>
      </c>
      <c r="C574" s="43" t="s">
        <v>1177</v>
      </c>
      <c r="D574" s="43" t="s">
        <v>713</v>
      </c>
      <c r="E574" s="43" t="str">
        <f>VLOOKUP(F574,CHOOSE({2,1},Attributes!B$3:B$130,Attributes!C$3:C$129),2,FALSE)</f>
        <v>DungeonSiegeExperienceAttributeSet</v>
      </c>
      <c r="F574" s="43" t="str">
        <f>Attributes!C8</f>
        <v>Ranged</v>
      </c>
      <c r="G574" s="43" t="str">
        <f t="shared" si="24"/>
        <v>(AttributeName="Ranged",Attribute=/Script/DSAbilitySystem.DungeonSiegeExperienceAttributeSet:Ranged,AttributeOwner=Class'"/Script/DSAbilitySystem.DungeonSiegeExperienceAttributeSet"')</v>
      </c>
      <c r="H574" s="43">
        <v>1</v>
      </c>
      <c r="I574" s="43" t="str">
        <f t="shared" si="25"/>
        <v>GE_Prefix_Brilliant</v>
      </c>
      <c r="J574" s="43" t="str">
        <f t="shared" si="26"/>
        <v>/Game/DungeonSiege/Blueprints/GameplayAbilities/Affixes/GE_Prefix_Brilliant</v>
      </c>
    </row>
    <row r="575" spans="1:10" ht="33.75" x14ac:dyDescent="0.25">
      <c r="A575" s="43">
        <v>573</v>
      </c>
      <c r="B575" s="43">
        <f>VLOOKUP(C575,CHOOSE({2,1},Prefix!B$2:B$256,Prefix!C$2:C$256),2,FALSE)</f>
        <v>100663863</v>
      </c>
      <c r="C575" s="43" t="s">
        <v>1177</v>
      </c>
      <c r="D575" s="43" t="s">
        <v>3149</v>
      </c>
      <c r="E575" s="43" t="str">
        <f>VLOOKUP(F575,CHOOSE({2,1},Attributes!B$3:B$130,Attributes!C$3:C$129),2,FALSE)</f>
        <v>DungeonSiegeDefenseAttributeSet</v>
      </c>
      <c r="F575" s="43" t="str">
        <f>Attributes!C10</f>
        <v>ArmorRating</v>
      </c>
      <c r="G575" s="43" t="str">
        <f t="shared" si="24"/>
        <v>(AttributeName="ArmorRating",Attribute=/Script/DSAbilitySystem.DungeonSiegeDefenseAttributeSet:ArmorRating,AttributeOwner=Class'"/Script/DSAbilitySystem.DungeonSiegeDefenseAttributeSet"')</v>
      </c>
      <c r="H575" s="43">
        <v>7</v>
      </c>
      <c r="I575" s="43" t="str">
        <f t="shared" si="25"/>
        <v>GE_Prefix_Brilliant</v>
      </c>
      <c r="J575" s="43" t="str">
        <f t="shared" si="26"/>
        <v>/Game/DungeonSiege/Blueprints/GameplayAbilities/Affixes/GE_Prefix_Brilliant</v>
      </c>
    </row>
    <row r="576" spans="1:10" s="23" customFormat="1" ht="33.75" x14ac:dyDescent="0.25">
      <c r="A576" s="43">
        <v>574</v>
      </c>
      <c r="B576" s="43">
        <f>VLOOKUP(C576,CHOOSE({2,1},Prefix!B$2:B$256,Prefix!C$2:C$256),2,FALSE)</f>
        <v>100663864</v>
      </c>
      <c r="C576" s="43" t="s">
        <v>1179</v>
      </c>
      <c r="D576" s="43" t="s">
        <v>713</v>
      </c>
      <c r="E576" s="43" t="str">
        <f>VLOOKUP(F576,CHOOSE({2,1},Attributes!B$3:B$130,Attributes!C$3:C$129),2,FALSE)</f>
        <v>DungeonSiegeExperienceAttributeSet</v>
      </c>
      <c r="F576" s="43" t="str">
        <f>Attributes!C8</f>
        <v>Ranged</v>
      </c>
      <c r="G576" s="43" t="str">
        <f t="shared" si="24"/>
        <v>(AttributeName="Ranged",Attribute=/Script/DSAbilitySystem.DungeonSiegeExperienceAttributeSet:Ranged,AttributeOwner=Class'"/Script/DSAbilitySystem.DungeonSiegeExperienceAttributeSet"')</v>
      </c>
      <c r="H576" s="43">
        <v>1</v>
      </c>
      <c r="I576" s="43" t="str">
        <f t="shared" si="25"/>
        <v>GE_Prefix_Daring</v>
      </c>
      <c r="J576" s="43" t="str">
        <f t="shared" si="26"/>
        <v>/Game/DungeonSiege/Blueprints/GameplayAbilities/Affixes/GE_Prefix_Daring</v>
      </c>
    </row>
    <row r="577" spans="1:10" s="23" customFormat="1" ht="33.75" x14ac:dyDescent="0.25">
      <c r="A577" s="43">
        <v>575</v>
      </c>
      <c r="B577" s="43">
        <f>VLOOKUP(C577,CHOOSE({2,1},Prefix!B$2:B$256,Prefix!C$2:C$256),2,FALSE)</f>
        <v>100663864</v>
      </c>
      <c r="C577" s="43" t="s">
        <v>1179</v>
      </c>
      <c r="D577" s="43" t="s">
        <v>3204</v>
      </c>
      <c r="E577" s="43" t="str">
        <f>VLOOKUP(F577,CHOOSE({2,1},Attributes!B$3:B$130,Attributes!C$3:C$129),2,FALSE)</f>
        <v>DungeonSiegeDefenseAttributeSet</v>
      </c>
      <c r="F577" s="43" t="str">
        <f>Attributes!C10</f>
        <v>ArmorRating</v>
      </c>
      <c r="G577" s="43" t="str">
        <f t="shared" si="24"/>
        <v>(AttributeName="ArmorRating",Attribute=/Script/DSAbilitySystem.DungeonSiegeDefenseAttributeSet:ArmorRating,AttributeOwner=Class'"/Script/DSAbilitySystem.DungeonSiegeDefenseAttributeSet"')</v>
      </c>
      <c r="H577" s="43">
        <v>5</v>
      </c>
      <c r="I577" s="43" t="str">
        <f t="shared" si="25"/>
        <v>GE_Prefix_Daring</v>
      </c>
      <c r="J577" s="43" t="str">
        <f t="shared" si="26"/>
        <v>/Game/DungeonSiege/Blueprints/GameplayAbilities/Affixes/GE_Prefix_Daring</v>
      </c>
    </row>
    <row r="578" spans="1:10" ht="33.75" x14ac:dyDescent="0.25">
      <c r="A578" s="43">
        <v>576</v>
      </c>
      <c r="B578" s="43">
        <f>VLOOKUP(C578,CHOOSE({2,1},Prefix!B$2:B$256,Prefix!C$2:C$256),2,FALSE)</f>
        <v>100663864</v>
      </c>
      <c r="C578" s="43" t="s">
        <v>1179</v>
      </c>
      <c r="D578" s="43" t="s">
        <v>867</v>
      </c>
      <c r="E578" s="43" t="str">
        <f>VLOOKUP(F578,CHOOSE({2,1},Attributes!B$3:B$130,Attributes!C$3:C$129),2,FALSE)</f>
        <v>DungeonSiegeDamageAttributeSet</v>
      </c>
      <c r="F578" s="43" t="str">
        <f>Attributes!C27</f>
        <v>PercentRangedDamageReduction</v>
      </c>
      <c r="G578" s="43" t="str">
        <f t="shared" si="24"/>
        <v>(AttributeName="PercentRangedDamageReduction",Attribute=/Script/DSAbilitySystem.DungeonSiegeDamageAttributeSet:PercentRangedDamageReduction,AttributeOwner=Class'"/Script/DSAbilitySystem.DungeonSiegeDamageAttributeSet"')</v>
      </c>
      <c r="H578" s="43">
        <v>3</v>
      </c>
      <c r="I578" s="43" t="str">
        <f t="shared" si="25"/>
        <v>GE_Prefix_Daring</v>
      </c>
      <c r="J578" s="43" t="str">
        <f t="shared" si="26"/>
        <v>/Game/DungeonSiege/Blueprints/GameplayAbilities/Affixes/GE_Prefix_Daring</v>
      </c>
    </row>
    <row r="579" spans="1:10" s="23" customFormat="1" ht="33.75" x14ac:dyDescent="0.25">
      <c r="A579" s="43">
        <v>577</v>
      </c>
      <c r="B579" s="43">
        <f>VLOOKUP(C579,CHOOSE({2,1},Prefix!B$2:B$256,Prefix!C$2:C$256),2,FALSE)</f>
        <v>100663865</v>
      </c>
      <c r="C579" s="43" t="s">
        <v>1181</v>
      </c>
      <c r="D579" s="43" t="s">
        <v>745</v>
      </c>
      <c r="E579" s="43" t="str">
        <f>VLOOKUP(F579,CHOOSE({2,1},Attributes!B$3:B$130,Attributes!C$3:C$129),2,FALSE)</f>
        <v>DungeonSiegeExperienceAttributeSet</v>
      </c>
      <c r="F579" s="43" t="str">
        <f>Attributes!C9</f>
        <v>Melee</v>
      </c>
      <c r="G579" s="43" t="str">
        <f t="shared" ref="G579:G604" si="27">CONCATENATE("(AttributeName=""",F579,""",Attribute=/Script/DSAbilitySystem." &amp; E579 &amp;":",F579,",AttributeOwner=Class'""/Script/DSAbilitySystem." &amp; E579 &amp;"""')")</f>
        <v>(AttributeName="Melee",Attribute=/Script/DSAbilitySystem.DungeonSiegeExperienceAttributeSet:Melee,AttributeOwner=Class'"/Script/DSAbilitySystem.DungeonSiegeExperienceAttributeSet"')</v>
      </c>
      <c r="H579" s="43">
        <v>1</v>
      </c>
      <c r="I579" s="43" t="str">
        <f t="shared" ref="I579:I604" si="28">CONCATENATE("GE_Prefix_",SUBSTITUTE(C579," ","_"))</f>
        <v>GE_Prefix_Secret</v>
      </c>
      <c r="J579" s="43" t="str">
        <f t="shared" ref="J579:J604" si="29">"/Game/DungeonSiege/Blueprints/GameplayAbilities/Affixes/" &amp;I579</f>
        <v>/Game/DungeonSiege/Blueprints/GameplayAbilities/Affixes/GE_Prefix_Secret</v>
      </c>
    </row>
    <row r="580" spans="1:10" s="23" customFormat="1" ht="33.75" x14ac:dyDescent="0.25">
      <c r="A580" s="43">
        <v>578</v>
      </c>
      <c r="B580" s="43">
        <f>VLOOKUP(C580,CHOOSE({2,1},Prefix!B$2:B$256,Prefix!C$2:C$256),2,FALSE)</f>
        <v>100663865</v>
      </c>
      <c r="C580" s="43" t="s">
        <v>1181</v>
      </c>
      <c r="D580" s="43" t="s">
        <v>713</v>
      </c>
      <c r="E580" s="43" t="str">
        <f>VLOOKUP(F580,CHOOSE({2,1},Attributes!B$3:B$130,Attributes!C$3:C$129),2,FALSE)</f>
        <v>DungeonSiegeExperienceAttributeSet</v>
      </c>
      <c r="F580" s="43" t="str">
        <f>Attributes!C8</f>
        <v>Ranged</v>
      </c>
      <c r="G580" s="43" t="str">
        <f t="shared" si="27"/>
        <v>(AttributeName="Ranged",Attribute=/Script/DSAbilitySystem.DungeonSiegeExperienceAttributeSet:Ranged,AttributeOwner=Class'"/Script/DSAbilitySystem.DungeonSiegeExperienceAttributeSet"')</v>
      </c>
      <c r="H580" s="43">
        <v>1</v>
      </c>
      <c r="I580" s="43" t="str">
        <f t="shared" si="28"/>
        <v>GE_Prefix_Secret</v>
      </c>
      <c r="J580" s="43" t="str">
        <f t="shared" si="29"/>
        <v>/Game/DungeonSiege/Blueprints/GameplayAbilities/Affixes/GE_Prefix_Secret</v>
      </c>
    </row>
    <row r="581" spans="1:10" ht="33.75" x14ac:dyDescent="0.25">
      <c r="A581" s="43">
        <v>579</v>
      </c>
      <c r="B581" s="43">
        <f>VLOOKUP(C581,CHOOSE({2,1},Prefix!B$2:B$256,Prefix!C$2:C$256),2,FALSE)</f>
        <v>100663865</v>
      </c>
      <c r="C581" s="43" t="s">
        <v>1181</v>
      </c>
      <c r="D581" s="43" t="s">
        <v>3194</v>
      </c>
      <c r="E581" s="43" t="str">
        <f>VLOOKUP(F581,CHOOSE({2,1},Attributes!B$3:B$130,Attributes!C$3:C$129),2,FALSE)</f>
        <v>DungeonSiegeDefenseAttributeSet</v>
      </c>
      <c r="F581" s="43" t="str">
        <f>Attributes!C10</f>
        <v>ArmorRating</v>
      </c>
      <c r="G581" s="43" t="str">
        <f t="shared" si="27"/>
        <v>(AttributeName="ArmorRating",Attribute=/Script/DSAbilitySystem.DungeonSiegeDefenseAttributeSet:ArmorRating,AttributeOwner=Class'"/Script/DSAbilitySystem.DungeonSiegeDefenseAttributeSet"')</v>
      </c>
      <c r="H581" s="43">
        <v>9</v>
      </c>
      <c r="I581" s="43" t="str">
        <f t="shared" si="28"/>
        <v>GE_Prefix_Secret</v>
      </c>
      <c r="J581" s="43" t="str">
        <f t="shared" si="29"/>
        <v>/Game/DungeonSiege/Blueprints/GameplayAbilities/Affixes/GE_Prefix_Secret</v>
      </c>
    </row>
    <row r="582" spans="1:10" ht="33.75" x14ac:dyDescent="0.25">
      <c r="A582" s="43">
        <v>580</v>
      </c>
      <c r="B582" s="43">
        <f>VLOOKUP(C582,CHOOSE({2,1},Prefix!B$2:B$256,Prefix!C$2:C$256),2,FALSE)</f>
        <v>100663872</v>
      </c>
      <c r="C582" s="43" t="s">
        <v>211</v>
      </c>
      <c r="D582" s="43" t="s">
        <v>210</v>
      </c>
      <c r="E582" s="43" t="str">
        <f>VLOOKUP(F582,CHOOSE({2,1},Attributes!B$3:B$130,Attributes!C$3:C$129),2,FALSE)</f>
        <v>DungeonSiegeDefenseAttributeSet</v>
      </c>
      <c r="F582" s="43" t="str">
        <f>Attributes!C10</f>
        <v>ArmorRating</v>
      </c>
      <c r="G582" s="43" t="str">
        <f t="shared" si="27"/>
        <v>(AttributeName="ArmorRating",Attribute=/Script/DSAbilitySystem.DungeonSiegeDefenseAttributeSet:ArmorRating,AttributeOwner=Class'"/Script/DSAbilitySystem.DungeonSiegeDefenseAttributeSet"')</v>
      </c>
      <c r="H582" s="43">
        <v>10</v>
      </c>
      <c r="I582" s="43" t="str">
        <f t="shared" si="28"/>
        <v>GE_Prefix_Incorporeal</v>
      </c>
      <c r="J582" s="43" t="str">
        <f t="shared" si="29"/>
        <v>/Game/DungeonSiege/Blueprints/GameplayAbilities/Affixes/GE_Prefix_Incorporeal</v>
      </c>
    </row>
    <row r="583" spans="1:10" ht="33.75" x14ac:dyDescent="0.25">
      <c r="A583" s="43">
        <v>581</v>
      </c>
      <c r="B583" s="43">
        <f>VLOOKUP(C583,CHOOSE({2,1},Prefix!B$2:B$256,Prefix!C$2:C$256),2,FALSE)</f>
        <v>100663873</v>
      </c>
      <c r="C583" s="43" t="s">
        <v>208</v>
      </c>
      <c r="D583" s="43" t="s">
        <v>207</v>
      </c>
      <c r="E583" s="43" t="str">
        <f>VLOOKUP(F583,CHOOSE({2,1},Attributes!B$3:B$130,Attributes!C$3:C$129),2,FALSE)</f>
        <v>DungeonSiegeExperienceAttributeSet</v>
      </c>
      <c r="F583" s="43" t="str">
        <f>Attributes!C7</f>
        <v>NatureMagic</v>
      </c>
      <c r="G583" s="43" t="str">
        <f t="shared" si="27"/>
        <v>(AttributeName="NatureMagic",Attribute=/Script/DSAbilitySystem.DungeonSiegeExperienceAttributeSet:NatureMagic,AttributeOwner=Class'"/Script/DSAbilitySystem.DungeonSiegeExperienceAttributeSet"')</v>
      </c>
      <c r="H583" s="43">
        <v>1</v>
      </c>
      <c r="I583" s="43" t="str">
        <f t="shared" si="28"/>
        <v>GE_Prefix_Campestral</v>
      </c>
      <c r="J583" s="43" t="str">
        <f t="shared" si="29"/>
        <v>/Game/DungeonSiege/Blueprints/GameplayAbilities/Affixes/GE_Prefix_Campestral</v>
      </c>
    </row>
    <row r="584" spans="1:10" ht="33.75" x14ac:dyDescent="0.25">
      <c r="A584" s="43">
        <v>582</v>
      </c>
      <c r="B584" s="43">
        <f>VLOOKUP(C584,CHOOSE({2,1},Prefix!B$2:B$256,Prefix!C$2:C$256),2,FALSE)</f>
        <v>100663874</v>
      </c>
      <c r="C584" s="43" t="s">
        <v>205</v>
      </c>
      <c r="D584" s="43" t="s">
        <v>204</v>
      </c>
      <c r="E584" s="43" t="str">
        <f>VLOOKUP(F584,CHOOSE({2,1},Attributes!B$3:B$130,Attributes!C$3:C$129),2,FALSE)</f>
        <v>DungeonSiegeExperienceAttributeSet</v>
      </c>
      <c r="F584" s="43" t="str">
        <f>Attributes!C6</f>
        <v>CombatMagic</v>
      </c>
      <c r="G584" s="43" t="str">
        <f t="shared" si="27"/>
        <v>(AttributeName="CombatMagic",Attribute=/Script/DSAbilitySystem.DungeonSiegeExperienceAttributeSet:CombatMagic,AttributeOwner=Class'"/Script/DSAbilitySystem.DungeonSiegeExperienceAttributeSet"')</v>
      </c>
      <c r="H584" s="43">
        <v>1</v>
      </c>
      <c r="I584" s="43" t="str">
        <f t="shared" si="28"/>
        <v>GE_Prefix_Fabricated</v>
      </c>
      <c r="J584" s="43" t="str">
        <f t="shared" si="29"/>
        <v>/Game/DungeonSiege/Blueprints/GameplayAbilities/Affixes/GE_Prefix_Fabricated</v>
      </c>
    </row>
    <row r="585" spans="1:10" s="23" customFormat="1" ht="33.75" x14ac:dyDescent="0.25">
      <c r="A585" s="43">
        <v>583</v>
      </c>
      <c r="B585" s="43">
        <f>VLOOKUP(C585,CHOOSE({2,1},Prefix!B$2:B$256,Prefix!C$2:C$256),2,FALSE)</f>
        <v>100663875</v>
      </c>
      <c r="C585" s="43" t="s">
        <v>1183</v>
      </c>
      <c r="D585" s="43" t="s">
        <v>3226</v>
      </c>
      <c r="E585" s="43" t="str">
        <f>VLOOKUP(F585,CHOOSE({2,1},Attributes!B$3:B$130,Attributes!C$3:C$129),2,FALSE)</f>
        <v>DungeonSiegeStatusEffectAttributeSet</v>
      </c>
      <c r="F585" s="43" t="str">
        <f>Attributes!C52</f>
        <v>ChanceToAcidify</v>
      </c>
      <c r="G585" s="43" t="str">
        <f t="shared" si="27"/>
        <v>(AttributeName="ChanceToAcidify",Attribute=/Script/DSAbilitySystem.DungeonSiegeStatusEffectAttributeSet:ChanceToAcidify,AttributeOwner=Class'"/Script/DSAbilitySystem.DungeonSiegeStatusEffectAttributeSet"')</v>
      </c>
      <c r="H585" s="43">
        <v>3</v>
      </c>
      <c r="I585" s="43" t="str">
        <f t="shared" si="28"/>
        <v>GE_Prefix_Feisty</v>
      </c>
      <c r="J585" s="43" t="str">
        <f t="shared" si="29"/>
        <v>/Game/DungeonSiege/Blueprints/GameplayAbilities/Affixes/GE_Prefix_Feisty</v>
      </c>
    </row>
    <row r="586" spans="1:10" s="23" customFormat="1" ht="33.75" x14ac:dyDescent="0.25">
      <c r="A586" s="43">
        <v>584</v>
      </c>
      <c r="B586" s="43">
        <f>VLOOKUP(C586,CHOOSE({2,1},Prefix!B$2:B$256,Prefix!C$2:C$256),2,FALSE)</f>
        <v>100663875</v>
      </c>
      <c r="C586" s="43" t="s">
        <v>1183</v>
      </c>
      <c r="D586" s="43" t="s">
        <v>3211</v>
      </c>
      <c r="E586" s="43" t="str">
        <f>VLOOKUP(F586,CHOOSE({2,1},Attributes!B$3:B$130,Attributes!C$3:C$129),2,FALSE)</f>
        <v>DungeonSiegeStatusEffectAttributeSet</v>
      </c>
      <c r="F586" s="43" t="str">
        <f>Attributes!C53</f>
        <v>AcidMinDamageMod</v>
      </c>
      <c r="G586" s="43" t="str">
        <f t="shared" si="27"/>
        <v>(AttributeName="AcidMinDamageMod",Attribute=/Script/DSAbilitySystem.DungeonSiegeStatusEffectAttributeSet:AcidMinDamageMod,AttributeOwner=Class'"/Script/DSAbilitySystem.DungeonSiegeStatusEffectAttributeSet"')</v>
      </c>
      <c r="H586" s="43">
        <v>1</v>
      </c>
      <c r="I586" s="43" t="str">
        <f t="shared" si="28"/>
        <v>GE_Prefix_Feisty</v>
      </c>
      <c r="J586" s="43" t="str">
        <f t="shared" si="29"/>
        <v>/Game/DungeonSiege/Blueprints/GameplayAbilities/Affixes/GE_Prefix_Feisty</v>
      </c>
    </row>
    <row r="587" spans="1:10" s="23" customFormat="1" ht="33.75" x14ac:dyDescent="0.25">
      <c r="A587" s="43">
        <v>585</v>
      </c>
      <c r="B587" s="43">
        <f>VLOOKUP(C587,CHOOSE({2,1},Prefix!B$2:B$256,Prefix!C$2:C$256),2,FALSE)</f>
        <v>100663875</v>
      </c>
      <c r="C587" s="43" t="s">
        <v>1183</v>
      </c>
      <c r="D587" s="43" t="s">
        <v>3211</v>
      </c>
      <c r="E587" s="43" t="str">
        <f>VLOOKUP(F587,CHOOSE({2,1},Attributes!B$3:B$130,Attributes!C$3:C$129),2,FALSE)</f>
        <v>DungeonSiegeStatusEffectAttributeSet</v>
      </c>
      <c r="F587" s="43" t="str">
        <f>Attributes!C54</f>
        <v>AcidMaxDamageMod</v>
      </c>
      <c r="G587" s="43" t="str">
        <f t="shared" si="27"/>
        <v>(AttributeName="AcidMaxDamageMod",Attribute=/Script/DSAbilitySystem.DungeonSiegeStatusEffectAttributeSet:AcidMaxDamageMod,AttributeOwner=Class'"/Script/DSAbilitySystem.DungeonSiegeStatusEffectAttributeSet"')</v>
      </c>
      <c r="H587" s="43">
        <v>4</v>
      </c>
      <c r="I587" s="43" t="str">
        <f t="shared" si="28"/>
        <v>GE_Prefix_Feisty</v>
      </c>
      <c r="J587" s="43" t="str">
        <f t="shared" si="29"/>
        <v>/Game/DungeonSiege/Blueprints/GameplayAbilities/Affixes/GE_Prefix_Feisty</v>
      </c>
    </row>
    <row r="588" spans="1:10" s="23" customFormat="1" ht="33.75" x14ac:dyDescent="0.25">
      <c r="A588" s="43">
        <v>586</v>
      </c>
      <c r="B588" s="43">
        <f>VLOOKUP(C588,CHOOSE({2,1},Prefix!B$2:B$256,Prefix!C$2:C$256),2,FALSE)</f>
        <v>100663875</v>
      </c>
      <c r="C588" s="43" t="s">
        <v>1183</v>
      </c>
      <c r="D588" s="43" t="s">
        <v>3197</v>
      </c>
      <c r="E588" s="43" t="str">
        <f>VLOOKUP(F588,CHOOSE({2,1},Attributes!B$3:B$130,Attributes!C$3:C$129),2,FALSE)</f>
        <v>DungeonSiegeHealthAttributeSet</v>
      </c>
      <c r="F588" s="43" t="str">
        <f>Attributes!C82</f>
        <v>BaseHealthBonus</v>
      </c>
      <c r="G588" s="43" t="str">
        <f t="shared" si="27"/>
        <v>(AttributeName="BaseHealthBonus",Attribute=/Script/DSAbilitySystem.DungeonSiegeHealthAttributeSet:BaseHealthBonus,AttributeOwner=Class'"/Script/DSAbilitySystem.DungeonSiegeHealthAttributeSet"')</v>
      </c>
      <c r="H588" s="43">
        <v>14</v>
      </c>
      <c r="I588" s="43" t="str">
        <f t="shared" si="28"/>
        <v>GE_Prefix_Feisty</v>
      </c>
      <c r="J588" s="43" t="str">
        <f t="shared" si="29"/>
        <v>/Game/DungeonSiege/Blueprints/GameplayAbilities/Affixes/GE_Prefix_Feisty</v>
      </c>
    </row>
    <row r="589" spans="1:10" ht="33.75" x14ac:dyDescent="0.25">
      <c r="A589" s="43">
        <v>587</v>
      </c>
      <c r="B589" s="43">
        <f>VLOOKUP(C589,CHOOSE({2,1},Prefix!B$2:B$256,Prefix!C$2:C$256),2,FALSE)</f>
        <v>100663875</v>
      </c>
      <c r="C589" s="43" t="s">
        <v>1183</v>
      </c>
      <c r="D589" s="43" t="s">
        <v>201</v>
      </c>
      <c r="E589" s="43" t="str">
        <f>VLOOKUP(F589,CHOOSE({2,1},Attributes!B$3:B$130,Attributes!C$3:C$129),2,FALSE)</f>
        <v>DungeonSiegeDefenseAttributeSet</v>
      </c>
      <c r="F589" s="43" t="str">
        <f>Attributes!C10</f>
        <v>ArmorRating</v>
      </c>
      <c r="G589" s="43" t="str">
        <f t="shared" si="27"/>
        <v>(AttributeName="ArmorRating",Attribute=/Script/DSAbilitySystem.DungeonSiegeDefenseAttributeSet:ArmorRating,AttributeOwner=Class'"/Script/DSAbilitySystem.DungeonSiegeDefenseAttributeSet"')</v>
      </c>
      <c r="H589" s="43">
        <v>6</v>
      </c>
      <c r="I589" s="43" t="str">
        <f t="shared" si="28"/>
        <v>GE_Prefix_Feisty</v>
      </c>
      <c r="J589" s="43" t="str">
        <f t="shared" si="29"/>
        <v>/Game/DungeonSiege/Blueprints/GameplayAbilities/Affixes/GE_Prefix_Feisty</v>
      </c>
    </row>
    <row r="590" spans="1:10" s="23" customFormat="1" ht="33.75" x14ac:dyDescent="0.25">
      <c r="A590" s="43">
        <v>588</v>
      </c>
      <c r="B590" s="43">
        <f>VLOOKUP(C590,CHOOSE({2,1},Prefix!B$2:B$256,Prefix!C$2:C$256),2,FALSE)</f>
        <v>100663876</v>
      </c>
      <c r="C590" s="43" t="s">
        <v>1185</v>
      </c>
      <c r="D590" s="43" t="s">
        <v>745</v>
      </c>
      <c r="E590" s="43" t="str">
        <f>VLOOKUP(F590,CHOOSE({2,1},Attributes!B$3:B$130,Attributes!C$3:C$129),2,FALSE)</f>
        <v>DungeonSiegeExperienceAttributeSet</v>
      </c>
      <c r="F590" s="43" t="str">
        <f>Attributes!C9</f>
        <v>Melee</v>
      </c>
      <c r="G590" s="43" t="str">
        <f t="shared" si="27"/>
        <v>(AttributeName="Melee",Attribute=/Script/DSAbilitySystem.DungeonSiegeExperienceAttributeSet:Melee,AttributeOwner=Class'"/Script/DSAbilitySystem.DungeonSiegeExperienceAttributeSet"')</v>
      </c>
      <c r="H590" s="43">
        <v>1</v>
      </c>
      <c r="I590" s="43" t="str">
        <f t="shared" si="28"/>
        <v>GE_Prefix_Fierce</v>
      </c>
      <c r="J590" s="43" t="str">
        <f t="shared" si="29"/>
        <v>/Game/DungeonSiege/Blueprints/GameplayAbilities/Affixes/GE_Prefix_Fierce</v>
      </c>
    </row>
    <row r="591" spans="1:10" s="23" customFormat="1" ht="33.75" x14ac:dyDescent="0.25">
      <c r="A591" s="43">
        <v>589</v>
      </c>
      <c r="B591" s="43">
        <f>VLOOKUP(C591,CHOOSE({2,1},Prefix!B$2:B$256,Prefix!C$2:C$256),2,FALSE)</f>
        <v>100663876</v>
      </c>
      <c r="C591" s="43" t="s">
        <v>1185</v>
      </c>
      <c r="D591" s="43" t="s">
        <v>1186</v>
      </c>
      <c r="E591" s="43" t="str">
        <f>VLOOKUP(F591,CHOOSE({2,1},Attributes!B$3:B$130,Attributes!C$3:C$129),2,FALSE)</f>
        <v>DungeonSiegeDefenseAttributeSet</v>
      </c>
      <c r="F591" s="43" t="str">
        <f>Attributes!C10</f>
        <v>ArmorRating</v>
      </c>
      <c r="G591" s="43" t="str">
        <f t="shared" si="27"/>
        <v>(AttributeName="ArmorRating",Attribute=/Script/DSAbilitySystem.DungeonSiegeDefenseAttributeSet:ArmorRating,AttributeOwner=Class'"/Script/DSAbilitySystem.DungeonSiegeDefenseAttributeSet"')</v>
      </c>
      <c r="H591" s="43">
        <v>8</v>
      </c>
      <c r="I591" s="43" t="str">
        <f t="shared" si="28"/>
        <v>GE_Prefix_Fierce</v>
      </c>
      <c r="J591" s="43" t="str">
        <f t="shared" si="29"/>
        <v>/Game/DungeonSiege/Blueprints/GameplayAbilities/Affixes/GE_Prefix_Fierce</v>
      </c>
    </row>
    <row r="592" spans="1:10" ht="33.75" x14ac:dyDescent="0.25">
      <c r="A592" s="43">
        <v>590</v>
      </c>
      <c r="B592" s="43">
        <f>VLOOKUP(C592,CHOOSE({2,1},Prefix!B$2:B$256,Prefix!C$2:C$256),2,FALSE)</f>
        <v>100663876</v>
      </c>
      <c r="C592" s="43" t="s">
        <v>1185</v>
      </c>
      <c r="D592" s="43" t="s">
        <v>3212</v>
      </c>
      <c r="E592" s="43" t="str">
        <f>VLOOKUP(F592,CHOOSE({2,1},Attributes!B$3:B$130,Attributes!C$3:C$129),2,FALSE)</f>
        <v>DungeonSiegeDamageAttributeSet</v>
      </c>
      <c r="F592" s="43" t="str">
        <f>Attributes!C34</f>
        <v>ChanceToDodgeMeleeAttack</v>
      </c>
      <c r="G592" s="43" t="str">
        <f t="shared" si="27"/>
        <v>(AttributeName="ChanceToDodgeMeleeAttack",Attribute=/Script/DSAbilitySystem.DungeonSiegeDamageAttributeSet:ChanceToDodgeMeleeAttack,AttributeOwner=Class'"/Script/DSAbilitySystem.DungeonSiegeDamageAttributeSet"')</v>
      </c>
      <c r="H592" s="43">
        <v>2</v>
      </c>
      <c r="I592" s="43" t="str">
        <f t="shared" si="28"/>
        <v>GE_Prefix_Fierce</v>
      </c>
      <c r="J592" s="43" t="str">
        <f t="shared" si="29"/>
        <v>/Game/DungeonSiege/Blueprints/GameplayAbilities/Affixes/GE_Prefix_Fierce</v>
      </c>
    </row>
    <row r="593" spans="1:10" ht="33.75" x14ac:dyDescent="0.25">
      <c r="A593" s="43">
        <v>591</v>
      </c>
      <c r="B593" s="43">
        <f>VLOOKUP(C593,CHOOSE({2,1},Prefix!B$2:B$256,Prefix!C$2:C$256),2,FALSE)</f>
        <v>100663877</v>
      </c>
      <c r="C593" s="43" t="s">
        <v>1188</v>
      </c>
      <c r="D593" s="43" t="s">
        <v>1189</v>
      </c>
      <c r="E593" s="43" t="str">
        <f>VLOOKUP(F593,CHOOSE({2,1},Attributes!B$3:B$130,Attributes!C$3:C$129),2,FALSE)</f>
        <v>DungeonSiegeMagicAttributeSet</v>
      </c>
      <c r="F593" s="43" t="str">
        <f>Attributes!C49</f>
        <v>FireSpellCostReduction</v>
      </c>
      <c r="G593" s="43" t="str">
        <f t="shared" si="27"/>
        <v>(AttributeName="FireSpellCostReduction",Attribute=/Script/DSAbilitySystem.DungeonSiegeMagicAttributeSet:FireSpellCostReduction,AttributeOwner=Class'"/Script/DSAbilitySystem.DungeonSiegeMagicAttributeSet"')</v>
      </c>
      <c r="H593" s="43">
        <v>5</v>
      </c>
      <c r="I593" s="43" t="str">
        <f t="shared" si="28"/>
        <v>GE_Prefix_Flame_Retardant</v>
      </c>
      <c r="J593" s="43" t="str">
        <f t="shared" si="29"/>
        <v>/Game/DungeonSiege/Blueprints/GameplayAbilities/Affixes/GE_Prefix_Flame_Retardant</v>
      </c>
    </row>
    <row r="594" spans="1:10" ht="33.75" x14ac:dyDescent="0.25">
      <c r="A594" s="43">
        <v>592</v>
      </c>
      <c r="B594" s="43">
        <f>VLOOKUP(C594,CHOOSE({2,1},Prefix!B$2:B$256,Prefix!C$2:C$256),2,FALSE)</f>
        <v>100663878</v>
      </c>
      <c r="C594" s="43" t="s">
        <v>1191</v>
      </c>
      <c r="D594" s="43" t="s">
        <v>1186</v>
      </c>
      <c r="E594" s="43" t="str">
        <f>VLOOKUP(F594,CHOOSE({2,1},Attributes!B$3:B$130,Attributes!C$3:C$129),2,FALSE)</f>
        <v>DungeonSiegeDefenseAttributeSet</v>
      </c>
      <c r="F594" s="43" t="str">
        <f>Attributes!C10</f>
        <v>ArmorRating</v>
      </c>
      <c r="G594" s="43" t="str">
        <f t="shared" si="27"/>
        <v>(AttributeName="ArmorRating",Attribute=/Script/DSAbilitySystem.DungeonSiegeDefenseAttributeSet:ArmorRating,AttributeOwner=Class'"/Script/DSAbilitySystem.DungeonSiegeDefenseAttributeSet"')</v>
      </c>
      <c r="H594" s="43">
        <v>8</v>
      </c>
      <c r="I594" s="43" t="str">
        <f t="shared" si="28"/>
        <v>GE_Prefix_Enforced</v>
      </c>
      <c r="J594" s="43" t="str">
        <f t="shared" si="29"/>
        <v>/Game/DungeonSiege/Blueprints/GameplayAbilities/Affixes/GE_Prefix_Enforced</v>
      </c>
    </row>
    <row r="595" spans="1:10" ht="33.75" x14ac:dyDescent="0.25">
      <c r="A595" s="43">
        <v>593</v>
      </c>
      <c r="B595" s="43">
        <f>VLOOKUP(C595,CHOOSE({2,1},Prefix!B$2:B$256,Prefix!C$2:C$256),2,FALSE)</f>
        <v>100663879</v>
      </c>
      <c r="C595" s="43" t="s">
        <v>1193</v>
      </c>
      <c r="D595" s="43" t="s">
        <v>201</v>
      </c>
      <c r="E595" s="43" t="str">
        <f>VLOOKUP(F595,CHOOSE({2,1},Attributes!B$3:B$130,Attributes!C$3:C$129),2,FALSE)</f>
        <v>DungeonSiegeDefenseAttributeSet</v>
      </c>
      <c r="F595" s="43" t="str">
        <f>Attributes!C10</f>
        <v>ArmorRating</v>
      </c>
      <c r="G595" s="43" t="str">
        <f t="shared" si="27"/>
        <v>(AttributeName="ArmorRating",Attribute=/Script/DSAbilitySystem.DungeonSiegeDefenseAttributeSet:ArmorRating,AttributeOwner=Class'"/Script/DSAbilitySystem.DungeonSiegeDefenseAttributeSet"')</v>
      </c>
      <c r="H595" s="43">
        <v>6</v>
      </c>
      <c r="I595" s="43" t="str">
        <f t="shared" si="28"/>
        <v>GE_Prefix_Repellant</v>
      </c>
      <c r="J595" s="43" t="str">
        <f t="shared" si="29"/>
        <v>/Game/DungeonSiege/Blueprints/GameplayAbilities/Affixes/GE_Prefix_Repellant</v>
      </c>
    </row>
    <row r="596" spans="1:10" ht="33.75" x14ac:dyDescent="0.25">
      <c r="A596" s="43">
        <v>594</v>
      </c>
      <c r="B596" s="43">
        <f>VLOOKUP(C596,CHOOSE({2,1},Prefix!B$2:B$256,Prefix!C$2:C$256),2,FALSE)</f>
        <v>100663880</v>
      </c>
      <c r="C596" s="43" t="s">
        <v>1195</v>
      </c>
      <c r="D596" s="43" t="s">
        <v>745</v>
      </c>
      <c r="E596" s="43" t="str">
        <f>VLOOKUP(F596,CHOOSE({2,1},Attributes!B$3:B$130,Attributes!C$3:C$129),2,FALSE)</f>
        <v>DungeonSiegeExperienceAttributeSet</v>
      </c>
      <c r="F596" s="43" t="str">
        <f>Attributes!C9</f>
        <v>Melee</v>
      </c>
      <c r="G596" s="43" t="str">
        <f t="shared" si="27"/>
        <v>(AttributeName="Melee",Attribute=/Script/DSAbilitySystem.DungeonSiegeExperienceAttributeSet:Melee,AttributeOwner=Class'"/Script/DSAbilitySystem.DungeonSiegeExperienceAttributeSet"')</v>
      </c>
      <c r="H596" s="43">
        <v>1</v>
      </c>
      <c r="I596" s="43" t="str">
        <f t="shared" si="28"/>
        <v>GE_Prefix_Goring</v>
      </c>
      <c r="J596" s="43" t="str">
        <f t="shared" si="29"/>
        <v>/Game/DungeonSiege/Blueprints/GameplayAbilities/Affixes/GE_Prefix_Goring</v>
      </c>
    </row>
    <row r="597" spans="1:10" ht="33.75" x14ac:dyDescent="0.25">
      <c r="A597" s="43">
        <v>595</v>
      </c>
      <c r="B597" s="43">
        <f>VLOOKUP(C597,CHOOSE({2,1},Prefix!B$2:B$256,Prefix!C$2:C$256),2,FALSE)</f>
        <v>100663881</v>
      </c>
      <c r="C597" s="43" t="s">
        <v>1197</v>
      </c>
      <c r="D597" s="43" t="s">
        <v>867</v>
      </c>
      <c r="E597" s="43" t="str">
        <f>VLOOKUP(F597,CHOOSE({2,1},Attributes!B$3:B$130,Attributes!C$3:C$129),2,FALSE)</f>
        <v>DungeonSiegeDamageAttributeSet</v>
      </c>
      <c r="F597" s="43" t="str">
        <f>Attributes!C27</f>
        <v>PercentRangedDamageReduction</v>
      </c>
      <c r="G597" s="43" t="str">
        <f t="shared" si="27"/>
        <v>(AttributeName="PercentRangedDamageReduction",Attribute=/Script/DSAbilitySystem.DungeonSiegeDamageAttributeSet:PercentRangedDamageReduction,AttributeOwner=Class'"/Script/DSAbilitySystem.DungeonSiegeDamageAttributeSet"')</v>
      </c>
      <c r="H597" s="43">
        <v>3</v>
      </c>
      <c r="I597" s="43" t="str">
        <f t="shared" si="28"/>
        <v>GE_Prefix_Solid</v>
      </c>
      <c r="J597" s="43" t="str">
        <f t="shared" si="29"/>
        <v>/Game/DungeonSiege/Blueprints/GameplayAbilities/Affixes/GE_Prefix_Solid</v>
      </c>
    </row>
    <row r="598" spans="1:10" ht="33.75" x14ac:dyDescent="0.25">
      <c r="A598" s="43">
        <v>596</v>
      </c>
      <c r="B598" s="43">
        <f>VLOOKUP(C598,CHOOSE({2,1},Prefix!B$2:B$256,Prefix!C$2:C$256),2,FALSE)</f>
        <v>100663888</v>
      </c>
      <c r="C598" s="43" t="s">
        <v>1199</v>
      </c>
      <c r="D598" s="43" t="s">
        <v>1200</v>
      </c>
      <c r="E598" s="43" t="str">
        <f>VLOOKUP(F598,CHOOSE({2,1},Attributes!B$3:B$130,Attributes!C$3:C$129),2,FALSE)</f>
        <v>DungeonSiegeExperienceAttributeSet</v>
      </c>
      <c r="F598" s="43" t="str">
        <f>Attributes!C8</f>
        <v>Ranged</v>
      </c>
      <c r="G598" s="43" t="str">
        <f t="shared" si="27"/>
        <v>(AttributeName="Ranged",Attribute=/Script/DSAbilitySystem.DungeonSiegeExperienceAttributeSet:Ranged,AttributeOwner=Class'"/Script/DSAbilitySystem.DungeonSiegeExperienceAttributeSet"')</v>
      </c>
      <c r="H598" s="43">
        <v>1</v>
      </c>
      <c r="I598" s="43" t="str">
        <f t="shared" si="28"/>
        <v>GE_Prefix_Sailing</v>
      </c>
      <c r="J598" s="43" t="str">
        <f t="shared" si="29"/>
        <v>/Game/DungeonSiege/Blueprints/GameplayAbilities/Affixes/GE_Prefix_Sailing</v>
      </c>
    </row>
    <row r="599" spans="1:10" ht="33.75" x14ac:dyDescent="0.25">
      <c r="A599" s="43">
        <v>597</v>
      </c>
      <c r="B599" s="43">
        <f>VLOOKUP(C599,CHOOSE({2,1},Prefix!B$2:B$256,Prefix!C$2:C$256),2,FALSE)</f>
        <v>100663889</v>
      </c>
      <c r="C599" s="43" t="s">
        <v>202</v>
      </c>
      <c r="D599" s="43" t="s">
        <v>201</v>
      </c>
      <c r="E599" s="43" t="str">
        <f>VLOOKUP(F599,CHOOSE({2,1},Attributes!B$3:B$130,Attributes!C$3:C$129),2,FALSE)</f>
        <v>DungeonSiegeDefenseAttributeSet</v>
      </c>
      <c r="F599" s="43" t="str">
        <f>Attributes!C10</f>
        <v>ArmorRating</v>
      </c>
      <c r="G599" s="43" t="str">
        <f t="shared" si="27"/>
        <v>(AttributeName="ArmorRating",Attribute=/Script/DSAbilitySystem.DungeonSiegeDefenseAttributeSet:ArmorRating,AttributeOwner=Class'"/Script/DSAbilitySystem.DungeonSiegeDefenseAttributeSet"')</v>
      </c>
      <c r="H599" s="43">
        <v>6</v>
      </c>
      <c r="I599" s="43" t="str">
        <f t="shared" si="28"/>
        <v>GE_Prefix_Profound</v>
      </c>
      <c r="J599" s="43" t="str">
        <f t="shared" si="29"/>
        <v>/Game/DungeonSiege/Blueprints/GameplayAbilities/Affixes/GE_Prefix_Profound</v>
      </c>
    </row>
    <row r="600" spans="1:10" ht="33.75" x14ac:dyDescent="0.25">
      <c r="A600" s="43">
        <v>598</v>
      </c>
      <c r="B600" s="43">
        <f>VLOOKUP(C600,CHOOSE({2,1},Prefix!B$2:B$256,Prefix!C$2:C$256),2,FALSE)</f>
        <v>100663890</v>
      </c>
      <c r="C600" s="43" t="s">
        <v>1202</v>
      </c>
      <c r="D600" s="43" t="s">
        <v>3227</v>
      </c>
      <c r="E600" s="43" t="str">
        <f>VLOOKUP(F600,CHOOSE({2,1},Attributes!B$3:B$130,Attributes!C$3:C$129),2,FALSE)</f>
        <v>DungeonSiegeStatusEffectAttributeSet</v>
      </c>
      <c r="F600" s="43" t="str">
        <f>Attributes!C72</f>
        <v>ChanceToStun</v>
      </c>
      <c r="G600" s="43" t="str">
        <f t="shared" si="27"/>
        <v>(AttributeName="ChanceToStun",Attribute=/Script/DSAbilitySystem.DungeonSiegeStatusEffectAttributeSet:ChanceToStun,AttributeOwner=Class'"/Script/DSAbilitySystem.DungeonSiegeStatusEffectAttributeSet"')</v>
      </c>
      <c r="H600" s="43">
        <v>10</v>
      </c>
      <c r="I600" s="43" t="str">
        <f t="shared" si="28"/>
        <v>GE_Prefix_Stunning</v>
      </c>
      <c r="J600" s="43" t="str">
        <f t="shared" si="29"/>
        <v>/Game/DungeonSiege/Blueprints/GameplayAbilities/Affixes/GE_Prefix_Stunning</v>
      </c>
    </row>
    <row r="601" spans="1:10" s="23" customFormat="1" ht="33.75" x14ac:dyDescent="0.25">
      <c r="A601" s="43">
        <v>599</v>
      </c>
      <c r="B601" s="43">
        <f>VLOOKUP(C601,CHOOSE({2,1},Prefix!B$2:B$256,Prefix!C$2:C$256),2,FALSE)</f>
        <v>100663890</v>
      </c>
      <c r="C601" s="43" t="s">
        <v>1202</v>
      </c>
      <c r="D601" s="43" t="s">
        <v>3213</v>
      </c>
      <c r="E601" s="43" t="str">
        <f>VLOOKUP(F601,CHOOSE({2,1},Attributes!B$3:B$130,Attributes!C$3:C$129),2,FALSE)</f>
        <v>DungeonSiegeStatusEffectAttributeSet</v>
      </c>
      <c r="F601" s="43" t="str">
        <f>Attributes!C73</f>
        <v>StunMinDamageMod</v>
      </c>
      <c r="G601" s="43" t="str">
        <f t="shared" si="27"/>
        <v>(AttributeName="StunMinDamageMod",Attribute=/Script/DSAbilitySystem.DungeonSiegeStatusEffectAttributeSet:StunMinDamageMod,AttributeOwner=Class'"/Script/DSAbilitySystem.DungeonSiegeStatusEffectAttributeSet"')</v>
      </c>
      <c r="H601" s="43">
        <v>1</v>
      </c>
      <c r="I601" s="43" t="str">
        <f t="shared" si="28"/>
        <v>GE_Prefix_Stunning</v>
      </c>
      <c r="J601" s="43" t="str">
        <f t="shared" si="29"/>
        <v>/Game/DungeonSiege/Blueprints/GameplayAbilities/Affixes/GE_Prefix_Stunning</v>
      </c>
    </row>
    <row r="602" spans="1:10" ht="33.75" x14ac:dyDescent="0.25">
      <c r="A602" s="43">
        <v>600</v>
      </c>
      <c r="B602" s="43">
        <f>VLOOKUP(C602,CHOOSE({2,1},Prefix!B$2:B$256,Prefix!C$2:C$256),2,FALSE)</f>
        <v>100663890</v>
      </c>
      <c r="C602" s="43" t="s">
        <v>1202</v>
      </c>
      <c r="D602" s="43" t="s">
        <v>3213</v>
      </c>
      <c r="E602" s="43" t="str">
        <f>VLOOKUP(F602,CHOOSE({2,1},Attributes!B$3:B$130,Attributes!C$3:C$129),2,FALSE)</f>
        <v>DungeonSiegeStatusEffectAttributeSet</v>
      </c>
      <c r="F602" s="43" t="str">
        <f>Attributes!C74</f>
        <v>StunMaxDamageMod</v>
      </c>
      <c r="G602" s="43" t="str">
        <f t="shared" si="27"/>
        <v>(AttributeName="StunMaxDamageMod",Attribute=/Script/DSAbilitySystem.DungeonSiegeStatusEffectAttributeSet:StunMaxDamageMod,AttributeOwner=Class'"/Script/DSAbilitySystem.DungeonSiegeStatusEffectAttributeSet"')</v>
      </c>
      <c r="H602" s="43">
        <v>5</v>
      </c>
      <c r="I602" s="43" t="str">
        <f t="shared" si="28"/>
        <v>GE_Prefix_Stunning</v>
      </c>
      <c r="J602" s="43" t="str">
        <f t="shared" si="29"/>
        <v>/Game/DungeonSiege/Blueprints/GameplayAbilities/Affixes/GE_Prefix_Stunning</v>
      </c>
    </row>
    <row r="603" spans="1:10" ht="33.75" x14ac:dyDescent="0.25">
      <c r="A603" s="43">
        <v>601</v>
      </c>
      <c r="B603" s="43">
        <f>VLOOKUP(C603,CHOOSE({2,1},Prefix!B$2:B$256,Prefix!C$2:C$256),2,FALSE)</f>
        <v>100663891</v>
      </c>
      <c r="C603" s="43" t="s">
        <v>1203</v>
      </c>
      <c r="D603" s="43" t="s">
        <v>1204</v>
      </c>
      <c r="E603" s="43" t="str">
        <f>VLOOKUP(F603,CHOOSE({2,1},Attributes!B$3:B$130,Attributes!C$3:C$129),2,FALSE)</f>
        <v>DungeonSiegeDefenseAttributeSet</v>
      </c>
      <c r="F603" s="43" t="str">
        <f>Attributes!C10</f>
        <v>ArmorRating</v>
      </c>
      <c r="G603" s="43" t="str">
        <f t="shared" si="27"/>
        <v>(AttributeName="ArmorRating",Attribute=/Script/DSAbilitySystem.DungeonSiegeDefenseAttributeSet:ArmorRating,AttributeOwner=Class'"/Script/DSAbilitySystem.DungeonSiegeDefenseAttributeSet"')</v>
      </c>
      <c r="H603" s="43">
        <v>3</v>
      </c>
      <c r="I603" s="43" t="str">
        <f t="shared" si="28"/>
        <v>GE_Prefix_Rough</v>
      </c>
      <c r="J603" s="43" t="str">
        <f t="shared" si="29"/>
        <v>/Game/DungeonSiege/Blueprints/GameplayAbilities/Affixes/GE_Prefix_Rough</v>
      </c>
    </row>
    <row r="604" spans="1:10" ht="33.75" x14ac:dyDescent="0.25">
      <c r="A604" s="43">
        <v>602</v>
      </c>
      <c r="B604" s="43">
        <f>VLOOKUP(C604,CHOOSE({2,1},Prefix!B$2:B$256,Prefix!C$2:C$256),2,FALSE)</f>
        <v>100663892</v>
      </c>
      <c r="C604" s="43" t="s">
        <v>1206</v>
      </c>
      <c r="D604" s="43" t="s">
        <v>713</v>
      </c>
      <c r="E604" s="43" t="str">
        <f>VLOOKUP(F604,CHOOSE({2,1},Attributes!B$3:B$130,Attributes!C$3:C$129),2,FALSE)</f>
        <v>DungeonSiegeExperienceAttributeSet</v>
      </c>
      <c r="F604" s="43" t="str">
        <f>Attributes!C8</f>
        <v>Ranged</v>
      </c>
      <c r="G604" s="43" t="str">
        <f t="shared" si="27"/>
        <v>(AttributeName="Ranged",Attribute=/Script/DSAbilitySystem.DungeonSiegeExperienceAttributeSet:Ranged,AttributeOwner=Class'"/Script/DSAbilitySystem.DungeonSiegeExperienceAttributeSet"')</v>
      </c>
      <c r="H604" s="43">
        <v>1</v>
      </c>
      <c r="I604" s="43" t="str">
        <f t="shared" si="28"/>
        <v>GE_Prefix_Gliding</v>
      </c>
      <c r="J604" s="43" t="str">
        <f t="shared" si="29"/>
        <v>/Game/DungeonSiege/Blueprints/GameplayAbilities/Affixes/GE_Prefix_Gliding</v>
      </c>
    </row>
  </sheetData>
  <pageMargins left="0.7" right="0.7" top="0.75" bottom="0.75" header="0.3" footer="0.3"/>
  <ignoredErrors>
    <ignoredError sqref="F285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ExportPrefixG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1019175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E6D651-12C0-4C64-83DB-F6D679379D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ItemTypes</vt:lpstr>
      <vt:lpstr>Items</vt:lpstr>
      <vt:lpstr>Axe</vt:lpstr>
      <vt:lpstr>Staff</vt:lpstr>
      <vt:lpstr>Mace</vt:lpstr>
      <vt:lpstr>Club</vt:lpstr>
      <vt:lpstr>Bow</vt:lpstr>
      <vt:lpstr>Dagger</vt:lpstr>
      <vt:lpstr>Sword</vt:lpstr>
      <vt:lpstr>Hammer</vt:lpstr>
      <vt:lpstr>BodyArmor</vt:lpstr>
      <vt:lpstr>Helms</vt:lpstr>
      <vt:lpstr>Shields</vt:lpstr>
      <vt:lpstr>Boots</vt:lpstr>
      <vt:lpstr>Gloves</vt:lpstr>
      <vt:lpstr>SpellBooks</vt:lpstr>
      <vt:lpstr>CombatMagic</vt:lpstr>
      <vt:lpstr>SpellBooksPrefixes</vt:lpstr>
      <vt:lpstr>SpellBookSuffixes</vt:lpstr>
      <vt:lpstr>Prefix</vt:lpstr>
      <vt:lpstr>Suffix</vt:lpstr>
      <vt:lpstr>Attributes</vt:lpstr>
      <vt:lpstr>EXP</vt:lpstr>
      <vt:lpstr>Suffix_GE</vt:lpstr>
      <vt:lpstr>Prefix_GE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shimura</dc:creator>
  <cp:lastModifiedBy>iman khalil zad</cp:lastModifiedBy>
  <dcterms:created xsi:type="dcterms:W3CDTF">2021-01-19T10:06:23Z</dcterms:created>
  <dcterms:modified xsi:type="dcterms:W3CDTF">2022-03-29T18:42:46Z</dcterms:modified>
</cp:coreProperties>
</file>